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T:\Mankato_Common\266003 Mankato Plant\OPERATIONS\"/>
    </mc:Choice>
  </mc:AlternateContent>
  <xr:revisionPtr revIDLastSave="0" documentId="13_ncr:1_{54347867-07B8-476F-901D-A83FD19CEAD4}" xr6:coauthVersionLast="36" xr6:coauthVersionMax="36" xr10:uidLastSave="{00000000-0000-0000-0000-000000000000}"/>
  <bookViews>
    <workbookView xWindow="0" yWindow="63300" windowWidth="14376" windowHeight="3552" xr2:uid="{00000000-000D-0000-FFFF-FFFF00000000}"/>
  </bookViews>
  <sheets>
    <sheet name="DATA ENTRY" sheetId="6" r:id="rId1"/>
    <sheet name="Printable Simple Form" sheetId="5" state="hidden" r:id="rId2"/>
    <sheet name="REPORT" sheetId="7" r:id="rId3"/>
    <sheet name="Report History" sheetId="2" r:id="rId4"/>
    <sheet name="Sheet1" sheetId="8" r:id="rId5"/>
  </sheets>
  <definedNames>
    <definedName name="_xlnm.Print_Area" localSheetId="0">'DATA ENTRY'!$A$1:$W$33</definedName>
    <definedName name="_xlnm.Print_Area" localSheetId="1">'Printable Simple Form'!$B$2:$H$25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V101" i="8" l="1"/>
  <c r="DW101" i="8"/>
  <c r="DX101" i="8"/>
  <c r="DY101" i="8"/>
  <c r="DZ101" i="8"/>
  <c r="EA101" i="8"/>
  <c r="EB101" i="8"/>
  <c r="EC101" i="8"/>
  <c r="ED101" i="8"/>
  <c r="EE101" i="8"/>
  <c r="EF101" i="8"/>
  <c r="EG101" i="8"/>
  <c r="EH101" i="8"/>
  <c r="EI101" i="8"/>
  <c r="EJ101" i="8"/>
  <c r="EK101" i="8"/>
  <c r="EL101" i="8"/>
  <c r="EM101" i="8"/>
  <c r="EN101" i="8"/>
  <c r="EO101" i="8"/>
  <c r="EP101" i="8"/>
  <c r="EQ101" i="8"/>
  <c r="ER101" i="8"/>
  <c r="ES101" i="8"/>
  <c r="ET101" i="8"/>
  <c r="EU101" i="8"/>
  <c r="EV101" i="8"/>
  <c r="EW101" i="8"/>
  <c r="EX101" i="8"/>
  <c r="EY101" i="8"/>
  <c r="EZ101" i="8"/>
  <c r="FA101" i="8"/>
  <c r="FB101" i="8"/>
  <c r="FC101" i="8"/>
  <c r="FD101" i="8"/>
  <c r="FE101" i="8"/>
  <c r="FF101" i="8"/>
  <c r="FG101" i="8"/>
  <c r="FH101" i="8"/>
  <c r="FI101" i="8"/>
  <c r="FJ101" i="8"/>
  <c r="FK101" i="8"/>
  <c r="FL101" i="8"/>
  <c r="FM101" i="8"/>
  <c r="FN101" i="8"/>
  <c r="FO101" i="8"/>
  <c r="FP101" i="8"/>
  <c r="FQ101" i="8"/>
  <c r="FR101" i="8"/>
  <c r="FS101" i="8"/>
  <c r="FT101" i="8"/>
  <c r="FU101" i="8"/>
  <c r="FV101" i="8"/>
  <c r="FW101" i="8"/>
  <c r="FX101" i="8"/>
  <c r="FY101" i="8"/>
  <c r="FZ101" i="8"/>
  <c r="GA101" i="8"/>
  <c r="GB101" i="8"/>
  <c r="GC101" i="8"/>
  <c r="GD101" i="8"/>
  <c r="GE101" i="8"/>
  <c r="GF101" i="8"/>
  <c r="GG101" i="8"/>
  <c r="GH101" i="8"/>
  <c r="GI101" i="8"/>
  <c r="GJ101" i="8"/>
  <c r="GK101" i="8"/>
  <c r="GL101" i="8"/>
  <c r="GM101" i="8"/>
  <c r="GN101" i="8"/>
  <c r="GO101" i="8"/>
  <c r="GP101" i="8"/>
  <c r="GQ101" i="8"/>
  <c r="GR101" i="8"/>
  <c r="GS101" i="8"/>
  <c r="GT101" i="8"/>
  <c r="GU101" i="8"/>
  <c r="GV101" i="8"/>
  <c r="GW101" i="8"/>
  <c r="GX101" i="8"/>
  <c r="GY101" i="8"/>
  <c r="GZ101" i="8"/>
  <c r="HA101" i="8"/>
  <c r="HB101" i="8"/>
  <c r="HC101" i="8"/>
  <c r="HD101" i="8"/>
  <c r="HE101" i="8"/>
  <c r="HF101" i="8"/>
  <c r="HG101" i="8"/>
  <c r="HH101" i="8"/>
  <c r="HI101" i="8"/>
  <c r="HJ101" i="8"/>
  <c r="HK101" i="8"/>
  <c r="HL101" i="8"/>
  <c r="HM101" i="8"/>
  <c r="HN101" i="8"/>
  <c r="HO101" i="8"/>
  <c r="HP101" i="8"/>
  <c r="HQ101" i="8"/>
  <c r="HR101" i="8"/>
  <c r="HS101" i="8"/>
  <c r="HT101" i="8"/>
  <c r="HU101" i="8"/>
  <c r="HV101" i="8"/>
  <c r="HW101" i="8"/>
  <c r="HX101" i="8"/>
  <c r="HY101" i="8"/>
  <c r="HZ101" i="8"/>
  <c r="IA101" i="8"/>
  <c r="IB101" i="8"/>
  <c r="IC101" i="8"/>
  <c r="ID101" i="8"/>
  <c r="IE101" i="8"/>
  <c r="IF101" i="8"/>
  <c r="IG101" i="8"/>
  <c r="IH101" i="8"/>
  <c r="II101" i="8"/>
  <c r="IJ101" i="8"/>
  <c r="IK101" i="8"/>
  <c r="IL101" i="8"/>
  <c r="IM101" i="8"/>
  <c r="IN101" i="8"/>
  <c r="IO101" i="8"/>
  <c r="IP101" i="8"/>
  <c r="DV102" i="8"/>
  <c r="DW102" i="8"/>
  <c r="DX102" i="8"/>
  <c r="DY102" i="8"/>
  <c r="DZ102" i="8"/>
  <c r="EA102" i="8"/>
  <c r="EB102" i="8"/>
  <c r="EC102" i="8"/>
  <c r="ED102" i="8"/>
  <c r="EE102" i="8"/>
  <c r="EF102" i="8"/>
  <c r="EG102" i="8"/>
  <c r="EH102" i="8"/>
  <c r="EI102" i="8"/>
  <c r="EJ102" i="8"/>
  <c r="EK102" i="8"/>
  <c r="EL102" i="8"/>
  <c r="EM102" i="8"/>
  <c r="EN102" i="8"/>
  <c r="EO102" i="8"/>
  <c r="EP102" i="8"/>
  <c r="EQ102" i="8"/>
  <c r="ER102" i="8"/>
  <c r="ES102" i="8"/>
  <c r="ET102" i="8"/>
  <c r="EU102" i="8"/>
  <c r="EV102" i="8"/>
  <c r="EW102" i="8"/>
  <c r="EX102" i="8"/>
  <c r="EY102" i="8"/>
  <c r="EZ102" i="8"/>
  <c r="FA102" i="8"/>
  <c r="FB102" i="8"/>
  <c r="FC102" i="8"/>
  <c r="FD102" i="8"/>
  <c r="FE102" i="8"/>
  <c r="FF102" i="8"/>
  <c r="FG102" i="8"/>
  <c r="FH102" i="8"/>
  <c r="FI102" i="8"/>
  <c r="FJ102" i="8"/>
  <c r="FK102" i="8"/>
  <c r="FL102" i="8"/>
  <c r="FM102" i="8"/>
  <c r="FN102" i="8"/>
  <c r="FO102" i="8"/>
  <c r="FP102" i="8"/>
  <c r="FQ102" i="8"/>
  <c r="FR102" i="8"/>
  <c r="FS102" i="8"/>
  <c r="FT102" i="8"/>
  <c r="FU102" i="8"/>
  <c r="FV102" i="8"/>
  <c r="FW102" i="8"/>
  <c r="FX102" i="8"/>
  <c r="FY102" i="8"/>
  <c r="FZ102" i="8"/>
  <c r="GA102" i="8"/>
  <c r="GB102" i="8"/>
  <c r="GC102" i="8"/>
  <c r="GD102" i="8"/>
  <c r="GE102" i="8"/>
  <c r="GF102" i="8"/>
  <c r="GG102" i="8"/>
  <c r="GH102" i="8"/>
  <c r="GI102" i="8"/>
  <c r="GJ102" i="8"/>
  <c r="GK102" i="8"/>
  <c r="GL102" i="8"/>
  <c r="GM102" i="8"/>
  <c r="GN102" i="8"/>
  <c r="GO102" i="8"/>
  <c r="GP102" i="8"/>
  <c r="GQ102" i="8"/>
  <c r="GR102" i="8"/>
  <c r="GS102" i="8"/>
  <c r="GT102" i="8"/>
  <c r="GU102" i="8"/>
  <c r="GV102" i="8"/>
  <c r="GW102" i="8"/>
  <c r="GX102" i="8"/>
  <c r="GY102" i="8"/>
  <c r="GZ102" i="8"/>
  <c r="HA102" i="8"/>
  <c r="HB102" i="8"/>
  <c r="HC102" i="8"/>
  <c r="HD102" i="8"/>
  <c r="HE102" i="8"/>
  <c r="HF102" i="8"/>
  <c r="HG102" i="8"/>
  <c r="HH102" i="8"/>
  <c r="HI102" i="8"/>
  <c r="HJ102" i="8"/>
  <c r="HK102" i="8"/>
  <c r="HL102" i="8"/>
  <c r="HM102" i="8"/>
  <c r="HN102" i="8"/>
  <c r="HO102" i="8"/>
  <c r="HP102" i="8"/>
  <c r="HQ102" i="8"/>
  <c r="HR102" i="8"/>
  <c r="HS102" i="8"/>
  <c r="HT102" i="8"/>
  <c r="HU102" i="8"/>
  <c r="HV102" i="8"/>
  <c r="HW102" i="8"/>
  <c r="HX102" i="8"/>
  <c r="HY102" i="8"/>
  <c r="HZ102" i="8"/>
  <c r="IA102" i="8"/>
  <c r="IB102" i="8"/>
  <c r="IC102" i="8"/>
  <c r="ID102" i="8"/>
  <c r="IE102" i="8"/>
  <c r="IF102" i="8"/>
  <c r="IG102" i="8"/>
  <c r="IH102" i="8"/>
  <c r="II102" i="8"/>
  <c r="IJ102" i="8"/>
  <c r="IK102" i="8"/>
  <c r="IL102" i="8"/>
  <c r="IM102" i="8"/>
  <c r="IN102" i="8"/>
  <c r="IO102" i="8"/>
  <c r="IP102" i="8"/>
  <c r="DV103" i="8"/>
  <c r="DY103" i="8"/>
  <c r="DZ103" i="8"/>
  <c r="EA103" i="8"/>
  <c r="ED103" i="8"/>
  <c r="EE103" i="8"/>
  <c r="EF103" i="8"/>
  <c r="EI103" i="8"/>
  <c r="EJ103" i="8"/>
  <c r="EK103" i="8"/>
  <c r="EN103" i="8"/>
  <c r="EO103" i="8"/>
  <c r="EP103" i="8"/>
  <c r="ES103" i="8"/>
  <c r="ET103" i="8"/>
  <c r="EU103" i="8"/>
  <c r="EX103" i="8"/>
  <c r="EY103" i="8"/>
  <c r="EZ103" i="8"/>
  <c r="FC103" i="8"/>
  <c r="FD103" i="8"/>
  <c r="FE103" i="8"/>
  <c r="FH103" i="8"/>
  <c r="FI103" i="8"/>
  <c r="FJ103" i="8"/>
  <c r="FM103" i="8"/>
  <c r="FN103" i="8"/>
  <c r="FO103" i="8"/>
  <c r="FR103" i="8"/>
  <c r="FS103" i="8"/>
  <c r="FT103" i="8"/>
  <c r="FW103" i="8"/>
  <c r="FX103" i="8"/>
  <c r="FY103" i="8"/>
  <c r="GB103" i="8"/>
  <c r="GC103" i="8"/>
  <c r="GD103" i="8"/>
  <c r="GG103" i="8"/>
  <c r="GH103" i="8"/>
  <c r="GI103" i="8"/>
  <c r="GL103" i="8"/>
  <c r="GM103" i="8"/>
  <c r="GN103" i="8"/>
  <c r="GQ103" i="8"/>
  <c r="GR103" i="8"/>
  <c r="GS103" i="8"/>
  <c r="GV103" i="8"/>
  <c r="GW103" i="8"/>
  <c r="GX103" i="8"/>
  <c r="HA103" i="8"/>
  <c r="HB103" i="8"/>
  <c r="HC103" i="8"/>
  <c r="HF103" i="8"/>
  <c r="HG103" i="8"/>
  <c r="HH103" i="8"/>
  <c r="HK103" i="8"/>
  <c r="HL103" i="8"/>
  <c r="HM103" i="8"/>
  <c r="HP103" i="8"/>
  <c r="HQ103" i="8"/>
  <c r="HR103" i="8"/>
  <c r="HU103" i="8"/>
  <c r="HV103" i="8"/>
  <c r="HW103" i="8"/>
  <c r="HZ103" i="8"/>
  <c r="IA103" i="8"/>
  <c r="IB103" i="8"/>
  <c r="IE103" i="8"/>
  <c r="IF103" i="8"/>
  <c r="IG103" i="8"/>
  <c r="IJ103" i="8"/>
  <c r="IK103" i="8"/>
  <c r="IL103" i="8"/>
  <c r="IO103" i="8"/>
  <c r="IP103" i="8"/>
  <c r="DV104" i="8"/>
  <c r="DY104" i="8"/>
  <c r="DZ104" i="8"/>
  <c r="EA104" i="8"/>
  <c r="ED104" i="8"/>
  <c r="EE104" i="8"/>
  <c r="EF104" i="8"/>
  <c r="EI104" i="8"/>
  <c r="EJ104" i="8"/>
  <c r="EK104" i="8"/>
  <c r="EN104" i="8"/>
  <c r="EO104" i="8"/>
  <c r="EP104" i="8"/>
  <c r="ES104" i="8"/>
  <c r="ET104" i="8"/>
  <c r="EU104" i="8"/>
  <c r="EX104" i="8"/>
  <c r="EY104" i="8"/>
  <c r="EZ104" i="8"/>
  <c r="FC104" i="8"/>
  <c r="FD104" i="8"/>
  <c r="FE104" i="8"/>
  <c r="FH104" i="8"/>
  <c r="FI104" i="8"/>
  <c r="FJ104" i="8"/>
  <c r="FM104" i="8"/>
  <c r="FN104" i="8"/>
  <c r="FO104" i="8"/>
  <c r="FR104" i="8"/>
  <c r="FS104" i="8"/>
  <c r="FT104" i="8"/>
  <c r="FW104" i="8"/>
  <c r="FX104" i="8"/>
  <c r="FY104" i="8"/>
  <c r="GB104" i="8"/>
  <c r="GC104" i="8"/>
  <c r="GD104" i="8"/>
  <c r="GG104" i="8"/>
  <c r="GH104" i="8"/>
  <c r="GI104" i="8"/>
  <c r="GL104" i="8"/>
  <c r="GM104" i="8"/>
  <c r="GN104" i="8"/>
  <c r="GQ104" i="8"/>
  <c r="GR104" i="8"/>
  <c r="GS104" i="8"/>
  <c r="GV104" i="8"/>
  <c r="GW104" i="8"/>
  <c r="GX104" i="8"/>
  <c r="HA104" i="8"/>
  <c r="HB104" i="8"/>
  <c r="HC104" i="8"/>
  <c r="HF104" i="8"/>
  <c r="HG104" i="8"/>
  <c r="HH104" i="8"/>
  <c r="HK104" i="8"/>
  <c r="HL104" i="8"/>
  <c r="HM104" i="8"/>
  <c r="HP104" i="8"/>
  <c r="HQ104" i="8"/>
  <c r="HR104" i="8"/>
  <c r="HU104" i="8"/>
  <c r="HV104" i="8"/>
  <c r="HW104" i="8"/>
  <c r="HZ104" i="8"/>
  <c r="IA104" i="8"/>
  <c r="IB104" i="8"/>
  <c r="IE104" i="8"/>
  <c r="IF104" i="8"/>
  <c r="IG104" i="8"/>
  <c r="IJ104" i="8"/>
  <c r="IK104" i="8"/>
  <c r="IL104" i="8"/>
  <c r="IO104" i="8"/>
  <c r="IP104" i="8"/>
  <c r="DV105" i="8"/>
  <c r="DY105" i="8"/>
  <c r="DZ105" i="8"/>
  <c r="EA105" i="8"/>
  <c r="ED105" i="8"/>
  <c r="EE105" i="8"/>
  <c r="EF105" i="8"/>
  <c r="EI105" i="8"/>
  <c r="EJ105" i="8"/>
  <c r="EK105" i="8"/>
  <c r="EN105" i="8"/>
  <c r="EO105" i="8"/>
  <c r="EP105" i="8"/>
  <c r="ES105" i="8"/>
  <c r="ET105" i="8"/>
  <c r="EU105" i="8"/>
  <c r="EX105" i="8"/>
  <c r="EY105" i="8"/>
  <c r="EZ105" i="8"/>
  <c r="FC105" i="8"/>
  <c r="FD105" i="8"/>
  <c r="FE105" i="8"/>
  <c r="FH105" i="8"/>
  <c r="FI105" i="8"/>
  <c r="FJ105" i="8"/>
  <c r="FM105" i="8"/>
  <c r="FN105" i="8"/>
  <c r="FO105" i="8"/>
  <c r="FR105" i="8"/>
  <c r="FS105" i="8"/>
  <c r="FT105" i="8"/>
  <c r="FW105" i="8"/>
  <c r="FX105" i="8"/>
  <c r="FY105" i="8"/>
  <c r="GB105" i="8"/>
  <c r="GC105" i="8"/>
  <c r="GD105" i="8"/>
  <c r="GG105" i="8"/>
  <c r="GH105" i="8"/>
  <c r="GI105" i="8"/>
  <c r="GL105" i="8"/>
  <c r="GM105" i="8"/>
  <c r="GN105" i="8"/>
  <c r="GQ105" i="8"/>
  <c r="GR105" i="8"/>
  <c r="GS105" i="8"/>
  <c r="GV105" i="8"/>
  <c r="GW105" i="8"/>
  <c r="GX105" i="8"/>
  <c r="HA105" i="8"/>
  <c r="HB105" i="8"/>
  <c r="HC105" i="8"/>
  <c r="HF105" i="8"/>
  <c r="HG105" i="8"/>
  <c r="HH105" i="8"/>
  <c r="HK105" i="8"/>
  <c r="HL105" i="8"/>
  <c r="HM105" i="8"/>
  <c r="HP105" i="8"/>
  <c r="HQ105" i="8"/>
  <c r="HR105" i="8"/>
  <c r="HU105" i="8"/>
  <c r="HV105" i="8"/>
  <c r="HW105" i="8"/>
  <c r="HZ105" i="8"/>
  <c r="IA105" i="8"/>
  <c r="IB105" i="8"/>
  <c r="IE105" i="8"/>
  <c r="IF105" i="8"/>
  <c r="IG105" i="8"/>
  <c r="IJ105" i="8"/>
  <c r="IK105" i="8"/>
  <c r="IL105" i="8"/>
  <c r="IO105" i="8"/>
  <c r="IP105" i="8"/>
  <c r="DV106" i="8"/>
  <c r="DY106" i="8"/>
  <c r="DZ106" i="8"/>
  <c r="EA106" i="8"/>
  <c r="ED106" i="8"/>
  <c r="EE106" i="8"/>
  <c r="EF106" i="8"/>
  <c r="EI106" i="8"/>
  <c r="EJ106" i="8"/>
  <c r="EK106" i="8"/>
  <c r="EN106" i="8"/>
  <c r="EO106" i="8"/>
  <c r="EP106" i="8"/>
  <c r="ES106" i="8"/>
  <c r="ET106" i="8"/>
  <c r="EU106" i="8"/>
  <c r="EX106" i="8"/>
  <c r="EY106" i="8"/>
  <c r="EZ106" i="8"/>
  <c r="FC106" i="8"/>
  <c r="FD106" i="8"/>
  <c r="FE106" i="8"/>
  <c r="FH106" i="8"/>
  <c r="FI106" i="8"/>
  <c r="FJ106" i="8"/>
  <c r="FM106" i="8"/>
  <c r="FN106" i="8"/>
  <c r="FO106" i="8"/>
  <c r="FR106" i="8"/>
  <c r="FS106" i="8"/>
  <c r="FT106" i="8"/>
  <c r="FW106" i="8"/>
  <c r="FX106" i="8"/>
  <c r="FY106" i="8"/>
  <c r="GB106" i="8"/>
  <c r="GC106" i="8"/>
  <c r="GD106" i="8"/>
  <c r="GG106" i="8"/>
  <c r="GH106" i="8"/>
  <c r="GI106" i="8"/>
  <c r="GL106" i="8"/>
  <c r="GM106" i="8"/>
  <c r="GN106" i="8"/>
  <c r="GQ106" i="8"/>
  <c r="GR106" i="8"/>
  <c r="GS106" i="8"/>
  <c r="GV106" i="8"/>
  <c r="GW106" i="8"/>
  <c r="GX106" i="8"/>
  <c r="HA106" i="8"/>
  <c r="HB106" i="8"/>
  <c r="HC106" i="8"/>
  <c r="HF106" i="8"/>
  <c r="HG106" i="8"/>
  <c r="HH106" i="8"/>
  <c r="HK106" i="8"/>
  <c r="HL106" i="8"/>
  <c r="HM106" i="8"/>
  <c r="HP106" i="8"/>
  <c r="HQ106" i="8"/>
  <c r="HR106" i="8"/>
  <c r="HU106" i="8"/>
  <c r="HV106" i="8"/>
  <c r="HW106" i="8"/>
  <c r="HZ106" i="8"/>
  <c r="IA106" i="8"/>
  <c r="IB106" i="8"/>
  <c r="IE106" i="8"/>
  <c r="IF106" i="8"/>
  <c r="IG106" i="8"/>
  <c r="IJ106" i="8"/>
  <c r="IK106" i="8"/>
  <c r="IL106" i="8"/>
  <c r="IO106" i="8"/>
  <c r="IP106" i="8"/>
  <c r="DV107" i="8"/>
  <c r="DY107" i="8"/>
  <c r="DZ107" i="8"/>
  <c r="EA107" i="8"/>
  <c r="ED107" i="8"/>
  <c r="EE107" i="8"/>
  <c r="EF107" i="8"/>
  <c r="EI107" i="8"/>
  <c r="EJ107" i="8"/>
  <c r="EK107" i="8"/>
  <c r="EN107" i="8"/>
  <c r="EO107" i="8"/>
  <c r="EP107" i="8"/>
  <c r="ES107" i="8"/>
  <c r="ET107" i="8"/>
  <c r="EU107" i="8"/>
  <c r="EX107" i="8"/>
  <c r="EY107" i="8"/>
  <c r="EZ107" i="8"/>
  <c r="FC107" i="8"/>
  <c r="FD107" i="8"/>
  <c r="FE107" i="8"/>
  <c r="FH107" i="8"/>
  <c r="FI107" i="8"/>
  <c r="FJ107" i="8"/>
  <c r="FM107" i="8"/>
  <c r="FN107" i="8"/>
  <c r="FO107" i="8"/>
  <c r="FR107" i="8"/>
  <c r="FS107" i="8"/>
  <c r="FT107" i="8"/>
  <c r="FW107" i="8"/>
  <c r="FX107" i="8"/>
  <c r="FY107" i="8"/>
  <c r="GB107" i="8"/>
  <c r="GC107" i="8"/>
  <c r="GD107" i="8"/>
  <c r="GG107" i="8"/>
  <c r="GH107" i="8"/>
  <c r="GI107" i="8"/>
  <c r="GL107" i="8"/>
  <c r="GM107" i="8"/>
  <c r="GN107" i="8"/>
  <c r="GQ107" i="8"/>
  <c r="GR107" i="8"/>
  <c r="GS107" i="8"/>
  <c r="GV107" i="8"/>
  <c r="GW107" i="8"/>
  <c r="GX107" i="8"/>
  <c r="HA107" i="8"/>
  <c r="HB107" i="8"/>
  <c r="HC107" i="8"/>
  <c r="HF107" i="8"/>
  <c r="HG107" i="8"/>
  <c r="HH107" i="8"/>
  <c r="HK107" i="8"/>
  <c r="HL107" i="8"/>
  <c r="HM107" i="8"/>
  <c r="HP107" i="8"/>
  <c r="HQ107" i="8"/>
  <c r="HR107" i="8"/>
  <c r="HU107" i="8"/>
  <c r="HV107" i="8"/>
  <c r="HW107" i="8"/>
  <c r="HZ107" i="8"/>
  <c r="IA107" i="8"/>
  <c r="IB107" i="8"/>
  <c r="IE107" i="8"/>
  <c r="IF107" i="8"/>
  <c r="IG107" i="8"/>
  <c r="IJ107" i="8"/>
  <c r="IK107" i="8"/>
  <c r="IL107" i="8"/>
  <c r="IO107" i="8"/>
  <c r="IP107" i="8"/>
  <c r="DV108" i="8"/>
  <c r="DY108" i="8"/>
  <c r="DZ108" i="8"/>
  <c r="EA108" i="8"/>
  <c r="ED108" i="8"/>
  <c r="EE108" i="8"/>
  <c r="EF108" i="8"/>
  <c r="EI108" i="8"/>
  <c r="EJ108" i="8"/>
  <c r="EK108" i="8"/>
  <c r="EN108" i="8"/>
  <c r="EO108" i="8"/>
  <c r="EP108" i="8"/>
  <c r="ES108" i="8"/>
  <c r="ET108" i="8"/>
  <c r="EU108" i="8"/>
  <c r="EX108" i="8"/>
  <c r="EY108" i="8"/>
  <c r="EZ108" i="8"/>
  <c r="FC108" i="8"/>
  <c r="FD108" i="8"/>
  <c r="FE108" i="8"/>
  <c r="FH108" i="8"/>
  <c r="FI108" i="8"/>
  <c r="FJ108" i="8"/>
  <c r="FM108" i="8"/>
  <c r="FN108" i="8"/>
  <c r="FO108" i="8"/>
  <c r="FR108" i="8"/>
  <c r="FS108" i="8"/>
  <c r="FT108" i="8"/>
  <c r="FW108" i="8"/>
  <c r="FX108" i="8"/>
  <c r="FY108" i="8"/>
  <c r="GB108" i="8"/>
  <c r="GC108" i="8"/>
  <c r="GD108" i="8"/>
  <c r="GG108" i="8"/>
  <c r="GH108" i="8"/>
  <c r="GI108" i="8"/>
  <c r="GL108" i="8"/>
  <c r="GM108" i="8"/>
  <c r="GN108" i="8"/>
  <c r="GQ108" i="8"/>
  <c r="GR108" i="8"/>
  <c r="GS108" i="8"/>
  <c r="GV108" i="8"/>
  <c r="GW108" i="8"/>
  <c r="GX108" i="8"/>
  <c r="HA108" i="8"/>
  <c r="HB108" i="8"/>
  <c r="HC108" i="8"/>
  <c r="HF108" i="8"/>
  <c r="HG108" i="8"/>
  <c r="HH108" i="8"/>
  <c r="HK108" i="8"/>
  <c r="HL108" i="8"/>
  <c r="HM108" i="8"/>
  <c r="HP108" i="8"/>
  <c r="HQ108" i="8"/>
  <c r="HR108" i="8"/>
  <c r="HU108" i="8"/>
  <c r="HV108" i="8"/>
  <c r="HW108" i="8"/>
  <c r="HZ108" i="8"/>
  <c r="IA108" i="8"/>
  <c r="IB108" i="8"/>
  <c r="IE108" i="8"/>
  <c r="IF108" i="8"/>
  <c r="IG108" i="8"/>
  <c r="IJ108" i="8"/>
  <c r="IK108" i="8"/>
  <c r="IL108" i="8"/>
  <c r="IO108" i="8"/>
  <c r="IP108" i="8"/>
  <c r="DV109" i="8"/>
  <c r="DW109" i="8"/>
  <c r="DX109" i="8"/>
  <c r="DY109" i="8"/>
  <c r="DZ109" i="8"/>
  <c r="EA109" i="8"/>
  <c r="EB109" i="8"/>
  <c r="EC109" i="8"/>
  <c r="ED109" i="8"/>
  <c r="EE109" i="8"/>
  <c r="EF109" i="8"/>
  <c r="EG109" i="8"/>
  <c r="EH109" i="8"/>
  <c r="EI109" i="8"/>
  <c r="EJ109" i="8"/>
  <c r="EK109" i="8"/>
  <c r="EL109" i="8"/>
  <c r="EM109" i="8"/>
  <c r="EN109" i="8"/>
  <c r="EO109" i="8"/>
  <c r="EP109" i="8"/>
  <c r="EQ109" i="8"/>
  <c r="ER109" i="8"/>
  <c r="ES109" i="8"/>
  <c r="ET109" i="8"/>
  <c r="EU109" i="8"/>
  <c r="EV109" i="8"/>
  <c r="EW109" i="8"/>
  <c r="EX109" i="8"/>
  <c r="EY109" i="8"/>
  <c r="EZ109" i="8"/>
  <c r="FA109" i="8"/>
  <c r="FB109" i="8"/>
  <c r="FC109" i="8"/>
  <c r="FD109" i="8"/>
  <c r="FE109" i="8"/>
  <c r="FF109" i="8"/>
  <c r="FG109" i="8"/>
  <c r="FH109" i="8"/>
  <c r="FI109" i="8"/>
  <c r="FJ109" i="8"/>
  <c r="FK109" i="8"/>
  <c r="FL109" i="8"/>
  <c r="FM109" i="8"/>
  <c r="FN109" i="8"/>
  <c r="FO109" i="8"/>
  <c r="FP109" i="8"/>
  <c r="FQ109" i="8"/>
  <c r="FR109" i="8"/>
  <c r="FS109" i="8"/>
  <c r="FT109" i="8"/>
  <c r="FU109" i="8"/>
  <c r="FV109" i="8"/>
  <c r="FW109" i="8"/>
  <c r="FX109" i="8"/>
  <c r="FY109" i="8"/>
  <c r="FZ109" i="8"/>
  <c r="GA109" i="8"/>
  <c r="GB109" i="8"/>
  <c r="GC109" i="8"/>
  <c r="GD109" i="8"/>
  <c r="GE109" i="8"/>
  <c r="GF109" i="8"/>
  <c r="GG109" i="8"/>
  <c r="GH109" i="8"/>
  <c r="GI109" i="8"/>
  <c r="GJ109" i="8"/>
  <c r="GK109" i="8"/>
  <c r="GL109" i="8"/>
  <c r="GM109" i="8"/>
  <c r="GN109" i="8"/>
  <c r="GO109" i="8"/>
  <c r="GP109" i="8"/>
  <c r="GQ109" i="8"/>
  <c r="GR109" i="8"/>
  <c r="GS109" i="8"/>
  <c r="GT109" i="8"/>
  <c r="GU109" i="8"/>
  <c r="GV109" i="8"/>
  <c r="GW109" i="8"/>
  <c r="GX109" i="8"/>
  <c r="GY109" i="8"/>
  <c r="GZ109" i="8"/>
  <c r="HA109" i="8"/>
  <c r="HB109" i="8"/>
  <c r="HC109" i="8"/>
  <c r="HD109" i="8"/>
  <c r="HE109" i="8"/>
  <c r="HF109" i="8"/>
  <c r="HG109" i="8"/>
  <c r="HH109" i="8"/>
  <c r="HI109" i="8"/>
  <c r="HJ109" i="8"/>
  <c r="HK109" i="8"/>
  <c r="HL109" i="8"/>
  <c r="HM109" i="8"/>
  <c r="HN109" i="8"/>
  <c r="HO109" i="8"/>
  <c r="HP109" i="8"/>
  <c r="HQ109" i="8"/>
  <c r="HR109" i="8"/>
  <c r="HS109" i="8"/>
  <c r="HT109" i="8"/>
  <c r="HU109" i="8"/>
  <c r="HV109" i="8"/>
  <c r="HW109" i="8"/>
  <c r="HX109" i="8"/>
  <c r="HY109" i="8"/>
  <c r="HZ109" i="8"/>
  <c r="IA109" i="8"/>
  <c r="IB109" i="8"/>
  <c r="IC109" i="8"/>
  <c r="ID109" i="8"/>
  <c r="IE109" i="8"/>
  <c r="IF109" i="8"/>
  <c r="IG109" i="8"/>
  <c r="IH109" i="8"/>
  <c r="II109" i="8"/>
  <c r="IJ109" i="8"/>
  <c r="IK109" i="8"/>
  <c r="IL109" i="8"/>
  <c r="IM109" i="8"/>
  <c r="IN109" i="8"/>
  <c r="IO109" i="8"/>
  <c r="IP109" i="8"/>
  <c r="DV110" i="8"/>
  <c r="DW110" i="8"/>
  <c r="DX110" i="8"/>
  <c r="DY110" i="8"/>
  <c r="DZ110" i="8"/>
  <c r="EA110" i="8"/>
  <c r="EB110" i="8"/>
  <c r="EC110" i="8"/>
  <c r="ED110" i="8"/>
  <c r="EE110" i="8"/>
  <c r="EF110" i="8"/>
  <c r="EG110" i="8"/>
  <c r="EH110" i="8"/>
  <c r="EI110" i="8"/>
  <c r="EJ110" i="8"/>
  <c r="EK110" i="8"/>
  <c r="EL110" i="8"/>
  <c r="EM110" i="8"/>
  <c r="EN110" i="8"/>
  <c r="EO110" i="8"/>
  <c r="EP110" i="8"/>
  <c r="EQ110" i="8"/>
  <c r="ER110" i="8"/>
  <c r="ES110" i="8"/>
  <c r="ET110" i="8"/>
  <c r="EU110" i="8"/>
  <c r="EV110" i="8"/>
  <c r="EW110" i="8"/>
  <c r="EX110" i="8"/>
  <c r="EY110" i="8"/>
  <c r="EZ110" i="8"/>
  <c r="FA110" i="8"/>
  <c r="FB110" i="8"/>
  <c r="FC110" i="8"/>
  <c r="FD110" i="8"/>
  <c r="FE110" i="8"/>
  <c r="FF110" i="8"/>
  <c r="FG110" i="8"/>
  <c r="FH110" i="8"/>
  <c r="FI110" i="8"/>
  <c r="FJ110" i="8"/>
  <c r="FK110" i="8"/>
  <c r="FL110" i="8"/>
  <c r="FM110" i="8"/>
  <c r="FN110" i="8"/>
  <c r="FO110" i="8"/>
  <c r="FP110" i="8"/>
  <c r="FQ110" i="8"/>
  <c r="FR110" i="8"/>
  <c r="FS110" i="8"/>
  <c r="FT110" i="8"/>
  <c r="FU110" i="8"/>
  <c r="FV110" i="8"/>
  <c r="FW110" i="8"/>
  <c r="FX110" i="8"/>
  <c r="FY110" i="8"/>
  <c r="FZ110" i="8"/>
  <c r="GA110" i="8"/>
  <c r="GB110" i="8"/>
  <c r="GC110" i="8"/>
  <c r="GD110" i="8"/>
  <c r="GE110" i="8"/>
  <c r="GF110" i="8"/>
  <c r="GG110" i="8"/>
  <c r="GH110" i="8"/>
  <c r="GI110" i="8"/>
  <c r="GJ110" i="8"/>
  <c r="GK110" i="8"/>
  <c r="GL110" i="8"/>
  <c r="GM110" i="8"/>
  <c r="GN110" i="8"/>
  <c r="GO110" i="8"/>
  <c r="GP110" i="8"/>
  <c r="GQ110" i="8"/>
  <c r="GR110" i="8"/>
  <c r="GS110" i="8"/>
  <c r="GT110" i="8"/>
  <c r="GU110" i="8"/>
  <c r="GV110" i="8"/>
  <c r="GW110" i="8"/>
  <c r="GX110" i="8"/>
  <c r="GY110" i="8"/>
  <c r="GZ110" i="8"/>
  <c r="HA110" i="8"/>
  <c r="HB110" i="8"/>
  <c r="HC110" i="8"/>
  <c r="HD110" i="8"/>
  <c r="HE110" i="8"/>
  <c r="HF110" i="8"/>
  <c r="HG110" i="8"/>
  <c r="HH110" i="8"/>
  <c r="HI110" i="8"/>
  <c r="HJ110" i="8"/>
  <c r="HK110" i="8"/>
  <c r="HL110" i="8"/>
  <c r="HM110" i="8"/>
  <c r="HN110" i="8"/>
  <c r="HO110" i="8"/>
  <c r="HP110" i="8"/>
  <c r="HQ110" i="8"/>
  <c r="HR110" i="8"/>
  <c r="HS110" i="8"/>
  <c r="HT110" i="8"/>
  <c r="HU110" i="8"/>
  <c r="HV110" i="8"/>
  <c r="HW110" i="8"/>
  <c r="HX110" i="8"/>
  <c r="HY110" i="8"/>
  <c r="HZ110" i="8"/>
  <c r="IA110" i="8"/>
  <c r="IB110" i="8"/>
  <c r="IC110" i="8"/>
  <c r="ID110" i="8"/>
  <c r="IE110" i="8"/>
  <c r="IF110" i="8"/>
  <c r="IG110" i="8"/>
  <c r="IH110" i="8"/>
  <c r="II110" i="8"/>
  <c r="IJ110" i="8"/>
  <c r="IK110" i="8"/>
  <c r="IL110" i="8"/>
  <c r="IM110" i="8"/>
  <c r="IN110" i="8"/>
  <c r="IO110" i="8"/>
  <c r="IP110" i="8"/>
  <c r="DV111" i="8"/>
  <c r="DW111" i="8"/>
  <c r="DX111" i="8"/>
  <c r="DY111" i="8"/>
  <c r="DZ111" i="8"/>
  <c r="EA111" i="8"/>
  <c r="EB111" i="8"/>
  <c r="EC111" i="8"/>
  <c r="ED111" i="8"/>
  <c r="EE111" i="8"/>
  <c r="EF111" i="8"/>
  <c r="EG111" i="8"/>
  <c r="EH111" i="8"/>
  <c r="EI111" i="8"/>
  <c r="EJ111" i="8"/>
  <c r="EK111" i="8"/>
  <c r="EL111" i="8"/>
  <c r="EM111" i="8"/>
  <c r="EN111" i="8"/>
  <c r="EO111" i="8"/>
  <c r="EP111" i="8"/>
  <c r="EQ111" i="8"/>
  <c r="ER111" i="8"/>
  <c r="ES111" i="8"/>
  <c r="ET111" i="8"/>
  <c r="EU111" i="8"/>
  <c r="EV111" i="8"/>
  <c r="EW111" i="8"/>
  <c r="EX111" i="8"/>
  <c r="EY111" i="8"/>
  <c r="EZ111" i="8"/>
  <c r="FA111" i="8"/>
  <c r="FB111" i="8"/>
  <c r="FC111" i="8"/>
  <c r="FD111" i="8"/>
  <c r="FE111" i="8"/>
  <c r="FF111" i="8"/>
  <c r="FG111" i="8"/>
  <c r="FH111" i="8"/>
  <c r="FI111" i="8"/>
  <c r="FJ111" i="8"/>
  <c r="FK111" i="8"/>
  <c r="FL111" i="8"/>
  <c r="FM111" i="8"/>
  <c r="FN111" i="8"/>
  <c r="FO111" i="8"/>
  <c r="FP111" i="8"/>
  <c r="FQ111" i="8"/>
  <c r="FR111" i="8"/>
  <c r="FS111" i="8"/>
  <c r="FT111" i="8"/>
  <c r="FU111" i="8"/>
  <c r="FV111" i="8"/>
  <c r="FW111" i="8"/>
  <c r="FX111" i="8"/>
  <c r="FY111" i="8"/>
  <c r="FZ111" i="8"/>
  <c r="GA111" i="8"/>
  <c r="GB111" i="8"/>
  <c r="GC111" i="8"/>
  <c r="GD111" i="8"/>
  <c r="GE111" i="8"/>
  <c r="GF111" i="8"/>
  <c r="GG111" i="8"/>
  <c r="GH111" i="8"/>
  <c r="GI111" i="8"/>
  <c r="GJ111" i="8"/>
  <c r="GK111" i="8"/>
  <c r="GL111" i="8"/>
  <c r="GM111" i="8"/>
  <c r="GN111" i="8"/>
  <c r="GO111" i="8"/>
  <c r="GP111" i="8"/>
  <c r="GQ111" i="8"/>
  <c r="GR111" i="8"/>
  <c r="GS111" i="8"/>
  <c r="GT111" i="8"/>
  <c r="GU111" i="8"/>
  <c r="GV111" i="8"/>
  <c r="GW111" i="8"/>
  <c r="GX111" i="8"/>
  <c r="GY111" i="8"/>
  <c r="GZ111" i="8"/>
  <c r="HA111" i="8"/>
  <c r="HB111" i="8"/>
  <c r="HC111" i="8"/>
  <c r="HD111" i="8"/>
  <c r="HE111" i="8"/>
  <c r="HF111" i="8"/>
  <c r="HG111" i="8"/>
  <c r="HH111" i="8"/>
  <c r="HI111" i="8"/>
  <c r="HJ111" i="8"/>
  <c r="HK111" i="8"/>
  <c r="HL111" i="8"/>
  <c r="HM111" i="8"/>
  <c r="HN111" i="8"/>
  <c r="HO111" i="8"/>
  <c r="HP111" i="8"/>
  <c r="HQ111" i="8"/>
  <c r="HR111" i="8"/>
  <c r="HS111" i="8"/>
  <c r="HT111" i="8"/>
  <c r="HU111" i="8"/>
  <c r="HV111" i="8"/>
  <c r="HW111" i="8"/>
  <c r="HX111" i="8"/>
  <c r="HY111" i="8"/>
  <c r="HZ111" i="8"/>
  <c r="IA111" i="8"/>
  <c r="IB111" i="8"/>
  <c r="IC111" i="8"/>
  <c r="ID111" i="8"/>
  <c r="IE111" i="8"/>
  <c r="IF111" i="8"/>
  <c r="IG111" i="8"/>
  <c r="IH111" i="8"/>
  <c r="II111" i="8"/>
  <c r="IJ111" i="8"/>
  <c r="IK111" i="8"/>
  <c r="IL111" i="8"/>
  <c r="IM111" i="8"/>
  <c r="IN111" i="8"/>
  <c r="IO111" i="8"/>
  <c r="IP111" i="8"/>
  <c r="DV112" i="8"/>
  <c r="DW112" i="8"/>
  <c r="DX112" i="8"/>
  <c r="DY112" i="8"/>
  <c r="DZ112" i="8"/>
  <c r="EA112" i="8"/>
  <c r="EB112" i="8"/>
  <c r="EC112" i="8"/>
  <c r="ED112" i="8"/>
  <c r="EE112" i="8"/>
  <c r="EF112" i="8"/>
  <c r="EG112" i="8"/>
  <c r="EH112" i="8"/>
  <c r="EI112" i="8"/>
  <c r="EJ112" i="8"/>
  <c r="EK112" i="8"/>
  <c r="EL112" i="8"/>
  <c r="EM112" i="8"/>
  <c r="EN112" i="8"/>
  <c r="EO112" i="8"/>
  <c r="EP112" i="8"/>
  <c r="EQ112" i="8"/>
  <c r="ER112" i="8"/>
  <c r="ES112" i="8"/>
  <c r="ET112" i="8"/>
  <c r="EU112" i="8"/>
  <c r="EV112" i="8"/>
  <c r="EW112" i="8"/>
  <c r="EX112" i="8"/>
  <c r="EY112" i="8"/>
  <c r="EZ112" i="8"/>
  <c r="FA112" i="8"/>
  <c r="FB112" i="8"/>
  <c r="FC112" i="8"/>
  <c r="FD112" i="8"/>
  <c r="FE112" i="8"/>
  <c r="FF112" i="8"/>
  <c r="FG112" i="8"/>
  <c r="FH112" i="8"/>
  <c r="FI112" i="8"/>
  <c r="FJ112" i="8"/>
  <c r="FK112" i="8"/>
  <c r="FL112" i="8"/>
  <c r="FM112" i="8"/>
  <c r="FN112" i="8"/>
  <c r="FO112" i="8"/>
  <c r="FP112" i="8"/>
  <c r="FQ112" i="8"/>
  <c r="FR112" i="8"/>
  <c r="FS112" i="8"/>
  <c r="FT112" i="8"/>
  <c r="FU112" i="8"/>
  <c r="FV112" i="8"/>
  <c r="FW112" i="8"/>
  <c r="FX112" i="8"/>
  <c r="FY112" i="8"/>
  <c r="FZ112" i="8"/>
  <c r="GA112" i="8"/>
  <c r="GB112" i="8"/>
  <c r="GC112" i="8"/>
  <c r="GD112" i="8"/>
  <c r="GE112" i="8"/>
  <c r="GF112" i="8"/>
  <c r="GG112" i="8"/>
  <c r="GH112" i="8"/>
  <c r="GI112" i="8"/>
  <c r="GJ112" i="8"/>
  <c r="GK112" i="8"/>
  <c r="GL112" i="8"/>
  <c r="GM112" i="8"/>
  <c r="GN112" i="8"/>
  <c r="GO112" i="8"/>
  <c r="GP112" i="8"/>
  <c r="GQ112" i="8"/>
  <c r="GR112" i="8"/>
  <c r="GS112" i="8"/>
  <c r="GT112" i="8"/>
  <c r="GU112" i="8"/>
  <c r="GV112" i="8"/>
  <c r="GW112" i="8"/>
  <c r="GX112" i="8"/>
  <c r="GY112" i="8"/>
  <c r="GZ112" i="8"/>
  <c r="HA112" i="8"/>
  <c r="HB112" i="8"/>
  <c r="HC112" i="8"/>
  <c r="HD112" i="8"/>
  <c r="HE112" i="8"/>
  <c r="HF112" i="8"/>
  <c r="HG112" i="8"/>
  <c r="HH112" i="8"/>
  <c r="HI112" i="8"/>
  <c r="HJ112" i="8"/>
  <c r="HK112" i="8"/>
  <c r="HL112" i="8"/>
  <c r="HM112" i="8"/>
  <c r="HN112" i="8"/>
  <c r="HO112" i="8"/>
  <c r="HP112" i="8"/>
  <c r="HQ112" i="8"/>
  <c r="HR112" i="8"/>
  <c r="HS112" i="8"/>
  <c r="HT112" i="8"/>
  <c r="HU112" i="8"/>
  <c r="HV112" i="8"/>
  <c r="HW112" i="8"/>
  <c r="HX112" i="8"/>
  <c r="HY112" i="8"/>
  <c r="HZ112" i="8"/>
  <c r="IA112" i="8"/>
  <c r="IB112" i="8"/>
  <c r="IC112" i="8"/>
  <c r="ID112" i="8"/>
  <c r="IE112" i="8"/>
  <c r="IF112" i="8"/>
  <c r="IG112" i="8"/>
  <c r="IH112" i="8"/>
  <c r="II112" i="8"/>
  <c r="IJ112" i="8"/>
  <c r="IK112" i="8"/>
  <c r="IL112" i="8"/>
  <c r="IM112" i="8"/>
  <c r="IN112" i="8"/>
  <c r="IO112" i="8"/>
  <c r="IP112" i="8"/>
  <c r="DV113" i="8"/>
  <c r="DW113" i="8"/>
  <c r="DX113" i="8"/>
  <c r="DY113" i="8"/>
  <c r="DZ113" i="8"/>
  <c r="EA113" i="8"/>
  <c r="EB113" i="8"/>
  <c r="EC113" i="8"/>
  <c r="ED113" i="8"/>
  <c r="EE113" i="8"/>
  <c r="EF113" i="8"/>
  <c r="EG113" i="8"/>
  <c r="EH113" i="8"/>
  <c r="EI113" i="8"/>
  <c r="EJ113" i="8"/>
  <c r="EK113" i="8"/>
  <c r="EL113" i="8"/>
  <c r="EM113" i="8"/>
  <c r="EN113" i="8"/>
  <c r="EO113" i="8"/>
  <c r="EP113" i="8"/>
  <c r="EQ113" i="8"/>
  <c r="ER113" i="8"/>
  <c r="ES113" i="8"/>
  <c r="ET113" i="8"/>
  <c r="EU113" i="8"/>
  <c r="EV113" i="8"/>
  <c r="EW113" i="8"/>
  <c r="EX113" i="8"/>
  <c r="EY113" i="8"/>
  <c r="EZ113" i="8"/>
  <c r="FA113" i="8"/>
  <c r="FB113" i="8"/>
  <c r="FC113" i="8"/>
  <c r="FD113" i="8"/>
  <c r="FE113" i="8"/>
  <c r="FF113" i="8"/>
  <c r="FG113" i="8"/>
  <c r="FH113" i="8"/>
  <c r="FI113" i="8"/>
  <c r="FJ113" i="8"/>
  <c r="FK113" i="8"/>
  <c r="FL113" i="8"/>
  <c r="FM113" i="8"/>
  <c r="FN113" i="8"/>
  <c r="FO113" i="8"/>
  <c r="FP113" i="8"/>
  <c r="FQ113" i="8"/>
  <c r="FR113" i="8"/>
  <c r="FS113" i="8"/>
  <c r="FT113" i="8"/>
  <c r="FU113" i="8"/>
  <c r="FV113" i="8"/>
  <c r="FW113" i="8"/>
  <c r="FX113" i="8"/>
  <c r="FY113" i="8"/>
  <c r="FZ113" i="8"/>
  <c r="GA113" i="8"/>
  <c r="GB113" i="8"/>
  <c r="GC113" i="8"/>
  <c r="GD113" i="8"/>
  <c r="GE113" i="8"/>
  <c r="GF113" i="8"/>
  <c r="GG113" i="8"/>
  <c r="GH113" i="8"/>
  <c r="GI113" i="8"/>
  <c r="GJ113" i="8"/>
  <c r="GK113" i="8"/>
  <c r="GL113" i="8"/>
  <c r="GM113" i="8"/>
  <c r="GN113" i="8"/>
  <c r="GO113" i="8"/>
  <c r="GP113" i="8"/>
  <c r="GQ113" i="8"/>
  <c r="GR113" i="8"/>
  <c r="GS113" i="8"/>
  <c r="GT113" i="8"/>
  <c r="GU113" i="8"/>
  <c r="GV113" i="8"/>
  <c r="GW113" i="8"/>
  <c r="GX113" i="8"/>
  <c r="GY113" i="8"/>
  <c r="GZ113" i="8"/>
  <c r="HA113" i="8"/>
  <c r="HB113" i="8"/>
  <c r="HC113" i="8"/>
  <c r="HD113" i="8"/>
  <c r="HE113" i="8"/>
  <c r="HF113" i="8"/>
  <c r="HG113" i="8"/>
  <c r="HH113" i="8"/>
  <c r="HI113" i="8"/>
  <c r="HJ113" i="8"/>
  <c r="HK113" i="8"/>
  <c r="HL113" i="8"/>
  <c r="HM113" i="8"/>
  <c r="HN113" i="8"/>
  <c r="HO113" i="8"/>
  <c r="HP113" i="8"/>
  <c r="HQ113" i="8"/>
  <c r="HR113" i="8"/>
  <c r="HS113" i="8"/>
  <c r="HT113" i="8"/>
  <c r="HU113" i="8"/>
  <c r="HV113" i="8"/>
  <c r="HW113" i="8"/>
  <c r="HX113" i="8"/>
  <c r="HY113" i="8"/>
  <c r="HZ113" i="8"/>
  <c r="IA113" i="8"/>
  <c r="IB113" i="8"/>
  <c r="IC113" i="8"/>
  <c r="ID113" i="8"/>
  <c r="IE113" i="8"/>
  <c r="IF113" i="8"/>
  <c r="IG113" i="8"/>
  <c r="IH113" i="8"/>
  <c r="II113" i="8"/>
  <c r="IJ113" i="8"/>
  <c r="IK113" i="8"/>
  <c r="IL113" i="8"/>
  <c r="IM113" i="8"/>
  <c r="IN113" i="8"/>
  <c r="IO113" i="8"/>
  <c r="IP113" i="8"/>
  <c r="DV114" i="8"/>
  <c r="DW114" i="8"/>
  <c r="DX114" i="8"/>
  <c r="DY114" i="8"/>
  <c r="DZ114" i="8"/>
  <c r="EA114" i="8"/>
  <c r="EB114" i="8"/>
  <c r="EC114" i="8"/>
  <c r="ED114" i="8"/>
  <c r="EE114" i="8"/>
  <c r="EF114" i="8"/>
  <c r="EG114" i="8"/>
  <c r="EH114" i="8"/>
  <c r="EI114" i="8"/>
  <c r="EJ114" i="8"/>
  <c r="EK114" i="8"/>
  <c r="EL114" i="8"/>
  <c r="EM114" i="8"/>
  <c r="EN114" i="8"/>
  <c r="EO114" i="8"/>
  <c r="EP114" i="8"/>
  <c r="EQ114" i="8"/>
  <c r="ER114" i="8"/>
  <c r="ES114" i="8"/>
  <c r="ET114" i="8"/>
  <c r="EU114" i="8"/>
  <c r="EV114" i="8"/>
  <c r="EW114" i="8"/>
  <c r="EX114" i="8"/>
  <c r="EY114" i="8"/>
  <c r="EZ114" i="8"/>
  <c r="FA114" i="8"/>
  <c r="FB114" i="8"/>
  <c r="FC114" i="8"/>
  <c r="FD114" i="8"/>
  <c r="FE114" i="8"/>
  <c r="FF114" i="8"/>
  <c r="FG114" i="8"/>
  <c r="FH114" i="8"/>
  <c r="FI114" i="8"/>
  <c r="FJ114" i="8"/>
  <c r="FK114" i="8"/>
  <c r="FL114" i="8"/>
  <c r="FM114" i="8"/>
  <c r="FN114" i="8"/>
  <c r="FO114" i="8"/>
  <c r="FP114" i="8"/>
  <c r="FQ114" i="8"/>
  <c r="FR114" i="8"/>
  <c r="FS114" i="8"/>
  <c r="FT114" i="8"/>
  <c r="FU114" i="8"/>
  <c r="FV114" i="8"/>
  <c r="FW114" i="8"/>
  <c r="FX114" i="8"/>
  <c r="FY114" i="8"/>
  <c r="FZ114" i="8"/>
  <c r="GA114" i="8"/>
  <c r="GB114" i="8"/>
  <c r="GC114" i="8"/>
  <c r="GD114" i="8"/>
  <c r="GE114" i="8"/>
  <c r="GF114" i="8"/>
  <c r="GG114" i="8"/>
  <c r="GH114" i="8"/>
  <c r="GI114" i="8"/>
  <c r="GJ114" i="8"/>
  <c r="GK114" i="8"/>
  <c r="GL114" i="8"/>
  <c r="GM114" i="8"/>
  <c r="GN114" i="8"/>
  <c r="GO114" i="8"/>
  <c r="GP114" i="8"/>
  <c r="GQ114" i="8"/>
  <c r="GR114" i="8"/>
  <c r="GS114" i="8"/>
  <c r="GT114" i="8"/>
  <c r="GU114" i="8"/>
  <c r="GV114" i="8"/>
  <c r="GW114" i="8"/>
  <c r="GX114" i="8"/>
  <c r="GY114" i="8"/>
  <c r="GZ114" i="8"/>
  <c r="HA114" i="8"/>
  <c r="HB114" i="8"/>
  <c r="HC114" i="8"/>
  <c r="HD114" i="8"/>
  <c r="HE114" i="8"/>
  <c r="HF114" i="8"/>
  <c r="HG114" i="8"/>
  <c r="HH114" i="8"/>
  <c r="HI114" i="8"/>
  <c r="HJ114" i="8"/>
  <c r="HK114" i="8"/>
  <c r="HL114" i="8"/>
  <c r="HM114" i="8"/>
  <c r="HN114" i="8"/>
  <c r="HO114" i="8"/>
  <c r="HP114" i="8"/>
  <c r="HQ114" i="8"/>
  <c r="HR114" i="8"/>
  <c r="HS114" i="8"/>
  <c r="HT114" i="8"/>
  <c r="HU114" i="8"/>
  <c r="HV114" i="8"/>
  <c r="HW114" i="8"/>
  <c r="HX114" i="8"/>
  <c r="HY114" i="8"/>
  <c r="HZ114" i="8"/>
  <c r="IA114" i="8"/>
  <c r="IB114" i="8"/>
  <c r="IC114" i="8"/>
  <c r="ID114" i="8"/>
  <c r="IE114" i="8"/>
  <c r="IF114" i="8"/>
  <c r="IG114" i="8"/>
  <c r="IH114" i="8"/>
  <c r="II114" i="8"/>
  <c r="IJ114" i="8"/>
  <c r="IK114" i="8"/>
  <c r="IL114" i="8"/>
  <c r="IM114" i="8"/>
  <c r="IN114" i="8"/>
  <c r="IO114" i="8"/>
  <c r="IP114" i="8"/>
  <c r="DV115" i="8"/>
  <c r="DW115" i="8"/>
  <c r="DX115" i="8"/>
  <c r="DY115" i="8"/>
  <c r="DZ115" i="8"/>
  <c r="EA115" i="8"/>
  <c r="EB115" i="8"/>
  <c r="EC115" i="8"/>
  <c r="ED115" i="8"/>
  <c r="EE115" i="8"/>
  <c r="EF115" i="8"/>
  <c r="EG115" i="8"/>
  <c r="EH115" i="8"/>
  <c r="EI115" i="8"/>
  <c r="EJ115" i="8"/>
  <c r="EK115" i="8"/>
  <c r="EL115" i="8"/>
  <c r="EM115" i="8"/>
  <c r="EN115" i="8"/>
  <c r="EO115" i="8"/>
  <c r="EP115" i="8"/>
  <c r="EQ115" i="8"/>
  <c r="ER115" i="8"/>
  <c r="ES115" i="8"/>
  <c r="ET115" i="8"/>
  <c r="EU115" i="8"/>
  <c r="EV115" i="8"/>
  <c r="EW115" i="8"/>
  <c r="EX115" i="8"/>
  <c r="EY115" i="8"/>
  <c r="EZ115" i="8"/>
  <c r="FA115" i="8"/>
  <c r="FB115" i="8"/>
  <c r="FC115" i="8"/>
  <c r="FD115" i="8"/>
  <c r="FE115" i="8"/>
  <c r="FF115" i="8"/>
  <c r="FG115" i="8"/>
  <c r="FH115" i="8"/>
  <c r="FI115" i="8"/>
  <c r="FJ115" i="8"/>
  <c r="FK115" i="8"/>
  <c r="FL115" i="8"/>
  <c r="FM115" i="8"/>
  <c r="FN115" i="8"/>
  <c r="FO115" i="8"/>
  <c r="FP115" i="8"/>
  <c r="FQ115" i="8"/>
  <c r="FR115" i="8"/>
  <c r="FS115" i="8"/>
  <c r="FT115" i="8"/>
  <c r="FU115" i="8"/>
  <c r="FV115" i="8"/>
  <c r="FW115" i="8"/>
  <c r="FX115" i="8"/>
  <c r="FY115" i="8"/>
  <c r="FZ115" i="8"/>
  <c r="GA115" i="8"/>
  <c r="GB115" i="8"/>
  <c r="GC115" i="8"/>
  <c r="GD115" i="8"/>
  <c r="GE115" i="8"/>
  <c r="GF115" i="8"/>
  <c r="GG115" i="8"/>
  <c r="GH115" i="8"/>
  <c r="GI115" i="8"/>
  <c r="GJ115" i="8"/>
  <c r="GK115" i="8"/>
  <c r="GL115" i="8"/>
  <c r="GM115" i="8"/>
  <c r="GN115" i="8"/>
  <c r="GO115" i="8"/>
  <c r="GP115" i="8"/>
  <c r="GQ115" i="8"/>
  <c r="GR115" i="8"/>
  <c r="GS115" i="8"/>
  <c r="GT115" i="8"/>
  <c r="GU115" i="8"/>
  <c r="GV115" i="8"/>
  <c r="GW115" i="8"/>
  <c r="GX115" i="8"/>
  <c r="GY115" i="8"/>
  <c r="GZ115" i="8"/>
  <c r="HA115" i="8"/>
  <c r="HB115" i="8"/>
  <c r="HC115" i="8"/>
  <c r="HD115" i="8"/>
  <c r="HE115" i="8"/>
  <c r="HF115" i="8"/>
  <c r="HG115" i="8"/>
  <c r="HH115" i="8"/>
  <c r="HI115" i="8"/>
  <c r="HJ115" i="8"/>
  <c r="HK115" i="8"/>
  <c r="HL115" i="8"/>
  <c r="HM115" i="8"/>
  <c r="HN115" i="8"/>
  <c r="HO115" i="8"/>
  <c r="HP115" i="8"/>
  <c r="HQ115" i="8"/>
  <c r="HR115" i="8"/>
  <c r="HS115" i="8"/>
  <c r="HT115" i="8"/>
  <c r="HU115" i="8"/>
  <c r="HV115" i="8"/>
  <c r="HW115" i="8"/>
  <c r="HX115" i="8"/>
  <c r="HY115" i="8"/>
  <c r="HZ115" i="8"/>
  <c r="IA115" i="8"/>
  <c r="IB115" i="8"/>
  <c r="IC115" i="8"/>
  <c r="ID115" i="8"/>
  <c r="IE115" i="8"/>
  <c r="IF115" i="8"/>
  <c r="IG115" i="8"/>
  <c r="IH115" i="8"/>
  <c r="II115" i="8"/>
  <c r="IJ115" i="8"/>
  <c r="IK115" i="8"/>
  <c r="IL115" i="8"/>
  <c r="IM115" i="8"/>
  <c r="IN115" i="8"/>
  <c r="IO115" i="8"/>
  <c r="IP115" i="8"/>
  <c r="DV116" i="8"/>
  <c r="DW116" i="8"/>
  <c r="DX116" i="8"/>
  <c r="DY116" i="8"/>
  <c r="DZ116" i="8"/>
  <c r="EA116" i="8"/>
  <c r="EB116" i="8"/>
  <c r="EC116" i="8"/>
  <c r="ED116" i="8"/>
  <c r="EE116" i="8"/>
  <c r="EF116" i="8"/>
  <c r="EG116" i="8"/>
  <c r="EH116" i="8"/>
  <c r="EI116" i="8"/>
  <c r="EJ116" i="8"/>
  <c r="EK116" i="8"/>
  <c r="EL116" i="8"/>
  <c r="EM116" i="8"/>
  <c r="EN116" i="8"/>
  <c r="EO116" i="8"/>
  <c r="EP116" i="8"/>
  <c r="EQ116" i="8"/>
  <c r="ER116" i="8"/>
  <c r="ES116" i="8"/>
  <c r="ET116" i="8"/>
  <c r="EU116" i="8"/>
  <c r="EV116" i="8"/>
  <c r="EW116" i="8"/>
  <c r="EX116" i="8"/>
  <c r="EY116" i="8"/>
  <c r="EZ116" i="8"/>
  <c r="FA116" i="8"/>
  <c r="FB116" i="8"/>
  <c r="FC116" i="8"/>
  <c r="FD116" i="8"/>
  <c r="FE116" i="8"/>
  <c r="FF116" i="8"/>
  <c r="FG116" i="8"/>
  <c r="FH116" i="8"/>
  <c r="FI116" i="8"/>
  <c r="FJ116" i="8"/>
  <c r="FK116" i="8"/>
  <c r="FL116" i="8"/>
  <c r="FM116" i="8"/>
  <c r="FN116" i="8"/>
  <c r="FO116" i="8"/>
  <c r="FP116" i="8"/>
  <c r="FQ116" i="8"/>
  <c r="FR116" i="8"/>
  <c r="FS116" i="8"/>
  <c r="FT116" i="8"/>
  <c r="FU116" i="8"/>
  <c r="FV116" i="8"/>
  <c r="FW116" i="8"/>
  <c r="FX116" i="8"/>
  <c r="FY116" i="8"/>
  <c r="FZ116" i="8"/>
  <c r="GA116" i="8"/>
  <c r="GB116" i="8"/>
  <c r="GC116" i="8"/>
  <c r="GD116" i="8"/>
  <c r="GE116" i="8"/>
  <c r="GF116" i="8"/>
  <c r="GG116" i="8"/>
  <c r="GH116" i="8"/>
  <c r="GI116" i="8"/>
  <c r="GJ116" i="8"/>
  <c r="GK116" i="8"/>
  <c r="GL116" i="8"/>
  <c r="GM116" i="8"/>
  <c r="GN116" i="8"/>
  <c r="GO116" i="8"/>
  <c r="GP116" i="8"/>
  <c r="GQ116" i="8"/>
  <c r="GR116" i="8"/>
  <c r="GS116" i="8"/>
  <c r="GT116" i="8"/>
  <c r="GU116" i="8"/>
  <c r="GV116" i="8"/>
  <c r="GW116" i="8"/>
  <c r="GX116" i="8"/>
  <c r="GY116" i="8"/>
  <c r="GZ116" i="8"/>
  <c r="HA116" i="8"/>
  <c r="HB116" i="8"/>
  <c r="HC116" i="8"/>
  <c r="HD116" i="8"/>
  <c r="HE116" i="8"/>
  <c r="HF116" i="8"/>
  <c r="HG116" i="8"/>
  <c r="HH116" i="8"/>
  <c r="HI116" i="8"/>
  <c r="HJ116" i="8"/>
  <c r="HK116" i="8"/>
  <c r="HL116" i="8"/>
  <c r="HM116" i="8"/>
  <c r="HN116" i="8"/>
  <c r="HO116" i="8"/>
  <c r="HP116" i="8"/>
  <c r="HQ116" i="8"/>
  <c r="HR116" i="8"/>
  <c r="HS116" i="8"/>
  <c r="HT116" i="8"/>
  <c r="HU116" i="8"/>
  <c r="HV116" i="8"/>
  <c r="HW116" i="8"/>
  <c r="HX116" i="8"/>
  <c r="HY116" i="8"/>
  <c r="HZ116" i="8"/>
  <c r="IA116" i="8"/>
  <c r="IB116" i="8"/>
  <c r="IC116" i="8"/>
  <c r="ID116" i="8"/>
  <c r="IE116" i="8"/>
  <c r="IF116" i="8"/>
  <c r="IG116" i="8"/>
  <c r="IH116" i="8"/>
  <c r="II116" i="8"/>
  <c r="IJ116" i="8"/>
  <c r="IK116" i="8"/>
  <c r="IL116" i="8"/>
  <c r="IM116" i="8"/>
  <c r="IN116" i="8"/>
  <c r="IO116" i="8"/>
  <c r="IP116" i="8"/>
  <c r="DV117" i="8"/>
  <c r="DW117" i="8"/>
  <c r="DX117" i="8"/>
  <c r="DY117" i="8"/>
  <c r="DZ117" i="8"/>
  <c r="EA117" i="8"/>
  <c r="EB117" i="8"/>
  <c r="EC117" i="8"/>
  <c r="ED117" i="8"/>
  <c r="EE117" i="8"/>
  <c r="EF117" i="8"/>
  <c r="EG117" i="8"/>
  <c r="EH117" i="8"/>
  <c r="EI117" i="8"/>
  <c r="EJ117" i="8"/>
  <c r="EK117" i="8"/>
  <c r="EL117" i="8"/>
  <c r="EM117" i="8"/>
  <c r="EN117" i="8"/>
  <c r="EO117" i="8"/>
  <c r="EP117" i="8"/>
  <c r="EQ117" i="8"/>
  <c r="ER117" i="8"/>
  <c r="ES117" i="8"/>
  <c r="ET117" i="8"/>
  <c r="EU117" i="8"/>
  <c r="EV117" i="8"/>
  <c r="EW117" i="8"/>
  <c r="EX117" i="8"/>
  <c r="EY117" i="8"/>
  <c r="EZ117" i="8"/>
  <c r="FA117" i="8"/>
  <c r="FB117" i="8"/>
  <c r="FC117" i="8"/>
  <c r="FD117" i="8"/>
  <c r="FE117" i="8"/>
  <c r="FF117" i="8"/>
  <c r="FG117" i="8"/>
  <c r="FH117" i="8"/>
  <c r="FI117" i="8"/>
  <c r="FJ117" i="8"/>
  <c r="FK117" i="8"/>
  <c r="FL117" i="8"/>
  <c r="FM117" i="8"/>
  <c r="FN117" i="8"/>
  <c r="FO117" i="8"/>
  <c r="FP117" i="8"/>
  <c r="FQ117" i="8"/>
  <c r="FR117" i="8"/>
  <c r="FS117" i="8"/>
  <c r="FT117" i="8"/>
  <c r="FU117" i="8"/>
  <c r="FV117" i="8"/>
  <c r="FW117" i="8"/>
  <c r="FX117" i="8"/>
  <c r="FY117" i="8"/>
  <c r="FZ117" i="8"/>
  <c r="GA117" i="8"/>
  <c r="GB117" i="8"/>
  <c r="GC117" i="8"/>
  <c r="GD117" i="8"/>
  <c r="GE117" i="8"/>
  <c r="GF117" i="8"/>
  <c r="GG117" i="8"/>
  <c r="GH117" i="8"/>
  <c r="GI117" i="8"/>
  <c r="GJ117" i="8"/>
  <c r="GK117" i="8"/>
  <c r="GL117" i="8"/>
  <c r="GM117" i="8"/>
  <c r="GN117" i="8"/>
  <c r="GO117" i="8"/>
  <c r="GP117" i="8"/>
  <c r="GQ117" i="8"/>
  <c r="GR117" i="8"/>
  <c r="GS117" i="8"/>
  <c r="GT117" i="8"/>
  <c r="GU117" i="8"/>
  <c r="GV117" i="8"/>
  <c r="GW117" i="8"/>
  <c r="GX117" i="8"/>
  <c r="GY117" i="8"/>
  <c r="GZ117" i="8"/>
  <c r="HA117" i="8"/>
  <c r="HB117" i="8"/>
  <c r="HC117" i="8"/>
  <c r="HD117" i="8"/>
  <c r="HE117" i="8"/>
  <c r="HF117" i="8"/>
  <c r="HG117" i="8"/>
  <c r="HH117" i="8"/>
  <c r="HI117" i="8"/>
  <c r="HJ117" i="8"/>
  <c r="HK117" i="8"/>
  <c r="HL117" i="8"/>
  <c r="HM117" i="8"/>
  <c r="HN117" i="8"/>
  <c r="HO117" i="8"/>
  <c r="HP117" i="8"/>
  <c r="HQ117" i="8"/>
  <c r="HR117" i="8"/>
  <c r="HS117" i="8"/>
  <c r="HT117" i="8"/>
  <c r="HU117" i="8"/>
  <c r="HV117" i="8"/>
  <c r="HW117" i="8"/>
  <c r="HX117" i="8"/>
  <c r="HY117" i="8"/>
  <c r="HZ117" i="8"/>
  <c r="IA117" i="8"/>
  <c r="IB117" i="8"/>
  <c r="IC117" i="8"/>
  <c r="ID117" i="8"/>
  <c r="IE117" i="8"/>
  <c r="IF117" i="8"/>
  <c r="IG117" i="8"/>
  <c r="IH117" i="8"/>
  <c r="II117" i="8"/>
  <c r="IJ117" i="8"/>
  <c r="IK117" i="8"/>
  <c r="IL117" i="8"/>
  <c r="IM117" i="8"/>
  <c r="IN117" i="8"/>
  <c r="IO117" i="8"/>
  <c r="IP117" i="8"/>
  <c r="DV118" i="8"/>
  <c r="DW118" i="8"/>
  <c r="DX118" i="8"/>
  <c r="DY118" i="8"/>
  <c r="DZ118" i="8"/>
  <c r="EA118" i="8"/>
  <c r="EB118" i="8"/>
  <c r="EC118" i="8"/>
  <c r="ED118" i="8"/>
  <c r="EE118" i="8"/>
  <c r="EF118" i="8"/>
  <c r="EG118" i="8"/>
  <c r="EH118" i="8"/>
  <c r="EI118" i="8"/>
  <c r="EJ118" i="8"/>
  <c r="EK118" i="8"/>
  <c r="EL118" i="8"/>
  <c r="EM118" i="8"/>
  <c r="EN118" i="8"/>
  <c r="EO118" i="8"/>
  <c r="EP118" i="8"/>
  <c r="EQ118" i="8"/>
  <c r="ER118" i="8"/>
  <c r="ES118" i="8"/>
  <c r="ET118" i="8"/>
  <c r="EU118" i="8"/>
  <c r="EV118" i="8"/>
  <c r="EW118" i="8"/>
  <c r="EX118" i="8"/>
  <c r="EY118" i="8"/>
  <c r="EZ118" i="8"/>
  <c r="FA118" i="8"/>
  <c r="FB118" i="8"/>
  <c r="FC118" i="8"/>
  <c r="FD118" i="8"/>
  <c r="FE118" i="8"/>
  <c r="FF118" i="8"/>
  <c r="FG118" i="8"/>
  <c r="FH118" i="8"/>
  <c r="FI118" i="8"/>
  <c r="FJ118" i="8"/>
  <c r="FK118" i="8"/>
  <c r="FL118" i="8"/>
  <c r="FM118" i="8"/>
  <c r="FN118" i="8"/>
  <c r="FO118" i="8"/>
  <c r="FP118" i="8"/>
  <c r="FQ118" i="8"/>
  <c r="FR118" i="8"/>
  <c r="FS118" i="8"/>
  <c r="FT118" i="8"/>
  <c r="FU118" i="8"/>
  <c r="FV118" i="8"/>
  <c r="FW118" i="8"/>
  <c r="FX118" i="8"/>
  <c r="FY118" i="8"/>
  <c r="FZ118" i="8"/>
  <c r="GA118" i="8"/>
  <c r="GB118" i="8"/>
  <c r="GC118" i="8"/>
  <c r="GD118" i="8"/>
  <c r="GE118" i="8"/>
  <c r="GF118" i="8"/>
  <c r="GG118" i="8"/>
  <c r="GH118" i="8"/>
  <c r="GI118" i="8"/>
  <c r="GJ118" i="8"/>
  <c r="GK118" i="8"/>
  <c r="GL118" i="8"/>
  <c r="GM118" i="8"/>
  <c r="GN118" i="8"/>
  <c r="GO118" i="8"/>
  <c r="GP118" i="8"/>
  <c r="GQ118" i="8"/>
  <c r="GR118" i="8"/>
  <c r="GS118" i="8"/>
  <c r="GT118" i="8"/>
  <c r="GU118" i="8"/>
  <c r="GV118" i="8"/>
  <c r="GW118" i="8"/>
  <c r="GX118" i="8"/>
  <c r="GY118" i="8"/>
  <c r="GZ118" i="8"/>
  <c r="HA118" i="8"/>
  <c r="HB118" i="8"/>
  <c r="HC118" i="8"/>
  <c r="HD118" i="8"/>
  <c r="HE118" i="8"/>
  <c r="HF118" i="8"/>
  <c r="HG118" i="8"/>
  <c r="HH118" i="8"/>
  <c r="HI118" i="8"/>
  <c r="HJ118" i="8"/>
  <c r="HK118" i="8"/>
  <c r="HL118" i="8"/>
  <c r="HM118" i="8"/>
  <c r="HN118" i="8"/>
  <c r="HO118" i="8"/>
  <c r="HP118" i="8"/>
  <c r="HQ118" i="8"/>
  <c r="HR118" i="8"/>
  <c r="HS118" i="8"/>
  <c r="HT118" i="8"/>
  <c r="HU118" i="8"/>
  <c r="HV118" i="8"/>
  <c r="HW118" i="8"/>
  <c r="HX118" i="8"/>
  <c r="HY118" i="8"/>
  <c r="HZ118" i="8"/>
  <c r="IA118" i="8"/>
  <c r="IB118" i="8"/>
  <c r="IC118" i="8"/>
  <c r="ID118" i="8"/>
  <c r="IE118" i="8"/>
  <c r="IF118" i="8"/>
  <c r="IG118" i="8"/>
  <c r="IH118" i="8"/>
  <c r="II118" i="8"/>
  <c r="IJ118" i="8"/>
  <c r="IK118" i="8"/>
  <c r="IL118" i="8"/>
  <c r="IM118" i="8"/>
  <c r="IN118" i="8"/>
  <c r="IO118" i="8"/>
  <c r="IP118" i="8"/>
  <c r="DV119" i="8"/>
  <c r="DW119" i="8"/>
  <c r="DX119" i="8"/>
  <c r="DY119" i="8"/>
  <c r="DZ119" i="8"/>
  <c r="EA119" i="8"/>
  <c r="EB119" i="8"/>
  <c r="EC119" i="8"/>
  <c r="ED119" i="8"/>
  <c r="EE119" i="8"/>
  <c r="EF119" i="8"/>
  <c r="EG119" i="8"/>
  <c r="EH119" i="8"/>
  <c r="EI119" i="8"/>
  <c r="EJ119" i="8"/>
  <c r="EK119" i="8"/>
  <c r="EL119" i="8"/>
  <c r="EM119" i="8"/>
  <c r="EN119" i="8"/>
  <c r="EO119" i="8"/>
  <c r="EP119" i="8"/>
  <c r="EQ119" i="8"/>
  <c r="ER119" i="8"/>
  <c r="ES119" i="8"/>
  <c r="ET119" i="8"/>
  <c r="EU119" i="8"/>
  <c r="EV119" i="8"/>
  <c r="EW119" i="8"/>
  <c r="EX119" i="8"/>
  <c r="EY119" i="8"/>
  <c r="EZ119" i="8"/>
  <c r="FA119" i="8"/>
  <c r="FB119" i="8"/>
  <c r="FC119" i="8"/>
  <c r="FD119" i="8"/>
  <c r="FE119" i="8"/>
  <c r="FF119" i="8"/>
  <c r="FG119" i="8"/>
  <c r="FH119" i="8"/>
  <c r="FI119" i="8"/>
  <c r="FJ119" i="8"/>
  <c r="FK119" i="8"/>
  <c r="FL119" i="8"/>
  <c r="FM119" i="8"/>
  <c r="FN119" i="8"/>
  <c r="FO119" i="8"/>
  <c r="FP119" i="8"/>
  <c r="FQ119" i="8"/>
  <c r="FR119" i="8"/>
  <c r="FS119" i="8"/>
  <c r="FT119" i="8"/>
  <c r="FU119" i="8"/>
  <c r="FV119" i="8"/>
  <c r="FW119" i="8"/>
  <c r="FX119" i="8"/>
  <c r="FY119" i="8"/>
  <c r="FZ119" i="8"/>
  <c r="GA119" i="8"/>
  <c r="GB119" i="8"/>
  <c r="GC119" i="8"/>
  <c r="GD119" i="8"/>
  <c r="GE119" i="8"/>
  <c r="GF119" i="8"/>
  <c r="GG119" i="8"/>
  <c r="GH119" i="8"/>
  <c r="GI119" i="8"/>
  <c r="GJ119" i="8"/>
  <c r="GK119" i="8"/>
  <c r="GL119" i="8"/>
  <c r="GM119" i="8"/>
  <c r="GN119" i="8"/>
  <c r="GO119" i="8"/>
  <c r="GP119" i="8"/>
  <c r="GQ119" i="8"/>
  <c r="GR119" i="8"/>
  <c r="GS119" i="8"/>
  <c r="GT119" i="8"/>
  <c r="GU119" i="8"/>
  <c r="GV119" i="8"/>
  <c r="GW119" i="8"/>
  <c r="GX119" i="8"/>
  <c r="GY119" i="8"/>
  <c r="GZ119" i="8"/>
  <c r="HA119" i="8"/>
  <c r="HB119" i="8"/>
  <c r="HC119" i="8"/>
  <c r="HD119" i="8"/>
  <c r="HE119" i="8"/>
  <c r="HF119" i="8"/>
  <c r="HG119" i="8"/>
  <c r="HH119" i="8"/>
  <c r="HI119" i="8"/>
  <c r="HJ119" i="8"/>
  <c r="HK119" i="8"/>
  <c r="HL119" i="8"/>
  <c r="HM119" i="8"/>
  <c r="HN119" i="8"/>
  <c r="HO119" i="8"/>
  <c r="HP119" i="8"/>
  <c r="HQ119" i="8"/>
  <c r="HR119" i="8"/>
  <c r="HS119" i="8"/>
  <c r="HT119" i="8"/>
  <c r="HU119" i="8"/>
  <c r="HV119" i="8"/>
  <c r="HW119" i="8"/>
  <c r="HX119" i="8"/>
  <c r="HY119" i="8"/>
  <c r="HZ119" i="8"/>
  <c r="IA119" i="8"/>
  <c r="IB119" i="8"/>
  <c r="IC119" i="8"/>
  <c r="ID119" i="8"/>
  <c r="IE119" i="8"/>
  <c r="IF119" i="8"/>
  <c r="IG119" i="8"/>
  <c r="IH119" i="8"/>
  <c r="II119" i="8"/>
  <c r="IJ119" i="8"/>
  <c r="IK119" i="8"/>
  <c r="IL119" i="8"/>
  <c r="IM119" i="8"/>
  <c r="IN119" i="8"/>
  <c r="IO119" i="8"/>
  <c r="IP119" i="8"/>
  <c r="DV120" i="8"/>
  <c r="DW120" i="8"/>
  <c r="DX120" i="8"/>
  <c r="DY120" i="8"/>
  <c r="DZ120" i="8"/>
  <c r="EA120" i="8"/>
  <c r="EB120" i="8"/>
  <c r="EC120" i="8"/>
  <c r="ED120" i="8"/>
  <c r="EE120" i="8"/>
  <c r="EF120" i="8"/>
  <c r="EG120" i="8"/>
  <c r="EH120" i="8"/>
  <c r="EI120" i="8"/>
  <c r="EJ120" i="8"/>
  <c r="EK120" i="8"/>
  <c r="EL120" i="8"/>
  <c r="EM120" i="8"/>
  <c r="EN120" i="8"/>
  <c r="EO120" i="8"/>
  <c r="EP120" i="8"/>
  <c r="EQ120" i="8"/>
  <c r="ER120" i="8"/>
  <c r="ES120" i="8"/>
  <c r="ET120" i="8"/>
  <c r="EU120" i="8"/>
  <c r="EV120" i="8"/>
  <c r="EW120" i="8"/>
  <c r="EX120" i="8"/>
  <c r="EY120" i="8"/>
  <c r="EZ120" i="8"/>
  <c r="FA120" i="8"/>
  <c r="FB120" i="8"/>
  <c r="FC120" i="8"/>
  <c r="FD120" i="8"/>
  <c r="FE120" i="8"/>
  <c r="FF120" i="8"/>
  <c r="FG120" i="8"/>
  <c r="FH120" i="8"/>
  <c r="FI120" i="8"/>
  <c r="FJ120" i="8"/>
  <c r="FK120" i="8"/>
  <c r="FL120" i="8"/>
  <c r="FM120" i="8"/>
  <c r="FN120" i="8"/>
  <c r="FO120" i="8"/>
  <c r="FP120" i="8"/>
  <c r="FQ120" i="8"/>
  <c r="FR120" i="8"/>
  <c r="FS120" i="8"/>
  <c r="FT120" i="8"/>
  <c r="FU120" i="8"/>
  <c r="FV120" i="8"/>
  <c r="FW120" i="8"/>
  <c r="FX120" i="8"/>
  <c r="FY120" i="8"/>
  <c r="FZ120" i="8"/>
  <c r="GA120" i="8"/>
  <c r="GB120" i="8"/>
  <c r="GC120" i="8"/>
  <c r="GD120" i="8"/>
  <c r="GE120" i="8"/>
  <c r="GF120" i="8"/>
  <c r="GG120" i="8"/>
  <c r="GH120" i="8"/>
  <c r="GI120" i="8"/>
  <c r="GJ120" i="8"/>
  <c r="GK120" i="8"/>
  <c r="GL120" i="8"/>
  <c r="GM120" i="8"/>
  <c r="GN120" i="8"/>
  <c r="GO120" i="8"/>
  <c r="GP120" i="8"/>
  <c r="GQ120" i="8"/>
  <c r="GR120" i="8"/>
  <c r="GS120" i="8"/>
  <c r="GT120" i="8"/>
  <c r="GU120" i="8"/>
  <c r="GV120" i="8"/>
  <c r="GW120" i="8"/>
  <c r="GX120" i="8"/>
  <c r="GY120" i="8"/>
  <c r="GZ120" i="8"/>
  <c r="HA120" i="8"/>
  <c r="HB120" i="8"/>
  <c r="HC120" i="8"/>
  <c r="HD120" i="8"/>
  <c r="HE120" i="8"/>
  <c r="HF120" i="8"/>
  <c r="HG120" i="8"/>
  <c r="HH120" i="8"/>
  <c r="HI120" i="8"/>
  <c r="HJ120" i="8"/>
  <c r="HK120" i="8"/>
  <c r="HL120" i="8"/>
  <c r="HM120" i="8"/>
  <c r="HN120" i="8"/>
  <c r="HO120" i="8"/>
  <c r="HP120" i="8"/>
  <c r="HQ120" i="8"/>
  <c r="HR120" i="8"/>
  <c r="HS120" i="8"/>
  <c r="HT120" i="8"/>
  <c r="HU120" i="8"/>
  <c r="HV120" i="8"/>
  <c r="HW120" i="8"/>
  <c r="HX120" i="8"/>
  <c r="HY120" i="8"/>
  <c r="HZ120" i="8"/>
  <c r="IA120" i="8"/>
  <c r="IB120" i="8"/>
  <c r="IC120" i="8"/>
  <c r="ID120" i="8"/>
  <c r="IE120" i="8"/>
  <c r="IF120" i="8"/>
  <c r="IG120" i="8"/>
  <c r="IH120" i="8"/>
  <c r="II120" i="8"/>
  <c r="IJ120" i="8"/>
  <c r="IK120" i="8"/>
  <c r="IL120" i="8"/>
  <c r="IM120" i="8"/>
  <c r="IN120" i="8"/>
  <c r="IO120" i="8"/>
  <c r="IP120" i="8"/>
  <c r="DV121" i="8"/>
  <c r="DY121" i="8"/>
  <c r="DZ121" i="8"/>
  <c r="EA121" i="8"/>
  <c r="ED121" i="8"/>
  <c r="EE121" i="8"/>
  <c r="EF121" i="8"/>
  <c r="EI121" i="8"/>
  <c r="EJ121" i="8"/>
  <c r="EK121" i="8"/>
  <c r="EN121" i="8"/>
  <c r="EO121" i="8"/>
  <c r="EP121" i="8"/>
  <c r="ES121" i="8"/>
  <c r="ET121" i="8"/>
  <c r="EU121" i="8"/>
  <c r="EX121" i="8"/>
  <c r="EY121" i="8"/>
  <c r="EZ121" i="8"/>
  <c r="FC121" i="8"/>
  <c r="FD121" i="8"/>
  <c r="FE121" i="8"/>
  <c r="FH121" i="8"/>
  <c r="FI121" i="8"/>
  <c r="FJ121" i="8"/>
  <c r="FM121" i="8"/>
  <c r="FN121" i="8"/>
  <c r="FO121" i="8"/>
  <c r="FR121" i="8"/>
  <c r="FS121" i="8"/>
  <c r="FT121" i="8"/>
  <c r="FW121" i="8"/>
  <c r="FX121" i="8"/>
  <c r="FY121" i="8"/>
  <c r="GB121" i="8"/>
  <c r="GC121" i="8"/>
  <c r="GD121" i="8"/>
  <c r="GG121" i="8"/>
  <c r="GH121" i="8"/>
  <c r="GI121" i="8"/>
  <c r="GL121" i="8"/>
  <c r="GM121" i="8"/>
  <c r="GN121" i="8"/>
  <c r="GQ121" i="8"/>
  <c r="GR121" i="8"/>
  <c r="GS121" i="8"/>
  <c r="GV121" i="8"/>
  <c r="GW121" i="8"/>
  <c r="GX121" i="8"/>
  <c r="HA121" i="8"/>
  <c r="HB121" i="8"/>
  <c r="HC121" i="8"/>
  <c r="HF121" i="8"/>
  <c r="HG121" i="8"/>
  <c r="HH121" i="8"/>
  <c r="HK121" i="8"/>
  <c r="HL121" i="8"/>
  <c r="HM121" i="8"/>
  <c r="HP121" i="8"/>
  <c r="HQ121" i="8"/>
  <c r="HR121" i="8"/>
  <c r="HU121" i="8"/>
  <c r="HV121" i="8"/>
  <c r="HW121" i="8"/>
  <c r="HZ121" i="8"/>
  <c r="IA121" i="8"/>
  <c r="IB121" i="8"/>
  <c r="IE121" i="8"/>
  <c r="IF121" i="8"/>
  <c r="IG121" i="8"/>
  <c r="IJ121" i="8"/>
  <c r="IK121" i="8"/>
  <c r="IL121" i="8"/>
  <c r="IO121" i="8"/>
  <c r="IP121" i="8"/>
  <c r="DV122" i="8"/>
  <c r="DY122" i="8"/>
  <c r="DZ122" i="8"/>
  <c r="EA122" i="8"/>
  <c r="ED122" i="8"/>
  <c r="EE122" i="8"/>
  <c r="EF122" i="8"/>
  <c r="EI122" i="8"/>
  <c r="EJ122" i="8"/>
  <c r="EK122" i="8"/>
  <c r="EN122" i="8"/>
  <c r="EO122" i="8"/>
  <c r="EP122" i="8"/>
  <c r="ES122" i="8"/>
  <c r="ET122" i="8"/>
  <c r="EU122" i="8"/>
  <c r="EX122" i="8"/>
  <c r="EY122" i="8"/>
  <c r="EZ122" i="8"/>
  <c r="FC122" i="8"/>
  <c r="FD122" i="8"/>
  <c r="FE122" i="8"/>
  <c r="FH122" i="8"/>
  <c r="FI122" i="8"/>
  <c r="FJ122" i="8"/>
  <c r="FM122" i="8"/>
  <c r="FN122" i="8"/>
  <c r="FO122" i="8"/>
  <c r="FR122" i="8"/>
  <c r="FS122" i="8"/>
  <c r="FT122" i="8"/>
  <c r="FW122" i="8"/>
  <c r="FX122" i="8"/>
  <c r="FY122" i="8"/>
  <c r="GB122" i="8"/>
  <c r="GC122" i="8"/>
  <c r="GD122" i="8"/>
  <c r="GG122" i="8"/>
  <c r="GH122" i="8"/>
  <c r="GI122" i="8"/>
  <c r="GL122" i="8"/>
  <c r="GM122" i="8"/>
  <c r="GN122" i="8"/>
  <c r="GQ122" i="8"/>
  <c r="GR122" i="8"/>
  <c r="GS122" i="8"/>
  <c r="GV122" i="8"/>
  <c r="GW122" i="8"/>
  <c r="GX122" i="8"/>
  <c r="HA122" i="8"/>
  <c r="HB122" i="8"/>
  <c r="HC122" i="8"/>
  <c r="HF122" i="8"/>
  <c r="HG122" i="8"/>
  <c r="HH122" i="8"/>
  <c r="HK122" i="8"/>
  <c r="HL122" i="8"/>
  <c r="HM122" i="8"/>
  <c r="HP122" i="8"/>
  <c r="HQ122" i="8"/>
  <c r="HR122" i="8"/>
  <c r="HU122" i="8"/>
  <c r="HV122" i="8"/>
  <c r="HW122" i="8"/>
  <c r="HZ122" i="8"/>
  <c r="IA122" i="8"/>
  <c r="IB122" i="8"/>
  <c r="IE122" i="8"/>
  <c r="IF122" i="8"/>
  <c r="IG122" i="8"/>
  <c r="IJ122" i="8"/>
  <c r="IK122" i="8"/>
  <c r="IL122" i="8"/>
  <c r="IO122" i="8"/>
  <c r="IP122" i="8"/>
  <c r="DV123" i="8"/>
  <c r="DY123" i="8"/>
  <c r="DZ123" i="8"/>
  <c r="EA123" i="8"/>
  <c r="ED123" i="8"/>
  <c r="EE123" i="8"/>
  <c r="EF123" i="8"/>
  <c r="EI123" i="8"/>
  <c r="EJ123" i="8"/>
  <c r="EK123" i="8"/>
  <c r="EN123" i="8"/>
  <c r="EO123" i="8"/>
  <c r="EP123" i="8"/>
  <c r="ES123" i="8"/>
  <c r="ET123" i="8"/>
  <c r="EU123" i="8"/>
  <c r="EX123" i="8"/>
  <c r="EY123" i="8"/>
  <c r="EZ123" i="8"/>
  <c r="FC123" i="8"/>
  <c r="FD123" i="8"/>
  <c r="FE123" i="8"/>
  <c r="FH123" i="8"/>
  <c r="FI123" i="8"/>
  <c r="FJ123" i="8"/>
  <c r="FM123" i="8"/>
  <c r="FN123" i="8"/>
  <c r="FO123" i="8"/>
  <c r="FR123" i="8"/>
  <c r="FS123" i="8"/>
  <c r="FT123" i="8"/>
  <c r="FW123" i="8"/>
  <c r="FX123" i="8"/>
  <c r="FY123" i="8"/>
  <c r="GB123" i="8"/>
  <c r="GC123" i="8"/>
  <c r="GD123" i="8"/>
  <c r="GG123" i="8"/>
  <c r="GH123" i="8"/>
  <c r="GI123" i="8"/>
  <c r="GL123" i="8"/>
  <c r="GM123" i="8"/>
  <c r="GN123" i="8"/>
  <c r="GQ123" i="8"/>
  <c r="GR123" i="8"/>
  <c r="GS123" i="8"/>
  <c r="GV123" i="8"/>
  <c r="GW123" i="8"/>
  <c r="GX123" i="8"/>
  <c r="HA123" i="8"/>
  <c r="HB123" i="8"/>
  <c r="HC123" i="8"/>
  <c r="HF123" i="8"/>
  <c r="HG123" i="8"/>
  <c r="HH123" i="8"/>
  <c r="HK123" i="8"/>
  <c r="HL123" i="8"/>
  <c r="HM123" i="8"/>
  <c r="HP123" i="8"/>
  <c r="HQ123" i="8"/>
  <c r="HR123" i="8"/>
  <c r="HU123" i="8"/>
  <c r="HV123" i="8"/>
  <c r="HW123" i="8"/>
  <c r="HZ123" i="8"/>
  <c r="IA123" i="8"/>
  <c r="IB123" i="8"/>
  <c r="IE123" i="8"/>
  <c r="IF123" i="8"/>
  <c r="IG123" i="8"/>
  <c r="IJ123" i="8"/>
  <c r="IK123" i="8"/>
  <c r="IL123" i="8"/>
  <c r="IO123" i="8"/>
  <c r="IP123" i="8"/>
  <c r="DV124" i="8"/>
  <c r="DY124" i="8"/>
  <c r="DZ124" i="8"/>
  <c r="EA124" i="8"/>
  <c r="ED124" i="8"/>
  <c r="EE124" i="8"/>
  <c r="EF124" i="8"/>
  <c r="EI124" i="8"/>
  <c r="EJ124" i="8"/>
  <c r="EK124" i="8"/>
  <c r="EN124" i="8"/>
  <c r="EO124" i="8"/>
  <c r="EP124" i="8"/>
  <c r="ES124" i="8"/>
  <c r="ET124" i="8"/>
  <c r="EU124" i="8"/>
  <c r="EX124" i="8"/>
  <c r="EY124" i="8"/>
  <c r="EZ124" i="8"/>
  <c r="FC124" i="8"/>
  <c r="FD124" i="8"/>
  <c r="FE124" i="8"/>
  <c r="FH124" i="8"/>
  <c r="FI124" i="8"/>
  <c r="FJ124" i="8"/>
  <c r="FM124" i="8"/>
  <c r="FN124" i="8"/>
  <c r="FO124" i="8"/>
  <c r="FR124" i="8"/>
  <c r="FS124" i="8"/>
  <c r="FT124" i="8"/>
  <c r="FW124" i="8"/>
  <c r="FX124" i="8"/>
  <c r="FY124" i="8"/>
  <c r="GB124" i="8"/>
  <c r="GC124" i="8"/>
  <c r="GD124" i="8"/>
  <c r="GG124" i="8"/>
  <c r="GH124" i="8"/>
  <c r="GI124" i="8"/>
  <c r="GL124" i="8"/>
  <c r="GM124" i="8"/>
  <c r="GN124" i="8"/>
  <c r="GQ124" i="8"/>
  <c r="GR124" i="8"/>
  <c r="GS124" i="8"/>
  <c r="GV124" i="8"/>
  <c r="GW124" i="8"/>
  <c r="GX124" i="8"/>
  <c r="HA124" i="8"/>
  <c r="HB124" i="8"/>
  <c r="HC124" i="8"/>
  <c r="HF124" i="8"/>
  <c r="HG124" i="8"/>
  <c r="HH124" i="8"/>
  <c r="HK124" i="8"/>
  <c r="HL124" i="8"/>
  <c r="HM124" i="8"/>
  <c r="HP124" i="8"/>
  <c r="HQ124" i="8"/>
  <c r="HR124" i="8"/>
  <c r="HU124" i="8"/>
  <c r="HV124" i="8"/>
  <c r="HW124" i="8"/>
  <c r="HZ124" i="8"/>
  <c r="IA124" i="8"/>
  <c r="IB124" i="8"/>
  <c r="IE124" i="8"/>
  <c r="IF124" i="8"/>
  <c r="IG124" i="8"/>
  <c r="IJ124" i="8"/>
  <c r="IK124" i="8"/>
  <c r="IL124" i="8"/>
  <c r="IO124" i="8"/>
  <c r="IP124" i="8"/>
  <c r="DV125" i="8"/>
  <c r="DW125" i="8"/>
  <c r="DX125" i="8"/>
  <c r="DY125" i="8"/>
  <c r="DZ125" i="8"/>
  <c r="EA125" i="8"/>
  <c r="EB125" i="8"/>
  <c r="EC125" i="8"/>
  <c r="ED125" i="8"/>
  <c r="EE125" i="8"/>
  <c r="EF125" i="8"/>
  <c r="EG125" i="8"/>
  <c r="EH125" i="8"/>
  <c r="EI125" i="8"/>
  <c r="EJ125" i="8"/>
  <c r="EK125" i="8"/>
  <c r="EL125" i="8"/>
  <c r="EM125" i="8"/>
  <c r="EN125" i="8"/>
  <c r="EO125" i="8"/>
  <c r="EP125" i="8"/>
  <c r="EQ125" i="8"/>
  <c r="ER125" i="8"/>
  <c r="ES125" i="8"/>
  <c r="ET125" i="8"/>
  <c r="EU125" i="8"/>
  <c r="EV125" i="8"/>
  <c r="EW125" i="8"/>
  <c r="EX125" i="8"/>
  <c r="EY125" i="8"/>
  <c r="EZ125" i="8"/>
  <c r="FA125" i="8"/>
  <c r="FB125" i="8"/>
  <c r="FC125" i="8"/>
  <c r="FD125" i="8"/>
  <c r="FE125" i="8"/>
  <c r="FF125" i="8"/>
  <c r="FG125" i="8"/>
  <c r="FH125" i="8"/>
  <c r="FI125" i="8"/>
  <c r="FJ125" i="8"/>
  <c r="FK125" i="8"/>
  <c r="FL125" i="8"/>
  <c r="FM125" i="8"/>
  <c r="FN125" i="8"/>
  <c r="FO125" i="8"/>
  <c r="FP125" i="8"/>
  <c r="FQ125" i="8"/>
  <c r="FR125" i="8"/>
  <c r="FS125" i="8"/>
  <c r="FT125" i="8"/>
  <c r="FU125" i="8"/>
  <c r="FV125" i="8"/>
  <c r="FW125" i="8"/>
  <c r="FX125" i="8"/>
  <c r="FY125" i="8"/>
  <c r="FZ125" i="8"/>
  <c r="GA125" i="8"/>
  <c r="GB125" i="8"/>
  <c r="GC125" i="8"/>
  <c r="GD125" i="8"/>
  <c r="GE125" i="8"/>
  <c r="GF125" i="8"/>
  <c r="GG125" i="8"/>
  <c r="GH125" i="8"/>
  <c r="GI125" i="8"/>
  <c r="GJ125" i="8"/>
  <c r="GK125" i="8"/>
  <c r="GL125" i="8"/>
  <c r="GM125" i="8"/>
  <c r="GN125" i="8"/>
  <c r="GO125" i="8"/>
  <c r="GP125" i="8"/>
  <c r="GQ125" i="8"/>
  <c r="GR125" i="8"/>
  <c r="GS125" i="8"/>
  <c r="GT125" i="8"/>
  <c r="GU125" i="8"/>
  <c r="GV125" i="8"/>
  <c r="GW125" i="8"/>
  <c r="GX125" i="8"/>
  <c r="GY125" i="8"/>
  <c r="GZ125" i="8"/>
  <c r="HA125" i="8"/>
  <c r="HB125" i="8"/>
  <c r="HC125" i="8"/>
  <c r="HD125" i="8"/>
  <c r="HE125" i="8"/>
  <c r="HF125" i="8"/>
  <c r="HG125" i="8"/>
  <c r="HH125" i="8"/>
  <c r="HI125" i="8"/>
  <c r="HJ125" i="8"/>
  <c r="HK125" i="8"/>
  <c r="HL125" i="8"/>
  <c r="HM125" i="8"/>
  <c r="HN125" i="8"/>
  <c r="HO125" i="8"/>
  <c r="HP125" i="8"/>
  <c r="HQ125" i="8"/>
  <c r="HR125" i="8"/>
  <c r="HS125" i="8"/>
  <c r="HT125" i="8"/>
  <c r="HU125" i="8"/>
  <c r="HV125" i="8"/>
  <c r="HW125" i="8"/>
  <c r="HX125" i="8"/>
  <c r="HY125" i="8"/>
  <c r="HZ125" i="8"/>
  <c r="IA125" i="8"/>
  <c r="IB125" i="8"/>
  <c r="IC125" i="8"/>
  <c r="ID125" i="8"/>
  <c r="IE125" i="8"/>
  <c r="IF125" i="8"/>
  <c r="IG125" i="8"/>
  <c r="IH125" i="8"/>
  <c r="II125" i="8"/>
  <c r="IJ125" i="8"/>
  <c r="IK125" i="8"/>
  <c r="IL125" i="8"/>
  <c r="IM125" i="8"/>
  <c r="IN125" i="8"/>
  <c r="IO125" i="8"/>
  <c r="IP125" i="8"/>
  <c r="DV126" i="8"/>
  <c r="DY126" i="8"/>
  <c r="DZ126" i="8"/>
  <c r="EA126" i="8"/>
  <c r="ED126" i="8"/>
  <c r="EE126" i="8"/>
  <c r="EF126" i="8"/>
  <c r="EI126" i="8"/>
  <c r="EJ126" i="8"/>
  <c r="EK126" i="8"/>
  <c r="EN126" i="8"/>
  <c r="EO126" i="8"/>
  <c r="EP126" i="8"/>
  <c r="ES126" i="8"/>
  <c r="ET126" i="8"/>
  <c r="EU126" i="8"/>
  <c r="EX126" i="8"/>
  <c r="EY126" i="8"/>
  <c r="EZ126" i="8"/>
  <c r="FC126" i="8"/>
  <c r="FD126" i="8"/>
  <c r="FE126" i="8"/>
  <c r="FH126" i="8"/>
  <c r="FI126" i="8"/>
  <c r="FJ126" i="8"/>
  <c r="FM126" i="8"/>
  <c r="FN126" i="8"/>
  <c r="FO126" i="8"/>
  <c r="FR126" i="8"/>
  <c r="FS126" i="8"/>
  <c r="FT126" i="8"/>
  <c r="FW126" i="8"/>
  <c r="FX126" i="8"/>
  <c r="FY126" i="8"/>
  <c r="GB126" i="8"/>
  <c r="GC126" i="8"/>
  <c r="GD126" i="8"/>
  <c r="GG126" i="8"/>
  <c r="GH126" i="8"/>
  <c r="GI126" i="8"/>
  <c r="GL126" i="8"/>
  <c r="GM126" i="8"/>
  <c r="GN126" i="8"/>
  <c r="GQ126" i="8"/>
  <c r="GR126" i="8"/>
  <c r="GS126" i="8"/>
  <c r="GV126" i="8"/>
  <c r="GW126" i="8"/>
  <c r="GX126" i="8"/>
  <c r="HA126" i="8"/>
  <c r="HB126" i="8"/>
  <c r="HC126" i="8"/>
  <c r="HF126" i="8"/>
  <c r="HG126" i="8"/>
  <c r="HH126" i="8"/>
  <c r="HK126" i="8"/>
  <c r="HL126" i="8"/>
  <c r="HM126" i="8"/>
  <c r="HP126" i="8"/>
  <c r="HQ126" i="8"/>
  <c r="HR126" i="8"/>
  <c r="HU126" i="8"/>
  <c r="HV126" i="8"/>
  <c r="HW126" i="8"/>
  <c r="HZ126" i="8"/>
  <c r="IA126" i="8"/>
  <c r="IB126" i="8"/>
  <c r="IE126" i="8"/>
  <c r="IF126" i="8"/>
  <c r="IG126" i="8"/>
  <c r="IJ126" i="8"/>
  <c r="IK126" i="8"/>
  <c r="IL126" i="8"/>
  <c r="IO126" i="8"/>
  <c r="IP126" i="8"/>
  <c r="DV127" i="8"/>
  <c r="DW127" i="8"/>
  <c r="DX127" i="8"/>
  <c r="DY127" i="8"/>
  <c r="DZ127" i="8"/>
  <c r="EA127" i="8"/>
  <c r="EB127" i="8"/>
  <c r="EC127" i="8"/>
  <c r="ED127" i="8"/>
  <c r="EE127" i="8"/>
  <c r="EF127" i="8"/>
  <c r="EG127" i="8"/>
  <c r="EH127" i="8"/>
  <c r="EI127" i="8"/>
  <c r="EJ127" i="8"/>
  <c r="EK127" i="8"/>
  <c r="EL127" i="8"/>
  <c r="EM127" i="8"/>
  <c r="EN127" i="8"/>
  <c r="EO127" i="8"/>
  <c r="EP127" i="8"/>
  <c r="EQ127" i="8"/>
  <c r="ER127" i="8"/>
  <c r="ES127" i="8"/>
  <c r="ET127" i="8"/>
  <c r="EU127" i="8"/>
  <c r="EV127" i="8"/>
  <c r="EW127" i="8"/>
  <c r="EX127" i="8"/>
  <c r="EY127" i="8"/>
  <c r="EZ127" i="8"/>
  <c r="FA127" i="8"/>
  <c r="FB127" i="8"/>
  <c r="FC127" i="8"/>
  <c r="FD127" i="8"/>
  <c r="FE127" i="8"/>
  <c r="FF127" i="8"/>
  <c r="FG127" i="8"/>
  <c r="FH127" i="8"/>
  <c r="FI127" i="8"/>
  <c r="FJ127" i="8"/>
  <c r="FK127" i="8"/>
  <c r="FL127" i="8"/>
  <c r="FM127" i="8"/>
  <c r="FN127" i="8"/>
  <c r="FO127" i="8"/>
  <c r="FP127" i="8"/>
  <c r="FQ127" i="8"/>
  <c r="FR127" i="8"/>
  <c r="FS127" i="8"/>
  <c r="FT127" i="8"/>
  <c r="FU127" i="8"/>
  <c r="FV127" i="8"/>
  <c r="FW127" i="8"/>
  <c r="FX127" i="8"/>
  <c r="FY127" i="8"/>
  <c r="FZ127" i="8"/>
  <c r="GA127" i="8"/>
  <c r="GB127" i="8"/>
  <c r="GC127" i="8"/>
  <c r="GD127" i="8"/>
  <c r="GE127" i="8"/>
  <c r="GF127" i="8"/>
  <c r="GG127" i="8"/>
  <c r="GH127" i="8"/>
  <c r="GI127" i="8"/>
  <c r="GJ127" i="8"/>
  <c r="GK127" i="8"/>
  <c r="GL127" i="8"/>
  <c r="GM127" i="8"/>
  <c r="GN127" i="8"/>
  <c r="GO127" i="8"/>
  <c r="GP127" i="8"/>
  <c r="GQ127" i="8"/>
  <c r="GR127" i="8"/>
  <c r="GS127" i="8"/>
  <c r="GT127" i="8"/>
  <c r="GU127" i="8"/>
  <c r="GV127" i="8"/>
  <c r="GW127" i="8"/>
  <c r="GX127" i="8"/>
  <c r="GY127" i="8"/>
  <c r="GZ127" i="8"/>
  <c r="HA127" i="8"/>
  <c r="HB127" i="8"/>
  <c r="HC127" i="8"/>
  <c r="HD127" i="8"/>
  <c r="HE127" i="8"/>
  <c r="HF127" i="8"/>
  <c r="HG127" i="8"/>
  <c r="HH127" i="8"/>
  <c r="HI127" i="8"/>
  <c r="HJ127" i="8"/>
  <c r="HK127" i="8"/>
  <c r="HL127" i="8"/>
  <c r="HM127" i="8"/>
  <c r="HN127" i="8"/>
  <c r="HO127" i="8"/>
  <c r="HP127" i="8"/>
  <c r="HQ127" i="8"/>
  <c r="HR127" i="8"/>
  <c r="HS127" i="8"/>
  <c r="HT127" i="8"/>
  <c r="HU127" i="8"/>
  <c r="HV127" i="8"/>
  <c r="HW127" i="8"/>
  <c r="HX127" i="8"/>
  <c r="HY127" i="8"/>
  <c r="HZ127" i="8"/>
  <c r="IA127" i="8"/>
  <c r="IB127" i="8"/>
  <c r="IC127" i="8"/>
  <c r="ID127" i="8"/>
  <c r="IE127" i="8"/>
  <c r="IF127" i="8"/>
  <c r="IG127" i="8"/>
  <c r="IH127" i="8"/>
  <c r="II127" i="8"/>
  <c r="IJ127" i="8"/>
  <c r="IK127" i="8"/>
  <c r="IL127" i="8"/>
  <c r="IM127" i="8"/>
  <c r="IN127" i="8"/>
  <c r="IO127" i="8"/>
  <c r="IP127" i="8"/>
  <c r="DV128" i="8"/>
  <c r="DW128" i="8"/>
  <c r="DX128" i="8"/>
  <c r="DY128" i="8"/>
  <c r="DZ128" i="8"/>
  <c r="EA128" i="8"/>
  <c r="EB128" i="8"/>
  <c r="EC128" i="8"/>
  <c r="ED128" i="8"/>
  <c r="EE128" i="8"/>
  <c r="EF128" i="8"/>
  <c r="EG128" i="8"/>
  <c r="EH128" i="8"/>
  <c r="EI128" i="8"/>
  <c r="EJ128" i="8"/>
  <c r="EK128" i="8"/>
  <c r="EL128" i="8"/>
  <c r="EM128" i="8"/>
  <c r="EN128" i="8"/>
  <c r="EO128" i="8"/>
  <c r="EP128" i="8"/>
  <c r="EQ128" i="8"/>
  <c r="ER128" i="8"/>
  <c r="ES128" i="8"/>
  <c r="ET128" i="8"/>
  <c r="EU128" i="8"/>
  <c r="EV128" i="8"/>
  <c r="EW128" i="8"/>
  <c r="EX128" i="8"/>
  <c r="EY128" i="8"/>
  <c r="EZ128" i="8"/>
  <c r="FA128" i="8"/>
  <c r="FB128" i="8"/>
  <c r="FC128" i="8"/>
  <c r="FD128" i="8"/>
  <c r="FE128" i="8"/>
  <c r="FF128" i="8"/>
  <c r="FG128" i="8"/>
  <c r="FH128" i="8"/>
  <c r="FI128" i="8"/>
  <c r="FJ128" i="8"/>
  <c r="FK128" i="8"/>
  <c r="FL128" i="8"/>
  <c r="FM128" i="8"/>
  <c r="FN128" i="8"/>
  <c r="FO128" i="8"/>
  <c r="FP128" i="8"/>
  <c r="FQ128" i="8"/>
  <c r="FR128" i="8"/>
  <c r="FS128" i="8"/>
  <c r="FT128" i="8"/>
  <c r="FU128" i="8"/>
  <c r="FV128" i="8"/>
  <c r="FW128" i="8"/>
  <c r="FX128" i="8"/>
  <c r="FY128" i="8"/>
  <c r="FZ128" i="8"/>
  <c r="GA128" i="8"/>
  <c r="GB128" i="8"/>
  <c r="GC128" i="8"/>
  <c r="GD128" i="8"/>
  <c r="GE128" i="8"/>
  <c r="GF128" i="8"/>
  <c r="GG128" i="8"/>
  <c r="GH128" i="8"/>
  <c r="GI128" i="8"/>
  <c r="GJ128" i="8"/>
  <c r="GK128" i="8"/>
  <c r="GL128" i="8"/>
  <c r="GM128" i="8"/>
  <c r="GN128" i="8"/>
  <c r="GO128" i="8"/>
  <c r="GP128" i="8"/>
  <c r="GQ128" i="8"/>
  <c r="GR128" i="8"/>
  <c r="GS128" i="8"/>
  <c r="GT128" i="8"/>
  <c r="GU128" i="8"/>
  <c r="GV128" i="8"/>
  <c r="GW128" i="8"/>
  <c r="GX128" i="8"/>
  <c r="GY128" i="8"/>
  <c r="GZ128" i="8"/>
  <c r="HA128" i="8"/>
  <c r="HB128" i="8"/>
  <c r="HC128" i="8"/>
  <c r="HD128" i="8"/>
  <c r="HE128" i="8"/>
  <c r="HF128" i="8"/>
  <c r="HG128" i="8"/>
  <c r="HH128" i="8"/>
  <c r="HI128" i="8"/>
  <c r="HJ128" i="8"/>
  <c r="HK128" i="8"/>
  <c r="HL128" i="8"/>
  <c r="HM128" i="8"/>
  <c r="HN128" i="8"/>
  <c r="HO128" i="8"/>
  <c r="HP128" i="8"/>
  <c r="HQ128" i="8"/>
  <c r="HR128" i="8"/>
  <c r="HS128" i="8"/>
  <c r="HT128" i="8"/>
  <c r="HU128" i="8"/>
  <c r="HV128" i="8"/>
  <c r="HW128" i="8"/>
  <c r="HX128" i="8"/>
  <c r="HY128" i="8"/>
  <c r="HZ128" i="8"/>
  <c r="IA128" i="8"/>
  <c r="IB128" i="8"/>
  <c r="IC128" i="8"/>
  <c r="ID128" i="8"/>
  <c r="IE128" i="8"/>
  <c r="IF128" i="8"/>
  <c r="IG128" i="8"/>
  <c r="IH128" i="8"/>
  <c r="II128" i="8"/>
  <c r="IJ128" i="8"/>
  <c r="IK128" i="8"/>
  <c r="IL128" i="8"/>
  <c r="IM128" i="8"/>
  <c r="IN128" i="8"/>
  <c r="IO128" i="8"/>
  <c r="IP128" i="8"/>
  <c r="DV129" i="8"/>
  <c r="DW129" i="8"/>
  <c r="DX129" i="8"/>
  <c r="DY129" i="8"/>
  <c r="DZ129" i="8"/>
  <c r="EA129" i="8"/>
  <c r="EB129" i="8"/>
  <c r="EC129" i="8"/>
  <c r="ED129" i="8"/>
  <c r="EE129" i="8"/>
  <c r="EF129" i="8"/>
  <c r="EG129" i="8"/>
  <c r="EH129" i="8"/>
  <c r="EI129" i="8"/>
  <c r="EJ129" i="8"/>
  <c r="EK129" i="8"/>
  <c r="EL129" i="8"/>
  <c r="EM129" i="8"/>
  <c r="EN129" i="8"/>
  <c r="EO129" i="8"/>
  <c r="EP129" i="8"/>
  <c r="EQ129" i="8"/>
  <c r="ER129" i="8"/>
  <c r="ES129" i="8"/>
  <c r="ET129" i="8"/>
  <c r="EU129" i="8"/>
  <c r="EV129" i="8"/>
  <c r="EW129" i="8"/>
  <c r="EX129" i="8"/>
  <c r="EY129" i="8"/>
  <c r="EZ129" i="8"/>
  <c r="FA129" i="8"/>
  <c r="FB129" i="8"/>
  <c r="FC129" i="8"/>
  <c r="FD129" i="8"/>
  <c r="FE129" i="8"/>
  <c r="FF129" i="8"/>
  <c r="FG129" i="8"/>
  <c r="FH129" i="8"/>
  <c r="FI129" i="8"/>
  <c r="FJ129" i="8"/>
  <c r="FK129" i="8"/>
  <c r="FL129" i="8"/>
  <c r="FM129" i="8"/>
  <c r="FN129" i="8"/>
  <c r="FO129" i="8"/>
  <c r="FP129" i="8"/>
  <c r="FQ129" i="8"/>
  <c r="FR129" i="8"/>
  <c r="FS129" i="8"/>
  <c r="FT129" i="8"/>
  <c r="FU129" i="8"/>
  <c r="FV129" i="8"/>
  <c r="FW129" i="8"/>
  <c r="FX129" i="8"/>
  <c r="FY129" i="8"/>
  <c r="FZ129" i="8"/>
  <c r="GA129" i="8"/>
  <c r="GB129" i="8"/>
  <c r="GC129" i="8"/>
  <c r="GD129" i="8"/>
  <c r="GE129" i="8"/>
  <c r="GF129" i="8"/>
  <c r="GG129" i="8"/>
  <c r="GH129" i="8"/>
  <c r="GI129" i="8"/>
  <c r="GJ129" i="8"/>
  <c r="GK129" i="8"/>
  <c r="GL129" i="8"/>
  <c r="GM129" i="8"/>
  <c r="GN129" i="8"/>
  <c r="GO129" i="8"/>
  <c r="GP129" i="8"/>
  <c r="GQ129" i="8"/>
  <c r="GR129" i="8"/>
  <c r="GS129" i="8"/>
  <c r="GT129" i="8"/>
  <c r="GU129" i="8"/>
  <c r="GV129" i="8"/>
  <c r="GW129" i="8"/>
  <c r="GX129" i="8"/>
  <c r="GY129" i="8"/>
  <c r="GZ129" i="8"/>
  <c r="HA129" i="8"/>
  <c r="HB129" i="8"/>
  <c r="HC129" i="8"/>
  <c r="HD129" i="8"/>
  <c r="HE129" i="8"/>
  <c r="HF129" i="8"/>
  <c r="HG129" i="8"/>
  <c r="HH129" i="8"/>
  <c r="HI129" i="8"/>
  <c r="HJ129" i="8"/>
  <c r="HK129" i="8"/>
  <c r="HL129" i="8"/>
  <c r="HM129" i="8"/>
  <c r="HN129" i="8"/>
  <c r="HO129" i="8"/>
  <c r="HP129" i="8"/>
  <c r="HQ129" i="8"/>
  <c r="HR129" i="8"/>
  <c r="HS129" i="8"/>
  <c r="HT129" i="8"/>
  <c r="HU129" i="8"/>
  <c r="HV129" i="8"/>
  <c r="HW129" i="8"/>
  <c r="HX129" i="8"/>
  <c r="HY129" i="8"/>
  <c r="HZ129" i="8"/>
  <c r="IA129" i="8"/>
  <c r="IB129" i="8"/>
  <c r="IC129" i="8"/>
  <c r="ID129" i="8"/>
  <c r="IE129" i="8"/>
  <c r="IF129" i="8"/>
  <c r="IG129" i="8"/>
  <c r="IH129" i="8"/>
  <c r="II129" i="8"/>
  <c r="IJ129" i="8"/>
  <c r="IK129" i="8"/>
  <c r="IL129" i="8"/>
  <c r="IM129" i="8"/>
  <c r="IN129" i="8"/>
  <c r="IO129" i="8"/>
  <c r="IP129" i="8"/>
  <c r="F101" i="8"/>
  <c r="G101" i="8"/>
  <c r="H101" i="8"/>
  <c r="I101" i="8"/>
  <c r="J101" i="8"/>
  <c r="K101" i="8"/>
  <c r="L101" i="8"/>
  <c r="M101" i="8"/>
  <c r="N101" i="8"/>
  <c r="O101" i="8"/>
  <c r="P101" i="8"/>
  <c r="Q101" i="8"/>
  <c r="R101" i="8"/>
  <c r="S101" i="8"/>
  <c r="T101" i="8"/>
  <c r="U101" i="8"/>
  <c r="V101" i="8"/>
  <c r="W101" i="8"/>
  <c r="X101" i="8"/>
  <c r="Y101" i="8"/>
  <c r="Z101" i="8"/>
  <c r="AA101" i="8"/>
  <c r="AB101" i="8"/>
  <c r="AC101" i="8"/>
  <c r="AD101" i="8"/>
  <c r="AE101" i="8"/>
  <c r="AF101" i="8"/>
  <c r="AG101" i="8"/>
  <c r="AH101" i="8"/>
  <c r="AI101" i="8"/>
  <c r="AJ101" i="8"/>
  <c r="AK101" i="8"/>
  <c r="AL101" i="8"/>
  <c r="AM101" i="8"/>
  <c r="AN101" i="8"/>
  <c r="AO101" i="8"/>
  <c r="AP101" i="8"/>
  <c r="AQ101" i="8"/>
  <c r="AR101" i="8"/>
  <c r="AS101" i="8"/>
  <c r="AT101" i="8"/>
  <c r="AU101" i="8"/>
  <c r="AV101" i="8"/>
  <c r="AW101" i="8"/>
  <c r="AX101" i="8"/>
  <c r="AY101" i="8"/>
  <c r="AZ101" i="8"/>
  <c r="BA101" i="8"/>
  <c r="BB101" i="8"/>
  <c r="BC101" i="8"/>
  <c r="BD101" i="8"/>
  <c r="BE101" i="8"/>
  <c r="BF101" i="8"/>
  <c r="BG101" i="8"/>
  <c r="BH101" i="8"/>
  <c r="BI101" i="8"/>
  <c r="BJ101" i="8"/>
  <c r="BK101" i="8"/>
  <c r="BL101" i="8"/>
  <c r="BM101" i="8"/>
  <c r="BN101" i="8"/>
  <c r="BO101" i="8"/>
  <c r="BP101" i="8"/>
  <c r="BQ101" i="8"/>
  <c r="BR101" i="8"/>
  <c r="BS101" i="8"/>
  <c r="BT101" i="8"/>
  <c r="BU101" i="8"/>
  <c r="BV101" i="8"/>
  <c r="BW101" i="8"/>
  <c r="BX101" i="8"/>
  <c r="BY101" i="8"/>
  <c r="BZ101" i="8"/>
  <c r="CA101" i="8"/>
  <c r="CB101" i="8"/>
  <c r="CC101" i="8"/>
  <c r="CD101" i="8"/>
  <c r="CE101" i="8"/>
  <c r="CF101" i="8"/>
  <c r="CG101" i="8"/>
  <c r="CH101" i="8"/>
  <c r="CI101" i="8"/>
  <c r="CJ101" i="8"/>
  <c r="CK101" i="8"/>
  <c r="CL101" i="8"/>
  <c r="CM101" i="8"/>
  <c r="CN101" i="8"/>
  <c r="CO101" i="8"/>
  <c r="CP101" i="8"/>
  <c r="CQ101" i="8"/>
  <c r="CR101" i="8"/>
  <c r="CS101" i="8"/>
  <c r="CT101" i="8"/>
  <c r="CU101" i="8"/>
  <c r="CV101" i="8"/>
  <c r="CW101" i="8"/>
  <c r="CX101" i="8"/>
  <c r="CY101" i="8"/>
  <c r="CZ101" i="8"/>
  <c r="DA101" i="8"/>
  <c r="DB101" i="8"/>
  <c r="DC101" i="8"/>
  <c r="DD101" i="8"/>
  <c r="DE101" i="8"/>
  <c r="DF101" i="8"/>
  <c r="DG101" i="8"/>
  <c r="DH101" i="8"/>
  <c r="DI101" i="8"/>
  <c r="DJ101" i="8"/>
  <c r="DK101" i="8"/>
  <c r="DL101" i="8"/>
  <c r="DM101" i="8"/>
  <c r="DN101" i="8"/>
  <c r="DO101" i="8"/>
  <c r="DP101" i="8"/>
  <c r="DQ101" i="8"/>
  <c r="DR101" i="8"/>
  <c r="DS101" i="8"/>
  <c r="DT101" i="8"/>
  <c r="DU101" i="8"/>
  <c r="F102" i="8"/>
  <c r="G102" i="8"/>
  <c r="H102" i="8"/>
  <c r="I102" i="8"/>
  <c r="J102" i="8"/>
  <c r="K102" i="8"/>
  <c r="L102" i="8"/>
  <c r="M102" i="8"/>
  <c r="N102" i="8"/>
  <c r="O102" i="8"/>
  <c r="P102" i="8"/>
  <c r="Q102" i="8"/>
  <c r="R102" i="8"/>
  <c r="S102" i="8"/>
  <c r="T102" i="8"/>
  <c r="U102" i="8"/>
  <c r="V102" i="8"/>
  <c r="W102" i="8"/>
  <c r="X102" i="8"/>
  <c r="Y102" i="8"/>
  <c r="Z102" i="8"/>
  <c r="AA102" i="8"/>
  <c r="AB102" i="8"/>
  <c r="AC102" i="8"/>
  <c r="AD102" i="8"/>
  <c r="AE102" i="8"/>
  <c r="AF102" i="8"/>
  <c r="AG102" i="8"/>
  <c r="AH102" i="8"/>
  <c r="AI102" i="8"/>
  <c r="AJ102" i="8"/>
  <c r="AK102" i="8"/>
  <c r="AL102" i="8"/>
  <c r="AM102" i="8"/>
  <c r="AN102" i="8"/>
  <c r="AO102" i="8"/>
  <c r="AP102" i="8"/>
  <c r="AQ102" i="8"/>
  <c r="AR102" i="8"/>
  <c r="AS102" i="8"/>
  <c r="AT102" i="8"/>
  <c r="AU102" i="8"/>
  <c r="AV102" i="8"/>
  <c r="AW102" i="8"/>
  <c r="AX102" i="8"/>
  <c r="AY102" i="8"/>
  <c r="AZ102" i="8"/>
  <c r="BA102" i="8"/>
  <c r="BB102" i="8"/>
  <c r="BC102" i="8"/>
  <c r="BD102" i="8"/>
  <c r="BE102" i="8"/>
  <c r="BF102" i="8"/>
  <c r="BG102" i="8"/>
  <c r="BH102" i="8"/>
  <c r="BI102" i="8"/>
  <c r="BJ102" i="8"/>
  <c r="BK102" i="8"/>
  <c r="BL102" i="8"/>
  <c r="BM102" i="8"/>
  <c r="BN102" i="8"/>
  <c r="BO102" i="8"/>
  <c r="BP102" i="8"/>
  <c r="BQ102" i="8"/>
  <c r="BR102" i="8"/>
  <c r="BS102" i="8"/>
  <c r="BT102" i="8"/>
  <c r="BU102" i="8"/>
  <c r="BV102" i="8"/>
  <c r="BW102" i="8"/>
  <c r="BX102" i="8"/>
  <c r="BY102" i="8"/>
  <c r="BZ102" i="8"/>
  <c r="CA102" i="8"/>
  <c r="CB102" i="8"/>
  <c r="CC102" i="8"/>
  <c r="CD102" i="8"/>
  <c r="CE102" i="8"/>
  <c r="CF102" i="8"/>
  <c r="CG102" i="8"/>
  <c r="CH102" i="8"/>
  <c r="CI102" i="8"/>
  <c r="CJ102" i="8"/>
  <c r="CK102" i="8"/>
  <c r="CL102" i="8"/>
  <c r="CM102" i="8"/>
  <c r="CN102" i="8"/>
  <c r="CO102" i="8"/>
  <c r="CP102" i="8"/>
  <c r="CQ102" i="8"/>
  <c r="CR102" i="8"/>
  <c r="CS102" i="8"/>
  <c r="CT102" i="8"/>
  <c r="CU102" i="8"/>
  <c r="CV102" i="8"/>
  <c r="CW102" i="8"/>
  <c r="CX102" i="8"/>
  <c r="CY102" i="8"/>
  <c r="CZ102" i="8"/>
  <c r="DA102" i="8"/>
  <c r="DB102" i="8"/>
  <c r="DC102" i="8"/>
  <c r="DD102" i="8"/>
  <c r="DE102" i="8"/>
  <c r="DF102" i="8"/>
  <c r="DG102" i="8"/>
  <c r="DH102" i="8"/>
  <c r="DI102" i="8"/>
  <c r="DJ102" i="8"/>
  <c r="DK102" i="8"/>
  <c r="DL102" i="8"/>
  <c r="DM102" i="8"/>
  <c r="DN102" i="8"/>
  <c r="DO102" i="8"/>
  <c r="DP102" i="8"/>
  <c r="DQ102" i="8"/>
  <c r="DR102" i="8"/>
  <c r="DS102" i="8"/>
  <c r="DT102" i="8"/>
  <c r="DU102" i="8"/>
  <c r="F103" i="8"/>
  <c r="I103" i="8"/>
  <c r="J103" i="8"/>
  <c r="K103" i="8"/>
  <c r="N103" i="8"/>
  <c r="O103" i="8"/>
  <c r="P103" i="8"/>
  <c r="S103" i="8"/>
  <c r="T103" i="8"/>
  <c r="U103" i="8"/>
  <c r="X103" i="8"/>
  <c r="Y103" i="8"/>
  <c r="Z103" i="8"/>
  <c r="AC103" i="8"/>
  <c r="AD103" i="8"/>
  <c r="AE103" i="8"/>
  <c r="AH103" i="8"/>
  <c r="AI103" i="8"/>
  <c r="AJ103" i="8"/>
  <c r="AM103" i="8"/>
  <c r="AN103" i="8"/>
  <c r="AO103" i="8"/>
  <c r="AR103" i="8"/>
  <c r="AS103" i="8"/>
  <c r="AT103" i="8"/>
  <c r="AW103" i="8"/>
  <c r="AX103" i="8"/>
  <c r="AY103" i="8"/>
  <c r="BB103" i="8"/>
  <c r="BC103" i="8"/>
  <c r="BD103" i="8"/>
  <c r="BG103" i="8"/>
  <c r="BH103" i="8"/>
  <c r="BI103" i="8"/>
  <c r="BL103" i="8"/>
  <c r="BM103" i="8"/>
  <c r="BN103" i="8"/>
  <c r="BQ103" i="8"/>
  <c r="BR103" i="8"/>
  <c r="BS103" i="8"/>
  <c r="BV103" i="8"/>
  <c r="BW103" i="8"/>
  <c r="BX103" i="8"/>
  <c r="CA103" i="8"/>
  <c r="CB103" i="8"/>
  <c r="CC103" i="8"/>
  <c r="CF103" i="8"/>
  <c r="CG103" i="8"/>
  <c r="CH103" i="8"/>
  <c r="CK103" i="8"/>
  <c r="CL103" i="8"/>
  <c r="CM103" i="8"/>
  <c r="CP103" i="8"/>
  <c r="CQ103" i="8"/>
  <c r="CR103" i="8"/>
  <c r="CU103" i="8"/>
  <c r="CV103" i="8"/>
  <c r="CW103" i="8"/>
  <c r="CZ103" i="8"/>
  <c r="DA103" i="8"/>
  <c r="DB103" i="8"/>
  <c r="DE103" i="8"/>
  <c r="DF103" i="8"/>
  <c r="DG103" i="8"/>
  <c r="DJ103" i="8"/>
  <c r="DK103" i="8"/>
  <c r="DL103" i="8"/>
  <c r="DO103" i="8"/>
  <c r="DP103" i="8"/>
  <c r="DQ103" i="8"/>
  <c r="DT103" i="8"/>
  <c r="DU103" i="8"/>
  <c r="F104" i="8"/>
  <c r="I104" i="8"/>
  <c r="J104" i="8"/>
  <c r="K104" i="8"/>
  <c r="N104" i="8"/>
  <c r="O104" i="8"/>
  <c r="P104" i="8"/>
  <c r="S104" i="8"/>
  <c r="T104" i="8"/>
  <c r="U104" i="8"/>
  <c r="X104" i="8"/>
  <c r="Y104" i="8"/>
  <c r="Z104" i="8"/>
  <c r="AC104" i="8"/>
  <c r="AD104" i="8"/>
  <c r="AE104" i="8"/>
  <c r="AH104" i="8"/>
  <c r="AI104" i="8"/>
  <c r="AJ104" i="8"/>
  <c r="AM104" i="8"/>
  <c r="AN104" i="8"/>
  <c r="AO104" i="8"/>
  <c r="AR104" i="8"/>
  <c r="AS104" i="8"/>
  <c r="AT104" i="8"/>
  <c r="AW104" i="8"/>
  <c r="AX104" i="8"/>
  <c r="AY104" i="8"/>
  <c r="BB104" i="8"/>
  <c r="BC104" i="8"/>
  <c r="BD104" i="8"/>
  <c r="BG104" i="8"/>
  <c r="BH104" i="8"/>
  <c r="BI104" i="8"/>
  <c r="BL104" i="8"/>
  <c r="BM104" i="8"/>
  <c r="BN104" i="8"/>
  <c r="BQ104" i="8"/>
  <c r="BR104" i="8"/>
  <c r="BS104" i="8"/>
  <c r="BV104" i="8"/>
  <c r="BW104" i="8"/>
  <c r="BX104" i="8"/>
  <c r="CA104" i="8"/>
  <c r="CB104" i="8"/>
  <c r="CC104" i="8"/>
  <c r="CF104" i="8"/>
  <c r="CG104" i="8"/>
  <c r="CH104" i="8"/>
  <c r="CK104" i="8"/>
  <c r="CL104" i="8"/>
  <c r="CM104" i="8"/>
  <c r="CP104" i="8"/>
  <c r="CQ104" i="8"/>
  <c r="CR104" i="8"/>
  <c r="CU104" i="8"/>
  <c r="CV104" i="8"/>
  <c r="CW104" i="8"/>
  <c r="CZ104" i="8"/>
  <c r="DA104" i="8"/>
  <c r="DB104" i="8"/>
  <c r="DE104" i="8"/>
  <c r="DF104" i="8"/>
  <c r="DG104" i="8"/>
  <c r="DJ104" i="8"/>
  <c r="DK104" i="8"/>
  <c r="DL104" i="8"/>
  <c r="DO104" i="8"/>
  <c r="DP104" i="8"/>
  <c r="DQ104" i="8"/>
  <c r="DT104" i="8"/>
  <c r="DU104" i="8"/>
  <c r="F105" i="8"/>
  <c r="I105" i="8"/>
  <c r="J105" i="8"/>
  <c r="K105" i="8"/>
  <c r="N105" i="8"/>
  <c r="O105" i="8"/>
  <c r="P105" i="8"/>
  <c r="S105" i="8"/>
  <c r="T105" i="8"/>
  <c r="U105" i="8"/>
  <c r="X105" i="8"/>
  <c r="Y105" i="8"/>
  <c r="Z105" i="8"/>
  <c r="AC105" i="8"/>
  <c r="AD105" i="8"/>
  <c r="AE105" i="8"/>
  <c r="AH105" i="8"/>
  <c r="AI105" i="8"/>
  <c r="AJ105" i="8"/>
  <c r="AM105" i="8"/>
  <c r="AN105" i="8"/>
  <c r="AO105" i="8"/>
  <c r="AR105" i="8"/>
  <c r="AS105" i="8"/>
  <c r="AT105" i="8"/>
  <c r="AW105" i="8"/>
  <c r="AX105" i="8"/>
  <c r="AY105" i="8"/>
  <c r="BB105" i="8"/>
  <c r="BC105" i="8"/>
  <c r="BD105" i="8"/>
  <c r="BG105" i="8"/>
  <c r="BH105" i="8"/>
  <c r="BI105" i="8"/>
  <c r="BL105" i="8"/>
  <c r="BM105" i="8"/>
  <c r="BN105" i="8"/>
  <c r="BQ105" i="8"/>
  <c r="BR105" i="8"/>
  <c r="BS105" i="8"/>
  <c r="BV105" i="8"/>
  <c r="BW105" i="8"/>
  <c r="BX105" i="8"/>
  <c r="CA105" i="8"/>
  <c r="CB105" i="8"/>
  <c r="CC105" i="8"/>
  <c r="CF105" i="8"/>
  <c r="CG105" i="8"/>
  <c r="CH105" i="8"/>
  <c r="CK105" i="8"/>
  <c r="CL105" i="8"/>
  <c r="CM105" i="8"/>
  <c r="CP105" i="8"/>
  <c r="CQ105" i="8"/>
  <c r="CR105" i="8"/>
  <c r="CU105" i="8"/>
  <c r="CV105" i="8"/>
  <c r="CW105" i="8"/>
  <c r="CZ105" i="8"/>
  <c r="DA105" i="8"/>
  <c r="DB105" i="8"/>
  <c r="DE105" i="8"/>
  <c r="DF105" i="8"/>
  <c r="DG105" i="8"/>
  <c r="DJ105" i="8"/>
  <c r="DK105" i="8"/>
  <c r="DL105" i="8"/>
  <c r="DO105" i="8"/>
  <c r="DP105" i="8"/>
  <c r="DQ105" i="8"/>
  <c r="DT105" i="8"/>
  <c r="DU105" i="8"/>
  <c r="F106" i="8"/>
  <c r="I106" i="8"/>
  <c r="J106" i="8"/>
  <c r="K106" i="8"/>
  <c r="N106" i="8"/>
  <c r="O106" i="8"/>
  <c r="P106" i="8"/>
  <c r="S106" i="8"/>
  <c r="T106" i="8"/>
  <c r="U106" i="8"/>
  <c r="X106" i="8"/>
  <c r="Y106" i="8"/>
  <c r="Z106" i="8"/>
  <c r="AC106" i="8"/>
  <c r="AD106" i="8"/>
  <c r="AE106" i="8"/>
  <c r="AH106" i="8"/>
  <c r="AI106" i="8"/>
  <c r="AJ106" i="8"/>
  <c r="AM106" i="8"/>
  <c r="AN106" i="8"/>
  <c r="AO106" i="8"/>
  <c r="AR106" i="8"/>
  <c r="AS106" i="8"/>
  <c r="AT106" i="8"/>
  <c r="AW106" i="8"/>
  <c r="AX106" i="8"/>
  <c r="AY106" i="8"/>
  <c r="BB106" i="8"/>
  <c r="BC106" i="8"/>
  <c r="BD106" i="8"/>
  <c r="BG106" i="8"/>
  <c r="BH106" i="8"/>
  <c r="BI106" i="8"/>
  <c r="BL106" i="8"/>
  <c r="BM106" i="8"/>
  <c r="BN106" i="8"/>
  <c r="BQ106" i="8"/>
  <c r="BR106" i="8"/>
  <c r="BS106" i="8"/>
  <c r="BV106" i="8"/>
  <c r="BW106" i="8"/>
  <c r="BX106" i="8"/>
  <c r="CA106" i="8"/>
  <c r="CB106" i="8"/>
  <c r="CC106" i="8"/>
  <c r="CF106" i="8"/>
  <c r="CG106" i="8"/>
  <c r="CH106" i="8"/>
  <c r="CK106" i="8"/>
  <c r="CL106" i="8"/>
  <c r="CM106" i="8"/>
  <c r="CP106" i="8"/>
  <c r="CQ106" i="8"/>
  <c r="CR106" i="8"/>
  <c r="CU106" i="8"/>
  <c r="CV106" i="8"/>
  <c r="CW106" i="8"/>
  <c r="CZ106" i="8"/>
  <c r="DA106" i="8"/>
  <c r="DB106" i="8"/>
  <c r="DE106" i="8"/>
  <c r="DF106" i="8"/>
  <c r="DG106" i="8"/>
  <c r="DJ106" i="8"/>
  <c r="DK106" i="8"/>
  <c r="DL106" i="8"/>
  <c r="DO106" i="8"/>
  <c r="DP106" i="8"/>
  <c r="DQ106" i="8"/>
  <c r="DT106" i="8"/>
  <c r="DU106" i="8"/>
  <c r="F107" i="8"/>
  <c r="I107" i="8"/>
  <c r="J107" i="8"/>
  <c r="K107" i="8"/>
  <c r="N107" i="8"/>
  <c r="O107" i="8"/>
  <c r="P107" i="8"/>
  <c r="S107" i="8"/>
  <c r="T107" i="8"/>
  <c r="U107" i="8"/>
  <c r="X107" i="8"/>
  <c r="Y107" i="8"/>
  <c r="Z107" i="8"/>
  <c r="AC107" i="8"/>
  <c r="AD107" i="8"/>
  <c r="AE107" i="8"/>
  <c r="AH107" i="8"/>
  <c r="AI107" i="8"/>
  <c r="AJ107" i="8"/>
  <c r="AM107" i="8"/>
  <c r="AN107" i="8"/>
  <c r="AO107" i="8"/>
  <c r="AR107" i="8"/>
  <c r="AS107" i="8"/>
  <c r="AT107" i="8"/>
  <c r="AW107" i="8"/>
  <c r="AX107" i="8"/>
  <c r="AY107" i="8"/>
  <c r="BB107" i="8"/>
  <c r="BC107" i="8"/>
  <c r="BD107" i="8"/>
  <c r="BG107" i="8"/>
  <c r="BH107" i="8"/>
  <c r="BI107" i="8"/>
  <c r="BL107" i="8"/>
  <c r="BM107" i="8"/>
  <c r="BN107" i="8"/>
  <c r="BQ107" i="8"/>
  <c r="BR107" i="8"/>
  <c r="BS107" i="8"/>
  <c r="BV107" i="8"/>
  <c r="BW107" i="8"/>
  <c r="BX107" i="8"/>
  <c r="CA107" i="8"/>
  <c r="CB107" i="8"/>
  <c r="CC107" i="8"/>
  <c r="CF107" i="8"/>
  <c r="CG107" i="8"/>
  <c r="CH107" i="8"/>
  <c r="CK107" i="8"/>
  <c r="CL107" i="8"/>
  <c r="CM107" i="8"/>
  <c r="CP107" i="8"/>
  <c r="CQ107" i="8"/>
  <c r="CR107" i="8"/>
  <c r="CU107" i="8"/>
  <c r="CV107" i="8"/>
  <c r="CW107" i="8"/>
  <c r="CZ107" i="8"/>
  <c r="DA107" i="8"/>
  <c r="DB107" i="8"/>
  <c r="DE107" i="8"/>
  <c r="DF107" i="8"/>
  <c r="DG107" i="8"/>
  <c r="DJ107" i="8"/>
  <c r="DK107" i="8"/>
  <c r="DL107" i="8"/>
  <c r="DO107" i="8"/>
  <c r="DP107" i="8"/>
  <c r="DQ107" i="8"/>
  <c r="DT107" i="8"/>
  <c r="DU107" i="8"/>
  <c r="F108" i="8"/>
  <c r="I108" i="8"/>
  <c r="J108" i="8"/>
  <c r="K108" i="8"/>
  <c r="N108" i="8"/>
  <c r="O108" i="8"/>
  <c r="P108" i="8"/>
  <c r="S108" i="8"/>
  <c r="T108" i="8"/>
  <c r="U108" i="8"/>
  <c r="X108" i="8"/>
  <c r="Y108" i="8"/>
  <c r="Z108" i="8"/>
  <c r="AC108" i="8"/>
  <c r="AD108" i="8"/>
  <c r="AE108" i="8"/>
  <c r="AH108" i="8"/>
  <c r="AI108" i="8"/>
  <c r="AJ108" i="8"/>
  <c r="AM108" i="8"/>
  <c r="AN108" i="8"/>
  <c r="AO108" i="8"/>
  <c r="AR108" i="8"/>
  <c r="AS108" i="8"/>
  <c r="AT108" i="8"/>
  <c r="AW108" i="8"/>
  <c r="AX108" i="8"/>
  <c r="AY108" i="8"/>
  <c r="BB108" i="8"/>
  <c r="BC108" i="8"/>
  <c r="BD108" i="8"/>
  <c r="BG108" i="8"/>
  <c r="BH108" i="8"/>
  <c r="BI108" i="8"/>
  <c r="BL108" i="8"/>
  <c r="BM108" i="8"/>
  <c r="BN108" i="8"/>
  <c r="BQ108" i="8"/>
  <c r="BR108" i="8"/>
  <c r="BS108" i="8"/>
  <c r="BV108" i="8"/>
  <c r="BW108" i="8"/>
  <c r="BX108" i="8"/>
  <c r="CA108" i="8"/>
  <c r="CB108" i="8"/>
  <c r="CC108" i="8"/>
  <c r="CF108" i="8"/>
  <c r="CG108" i="8"/>
  <c r="CH108" i="8"/>
  <c r="CK108" i="8"/>
  <c r="CL108" i="8"/>
  <c r="CM108" i="8"/>
  <c r="CP108" i="8"/>
  <c r="CQ108" i="8"/>
  <c r="CR108" i="8"/>
  <c r="CU108" i="8"/>
  <c r="CV108" i="8"/>
  <c r="CW108" i="8"/>
  <c r="CZ108" i="8"/>
  <c r="DA108" i="8"/>
  <c r="DB108" i="8"/>
  <c r="DE108" i="8"/>
  <c r="DF108" i="8"/>
  <c r="DG108" i="8"/>
  <c r="DJ108" i="8"/>
  <c r="DK108" i="8"/>
  <c r="DL108" i="8"/>
  <c r="DO108" i="8"/>
  <c r="DP108" i="8"/>
  <c r="DQ108" i="8"/>
  <c r="DT108" i="8"/>
  <c r="DU108" i="8"/>
  <c r="F109" i="8"/>
  <c r="G109" i="8"/>
  <c r="H109" i="8"/>
  <c r="I109" i="8"/>
  <c r="J109" i="8"/>
  <c r="K109" i="8"/>
  <c r="L109" i="8"/>
  <c r="M109" i="8"/>
  <c r="N109" i="8"/>
  <c r="O109" i="8"/>
  <c r="P109" i="8"/>
  <c r="Q109" i="8"/>
  <c r="R109" i="8"/>
  <c r="S109" i="8"/>
  <c r="T109" i="8"/>
  <c r="U109" i="8"/>
  <c r="V109" i="8"/>
  <c r="W109" i="8"/>
  <c r="X109" i="8"/>
  <c r="Y109" i="8"/>
  <c r="Z109" i="8"/>
  <c r="AA109" i="8"/>
  <c r="AB109" i="8"/>
  <c r="AC109" i="8"/>
  <c r="AD109" i="8"/>
  <c r="AE109" i="8"/>
  <c r="AF109" i="8"/>
  <c r="AG109" i="8"/>
  <c r="AH109" i="8"/>
  <c r="AI109" i="8"/>
  <c r="AJ109" i="8"/>
  <c r="AK109" i="8"/>
  <c r="AL109" i="8"/>
  <c r="AM109" i="8"/>
  <c r="AN109" i="8"/>
  <c r="AO109" i="8"/>
  <c r="AP109" i="8"/>
  <c r="AQ109" i="8"/>
  <c r="AR109" i="8"/>
  <c r="AS109" i="8"/>
  <c r="AT109" i="8"/>
  <c r="AU109" i="8"/>
  <c r="AV109" i="8"/>
  <c r="AW109" i="8"/>
  <c r="AX109" i="8"/>
  <c r="AY109" i="8"/>
  <c r="AZ109" i="8"/>
  <c r="BA109" i="8"/>
  <c r="BB109" i="8"/>
  <c r="BC109" i="8"/>
  <c r="BD109" i="8"/>
  <c r="BE109" i="8"/>
  <c r="BF109" i="8"/>
  <c r="BG109" i="8"/>
  <c r="BH109" i="8"/>
  <c r="BI109" i="8"/>
  <c r="BJ109" i="8"/>
  <c r="BK109" i="8"/>
  <c r="BL109" i="8"/>
  <c r="BM109" i="8"/>
  <c r="BN109" i="8"/>
  <c r="BO109" i="8"/>
  <c r="BP109" i="8"/>
  <c r="BQ109" i="8"/>
  <c r="BR109" i="8"/>
  <c r="BS109" i="8"/>
  <c r="BT109" i="8"/>
  <c r="BU109" i="8"/>
  <c r="BV109" i="8"/>
  <c r="BW109" i="8"/>
  <c r="BX109" i="8"/>
  <c r="BY109" i="8"/>
  <c r="BZ109" i="8"/>
  <c r="CA109" i="8"/>
  <c r="CB109" i="8"/>
  <c r="CC109" i="8"/>
  <c r="CD109" i="8"/>
  <c r="CE109" i="8"/>
  <c r="CF109" i="8"/>
  <c r="CG109" i="8"/>
  <c r="CH109" i="8"/>
  <c r="CI109" i="8"/>
  <c r="CJ109" i="8"/>
  <c r="CK109" i="8"/>
  <c r="CL109" i="8"/>
  <c r="CM109" i="8"/>
  <c r="CN109" i="8"/>
  <c r="CO109" i="8"/>
  <c r="CP109" i="8"/>
  <c r="CQ109" i="8"/>
  <c r="CR109" i="8"/>
  <c r="CS109" i="8"/>
  <c r="CT109" i="8"/>
  <c r="CU109" i="8"/>
  <c r="CV109" i="8"/>
  <c r="CW109" i="8"/>
  <c r="CX109" i="8"/>
  <c r="CY109" i="8"/>
  <c r="CZ109" i="8"/>
  <c r="DA109" i="8"/>
  <c r="DB109" i="8"/>
  <c r="DC109" i="8"/>
  <c r="DD109" i="8"/>
  <c r="DE109" i="8"/>
  <c r="DF109" i="8"/>
  <c r="DG109" i="8"/>
  <c r="DH109" i="8"/>
  <c r="DI109" i="8"/>
  <c r="DJ109" i="8"/>
  <c r="DK109" i="8"/>
  <c r="DL109" i="8"/>
  <c r="DM109" i="8"/>
  <c r="DN109" i="8"/>
  <c r="DO109" i="8"/>
  <c r="DP109" i="8"/>
  <c r="DQ109" i="8"/>
  <c r="DR109" i="8"/>
  <c r="DS109" i="8"/>
  <c r="DT109" i="8"/>
  <c r="DU109" i="8"/>
  <c r="F110" i="8"/>
  <c r="G110" i="8"/>
  <c r="H110" i="8"/>
  <c r="I110" i="8"/>
  <c r="J110" i="8"/>
  <c r="K110" i="8"/>
  <c r="L110" i="8"/>
  <c r="M110" i="8"/>
  <c r="N110" i="8"/>
  <c r="O110" i="8"/>
  <c r="P110" i="8"/>
  <c r="Q110" i="8"/>
  <c r="R110" i="8"/>
  <c r="S110" i="8"/>
  <c r="T110" i="8"/>
  <c r="U110" i="8"/>
  <c r="V110" i="8"/>
  <c r="W110" i="8"/>
  <c r="X110" i="8"/>
  <c r="Y110" i="8"/>
  <c r="Z110" i="8"/>
  <c r="AA110" i="8"/>
  <c r="AB110" i="8"/>
  <c r="AC110" i="8"/>
  <c r="AD110" i="8"/>
  <c r="AE110" i="8"/>
  <c r="AF110" i="8"/>
  <c r="AG110" i="8"/>
  <c r="AH110" i="8"/>
  <c r="AI110" i="8"/>
  <c r="AJ110" i="8"/>
  <c r="AK110" i="8"/>
  <c r="AL110" i="8"/>
  <c r="AM110" i="8"/>
  <c r="AN110" i="8"/>
  <c r="AO110" i="8"/>
  <c r="AP110" i="8"/>
  <c r="AQ110" i="8"/>
  <c r="AR110" i="8"/>
  <c r="AS110" i="8"/>
  <c r="AT110" i="8"/>
  <c r="AU110" i="8"/>
  <c r="AV110" i="8"/>
  <c r="AW110" i="8"/>
  <c r="AX110" i="8"/>
  <c r="AY110" i="8"/>
  <c r="AZ110" i="8"/>
  <c r="BA110" i="8"/>
  <c r="BB110" i="8"/>
  <c r="BC110" i="8"/>
  <c r="BD110" i="8"/>
  <c r="BE110" i="8"/>
  <c r="BF110" i="8"/>
  <c r="BG110" i="8"/>
  <c r="BH110" i="8"/>
  <c r="BI110" i="8"/>
  <c r="BJ110" i="8"/>
  <c r="BK110" i="8"/>
  <c r="BL110" i="8"/>
  <c r="BM110" i="8"/>
  <c r="BN110" i="8"/>
  <c r="BO110" i="8"/>
  <c r="BP110" i="8"/>
  <c r="BQ110" i="8"/>
  <c r="BR110" i="8"/>
  <c r="BS110" i="8"/>
  <c r="BT110" i="8"/>
  <c r="BU110" i="8"/>
  <c r="BV110" i="8"/>
  <c r="BW110" i="8"/>
  <c r="BX110" i="8"/>
  <c r="BY110" i="8"/>
  <c r="BZ110" i="8"/>
  <c r="CA110" i="8"/>
  <c r="CB110" i="8"/>
  <c r="CC110" i="8"/>
  <c r="CD110" i="8"/>
  <c r="CE110" i="8"/>
  <c r="CF110" i="8"/>
  <c r="CG110" i="8"/>
  <c r="CH110" i="8"/>
  <c r="CI110" i="8"/>
  <c r="CJ110" i="8"/>
  <c r="CK110" i="8"/>
  <c r="CL110" i="8"/>
  <c r="CM110" i="8"/>
  <c r="CN110" i="8"/>
  <c r="CO110" i="8"/>
  <c r="CP110" i="8"/>
  <c r="CQ110" i="8"/>
  <c r="CR110" i="8"/>
  <c r="CS110" i="8"/>
  <c r="CT110" i="8"/>
  <c r="CU110" i="8"/>
  <c r="CV110" i="8"/>
  <c r="CW110" i="8"/>
  <c r="CX110" i="8"/>
  <c r="CY110" i="8"/>
  <c r="CZ110" i="8"/>
  <c r="DA110" i="8"/>
  <c r="DB110" i="8"/>
  <c r="DC110" i="8"/>
  <c r="DD110" i="8"/>
  <c r="DE110" i="8"/>
  <c r="DF110" i="8"/>
  <c r="DG110" i="8"/>
  <c r="DH110" i="8"/>
  <c r="DI110" i="8"/>
  <c r="DJ110" i="8"/>
  <c r="DK110" i="8"/>
  <c r="DL110" i="8"/>
  <c r="DM110" i="8"/>
  <c r="DN110" i="8"/>
  <c r="DO110" i="8"/>
  <c r="DP110" i="8"/>
  <c r="DQ110" i="8"/>
  <c r="DR110" i="8"/>
  <c r="DS110" i="8"/>
  <c r="DT110" i="8"/>
  <c r="DU110" i="8"/>
  <c r="F111" i="8"/>
  <c r="G111" i="8"/>
  <c r="H111" i="8"/>
  <c r="I111" i="8"/>
  <c r="J111" i="8"/>
  <c r="K111" i="8"/>
  <c r="L111" i="8"/>
  <c r="M111" i="8"/>
  <c r="N111" i="8"/>
  <c r="O111" i="8"/>
  <c r="P111" i="8"/>
  <c r="Q111" i="8"/>
  <c r="R111" i="8"/>
  <c r="S111" i="8"/>
  <c r="T111" i="8"/>
  <c r="U111" i="8"/>
  <c r="V111" i="8"/>
  <c r="W111" i="8"/>
  <c r="X111" i="8"/>
  <c r="Y111" i="8"/>
  <c r="Z111" i="8"/>
  <c r="AA111" i="8"/>
  <c r="AB111" i="8"/>
  <c r="AC111" i="8"/>
  <c r="AD111" i="8"/>
  <c r="AE111" i="8"/>
  <c r="AF111" i="8"/>
  <c r="AG111" i="8"/>
  <c r="AH111" i="8"/>
  <c r="AI111" i="8"/>
  <c r="AJ111" i="8"/>
  <c r="AK111" i="8"/>
  <c r="AL111" i="8"/>
  <c r="AM111" i="8"/>
  <c r="AN111" i="8"/>
  <c r="AO111" i="8"/>
  <c r="AP111" i="8"/>
  <c r="AQ111" i="8"/>
  <c r="AR111" i="8"/>
  <c r="AS111" i="8"/>
  <c r="AT111" i="8"/>
  <c r="AU111" i="8"/>
  <c r="AV111" i="8"/>
  <c r="AW111" i="8"/>
  <c r="AX111" i="8"/>
  <c r="AY111" i="8"/>
  <c r="AZ111" i="8"/>
  <c r="BA111" i="8"/>
  <c r="BB111" i="8"/>
  <c r="BC111" i="8"/>
  <c r="BD111" i="8"/>
  <c r="BE111" i="8"/>
  <c r="BF111" i="8"/>
  <c r="BG111" i="8"/>
  <c r="BH111" i="8"/>
  <c r="BI111" i="8"/>
  <c r="BJ111" i="8"/>
  <c r="BK111" i="8"/>
  <c r="BL111" i="8"/>
  <c r="BM111" i="8"/>
  <c r="BN111" i="8"/>
  <c r="BO111" i="8"/>
  <c r="BP111" i="8"/>
  <c r="BQ111" i="8"/>
  <c r="BR111" i="8"/>
  <c r="BS111" i="8"/>
  <c r="BT111" i="8"/>
  <c r="BU111" i="8"/>
  <c r="BV111" i="8"/>
  <c r="BW111" i="8"/>
  <c r="BX111" i="8"/>
  <c r="BY111" i="8"/>
  <c r="BZ111" i="8"/>
  <c r="CA111" i="8"/>
  <c r="CB111" i="8"/>
  <c r="CC111" i="8"/>
  <c r="CD111" i="8"/>
  <c r="CE111" i="8"/>
  <c r="CF111" i="8"/>
  <c r="CG111" i="8"/>
  <c r="CH111" i="8"/>
  <c r="CI111" i="8"/>
  <c r="CJ111" i="8"/>
  <c r="CK111" i="8"/>
  <c r="CL111" i="8"/>
  <c r="CM111" i="8"/>
  <c r="CN111" i="8"/>
  <c r="CO111" i="8"/>
  <c r="CP111" i="8"/>
  <c r="CQ111" i="8"/>
  <c r="CR111" i="8"/>
  <c r="CS111" i="8"/>
  <c r="CT111" i="8"/>
  <c r="CU111" i="8"/>
  <c r="CV111" i="8"/>
  <c r="CW111" i="8"/>
  <c r="CX111" i="8"/>
  <c r="CY111" i="8"/>
  <c r="CZ111" i="8"/>
  <c r="DA111" i="8"/>
  <c r="DB111" i="8"/>
  <c r="DC111" i="8"/>
  <c r="DD111" i="8"/>
  <c r="DE111" i="8"/>
  <c r="DF111" i="8"/>
  <c r="DG111" i="8"/>
  <c r="DH111" i="8"/>
  <c r="DI111" i="8"/>
  <c r="DJ111" i="8"/>
  <c r="DK111" i="8"/>
  <c r="DL111" i="8"/>
  <c r="DM111" i="8"/>
  <c r="DN111" i="8"/>
  <c r="DO111" i="8"/>
  <c r="DP111" i="8"/>
  <c r="DQ111" i="8"/>
  <c r="DR111" i="8"/>
  <c r="DS111" i="8"/>
  <c r="DT111" i="8"/>
  <c r="DU111" i="8"/>
  <c r="F112" i="8"/>
  <c r="G112" i="8"/>
  <c r="H112" i="8"/>
  <c r="I112" i="8"/>
  <c r="J112" i="8"/>
  <c r="K112" i="8"/>
  <c r="L112" i="8"/>
  <c r="M112" i="8"/>
  <c r="N112" i="8"/>
  <c r="O112" i="8"/>
  <c r="P112" i="8"/>
  <c r="Q112" i="8"/>
  <c r="R112" i="8"/>
  <c r="S112" i="8"/>
  <c r="T112" i="8"/>
  <c r="U112" i="8"/>
  <c r="V112" i="8"/>
  <c r="W112" i="8"/>
  <c r="X112" i="8"/>
  <c r="Y112" i="8"/>
  <c r="Z112" i="8"/>
  <c r="AA112" i="8"/>
  <c r="AB112" i="8"/>
  <c r="AC112" i="8"/>
  <c r="AD112" i="8"/>
  <c r="AE112" i="8"/>
  <c r="AF112" i="8"/>
  <c r="AG112" i="8"/>
  <c r="AH112" i="8"/>
  <c r="AI112" i="8"/>
  <c r="AJ112" i="8"/>
  <c r="AK112" i="8"/>
  <c r="AL112" i="8"/>
  <c r="AM112" i="8"/>
  <c r="AN112" i="8"/>
  <c r="AO112" i="8"/>
  <c r="AP112" i="8"/>
  <c r="AQ112" i="8"/>
  <c r="AR112" i="8"/>
  <c r="AS112" i="8"/>
  <c r="AT112" i="8"/>
  <c r="AU112" i="8"/>
  <c r="AV112" i="8"/>
  <c r="AW112" i="8"/>
  <c r="AX112" i="8"/>
  <c r="AY112" i="8"/>
  <c r="AZ112" i="8"/>
  <c r="BA112" i="8"/>
  <c r="BB112" i="8"/>
  <c r="BC112" i="8"/>
  <c r="BD112" i="8"/>
  <c r="BE112" i="8"/>
  <c r="BF112" i="8"/>
  <c r="BG112" i="8"/>
  <c r="BH112" i="8"/>
  <c r="BI112" i="8"/>
  <c r="BJ112" i="8"/>
  <c r="BK112" i="8"/>
  <c r="BL112" i="8"/>
  <c r="BM112" i="8"/>
  <c r="BN112" i="8"/>
  <c r="BO112" i="8"/>
  <c r="BP112" i="8"/>
  <c r="BQ112" i="8"/>
  <c r="BR112" i="8"/>
  <c r="BS112" i="8"/>
  <c r="BT112" i="8"/>
  <c r="BU112" i="8"/>
  <c r="BV112" i="8"/>
  <c r="BW112" i="8"/>
  <c r="BX112" i="8"/>
  <c r="BY112" i="8"/>
  <c r="BZ112" i="8"/>
  <c r="CA112" i="8"/>
  <c r="CB112" i="8"/>
  <c r="CC112" i="8"/>
  <c r="CD112" i="8"/>
  <c r="CE112" i="8"/>
  <c r="CF112" i="8"/>
  <c r="CG112" i="8"/>
  <c r="CH112" i="8"/>
  <c r="CI112" i="8"/>
  <c r="CJ112" i="8"/>
  <c r="CK112" i="8"/>
  <c r="CL112" i="8"/>
  <c r="CM112" i="8"/>
  <c r="CN112" i="8"/>
  <c r="CO112" i="8"/>
  <c r="CP112" i="8"/>
  <c r="CQ112" i="8"/>
  <c r="CR112" i="8"/>
  <c r="CS112" i="8"/>
  <c r="CT112" i="8"/>
  <c r="CU112" i="8"/>
  <c r="CV112" i="8"/>
  <c r="CW112" i="8"/>
  <c r="CX112" i="8"/>
  <c r="CY112" i="8"/>
  <c r="CZ112" i="8"/>
  <c r="DA112" i="8"/>
  <c r="DB112" i="8"/>
  <c r="DC112" i="8"/>
  <c r="DD112" i="8"/>
  <c r="DE112" i="8"/>
  <c r="DF112" i="8"/>
  <c r="DG112" i="8"/>
  <c r="DH112" i="8"/>
  <c r="DI112" i="8"/>
  <c r="DJ112" i="8"/>
  <c r="DK112" i="8"/>
  <c r="DL112" i="8"/>
  <c r="DM112" i="8"/>
  <c r="DN112" i="8"/>
  <c r="DO112" i="8"/>
  <c r="DP112" i="8"/>
  <c r="DQ112" i="8"/>
  <c r="DR112" i="8"/>
  <c r="DS112" i="8"/>
  <c r="DT112" i="8"/>
  <c r="DU112" i="8"/>
  <c r="F113" i="8"/>
  <c r="G113" i="8"/>
  <c r="H113" i="8"/>
  <c r="I113" i="8"/>
  <c r="J113" i="8"/>
  <c r="K113" i="8"/>
  <c r="L113" i="8"/>
  <c r="M113" i="8"/>
  <c r="N113" i="8"/>
  <c r="O113" i="8"/>
  <c r="P113" i="8"/>
  <c r="Q113" i="8"/>
  <c r="R113" i="8"/>
  <c r="S113" i="8"/>
  <c r="T113" i="8"/>
  <c r="U113" i="8"/>
  <c r="V113" i="8"/>
  <c r="W113" i="8"/>
  <c r="X113" i="8"/>
  <c r="Y113" i="8"/>
  <c r="Z113" i="8"/>
  <c r="AA113" i="8"/>
  <c r="AB113" i="8"/>
  <c r="AC113" i="8"/>
  <c r="AD113" i="8"/>
  <c r="AE113" i="8"/>
  <c r="AF113" i="8"/>
  <c r="AG113" i="8"/>
  <c r="AH113" i="8"/>
  <c r="AI113" i="8"/>
  <c r="AJ113" i="8"/>
  <c r="AK113" i="8"/>
  <c r="AL113" i="8"/>
  <c r="AM113" i="8"/>
  <c r="AN113" i="8"/>
  <c r="AO113" i="8"/>
  <c r="AP113" i="8"/>
  <c r="AQ113" i="8"/>
  <c r="AR113" i="8"/>
  <c r="AS113" i="8"/>
  <c r="AT113" i="8"/>
  <c r="AU113" i="8"/>
  <c r="AV113" i="8"/>
  <c r="AW113" i="8"/>
  <c r="AX113" i="8"/>
  <c r="AY113" i="8"/>
  <c r="AZ113" i="8"/>
  <c r="BA113" i="8"/>
  <c r="BB113" i="8"/>
  <c r="BC113" i="8"/>
  <c r="BD113" i="8"/>
  <c r="BE113" i="8"/>
  <c r="BF113" i="8"/>
  <c r="BG113" i="8"/>
  <c r="BH113" i="8"/>
  <c r="BI113" i="8"/>
  <c r="BJ113" i="8"/>
  <c r="BK113" i="8"/>
  <c r="BL113" i="8"/>
  <c r="BM113" i="8"/>
  <c r="BN113" i="8"/>
  <c r="BO113" i="8"/>
  <c r="BP113" i="8"/>
  <c r="BQ113" i="8"/>
  <c r="BR113" i="8"/>
  <c r="BS113" i="8"/>
  <c r="BT113" i="8"/>
  <c r="BU113" i="8"/>
  <c r="BV113" i="8"/>
  <c r="BW113" i="8"/>
  <c r="BX113" i="8"/>
  <c r="BY113" i="8"/>
  <c r="BZ113" i="8"/>
  <c r="CA113" i="8"/>
  <c r="CB113" i="8"/>
  <c r="CC113" i="8"/>
  <c r="CD113" i="8"/>
  <c r="CE113" i="8"/>
  <c r="CF113" i="8"/>
  <c r="CG113" i="8"/>
  <c r="CH113" i="8"/>
  <c r="CI113" i="8"/>
  <c r="CJ113" i="8"/>
  <c r="CK113" i="8"/>
  <c r="CL113" i="8"/>
  <c r="CM113" i="8"/>
  <c r="CN113" i="8"/>
  <c r="CO113" i="8"/>
  <c r="CP113" i="8"/>
  <c r="CQ113" i="8"/>
  <c r="CR113" i="8"/>
  <c r="CS113" i="8"/>
  <c r="CT113" i="8"/>
  <c r="CU113" i="8"/>
  <c r="CV113" i="8"/>
  <c r="CW113" i="8"/>
  <c r="CX113" i="8"/>
  <c r="CY113" i="8"/>
  <c r="CZ113" i="8"/>
  <c r="DA113" i="8"/>
  <c r="DB113" i="8"/>
  <c r="DC113" i="8"/>
  <c r="DD113" i="8"/>
  <c r="DE113" i="8"/>
  <c r="DF113" i="8"/>
  <c r="DG113" i="8"/>
  <c r="DH113" i="8"/>
  <c r="DI113" i="8"/>
  <c r="DJ113" i="8"/>
  <c r="DK113" i="8"/>
  <c r="DL113" i="8"/>
  <c r="DM113" i="8"/>
  <c r="DN113" i="8"/>
  <c r="DO113" i="8"/>
  <c r="DP113" i="8"/>
  <c r="DQ113" i="8"/>
  <c r="DR113" i="8"/>
  <c r="DS113" i="8"/>
  <c r="DT113" i="8"/>
  <c r="DU113" i="8"/>
  <c r="F114" i="8"/>
  <c r="G114" i="8"/>
  <c r="H114" i="8"/>
  <c r="I114" i="8"/>
  <c r="J114" i="8"/>
  <c r="K114" i="8"/>
  <c r="L114" i="8"/>
  <c r="M114" i="8"/>
  <c r="N114" i="8"/>
  <c r="O114" i="8"/>
  <c r="P114" i="8"/>
  <c r="Q114" i="8"/>
  <c r="R114" i="8"/>
  <c r="S114" i="8"/>
  <c r="T114" i="8"/>
  <c r="U114" i="8"/>
  <c r="V114" i="8"/>
  <c r="W114" i="8"/>
  <c r="X114" i="8"/>
  <c r="Y114" i="8"/>
  <c r="Z114" i="8"/>
  <c r="AA114" i="8"/>
  <c r="AB114" i="8"/>
  <c r="AC114" i="8"/>
  <c r="AD114" i="8"/>
  <c r="AE114" i="8"/>
  <c r="AF114" i="8"/>
  <c r="AG114" i="8"/>
  <c r="AH114" i="8"/>
  <c r="AI114" i="8"/>
  <c r="AJ114" i="8"/>
  <c r="AK114" i="8"/>
  <c r="AL114" i="8"/>
  <c r="AM114" i="8"/>
  <c r="AN114" i="8"/>
  <c r="AO114" i="8"/>
  <c r="AP114" i="8"/>
  <c r="AQ114" i="8"/>
  <c r="AR114" i="8"/>
  <c r="AS114" i="8"/>
  <c r="AT114" i="8"/>
  <c r="AU114" i="8"/>
  <c r="AV114" i="8"/>
  <c r="AW114" i="8"/>
  <c r="AX114" i="8"/>
  <c r="AY114" i="8"/>
  <c r="AZ114" i="8"/>
  <c r="BA114" i="8"/>
  <c r="BB114" i="8"/>
  <c r="BC114" i="8"/>
  <c r="BD114" i="8"/>
  <c r="BE114" i="8"/>
  <c r="BF114" i="8"/>
  <c r="BG114" i="8"/>
  <c r="BH114" i="8"/>
  <c r="BI114" i="8"/>
  <c r="BJ114" i="8"/>
  <c r="BK114" i="8"/>
  <c r="BL114" i="8"/>
  <c r="BM114" i="8"/>
  <c r="BN114" i="8"/>
  <c r="BO114" i="8"/>
  <c r="BP114" i="8"/>
  <c r="BQ114" i="8"/>
  <c r="BR114" i="8"/>
  <c r="BS114" i="8"/>
  <c r="BT114" i="8"/>
  <c r="BU114" i="8"/>
  <c r="BV114" i="8"/>
  <c r="BW114" i="8"/>
  <c r="BX114" i="8"/>
  <c r="BY114" i="8"/>
  <c r="BZ114" i="8"/>
  <c r="CA114" i="8"/>
  <c r="CB114" i="8"/>
  <c r="CC114" i="8"/>
  <c r="CD114" i="8"/>
  <c r="CE114" i="8"/>
  <c r="CF114" i="8"/>
  <c r="CG114" i="8"/>
  <c r="CH114" i="8"/>
  <c r="CI114" i="8"/>
  <c r="CJ114" i="8"/>
  <c r="CK114" i="8"/>
  <c r="CL114" i="8"/>
  <c r="CM114" i="8"/>
  <c r="CN114" i="8"/>
  <c r="CO114" i="8"/>
  <c r="CP114" i="8"/>
  <c r="CQ114" i="8"/>
  <c r="CR114" i="8"/>
  <c r="CS114" i="8"/>
  <c r="CT114" i="8"/>
  <c r="CU114" i="8"/>
  <c r="CV114" i="8"/>
  <c r="CW114" i="8"/>
  <c r="CX114" i="8"/>
  <c r="CY114" i="8"/>
  <c r="CZ114" i="8"/>
  <c r="DA114" i="8"/>
  <c r="DB114" i="8"/>
  <c r="DC114" i="8"/>
  <c r="DD114" i="8"/>
  <c r="DE114" i="8"/>
  <c r="DF114" i="8"/>
  <c r="DG114" i="8"/>
  <c r="DH114" i="8"/>
  <c r="DI114" i="8"/>
  <c r="DJ114" i="8"/>
  <c r="DK114" i="8"/>
  <c r="DL114" i="8"/>
  <c r="DM114" i="8"/>
  <c r="DN114" i="8"/>
  <c r="DO114" i="8"/>
  <c r="DP114" i="8"/>
  <c r="DQ114" i="8"/>
  <c r="DR114" i="8"/>
  <c r="DS114" i="8"/>
  <c r="DT114" i="8"/>
  <c r="DU114" i="8"/>
  <c r="F115" i="8"/>
  <c r="G115" i="8"/>
  <c r="H115" i="8"/>
  <c r="I115" i="8"/>
  <c r="J115" i="8"/>
  <c r="K115" i="8"/>
  <c r="L115" i="8"/>
  <c r="M115" i="8"/>
  <c r="N115" i="8"/>
  <c r="O115" i="8"/>
  <c r="P115" i="8"/>
  <c r="Q115" i="8"/>
  <c r="R115" i="8"/>
  <c r="S115" i="8"/>
  <c r="T115" i="8"/>
  <c r="U115" i="8"/>
  <c r="V115" i="8"/>
  <c r="W115" i="8"/>
  <c r="X115" i="8"/>
  <c r="Y115" i="8"/>
  <c r="Z115" i="8"/>
  <c r="AA115" i="8"/>
  <c r="AB115" i="8"/>
  <c r="AC115" i="8"/>
  <c r="AD115" i="8"/>
  <c r="AE115" i="8"/>
  <c r="AF115" i="8"/>
  <c r="AG115" i="8"/>
  <c r="AH115" i="8"/>
  <c r="AI115" i="8"/>
  <c r="AJ115" i="8"/>
  <c r="AK115" i="8"/>
  <c r="AL115" i="8"/>
  <c r="AM115" i="8"/>
  <c r="AN115" i="8"/>
  <c r="AO115" i="8"/>
  <c r="AP115" i="8"/>
  <c r="AQ115" i="8"/>
  <c r="AR115" i="8"/>
  <c r="AS115" i="8"/>
  <c r="AT115" i="8"/>
  <c r="AU115" i="8"/>
  <c r="AV115" i="8"/>
  <c r="AW115" i="8"/>
  <c r="AX115" i="8"/>
  <c r="AY115" i="8"/>
  <c r="AZ115" i="8"/>
  <c r="BA115" i="8"/>
  <c r="BB115" i="8"/>
  <c r="BC115" i="8"/>
  <c r="BD115" i="8"/>
  <c r="BE115" i="8"/>
  <c r="BF115" i="8"/>
  <c r="BG115" i="8"/>
  <c r="BH115" i="8"/>
  <c r="BI115" i="8"/>
  <c r="BJ115" i="8"/>
  <c r="BK115" i="8"/>
  <c r="BL115" i="8"/>
  <c r="BM115" i="8"/>
  <c r="BN115" i="8"/>
  <c r="BO115" i="8"/>
  <c r="BP115" i="8"/>
  <c r="BQ115" i="8"/>
  <c r="BR115" i="8"/>
  <c r="BS115" i="8"/>
  <c r="BT115" i="8"/>
  <c r="BU115" i="8"/>
  <c r="BV115" i="8"/>
  <c r="BW115" i="8"/>
  <c r="BX115" i="8"/>
  <c r="BY115" i="8"/>
  <c r="BZ115" i="8"/>
  <c r="CA115" i="8"/>
  <c r="CB115" i="8"/>
  <c r="CC115" i="8"/>
  <c r="CD115" i="8"/>
  <c r="CE115" i="8"/>
  <c r="CF115" i="8"/>
  <c r="CG115" i="8"/>
  <c r="CH115" i="8"/>
  <c r="CI115" i="8"/>
  <c r="CJ115" i="8"/>
  <c r="CK115" i="8"/>
  <c r="CL115" i="8"/>
  <c r="CM115" i="8"/>
  <c r="CN115" i="8"/>
  <c r="CO115" i="8"/>
  <c r="CP115" i="8"/>
  <c r="CQ115" i="8"/>
  <c r="CR115" i="8"/>
  <c r="CS115" i="8"/>
  <c r="CT115" i="8"/>
  <c r="CU115" i="8"/>
  <c r="CV115" i="8"/>
  <c r="CW115" i="8"/>
  <c r="CX115" i="8"/>
  <c r="CY115" i="8"/>
  <c r="CZ115" i="8"/>
  <c r="DA115" i="8"/>
  <c r="DB115" i="8"/>
  <c r="DC115" i="8"/>
  <c r="DD115" i="8"/>
  <c r="DE115" i="8"/>
  <c r="DF115" i="8"/>
  <c r="DG115" i="8"/>
  <c r="DH115" i="8"/>
  <c r="DI115" i="8"/>
  <c r="DJ115" i="8"/>
  <c r="DK115" i="8"/>
  <c r="DL115" i="8"/>
  <c r="DM115" i="8"/>
  <c r="DN115" i="8"/>
  <c r="DO115" i="8"/>
  <c r="DP115" i="8"/>
  <c r="DQ115" i="8"/>
  <c r="DR115" i="8"/>
  <c r="DS115" i="8"/>
  <c r="DT115" i="8"/>
  <c r="DU115" i="8"/>
  <c r="F116" i="8"/>
  <c r="G116" i="8"/>
  <c r="H116" i="8"/>
  <c r="I116" i="8"/>
  <c r="J116" i="8"/>
  <c r="K116" i="8"/>
  <c r="L116" i="8"/>
  <c r="M116" i="8"/>
  <c r="N116" i="8"/>
  <c r="O116" i="8"/>
  <c r="P116" i="8"/>
  <c r="Q116" i="8"/>
  <c r="R116" i="8"/>
  <c r="S116" i="8"/>
  <c r="T116" i="8"/>
  <c r="U116" i="8"/>
  <c r="V116" i="8"/>
  <c r="W116" i="8"/>
  <c r="X116" i="8"/>
  <c r="Y116" i="8"/>
  <c r="Z116" i="8"/>
  <c r="AA116" i="8"/>
  <c r="AB116" i="8"/>
  <c r="AC116" i="8"/>
  <c r="AD116" i="8"/>
  <c r="AE116" i="8"/>
  <c r="AF116" i="8"/>
  <c r="AG116" i="8"/>
  <c r="AH116" i="8"/>
  <c r="AI116" i="8"/>
  <c r="AJ116" i="8"/>
  <c r="AK116" i="8"/>
  <c r="AL116" i="8"/>
  <c r="AM116" i="8"/>
  <c r="AN116" i="8"/>
  <c r="AO116" i="8"/>
  <c r="AP116" i="8"/>
  <c r="AQ116" i="8"/>
  <c r="AR116" i="8"/>
  <c r="AS116" i="8"/>
  <c r="AT116" i="8"/>
  <c r="AU116" i="8"/>
  <c r="AV116" i="8"/>
  <c r="AW116" i="8"/>
  <c r="AX116" i="8"/>
  <c r="AY116" i="8"/>
  <c r="AZ116" i="8"/>
  <c r="BA116" i="8"/>
  <c r="BB116" i="8"/>
  <c r="BC116" i="8"/>
  <c r="BD116" i="8"/>
  <c r="BE116" i="8"/>
  <c r="BF116" i="8"/>
  <c r="BG116" i="8"/>
  <c r="BH116" i="8"/>
  <c r="BI116" i="8"/>
  <c r="BJ116" i="8"/>
  <c r="BK116" i="8"/>
  <c r="BL116" i="8"/>
  <c r="BM116" i="8"/>
  <c r="BN116" i="8"/>
  <c r="BO116" i="8"/>
  <c r="BP116" i="8"/>
  <c r="BQ116" i="8"/>
  <c r="BR116" i="8"/>
  <c r="BS116" i="8"/>
  <c r="BT116" i="8"/>
  <c r="BU116" i="8"/>
  <c r="BV116" i="8"/>
  <c r="BW116" i="8"/>
  <c r="BX116" i="8"/>
  <c r="BY116" i="8"/>
  <c r="BZ116" i="8"/>
  <c r="CA116" i="8"/>
  <c r="CB116" i="8"/>
  <c r="CC116" i="8"/>
  <c r="CD116" i="8"/>
  <c r="CE116" i="8"/>
  <c r="CF116" i="8"/>
  <c r="CG116" i="8"/>
  <c r="CH116" i="8"/>
  <c r="CI116" i="8"/>
  <c r="CJ116" i="8"/>
  <c r="CK116" i="8"/>
  <c r="CL116" i="8"/>
  <c r="CM116" i="8"/>
  <c r="CN116" i="8"/>
  <c r="CO116" i="8"/>
  <c r="CP116" i="8"/>
  <c r="CQ116" i="8"/>
  <c r="CR116" i="8"/>
  <c r="CS116" i="8"/>
  <c r="CT116" i="8"/>
  <c r="CU116" i="8"/>
  <c r="CV116" i="8"/>
  <c r="CW116" i="8"/>
  <c r="CX116" i="8"/>
  <c r="CY116" i="8"/>
  <c r="CZ116" i="8"/>
  <c r="DA116" i="8"/>
  <c r="DB116" i="8"/>
  <c r="DC116" i="8"/>
  <c r="DD116" i="8"/>
  <c r="DE116" i="8"/>
  <c r="DF116" i="8"/>
  <c r="DG116" i="8"/>
  <c r="DH116" i="8"/>
  <c r="DI116" i="8"/>
  <c r="DJ116" i="8"/>
  <c r="DK116" i="8"/>
  <c r="DL116" i="8"/>
  <c r="DM116" i="8"/>
  <c r="DN116" i="8"/>
  <c r="DO116" i="8"/>
  <c r="DP116" i="8"/>
  <c r="DQ116" i="8"/>
  <c r="DR116" i="8"/>
  <c r="DS116" i="8"/>
  <c r="DT116" i="8"/>
  <c r="DU116" i="8"/>
  <c r="F117" i="8"/>
  <c r="G117" i="8"/>
  <c r="H117" i="8"/>
  <c r="I117" i="8"/>
  <c r="J117" i="8"/>
  <c r="K117" i="8"/>
  <c r="L117" i="8"/>
  <c r="M117" i="8"/>
  <c r="N117" i="8"/>
  <c r="O117" i="8"/>
  <c r="P117" i="8"/>
  <c r="Q117" i="8"/>
  <c r="R117" i="8"/>
  <c r="S117" i="8"/>
  <c r="T117" i="8"/>
  <c r="U117" i="8"/>
  <c r="V117" i="8"/>
  <c r="W117" i="8"/>
  <c r="X117" i="8"/>
  <c r="Y117" i="8"/>
  <c r="Z117" i="8"/>
  <c r="AA117" i="8"/>
  <c r="AB117" i="8"/>
  <c r="AC117" i="8"/>
  <c r="AD117" i="8"/>
  <c r="AE117" i="8"/>
  <c r="AF117" i="8"/>
  <c r="AG117" i="8"/>
  <c r="AH117" i="8"/>
  <c r="AI117" i="8"/>
  <c r="AJ117" i="8"/>
  <c r="AK117" i="8"/>
  <c r="AL117" i="8"/>
  <c r="AM117" i="8"/>
  <c r="AN117" i="8"/>
  <c r="AO117" i="8"/>
  <c r="AP117" i="8"/>
  <c r="AQ117" i="8"/>
  <c r="AR117" i="8"/>
  <c r="AS117" i="8"/>
  <c r="AT117" i="8"/>
  <c r="AU117" i="8"/>
  <c r="AV117" i="8"/>
  <c r="AW117" i="8"/>
  <c r="AX117" i="8"/>
  <c r="AY117" i="8"/>
  <c r="AZ117" i="8"/>
  <c r="BA117" i="8"/>
  <c r="BB117" i="8"/>
  <c r="BC117" i="8"/>
  <c r="BD117" i="8"/>
  <c r="BE117" i="8"/>
  <c r="BF117" i="8"/>
  <c r="BG117" i="8"/>
  <c r="BH117" i="8"/>
  <c r="BI117" i="8"/>
  <c r="BJ117" i="8"/>
  <c r="BK117" i="8"/>
  <c r="BL117" i="8"/>
  <c r="BM117" i="8"/>
  <c r="BN117" i="8"/>
  <c r="BO117" i="8"/>
  <c r="BP117" i="8"/>
  <c r="BQ117" i="8"/>
  <c r="BR117" i="8"/>
  <c r="BS117" i="8"/>
  <c r="BT117" i="8"/>
  <c r="BU117" i="8"/>
  <c r="BV117" i="8"/>
  <c r="BW117" i="8"/>
  <c r="BX117" i="8"/>
  <c r="BY117" i="8"/>
  <c r="BZ117" i="8"/>
  <c r="CA117" i="8"/>
  <c r="CB117" i="8"/>
  <c r="CC117" i="8"/>
  <c r="CD117" i="8"/>
  <c r="CE117" i="8"/>
  <c r="CF117" i="8"/>
  <c r="CG117" i="8"/>
  <c r="CH117" i="8"/>
  <c r="CI117" i="8"/>
  <c r="CJ117" i="8"/>
  <c r="CK117" i="8"/>
  <c r="CL117" i="8"/>
  <c r="CM117" i="8"/>
  <c r="CN117" i="8"/>
  <c r="CO117" i="8"/>
  <c r="CP117" i="8"/>
  <c r="CQ117" i="8"/>
  <c r="CR117" i="8"/>
  <c r="CS117" i="8"/>
  <c r="CT117" i="8"/>
  <c r="CU117" i="8"/>
  <c r="CV117" i="8"/>
  <c r="CW117" i="8"/>
  <c r="CX117" i="8"/>
  <c r="CY117" i="8"/>
  <c r="CZ117" i="8"/>
  <c r="DA117" i="8"/>
  <c r="DB117" i="8"/>
  <c r="DC117" i="8"/>
  <c r="DD117" i="8"/>
  <c r="DE117" i="8"/>
  <c r="DF117" i="8"/>
  <c r="DG117" i="8"/>
  <c r="DH117" i="8"/>
  <c r="DI117" i="8"/>
  <c r="DJ117" i="8"/>
  <c r="DK117" i="8"/>
  <c r="DL117" i="8"/>
  <c r="DM117" i="8"/>
  <c r="DN117" i="8"/>
  <c r="DO117" i="8"/>
  <c r="DP117" i="8"/>
  <c r="DQ117" i="8"/>
  <c r="DR117" i="8"/>
  <c r="DS117" i="8"/>
  <c r="DT117" i="8"/>
  <c r="DU117" i="8"/>
  <c r="F118" i="8"/>
  <c r="G118" i="8"/>
  <c r="H118" i="8"/>
  <c r="I118" i="8"/>
  <c r="J118" i="8"/>
  <c r="K118" i="8"/>
  <c r="L118" i="8"/>
  <c r="M118" i="8"/>
  <c r="N118" i="8"/>
  <c r="O118" i="8"/>
  <c r="P118" i="8"/>
  <c r="Q118" i="8"/>
  <c r="R118" i="8"/>
  <c r="S118" i="8"/>
  <c r="T118" i="8"/>
  <c r="U118" i="8"/>
  <c r="V118" i="8"/>
  <c r="W118" i="8"/>
  <c r="X118" i="8"/>
  <c r="Y118" i="8"/>
  <c r="Z118" i="8"/>
  <c r="AA118" i="8"/>
  <c r="AB118" i="8"/>
  <c r="AC118" i="8"/>
  <c r="AD118" i="8"/>
  <c r="AE118" i="8"/>
  <c r="AF118" i="8"/>
  <c r="AG118" i="8"/>
  <c r="AH118" i="8"/>
  <c r="AI118" i="8"/>
  <c r="AJ118" i="8"/>
  <c r="AK118" i="8"/>
  <c r="AL118" i="8"/>
  <c r="AM118" i="8"/>
  <c r="AN118" i="8"/>
  <c r="AO118" i="8"/>
  <c r="AP118" i="8"/>
  <c r="AQ118" i="8"/>
  <c r="AR118" i="8"/>
  <c r="AS118" i="8"/>
  <c r="AT118" i="8"/>
  <c r="AU118" i="8"/>
  <c r="AV118" i="8"/>
  <c r="AW118" i="8"/>
  <c r="AX118" i="8"/>
  <c r="AY118" i="8"/>
  <c r="AZ118" i="8"/>
  <c r="BA118" i="8"/>
  <c r="BB118" i="8"/>
  <c r="BC118" i="8"/>
  <c r="BD118" i="8"/>
  <c r="BE118" i="8"/>
  <c r="BF118" i="8"/>
  <c r="BG118" i="8"/>
  <c r="BH118" i="8"/>
  <c r="BI118" i="8"/>
  <c r="BJ118" i="8"/>
  <c r="BK118" i="8"/>
  <c r="BL118" i="8"/>
  <c r="BM118" i="8"/>
  <c r="BN118" i="8"/>
  <c r="BO118" i="8"/>
  <c r="BP118" i="8"/>
  <c r="BQ118" i="8"/>
  <c r="BR118" i="8"/>
  <c r="BS118" i="8"/>
  <c r="BT118" i="8"/>
  <c r="BU118" i="8"/>
  <c r="BV118" i="8"/>
  <c r="BW118" i="8"/>
  <c r="BX118" i="8"/>
  <c r="BY118" i="8"/>
  <c r="BZ118" i="8"/>
  <c r="CA118" i="8"/>
  <c r="CB118" i="8"/>
  <c r="CC118" i="8"/>
  <c r="CD118" i="8"/>
  <c r="CE118" i="8"/>
  <c r="CF118" i="8"/>
  <c r="CG118" i="8"/>
  <c r="CH118" i="8"/>
  <c r="CI118" i="8"/>
  <c r="CJ118" i="8"/>
  <c r="CK118" i="8"/>
  <c r="CL118" i="8"/>
  <c r="CM118" i="8"/>
  <c r="CN118" i="8"/>
  <c r="CO118" i="8"/>
  <c r="CP118" i="8"/>
  <c r="CQ118" i="8"/>
  <c r="CR118" i="8"/>
  <c r="CS118" i="8"/>
  <c r="CT118" i="8"/>
  <c r="CU118" i="8"/>
  <c r="CV118" i="8"/>
  <c r="CW118" i="8"/>
  <c r="CX118" i="8"/>
  <c r="CY118" i="8"/>
  <c r="CZ118" i="8"/>
  <c r="DA118" i="8"/>
  <c r="DB118" i="8"/>
  <c r="DC118" i="8"/>
  <c r="DD118" i="8"/>
  <c r="DE118" i="8"/>
  <c r="DF118" i="8"/>
  <c r="DG118" i="8"/>
  <c r="DH118" i="8"/>
  <c r="DI118" i="8"/>
  <c r="DJ118" i="8"/>
  <c r="DK118" i="8"/>
  <c r="DL118" i="8"/>
  <c r="DM118" i="8"/>
  <c r="DN118" i="8"/>
  <c r="DO118" i="8"/>
  <c r="DP118" i="8"/>
  <c r="DQ118" i="8"/>
  <c r="DR118" i="8"/>
  <c r="DS118" i="8"/>
  <c r="DT118" i="8"/>
  <c r="DU118" i="8"/>
  <c r="F119" i="8"/>
  <c r="G119" i="8"/>
  <c r="H119" i="8"/>
  <c r="I119" i="8"/>
  <c r="J119" i="8"/>
  <c r="K119" i="8"/>
  <c r="L119" i="8"/>
  <c r="M119" i="8"/>
  <c r="N119" i="8"/>
  <c r="O119" i="8"/>
  <c r="P119" i="8"/>
  <c r="Q119" i="8"/>
  <c r="R119" i="8"/>
  <c r="S119" i="8"/>
  <c r="T119" i="8"/>
  <c r="U119" i="8"/>
  <c r="V119" i="8"/>
  <c r="W119" i="8"/>
  <c r="X119" i="8"/>
  <c r="Y119" i="8"/>
  <c r="Z119" i="8"/>
  <c r="AA119" i="8"/>
  <c r="AB119" i="8"/>
  <c r="AC119" i="8"/>
  <c r="AD119" i="8"/>
  <c r="AE119" i="8"/>
  <c r="AF119" i="8"/>
  <c r="AG119" i="8"/>
  <c r="AH119" i="8"/>
  <c r="AI119" i="8"/>
  <c r="AJ119" i="8"/>
  <c r="AK119" i="8"/>
  <c r="AL119" i="8"/>
  <c r="AM119" i="8"/>
  <c r="AN119" i="8"/>
  <c r="AO119" i="8"/>
  <c r="AP119" i="8"/>
  <c r="AQ119" i="8"/>
  <c r="AR119" i="8"/>
  <c r="AS119" i="8"/>
  <c r="AT119" i="8"/>
  <c r="AU119" i="8"/>
  <c r="AV119" i="8"/>
  <c r="AW119" i="8"/>
  <c r="AX119" i="8"/>
  <c r="AY119" i="8"/>
  <c r="AZ119" i="8"/>
  <c r="BA119" i="8"/>
  <c r="BB119" i="8"/>
  <c r="BC119" i="8"/>
  <c r="BD119" i="8"/>
  <c r="BE119" i="8"/>
  <c r="BF119" i="8"/>
  <c r="BG119" i="8"/>
  <c r="BH119" i="8"/>
  <c r="BI119" i="8"/>
  <c r="BJ119" i="8"/>
  <c r="BK119" i="8"/>
  <c r="BL119" i="8"/>
  <c r="BM119" i="8"/>
  <c r="BN119" i="8"/>
  <c r="BO119" i="8"/>
  <c r="BP119" i="8"/>
  <c r="BQ119" i="8"/>
  <c r="BR119" i="8"/>
  <c r="BS119" i="8"/>
  <c r="BT119" i="8"/>
  <c r="BU119" i="8"/>
  <c r="BV119" i="8"/>
  <c r="BW119" i="8"/>
  <c r="BX119" i="8"/>
  <c r="BY119" i="8"/>
  <c r="BZ119" i="8"/>
  <c r="CA119" i="8"/>
  <c r="CB119" i="8"/>
  <c r="CC119" i="8"/>
  <c r="CD119" i="8"/>
  <c r="CE119" i="8"/>
  <c r="CF119" i="8"/>
  <c r="CG119" i="8"/>
  <c r="CH119" i="8"/>
  <c r="CI119" i="8"/>
  <c r="CJ119" i="8"/>
  <c r="CK119" i="8"/>
  <c r="CL119" i="8"/>
  <c r="CM119" i="8"/>
  <c r="CN119" i="8"/>
  <c r="CO119" i="8"/>
  <c r="CP119" i="8"/>
  <c r="CQ119" i="8"/>
  <c r="CR119" i="8"/>
  <c r="CS119" i="8"/>
  <c r="CT119" i="8"/>
  <c r="CU119" i="8"/>
  <c r="CV119" i="8"/>
  <c r="CW119" i="8"/>
  <c r="CX119" i="8"/>
  <c r="CY119" i="8"/>
  <c r="CZ119" i="8"/>
  <c r="DA119" i="8"/>
  <c r="DB119" i="8"/>
  <c r="DC119" i="8"/>
  <c r="DD119" i="8"/>
  <c r="DE119" i="8"/>
  <c r="DF119" i="8"/>
  <c r="DG119" i="8"/>
  <c r="DH119" i="8"/>
  <c r="DI119" i="8"/>
  <c r="DJ119" i="8"/>
  <c r="DK119" i="8"/>
  <c r="DL119" i="8"/>
  <c r="DM119" i="8"/>
  <c r="DN119" i="8"/>
  <c r="DO119" i="8"/>
  <c r="DP119" i="8"/>
  <c r="DQ119" i="8"/>
  <c r="DR119" i="8"/>
  <c r="DS119" i="8"/>
  <c r="DT119" i="8"/>
  <c r="DU119" i="8"/>
  <c r="F120" i="8"/>
  <c r="G120" i="8"/>
  <c r="H120" i="8"/>
  <c r="I120" i="8"/>
  <c r="J120" i="8"/>
  <c r="K120" i="8"/>
  <c r="L120" i="8"/>
  <c r="M120" i="8"/>
  <c r="N120" i="8"/>
  <c r="O120" i="8"/>
  <c r="P120" i="8"/>
  <c r="Q120" i="8"/>
  <c r="R120" i="8"/>
  <c r="S120" i="8"/>
  <c r="T120" i="8"/>
  <c r="U120" i="8"/>
  <c r="V120" i="8"/>
  <c r="W120" i="8"/>
  <c r="X120" i="8"/>
  <c r="Y120" i="8"/>
  <c r="Z120" i="8"/>
  <c r="AA120" i="8"/>
  <c r="AB120" i="8"/>
  <c r="AC120" i="8"/>
  <c r="AD120" i="8"/>
  <c r="AE120" i="8"/>
  <c r="AF120" i="8"/>
  <c r="AG120" i="8"/>
  <c r="AH120" i="8"/>
  <c r="AI120" i="8"/>
  <c r="AJ120" i="8"/>
  <c r="AK120" i="8"/>
  <c r="AL120" i="8"/>
  <c r="AM120" i="8"/>
  <c r="AN120" i="8"/>
  <c r="AO120" i="8"/>
  <c r="AP120" i="8"/>
  <c r="AQ120" i="8"/>
  <c r="AR120" i="8"/>
  <c r="AS120" i="8"/>
  <c r="AT120" i="8"/>
  <c r="AU120" i="8"/>
  <c r="AV120" i="8"/>
  <c r="AW120" i="8"/>
  <c r="AX120" i="8"/>
  <c r="AY120" i="8"/>
  <c r="AZ120" i="8"/>
  <c r="BA120" i="8"/>
  <c r="BB120" i="8"/>
  <c r="BC120" i="8"/>
  <c r="BD120" i="8"/>
  <c r="BE120" i="8"/>
  <c r="BF120" i="8"/>
  <c r="BG120" i="8"/>
  <c r="BH120" i="8"/>
  <c r="BI120" i="8"/>
  <c r="BJ120" i="8"/>
  <c r="BK120" i="8"/>
  <c r="BL120" i="8"/>
  <c r="BM120" i="8"/>
  <c r="BN120" i="8"/>
  <c r="BO120" i="8"/>
  <c r="BP120" i="8"/>
  <c r="BQ120" i="8"/>
  <c r="BR120" i="8"/>
  <c r="BS120" i="8"/>
  <c r="BT120" i="8"/>
  <c r="BU120" i="8"/>
  <c r="BV120" i="8"/>
  <c r="BW120" i="8"/>
  <c r="BX120" i="8"/>
  <c r="BY120" i="8"/>
  <c r="BZ120" i="8"/>
  <c r="CA120" i="8"/>
  <c r="CB120" i="8"/>
  <c r="CC120" i="8"/>
  <c r="CD120" i="8"/>
  <c r="CE120" i="8"/>
  <c r="CF120" i="8"/>
  <c r="CG120" i="8"/>
  <c r="CH120" i="8"/>
  <c r="CI120" i="8"/>
  <c r="CJ120" i="8"/>
  <c r="CK120" i="8"/>
  <c r="CL120" i="8"/>
  <c r="CM120" i="8"/>
  <c r="CN120" i="8"/>
  <c r="CO120" i="8"/>
  <c r="CP120" i="8"/>
  <c r="CQ120" i="8"/>
  <c r="CR120" i="8"/>
  <c r="CS120" i="8"/>
  <c r="CT120" i="8"/>
  <c r="CU120" i="8"/>
  <c r="CV120" i="8"/>
  <c r="CW120" i="8"/>
  <c r="CX120" i="8"/>
  <c r="CY120" i="8"/>
  <c r="CZ120" i="8"/>
  <c r="DA120" i="8"/>
  <c r="DB120" i="8"/>
  <c r="DC120" i="8"/>
  <c r="DD120" i="8"/>
  <c r="DE120" i="8"/>
  <c r="DF120" i="8"/>
  <c r="DG120" i="8"/>
  <c r="DH120" i="8"/>
  <c r="DI120" i="8"/>
  <c r="DJ120" i="8"/>
  <c r="DK120" i="8"/>
  <c r="DL120" i="8"/>
  <c r="DM120" i="8"/>
  <c r="DN120" i="8"/>
  <c r="DO120" i="8"/>
  <c r="DP120" i="8"/>
  <c r="DQ120" i="8"/>
  <c r="DR120" i="8"/>
  <c r="DS120" i="8"/>
  <c r="DT120" i="8"/>
  <c r="DU120" i="8"/>
  <c r="F121" i="8"/>
  <c r="I121" i="8"/>
  <c r="J121" i="8"/>
  <c r="K121" i="8"/>
  <c r="N121" i="8"/>
  <c r="O121" i="8"/>
  <c r="P121" i="8"/>
  <c r="S121" i="8"/>
  <c r="T121" i="8"/>
  <c r="U121" i="8"/>
  <c r="X121" i="8"/>
  <c r="Y121" i="8"/>
  <c r="Z121" i="8"/>
  <c r="AC121" i="8"/>
  <c r="AD121" i="8"/>
  <c r="AE121" i="8"/>
  <c r="AH121" i="8"/>
  <c r="AI121" i="8"/>
  <c r="AJ121" i="8"/>
  <c r="AM121" i="8"/>
  <c r="AN121" i="8"/>
  <c r="AO121" i="8"/>
  <c r="AR121" i="8"/>
  <c r="AS121" i="8"/>
  <c r="AT121" i="8"/>
  <c r="AW121" i="8"/>
  <c r="AX121" i="8"/>
  <c r="AY121" i="8"/>
  <c r="BB121" i="8"/>
  <c r="BC121" i="8"/>
  <c r="BD121" i="8"/>
  <c r="BG121" i="8"/>
  <c r="BH121" i="8"/>
  <c r="BI121" i="8"/>
  <c r="BL121" i="8"/>
  <c r="BM121" i="8"/>
  <c r="BN121" i="8"/>
  <c r="BQ121" i="8"/>
  <c r="BR121" i="8"/>
  <c r="BS121" i="8"/>
  <c r="BV121" i="8"/>
  <c r="BW121" i="8"/>
  <c r="BX121" i="8"/>
  <c r="CA121" i="8"/>
  <c r="CB121" i="8"/>
  <c r="CC121" i="8"/>
  <c r="CF121" i="8"/>
  <c r="CG121" i="8"/>
  <c r="CH121" i="8"/>
  <c r="CK121" i="8"/>
  <c r="CL121" i="8"/>
  <c r="CM121" i="8"/>
  <c r="CP121" i="8"/>
  <c r="CQ121" i="8"/>
  <c r="CR121" i="8"/>
  <c r="CU121" i="8"/>
  <c r="CV121" i="8"/>
  <c r="CW121" i="8"/>
  <c r="CZ121" i="8"/>
  <c r="DA121" i="8"/>
  <c r="DB121" i="8"/>
  <c r="DE121" i="8"/>
  <c r="DF121" i="8"/>
  <c r="DG121" i="8"/>
  <c r="DJ121" i="8"/>
  <c r="DK121" i="8"/>
  <c r="DL121" i="8"/>
  <c r="DO121" i="8"/>
  <c r="DP121" i="8"/>
  <c r="DQ121" i="8"/>
  <c r="DT121" i="8"/>
  <c r="DU121" i="8"/>
  <c r="F122" i="8"/>
  <c r="I122" i="8"/>
  <c r="J122" i="8"/>
  <c r="K122" i="8"/>
  <c r="N122" i="8"/>
  <c r="O122" i="8"/>
  <c r="P122" i="8"/>
  <c r="S122" i="8"/>
  <c r="T122" i="8"/>
  <c r="U122" i="8"/>
  <c r="X122" i="8"/>
  <c r="Y122" i="8"/>
  <c r="Z122" i="8"/>
  <c r="AC122" i="8"/>
  <c r="AD122" i="8"/>
  <c r="AE122" i="8"/>
  <c r="AH122" i="8"/>
  <c r="AI122" i="8"/>
  <c r="AJ122" i="8"/>
  <c r="AM122" i="8"/>
  <c r="AN122" i="8"/>
  <c r="AO122" i="8"/>
  <c r="AR122" i="8"/>
  <c r="AS122" i="8"/>
  <c r="AT122" i="8"/>
  <c r="AW122" i="8"/>
  <c r="AX122" i="8"/>
  <c r="AY122" i="8"/>
  <c r="BB122" i="8"/>
  <c r="BC122" i="8"/>
  <c r="BD122" i="8"/>
  <c r="BG122" i="8"/>
  <c r="BH122" i="8"/>
  <c r="BI122" i="8"/>
  <c r="BL122" i="8"/>
  <c r="BM122" i="8"/>
  <c r="BN122" i="8"/>
  <c r="BQ122" i="8"/>
  <c r="BR122" i="8"/>
  <c r="BS122" i="8"/>
  <c r="BV122" i="8"/>
  <c r="BW122" i="8"/>
  <c r="BX122" i="8"/>
  <c r="CA122" i="8"/>
  <c r="CB122" i="8"/>
  <c r="CC122" i="8"/>
  <c r="CF122" i="8"/>
  <c r="CG122" i="8"/>
  <c r="CH122" i="8"/>
  <c r="CK122" i="8"/>
  <c r="CL122" i="8"/>
  <c r="CM122" i="8"/>
  <c r="CP122" i="8"/>
  <c r="CQ122" i="8"/>
  <c r="CR122" i="8"/>
  <c r="CU122" i="8"/>
  <c r="CV122" i="8"/>
  <c r="CW122" i="8"/>
  <c r="CZ122" i="8"/>
  <c r="DA122" i="8"/>
  <c r="DB122" i="8"/>
  <c r="DE122" i="8"/>
  <c r="DF122" i="8"/>
  <c r="DG122" i="8"/>
  <c r="DJ122" i="8"/>
  <c r="DK122" i="8"/>
  <c r="DL122" i="8"/>
  <c r="DO122" i="8"/>
  <c r="DP122" i="8"/>
  <c r="DQ122" i="8"/>
  <c r="DT122" i="8"/>
  <c r="DU122" i="8"/>
  <c r="F123" i="8"/>
  <c r="I123" i="8"/>
  <c r="J123" i="8"/>
  <c r="K123" i="8"/>
  <c r="N123" i="8"/>
  <c r="O123" i="8"/>
  <c r="P123" i="8"/>
  <c r="S123" i="8"/>
  <c r="T123" i="8"/>
  <c r="U123" i="8"/>
  <c r="X123" i="8"/>
  <c r="Y123" i="8"/>
  <c r="Z123" i="8"/>
  <c r="AC123" i="8"/>
  <c r="AD123" i="8"/>
  <c r="AE123" i="8"/>
  <c r="AH123" i="8"/>
  <c r="AI123" i="8"/>
  <c r="AJ123" i="8"/>
  <c r="AM123" i="8"/>
  <c r="AN123" i="8"/>
  <c r="AO123" i="8"/>
  <c r="AR123" i="8"/>
  <c r="AS123" i="8"/>
  <c r="AT123" i="8"/>
  <c r="AW123" i="8"/>
  <c r="AX123" i="8"/>
  <c r="AY123" i="8"/>
  <c r="BB123" i="8"/>
  <c r="BC123" i="8"/>
  <c r="BD123" i="8"/>
  <c r="BG123" i="8"/>
  <c r="BH123" i="8"/>
  <c r="BI123" i="8"/>
  <c r="BL123" i="8"/>
  <c r="BM123" i="8"/>
  <c r="BN123" i="8"/>
  <c r="BQ123" i="8"/>
  <c r="BR123" i="8"/>
  <c r="BS123" i="8"/>
  <c r="BV123" i="8"/>
  <c r="BW123" i="8"/>
  <c r="BX123" i="8"/>
  <c r="CA123" i="8"/>
  <c r="CB123" i="8"/>
  <c r="CC123" i="8"/>
  <c r="CF123" i="8"/>
  <c r="CG123" i="8"/>
  <c r="CH123" i="8"/>
  <c r="CK123" i="8"/>
  <c r="CL123" i="8"/>
  <c r="CM123" i="8"/>
  <c r="CP123" i="8"/>
  <c r="CQ123" i="8"/>
  <c r="CR123" i="8"/>
  <c r="CU123" i="8"/>
  <c r="CV123" i="8"/>
  <c r="CW123" i="8"/>
  <c r="CZ123" i="8"/>
  <c r="DA123" i="8"/>
  <c r="DB123" i="8"/>
  <c r="DE123" i="8"/>
  <c r="DF123" i="8"/>
  <c r="DG123" i="8"/>
  <c r="DJ123" i="8"/>
  <c r="DK123" i="8"/>
  <c r="DL123" i="8"/>
  <c r="DO123" i="8"/>
  <c r="DP123" i="8"/>
  <c r="DQ123" i="8"/>
  <c r="DT123" i="8"/>
  <c r="DU123" i="8"/>
  <c r="F124" i="8"/>
  <c r="I124" i="8"/>
  <c r="J124" i="8"/>
  <c r="K124" i="8"/>
  <c r="N124" i="8"/>
  <c r="O124" i="8"/>
  <c r="P124" i="8"/>
  <c r="S124" i="8"/>
  <c r="T124" i="8"/>
  <c r="U124" i="8"/>
  <c r="X124" i="8"/>
  <c r="Y124" i="8"/>
  <c r="Z124" i="8"/>
  <c r="AC124" i="8"/>
  <c r="AD124" i="8"/>
  <c r="AE124" i="8"/>
  <c r="AH124" i="8"/>
  <c r="AI124" i="8"/>
  <c r="AJ124" i="8"/>
  <c r="AM124" i="8"/>
  <c r="AN124" i="8"/>
  <c r="AO124" i="8"/>
  <c r="AR124" i="8"/>
  <c r="AS124" i="8"/>
  <c r="AT124" i="8"/>
  <c r="AW124" i="8"/>
  <c r="AX124" i="8"/>
  <c r="AY124" i="8"/>
  <c r="BB124" i="8"/>
  <c r="BC124" i="8"/>
  <c r="BD124" i="8"/>
  <c r="BG124" i="8"/>
  <c r="BH124" i="8"/>
  <c r="BI124" i="8"/>
  <c r="BL124" i="8"/>
  <c r="BM124" i="8"/>
  <c r="BN124" i="8"/>
  <c r="BQ124" i="8"/>
  <c r="BR124" i="8"/>
  <c r="BS124" i="8"/>
  <c r="BV124" i="8"/>
  <c r="BW124" i="8"/>
  <c r="BX124" i="8"/>
  <c r="CA124" i="8"/>
  <c r="CB124" i="8"/>
  <c r="CC124" i="8"/>
  <c r="CF124" i="8"/>
  <c r="CG124" i="8"/>
  <c r="CH124" i="8"/>
  <c r="CK124" i="8"/>
  <c r="CL124" i="8"/>
  <c r="CM124" i="8"/>
  <c r="CP124" i="8"/>
  <c r="CQ124" i="8"/>
  <c r="CR124" i="8"/>
  <c r="CU124" i="8"/>
  <c r="CV124" i="8"/>
  <c r="CW124" i="8"/>
  <c r="CZ124" i="8"/>
  <c r="DA124" i="8"/>
  <c r="DB124" i="8"/>
  <c r="DE124" i="8"/>
  <c r="DF124" i="8"/>
  <c r="DG124" i="8"/>
  <c r="DJ124" i="8"/>
  <c r="DK124" i="8"/>
  <c r="DL124" i="8"/>
  <c r="DO124" i="8"/>
  <c r="DP124" i="8"/>
  <c r="DQ124" i="8"/>
  <c r="DT124" i="8"/>
  <c r="DU124" i="8"/>
  <c r="F125" i="8"/>
  <c r="G125" i="8"/>
  <c r="H125" i="8"/>
  <c r="I125" i="8"/>
  <c r="J125" i="8"/>
  <c r="K125" i="8"/>
  <c r="L125" i="8"/>
  <c r="M125" i="8"/>
  <c r="N125" i="8"/>
  <c r="O125" i="8"/>
  <c r="P125" i="8"/>
  <c r="Q125" i="8"/>
  <c r="R125" i="8"/>
  <c r="S125" i="8"/>
  <c r="T125" i="8"/>
  <c r="U125" i="8"/>
  <c r="V125" i="8"/>
  <c r="W125" i="8"/>
  <c r="X125" i="8"/>
  <c r="Y125" i="8"/>
  <c r="Z125" i="8"/>
  <c r="AA125" i="8"/>
  <c r="AB125" i="8"/>
  <c r="AC125" i="8"/>
  <c r="AD125" i="8"/>
  <c r="AE125" i="8"/>
  <c r="AF125" i="8"/>
  <c r="AG125" i="8"/>
  <c r="AH125" i="8"/>
  <c r="AI125" i="8"/>
  <c r="AJ125" i="8"/>
  <c r="AK125" i="8"/>
  <c r="AL125" i="8"/>
  <c r="AM125" i="8"/>
  <c r="AN125" i="8"/>
  <c r="AO125" i="8"/>
  <c r="AP125" i="8"/>
  <c r="AQ125" i="8"/>
  <c r="AR125" i="8"/>
  <c r="AS125" i="8"/>
  <c r="AT125" i="8"/>
  <c r="AU125" i="8"/>
  <c r="AV125" i="8"/>
  <c r="AW125" i="8"/>
  <c r="AX125" i="8"/>
  <c r="AY125" i="8"/>
  <c r="AZ125" i="8"/>
  <c r="BA125" i="8"/>
  <c r="BB125" i="8"/>
  <c r="BC125" i="8"/>
  <c r="BD125" i="8"/>
  <c r="BE125" i="8"/>
  <c r="BF125" i="8"/>
  <c r="BG125" i="8"/>
  <c r="BH125" i="8"/>
  <c r="BI125" i="8"/>
  <c r="BJ125" i="8"/>
  <c r="BK125" i="8"/>
  <c r="BL125" i="8"/>
  <c r="BM125" i="8"/>
  <c r="BN125" i="8"/>
  <c r="BO125" i="8"/>
  <c r="BP125" i="8"/>
  <c r="BQ125" i="8"/>
  <c r="BR125" i="8"/>
  <c r="BS125" i="8"/>
  <c r="BT125" i="8"/>
  <c r="BU125" i="8"/>
  <c r="BV125" i="8"/>
  <c r="BW125" i="8"/>
  <c r="BX125" i="8"/>
  <c r="BY125" i="8"/>
  <c r="BZ125" i="8"/>
  <c r="CA125" i="8"/>
  <c r="CB125" i="8"/>
  <c r="CC125" i="8"/>
  <c r="CD125" i="8"/>
  <c r="CE125" i="8"/>
  <c r="CF125" i="8"/>
  <c r="CG125" i="8"/>
  <c r="CH125" i="8"/>
  <c r="CI125" i="8"/>
  <c r="CJ125" i="8"/>
  <c r="CK125" i="8"/>
  <c r="CL125" i="8"/>
  <c r="CM125" i="8"/>
  <c r="CN125" i="8"/>
  <c r="CO125" i="8"/>
  <c r="CP125" i="8"/>
  <c r="CQ125" i="8"/>
  <c r="CR125" i="8"/>
  <c r="CS125" i="8"/>
  <c r="CT125" i="8"/>
  <c r="CU125" i="8"/>
  <c r="CV125" i="8"/>
  <c r="CW125" i="8"/>
  <c r="CX125" i="8"/>
  <c r="CY125" i="8"/>
  <c r="CZ125" i="8"/>
  <c r="DA125" i="8"/>
  <c r="DB125" i="8"/>
  <c r="DC125" i="8"/>
  <c r="DD125" i="8"/>
  <c r="DE125" i="8"/>
  <c r="DF125" i="8"/>
  <c r="DG125" i="8"/>
  <c r="DH125" i="8"/>
  <c r="DI125" i="8"/>
  <c r="DJ125" i="8"/>
  <c r="DK125" i="8"/>
  <c r="DL125" i="8"/>
  <c r="DM125" i="8"/>
  <c r="DN125" i="8"/>
  <c r="DO125" i="8"/>
  <c r="DP125" i="8"/>
  <c r="DQ125" i="8"/>
  <c r="DR125" i="8"/>
  <c r="DS125" i="8"/>
  <c r="DT125" i="8"/>
  <c r="DU125" i="8"/>
  <c r="F126" i="8"/>
  <c r="I126" i="8"/>
  <c r="J126" i="8"/>
  <c r="K126" i="8"/>
  <c r="N126" i="8"/>
  <c r="O126" i="8"/>
  <c r="P126" i="8"/>
  <c r="S126" i="8"/>
  <c r="T126" i="8"/>
  <c r="U126" i="8"/>
  <c r="X126" i="8"/>
  <c r="Y126" i="8"/>
  <c r="Z126" i="8"/>
  <c r="AC126" i="8"/>
  <c r="AD126" i="8"/>
  <c r="AE126" i="8"/>
  <c r="AH126" i="8"/>
  <c r="AI126" i="8"/>
  <c r="AJ126" i="8"/>
  <c r="AM126" i="8"/>
  <c r="AN126" i="8"/>
  <c r="AO126" i="8"/>
  <c r="AR126" i="8"/>
  <c r="AS126" i="8"/>
  <c r="AT126" i="8"/>
  <c r="AW126" i="8"/>
  <c r="AX126" i="8"/>
  <c r="AY126" i="8"/>
  <c r="BB126" i="8"/>
  <c r="BC126" i="8"/>
  <c r="BD126" i="8"/>
  <c r="BG126" i="8"/>
  <c r="BH126" i="8"/>
  <c r="BI126" i="8"/>
  <c r="BL126" i="8"/>
  <c r="BM126" i="8"/>
  <c r="BN126" i="8"/>
  <c r="BQ126" i="8"/>
  <c r="BR126" i="8"/>
  <c r="BS126" i="8"/>
  <c r="BV126" i="8"/>
  <c r="BW126" i="8"/>
  <c r="BX126" i="8"/>
  <c r="CA126" i="8"/>
  <c r="CB126" i="8"/>
  <c r="CC126" i="8"/>
  <c r="CF126" i="8"/>
  <c r="CG126" i="8"/>
  <c r="CH126" i="8"/>
  <c r="CK126" i="8"/>
  <c r="CL126" i="8"/>
  <c r="CM126" i="8"/>
  <c r="CP126" i="8"/>
  <c r="CQ126" i="8"/>
  <c r="CR126" i="8"/>
  <c r="CU126" i="8"/>
  <c r="CV126" i="8"/>
  <c r="CW126" i="8"/>
  <c r="CZ126" i="8"/>
  <c r="DA126" i="8"/>
  <c r="DB126" i="8"/>
  <c r="DE126" i="8"/>
  <c r="DF126" i="8"/>
  <c r="DG126" i="8"/>
  <c r="DJ126" i="8"/>
  <c r="DK126" i="8"/>
  <c r="DL126" i="8"/>
  <c r="DO126" i="8"/>
  <c r="DP126" i="8"/>
  <c r="DQ126" i="8"/>
  <c r="DT126" i="8"/>
  <c r="DU126" i="8"/>
  <c r="F127" i="8"/>
  <c r="G127" i="8"/>
  <c r="H127" i="8"/>
  <c r="I127" i="8"/>
  <c r="J127" i="8"/>
  <c r="K127" i="8"/>
  <c r="L127" i="8"/>
  <c r="M127" i="8"/>
  <c r="N127" i="8"/>
  <c r="O127" i="8"/>
  <c r="P127" i="8"/>
  <c r="Q127" i="8"/>
  <c r="R127" i="8"/>
  <c r="S127" i="8"/>
  <c r="T127" i="8"/>
  <c r="U127" i="8"/>
  <c r="V127" i="8"/>
  <c r="W127" i="8"/>
  <c r="X127" i="8"/>
  <c r="Y127" i="8"/>
  <c r="Z127" i="8"/>
  <c r="AA127" i="8"/>
  <c r="AB127" i="8"/>
  <c r="AC127" i="8"/>
  <c r="AD127" i="8"/>
  <c r="AE127" i="8"/>
  <c r="AF127" i="8"/>
  <c r="AG127" i="8"/>
  <c r="AH127" i="8"/>
  <c r="AI127" i="8"/>
  <c r="AJ127" i="8"/>
  <c r="AK127" i="8"/>
  <c r="AL127" i="8"/>
  <c r="AM127" i="8"/>
  <c r="AN127" i="8"/>
  <c r="AO127" i="8"/>
  <c r="AP127" i="8"/>
  <c r="AQ127" i="8"/>
  <c r="AR127" i="8"/>
  <c r="AS127" i="8"/>
  <c r="AT127" i="8"/>
  <c r="AU127" i="8"/>
  <c r="AV127" i="8"/>
  <c r="AW127" i="8"/>
  <c r="AX127" i="8"/>
  <c r="AY127" i="8"/>
  <c r="AZ127" i="8"/>
  <c r="BA127" i="8"/>
  <c r="BB127" i="8"/>
  <c r="BC127" i="8"/>
  <c r="BD127" i="8"/>
  <c r="BE127" i="8"/>
  <c r="BF127" i="8"/>
  <c r="BG127" i="8"/>
  <c r="BH127" i="8"/>
  <c r="BI127" i="8"/>
  <c r="BJ127" i="8"/>
  <c r="BK127" i="8"/>
  <c r="BL127" i="8"/>
  <c r="BM127" i="8"/>
  <c r="BN127" i="8"/>
  <c r="BO127" i="8"/>
  <c r="BP127" i="8"/>
  <c r="BQ127" i="8"/>
  <c r="BR127" i="8"/>
  <c r="BS127" i="8"/>
  <c r="BT127" i="8"/>
  <c r="BU127" i="8"/>
  <c r="BV127" i="8"/>
  <c r="BW127" i="8"/>
  <c r="BX127" i="8"/>
  <c r="BY127" i="8"/>
  <c r="BZ127" i="8"/>
  <c r="CA127" i="8"/>
  <c r="CB127" i="8"/>
  <c r="CC127" i="8"/>
  <c r="CD127" i="8"/>
  <c r="CE127" i="8"/>
  <c r="CF127" i="8"/>
  <c r="CG127" i="8"/>
  <c r="CH127" i="8"/>
  <c r="CI127" i="8"/>
  <c r="CJ127" i="8"/>
  <c r="CK127" i="8"/>
  <c r="CL127" i="8"/>
  <c r="CM127" i="8"/>
  <c r="CN127" i="8"/>
  <c r="CO127" i="8"/>
  <c r="CP127" i="8"/>
  <c r="CQ127" i="8"/>
  <c r="CR127" i="8"/>
  <c r="CS127" i="8"/>
  <c r="CT127" i="8"/>
  <c r="CU127" i="8"/>
  <c r="CV127" i="8"/>
  <c r="CW127" i="8"/>
  <c r="CX127" i="8"/>
  <c r="CY127" i="8"/>
  <c r="CZ127" i="8"/>
  <c r="DA127" i="8"/>
  <c r="DB127" i="8"/>
  <c r="DC127" i="8"/>
  <c r="DD127" i="8"/>
  <c r="DE127" i="8"/>
  <c r="DF127" i="8"/>
  <c r="DG127" i="8"/>
  <c r="DH127" i="8"/>
  <c r="DI127" i="8"/>
  <c r="DJ127" i="8"/>
  <c r="DK127" i="8"/>
  <c r="DL127" i="8"/>
  <c r="DM127" i="8"/>
  <c r="DN127" i="8"/>
  <c r="DO127" i="8"/>
  <c r="DP127" i="8"/>
  <c r="DQ127" i="8"/>
  <c r="DR127" i="8"/>
  <c r="DS127" i="8"/>
  <c r="DT127" i="8"/>
  <c r="DU127" i="8"/>
  <c r="F128" i="8"/>
  <c r="G128" i="8"/>
  <c r="H128" i="8"/>
  <c r="I128" i="8"/>
  <c r="J128" i="8"/>
  <c r="K128" i="8"/>
  <c r="L128" i="8"/>
  <c r="M128" i="8"/>
  <c r="N128" i="8"/>
  <c r="O128" i="8"/>
  <c r="P128" i="8"/>
  <c r="Q128" i="8"/>
  <c r="R128" i="8"/>
  <c r="S128" i="8"/>
  <c r="T128" i="8"/>
  <c r="U128" i="8"/>
  <c r="V128" i="8"/>
  <c r="W128" i="8"/>
  <c r="X128" i="8"/>
  <c r="Y128" i="8"/>
  <c r="Z128" i="8"/>
  <c r="AA128" i="8"/>
  <c r="AB128" i="8"/>
  <c r="AC128" i="8"/>
  <c r="AD128" i="8"/>
  <c r="AE128" i="8"/>
  <c r="AF128" i="8"/>
  <c r="AG128" i="8"/>
  <c r="AH128" i="8"/>
  <c r="AI128" i="8"/>
  <c r="AJ128" i="8"/>
  <c r="AK128" i="8"/>
  <c r="AL128" i="8"/>
  <c r="AM128" i="8"/>
  <c r="AN128" i="8"/>
  <c r="AO128" i="8"/>
  <c r="AP128" i="8"/>
  <c r="AQ128" i="8"/>
  <c r="AR128" i="8"/>
  <c r="AS128" i="8"/>
  <c r="AT128" i="8"/>
  <c r="AU128" i="8"/>
  <c r="AV128" i="8"/>
  <c r="AW128" i="8"/>
  <c r="AX128" i="8"/>
  <c r="AY128" i="8"/>
  <c r="AZ128" i="8"/>
  <c r="BA128" i="8"/>
  <c r="BB128" i="8"/>
  <c r="BC128" i="8"/>
  <c r="BD128" i="8"/>
  <c r="BE128" i="8"/>
  <c r="BF128" i="8"/>
  <c r="BG128" i="8"/>
  <c r="BH128" i="8"/>
  <c r="BI128" i="8"/>
  <c r="BJ128" i="8"/>
  <c r="BK128" i="8"/>
  <c r="BL128" i="8"/>
  <c r="BM128" i="8"/>
  <c r="BN128" i="8"/>
  <c r="BO128" i="8"/>
  <c r="BP128" i="8"/>
  <c r="BQ128" i="8"/>
  <c r="BR128" i="8"/>
  <c r="BS128" i="8"/>
  <c r="BT128" i="8"/>
  <c r="BU128" i="8"/>
  <c r="BV128" i="8"/>
  <c r="BW128" i="8"/>
  <c r="BX128" i="8"/>
  <c r="BY128" i="8"/>
  <c r="BZ128" i="8"/>
  <c r="CA128" i="8"/>
  <c r="CB128" i="8"/>
  <c r="CC128" i="8"/>
  <c r="CD128" i="8"/>
  <c r="CE128" i="8"/>
  <c r="CF128" i="8"/>
  <c r="CG128" i="8"/>
  <c r="CH128" i="8"/>
  <c r="CI128" i="8"/>
  <c r="CJ128" i="8"/>
  <c r="CK128" i="8"/>
  <c r="CL128" i="8"/>
  <c r="CM128" i="8"/>
  <c r="CN128" i="8"/>
  <c r="CO128" i="8"/>
  <c r="CP128" i="8"/>
  <c r="CQ128" i="8"/>
  <c r="CR128" i="8"/>
  <c r="CS128" i="8"/>
  <c r="CT128" i="8"/>
  <c r="CU128" i="8"/>
  <c r="CV128" i="8"/>
  <c r="CW128" i="8"/>
  <c r="CX128" i="8"/>
  <c r="CY128" i="8"/>
  <c r="CZ128" i="8"/>
  <c r="DA128" i="8"/>
  <c r="DB128" i="8"/>
  <c r="DC128" i="8"/>
  <c r="DD128" i="8"/>
  <c r="DE128" i="8"/>
  <c r="DF128" i="8"/>
  <c r="DG128" i="8"/>
  <c r="DH128" i="8"/>
  <c r="DI128" i="8"/>
  <c r="DJ128" i="8"/>
  <c r="DK128" i="8"/>
  <c r="DL128" i="8"/>
  <c r="DM128" i="8"/>
  <c r="DN128" i="8"/>
  <c r="DO128" i="8"/>
  <c r="DP128" i="8"/>
  <c r="DQ128" i="8"/>
  <c r="DR128" i="8"/>
  <c r="DS128" i="8"/>
  <c r="DT128" i="8"/>
  <c r="DU128" i="8"/>
  <c r="F129" i="8"/>
  <c r="G129" i="8"/>
  <c r="H129" i="8"/>
  <c r="I129" i="8"/>
  <c r="J129" i="8"/>
  <c r="K129" i="8"/>
  <c r="L129" i="8"/>
  <c r="M129" i="8"/>
  <c r="N129" i="8"/>
  <c r="O129" i="8"/>
  <c r="P129" i="8"/>
  <c r="Q129" i="8"/>
  <c r="R129" i="8"/>
  <c r="S129" i="8"/>
  <c r="T129" i="8"/>
  <c r="U129" i="8"/>
  <c r="V129" i="8"/>
  <c r="W129" i="8"/>
  <c r="X129" i="8"/>
  <c r="Y129" i="8"/>
  <c r="Z129" i="8"/>
  <c r="AA129" i="8"/>
  <c r="AB129" i="8"/>
  <c r="AC129" i="8"/>
  <c r="AD129" i="8"/>
  <c r="AE129" i="8"/>
  <c r="AF129" i="8"/>
  <c r="AG129" i="8"/>
  <c r="AH129" i="8"/>
  <c r="AI129" i="8"/>
  <c r="AJ129" i="8"/>
  <c r="AK129" i="8"/>
  <c r="AL129" i="8"/>
  <c r="AM129" i="8"/>
  <c r="AN129" i="8"/>
  <c r="AO129" i="8"/>
  <c r="AP129" i="8"/>
  <c r="AQ129" i="8"/>
  <c r="AR129" i="8"/>
  <c r="AS129" i="8"/>
  <c r="AT129" i="8"/>
  <c r="AU129" i="8"/>
  <c r="AV129" i="8"/>
  <c r="AW129" i="8"/>
  <c r="AX129" i="8"/>
  <c r="AY129" i="8"/>
  <c r="AZ129" i="8"/>
  <c r="BA129" i="8"/>
  <c r="BB129" i="8"/>
  <c r="BC129" i="8"/>
  <c r="BD129" i="8"/>
  <c r="BE129" i="8"/>
  <c r="BF129" i="8"/>
  <c r="BG129" i="8"/>
  <c r="BH129" i="8"/>
  <c r="BI129" i="8"/>
  <c r="BJ129" i="8"/>
  <c r="BK129" i="8"/>
  <c r="BL129" i="8"/>
  <c r="BM129" i="8"/>
  <c r="BN129" i="8"/>
  <c r="BO129" i="8"/>
  <c r="BP129" i="8"/>
  <c r="BQ129" i="8"/>
  <c r="BR129" i="8"/>
  <c r="BS129" i="8"/>
  <c r="BT129" i="8"/>
  <c r="BU129" i="8"/>
  <c r="BV129" i="8"/>
  <c r="BW129" i="8"/>
  <c r="BX129" i="8"/>
  <c r="BY129" i="8"/>
  <c r="BZ129" i="8"/>
  <c r="CA129" i="8"/>
  <c r="CB129" i="8"/>
  <c r="CC129" i="8"/>
  <c r="CD129" i="8"/>
  <c r="CE129" i="8"/>
  <c r="CF129" i="8"/>
  <c r="CG129" i="8"/>
  <c r="CH129" i="8"/>
  <c r="CI129" i="8"/>
  <c r="CJ129" i="8"/>
  <c r="CK129" i="8"/>
  <c r="CL129" i="8"/>
  <c r="CM129" i="8"/>
  <c r="CN129" i="8"/>
  <c r="CO129" i="8"/>
  <c r="CP129" i="8"/>
  <c r="CQ129" i="8"/>
  <c r="CR129" i="8"/>
  <c r="CS129" i="8"/>
  <c r="CT129" i="8"/>
  <c r="CU129" i="8"/>
  <c r="CV129" i="8"/>
  <c r="CW129" i="8"/>
  <c r="CX129" i="8"/>
  <c r="CY129" i="8"/>
  <c r="CZ129" i="8"/>
  <c r="DA129" i="8"/>
  <c r="DB129" i="8"/>
  <c r="DC129" i="8"/>
  <c r="DD129" i="8"/>
  <c r="DE129" i="8"/>
  <c r="DF129" i="8"/>
  <c r="DG129" i="8"/>
  <c r="DH129" i="8"/>
  <c r="DI129" i="8"/>
  <c r="DJ129" i="8"/>
  <c r="DK129" i="8"/>
  <c r="DL129" i="8"/>
  <c r="DM129" i="8"/>
  <c r="DN129" i="8"/>
  <c r="DO129" i="8"/>
  <c r="DP129" i="8"/>
  <c r="DQ129" i="8"/>
  <c r="DR129" i="8"/>
  <c r="DS129" i="8"/>
  <c r="DT129" i="8"/>
  <c r="DU129" i="8"/>
  <c r="E129" i="8"/>
  <c r="D129" i="8"/>
  <c r="C129" i="8"/>
  <c r="B129" i="8"/>
  <c r="A129" i="8"/>
  <c r="E128" i="8"/>
  <c r="D128" i="8"/>
  <c r="C128" i="8"/>
  <c r="B128" i="8"/>
  <c r="A128" i="8"/>
  <c r="E127" i="8"/>
  <c r="D127" i="8"/>
  <c r="C127" i="8"/>
  <c r="B127" i="8"/>
  <c r="A127" i="8"/>
  <c r="E126" i="8"/>
  <c r="D126" i="8"/>
  <c r="A126" i="8"/>
  <c r="E125" i="8"/>
  <c r="D125" i="8"/>
  <c r="C125" i="8"/>
  <c r="B125" i="8"/>
  <c r="A125" i="8"/>
  <c r="E124" i="8"/>
  <c r="D124" i="8"/>
  <c r="A124" i="8"/>
  <c r="E123" i="8"/>
  <c r="D123" i="8"/>
  <c r="A123" i="8"/>
  <c r="E122" i="8"/>
  <c r="D122" i="8"/>
  <c r="A122" i="8"/>
  <c r="E121" i="8"/>
  <c r="D121" i="8"/>
  <c r="A121" i="8"/>
  <c r="E120" i="8"/>
  <c r="D120" i="8"/>
  <c r="C120" i="8"/>
  <c r="B120" i="8"/>
  <c r="A120" i="8"/>
  <c r="E119" i="8"/>
  <c r="D119" i="8"/>
  <c r="C119" i="8"/>
  <c r="B119" i="8"/>
  <c r="A119" i="8"/>
  <c r="E118" i="8"/>
  <c r="D118" i="8"/>
  <c r="C118" i="8"/>
  <c r="B118" i="8"/>
  <c r="A118" i="8"/>
  <c r="E117" i="8"/>
  <c r="D117" i="8"/>
  <c r="C117" i="8"/>
  <c r="B117" i="8"/>
  <c r="A117" i="8"/>
  <c r="E116" i="8"/>
  <c r="D116" i="8"/>
  <c r="C116" i="8"/>
  <c r="B116" i="8"/>
  <c r="A116" i="8"/>
  <c r="E115" i="8"/>
  <c r="D115" i="8"/>
  <c r="C115" i="8"/>
  <c r="B115" i="8"/>
  <c r="A115" i="8"/>
  <c r="E114" i="8"/>
  <c r="D114" i="8"/>
  <c r="C114" i="8"/>
  <c r="B114" i="8"/>
  <c r="A114" i="8"/>
  <c r="E113" i="8"/>
  <c r="D113" i="8"/>
  <c r="C113" i="8"/>
  <c r="B113" i="8"/>
  <c r="A113" i="8"/>
  <c r="E112" i="8"/>
  <c r="D112" i="8"/>
  <c r="C112" i="8"/>
  <c r="B112" i="8"/>
  <c r="A112" i="8"/>
  <c r="E111" i="8"/>
  <c r="D111" i="8"/>
  <c r="C111" i="8"/>
  <c r="B111" i="8"/>
  <c r="A111" i="8"/>
  <c r="E110" i="8"/>
  <c r="D110" i="8"/>
  <c r="C110" i="8"/>
  <c r="B110" i="8"/>
  <c r="A110" i="8"/>
  <c r="E109" i="8"/>
  <c r="D109" i="8"/>
  <c r="C109" i="8"/>
  <c r="B109" i="8"/>
  <c r="A109" i="8"/>
  <c r="E108" i="8"/>
  <c r="D108" i="8"/>
  <c r="A108" i="8"/>
  <c r="E107" i="8"/>
  <c r="D107" i="8"/>
  <c r="A107" i="8"/>
  <c r="E106" i="8"/>
  <c r="D106" i="8"/>
  <c r="A106" i="8"/>
  <c r="E105" i="8"/>
  <c r="D105" i="8"/>
  <c r="A105" i="8"/>
  <c r="E104" i="8"/>
  <c r="D104" i="8"/>
  <c r="A104" i="8"/>
  <c r="E103" i="8"/>
  <c r="D103" i="8"/>
  <c r="A103" i="8"/>
  <c r="E102" i="8"/>
  <c r="D102" i="8"/>
  <c r="C102" i="8"/>
  <c r="B102" i="8"/>
  <c r="A102" i="8"/>
  <c r="E101" i="8"/>
  <c r="D101" i="8"/>
  <c r="C101" i="8"/>
  <c r="B101" i="8"/>
  <c r="A101" i="8"/>
  <c r="E25" i="7" l="1"/>
  <c r="E26" i="7"/>
  <c r="Y27" i="6" l="1"/>
  <c r="Y25" i="6" l="1"/>
  <c r="Y26" i="6"/>
  <c r="E27" i="7" l="1"/>
  <c r="Y22" i="6" l="1"/>
  <c r="Y23" i="6"/>
  <c r="Y24" i="6"/>
  <c r="Y28" i="6"/>
  <c r="Y29" i="6" l="1"/>
  <c r="Z29" i="6"/>
  <c r="Y35" i="6"/>
  <c r="Y30" i="6" l="1"/>
  <c r="Y40" i="6" s="1"/>
  <c r="Z28" i="6"/>
  <c r="Z30" i="6"/>
  <c r="Y31" i="6" l="1"/>
  <c r="B29" i="7"/>
  <c r="E24" i="7"/>
  <c r="E23" i="7"/>
  <c r="E22" i="7"/>
  <c r="E4" i="7"/>
  <c r="E2" i="7"/>
  <c r="C2" i="7"/>
  <c r="AG28" i="6" l="1"/>
  <c r="AG29" i="6" s="1"/>
  <c r="AG30" i="6" s="1"/>
  <c r="AF28" i="6"/>
  <c r="AF29" i="6" s="1"/>
  <c r="AF30" i="6" s="1"/>
  <c r="AE28" i="6"/>
  <c r="AE29" i="6" s="1"/>
  <c r="AE30" i="6" s="1"/>
  <c r="AD28" i="6"/>
  <c r="AD29" i="6" s="1"/>
  <c r="AD30" i="6" s="1"/>
  <c r="AC28" i="6"/>
  <c r="AC29" i="6" s="1"/>
  <c r="AC30" i="6" s="1"/>
  <c r="AB28" i="6"/>
  <c r="AB29" i="6" s="1"/>
  <c r="AB30" i="6" s="1"/>
  <c r="AA28" i="6"/>
  <c r="AA29" i="6" s="1"/>
  <c r="AA30" i="6" s="1"/>
  <c r="O3" i="6" l="1"/>
  <c r="B14" i="7"/>
  <c r="S3" i="6"/>
  <c r="B15" i="7"/>
  <c r="G3" i="6"/>
  <c r="B12" i="7"/>
  <c r="K3" i="6"/>
  <c r="B13" i="7"/>
  <c r="AI20" i="6"/>
  <c r="AI19" i="6"/>
  <c r="AI18" i="6"/>
  <c r="AI17" i="6"/>
  <c r="AI16" i="6"/>
  <c r="AI15" i="6"/>
  <c r="AI14" i="6"/>
  <c r="AI13" i="6"/>
  <c r="AI12" i="6"/>
  <c r="AH20" i="6"/>
  <c r="AH19" i="6"/>
  <c r="AH18" i="6"/>
  <c r="AH17" i="6"/>
  <c r="AH16" i="6"/>
  <c r="AH15" i="6"/>
  <c r="AH14" i="6"/>
  <c r="AH13" i="6"/>
  <c r="AH12" i="6"/>
  <c r="AG20" i="6"/>
  <c r="AG19" i="6"/>
  <c r="AG18" i="6"/>
  <c r="AG17" i="6"/>
  <c r="AG16" i="6"/>
  <c r="AG15" i="6"/>
  <c r="AG14" i="6"/>
  <c r="AG13" i="6"/>
  <c r="AG12" i="6"/>
  <c r="AF20" i="6"/>
  <c r="AF19" i="6"/>
  <c r="AF18" i="6"/>
  <c r="AF17" i="6"/>
  <c r="AF16" i="6"/>
  <c r="AF15" i="6"/>
  <c r="AF14" i="6"/>
  <c r="AF13" i="6"/>
  <c r="AF12" i="6"/>
  <c r="AI8" i="6"/>
  <c r="AI7" i="6"/>
  <c r="AI6" i="6"/>
  <c r="AI5" i="6"/>
  <c r="AH8" i="6"/>
  <c r="AH7" i="6"/>
  <c r="AH6" i="6"/>
  <c r="AH5" i="6"/>
  <c r="AG8" i="6"/>
  <c r="AG7" i="6"/>
  <c r="AG6" i="6"/>
  <c r="AG5" i="6"/>
  <c r="AF8" i="6"/>
  <c r="AF7" i="6"/>
  <c r="AF6" i="6"/>
  <c r="AF5" i="6"/>
  <c r="AF26" i="6"/>
  <c r="AF25" i="6"/>
  <c r="AF24" i="6"/>
  <c r="AF23" i="6"/>
  <c r="AB26" i="6"/>
  <c r="AB25" i="6"/>
  <c r="AB24" i="6"/>
  <c r="AB23" i="6"/>
  <c r="AB20" i="6"/>
  <c r="AB19" i="6"/>
  <c r="AB18" i="6"/>
  <c r="AB17" i="6"/>
  <c r="AB16" i="6"/>
  <c r="AB15" i="6"/>
  <c r="AB14" i="6"/>
  <c r="AB13" i="6"/>
  <c r="AB12" i="6"/>
  <c r="AB8" i="6"/>
  <c r="AB7" i="6"/>
  <c r="AB6" i="6"/>
  <c r="AB5" i="6"/>
  <c r="AB27" i="6" l="1"/>
  <c r="E8" i="7" s="1"/>
  <c r="B21" i="7"/>
  <c r="B18" i="7"/>
  <c r="B20" i="7"/>
  <c r="B19" i="7"/>
  <c r="AI9" i="6"/>
  <c r="AF9" i="6"/>
  <c r="AG9" i="6"/>
  <c r="AB9" i="6"/>
  <c r="E6" i="7" s="1"/>
  <c r="AF22" i="6"/>
  <c r="AH9" i="6"/>
  <c r="AG22" i="6"/>
  <c r="AH22" i="6"/>
  <c r="AB21" i="6"/>
  <c r="E7" i="7" s="1"/>
  <c r="AI22" i="6"/>
  <c r="E5" i="7" l="1"/>
  <c r="K10" i="6"/>
  <c r="AG10" i="6" s="1"/>
  <c r="G10" i="6"/>
  <c r="AF10" i="6" s="1"/>
  <c r="AG3" i="6" l="1"/>
  <c r="O10" i="6"/>
  <c r="AH10" i="6" s="1"/>
  <c r="AF3" i="6"/>
  <c r="AH3" i="6" l="1"/>
  <c r="S10" i="6"/>
  <c r="AI10" i="6" s="1"/>
  <c r="D18" i="7" s="1"/>
  <c r="D21" i="7" l="1"/>
  <c r="D20" i="7"/>
  <c r="D19" i="7"/>
  <c r="AI3" i="6"/>
  <c r="D12" i="7" s="1"/>
  <c r="E16" i="7" l="1"/>
  <c r="D14" i="7"/>
  <c r="D15" i="7"/>
  <c r="D13" i="7"/>
  <c r="E10" i="7" l="1"/>
  <c r="E9" i="7" s="1"/>
</calcChain>
</file>

<file path=xl/sharedStrings.xml><?xml version="1.0" encoding="utf-8"?>
<sst xmlns="http://schemas.openxmlformats.org/spreadsheetml/2006/main" count="19706" uniqueCount="545">
  <si>
    <t>Were Trips on Time</t>
  </si>
  <si>
    <t>F/c Vol on hand</t>
  </si>
  <si>
    <t>Std Vol on hand - Letters</t>
  </si>
  <si>
    <t>Volume</t>
  </si>
  <si>
    <t>Color</t>
  </si>
  <si>
    <t>Std Vol on Hand - Flats</t>
  </si>
  <si>
    <t xml:space="preserve">Volume </t>
  </si>
  <si>
    <t>Tear Ups Clear</t>
  </si>
  <si>
    <t>MAQ Cleared</t>
  </si>
  <si>
    <t>POT Projected</t>
  </si>
  <si>
    <t>8 Hour Days Left</t>
  </si>
  <si>
    <t>Yard Check Complete</t>
  </si>
  <si>
    <t>TACS Clear</t>
  </si>
  <si>
    <t>MCRS Complete</t>
  </si>
  <si>
    <t>Target mail Clear</t>
  </si>
  <si>
    <t>Variances Today</t>
  </si>
  <si>
    <t>Letters</t>
  </si>
  <si>
    <t>First Class</t>
  </si>
  <si>
    <t>STD</t>
  </si>
  <si>
    <t>Hamper</t>
  </si>
  <si>
    <t>APC</t>
  </si>
  <si>
    <t>Pallet 2'</t>
  </si>
  <si>
    <t>Pallet 3'</t>
  </si>
  <si>
    <t>Pallet 4'</t>
  </si>
  <si>
    <t>Container</t>
  </si>
  <si>
    <t>Flats</t>
  </si>
  <si>
    <t>Wiretainer</t>
  </si>
  <si>
    <t>Ergo</t>
  </si>
  <si>
    <t>Gaylord 3'</t>
  </si>
  <si>
    <t>Gaylord 4'</t>
  </si>
  <si>
    <t>Pallet 1'</t>
  </si>
  <si>
    <t>YES</t>
  </si>
  <si>
    <t>NONE</t>
  </si>
  <si>
    <t>Date:</t>
  </si>
  <si>
    <t>Orange</t>
  </si>
  <si>
    <t>Green</t>
  </si>
  <si>
    <t>Violet</t>
  </si>
  <si>
    <t>Pink</t>
  </si>
  <si>
    <t>Per Vol on hand</t>
  </si>
  <si>
    <t>1 Ergo</t>
  </si>
  <si>
    <t>-</t>
  </si>
  <si>
    <t/>
  </si>
  <si>
    <t>Yellow</t>
  </si>
  <si>
    <t>Std Vol on hand</t>
  </si>
  <si>
    <t>Dock Clear</t>
  </si>
  <si>
    <t>Blue</t>
  </si>
  <si>
    <t>1 Late</t>
  </si>
  <si>
    <t>Going out yes, some late arriving</t>
  </si>
  <si>
    <t>YES. NO 561</t>
  </si>
  <si>
    <t>1 late leaving</t>
  </si>
  <si>
    <t>NOTES</t>
  </si>
  <si>
    <t>1, Hagert</t>
  </si>
  <si>
    <t>NO</t>
  </si>
  <si>
    <t>n</t>
  </si>
  <si>
    <t xml:space="preserve">     F/C Letters on hand</t>
  </si>
  <si>
    <t xml:space="preserve">     F/C Flats on hand</t>
  </si>
  <si>
    <t>Total F/C Vol on hand</t>
  </si>
  <si>
    <t>MCV Complete</t>
  </si>
  <si>
    <t xml:space="preserve">City DPS finished at 05:14. </t>
  </si>
  <si>
    <t>*See Tour Report*</t>
  </si>
  <si>
    <t xml:space="preserve">In SV all trucks went out on time. There were 10 late slips written out by hand. </t>
  </si>
  <si>
    <t>Yes</t>
  </si>
  <si>
    <t>Door 13 - 15 min late     Door 16 - 17 min late                     Pushed pouch rack out a couple minuets before 5. Got a lot of parcels from the NDC.</t>
  </si>
  <si>
    <t>8 late slips ranging from 13 to 21 min.</t>
  </si>
  <si>
    <t>YSE</t>
  </si>
  <si>
    <t>9 late slips ranging from 14-21 min</t>
  </si>
  <si>
    <t>All T1 Trucks were on time</t>
  </si>
  <si>
    <t>YES (@0530)</t>
  </si>
  <si>
    <t>No</t>
  </si>
  <si>
    <t>All 05:00 AM Truck left on time but 02:30 Truck was late for 2 Min</t>
  </si>
  <si>
    <t xml:space="preserve">1/2 hamper of small parcels left at pouch rack. </t>
  </si>
  <si>
    <t>All Trucks were late 2-4 Min due to parcels not getting pulled down untill 05:00. We Also had to cut one gaylord of 560 FC parcels to make the dispaches on time.</t>
  </si>
  <si>
    <t>Albert Lea driver didn't show. John brought a truck and took the run himself. Left around 520.</t>
  </si>
  <si>
    <t>Notes</t>
  </si>
  <si>
    <t>LETTERS</t>
  </si>
  <si>
    <t>FIRST CLASS</t>
  </si>
  <si>
    <t>STANDARD</t>
  </si>
  <si>
    <t>2' PALLET:</t>
  </si>
  <si>
    <t>3' PALLET:</t>
  </si>
  <si>
    <t>4' PALLET:</t>
  </si>
  <si>
    <t>APC:</t>
  </si>
  <si>
    <t>FLATS</t>
  </si>
  <si>
    <t>1' PALLET:</t>
  </si>
  <si>
    <t>WIRE:</t>
  </si>
  <si>
    <t>ERGO:</t>
  </si>
  <si>
    <t>GAYLORD:</t>
  </si>
  <si>
    <t>HAMPER:</t>
  </si>
  <si>
    <t>PERIODICALS</t>
  </si>
  <si>
    <t>TACS clear?</t>
  </si>
  <si>
    <t>Dock clear?</t>
  </si>
  <si>
    <t>Yard check complete?</t>
  </si>
  <si>
    <t># of 8 hr days left</t>
  </si>
  <si>
    <t>MAQ clear?</t>
  </si>
  <si>
    <t>O.T. hrs used today</t>
  </si>
  <si>
    <t>OTHER COMMENTS OR NOTES</t>
  </si>
  <si>
    <t>Enter quantaties of each item in the corresponding box.</t>
  </si>
  <si>
    <t>GREEN</t>
  </si>
  <si>
    <t>VIOLET</t>
  </si>
  <si>
    <t>YELLOW</t>
  </si>
  <si>
    <t>PINK</t>
  </si>
  <si>
    <t>1 Accident. An AFSM operator tripped while transporting a tub of flats to the maual section. Had brusis on chin, left elbow, and both knees.</t>
  </si>
  <si>
    <t>BLUE</t>
  </si>
  <si>
    <t>ORANGE</t>
  </si>
  <si>
    <t>~11</t>
  </si>
  <si>
    <t>ALL TRUCKS ON TIME</t>
  </si>
  <si>
    <t xml:space="preserve">1 Hamper of small parcels left over by pouch rack. Got slammed on the 415/420 trucks. Had everything set up and ready to go and plenty of people, just not enough time to get it all out. </t>
  </si>
  <si>
    <t>~ 6</t>
  </si>
  <si>
    <t xml:space="preserve">2 trips were departed late due to inexperienced expediter. </t>
  </si>
  <si>
    <t xml:space="preserve">Political mail all clear email sent out at 03:30. </t>
  </si>
  <si>
    <t xml:space="preserve">Quiet night. Everything went well. </t>
  </si>
  <si>
    <t>In tacs, Lash and Halimo have clock rings errors</t>
  </si>
  <si>
    <t xml:space="preserve">There are still 2 one foot pallets of orange on the floor by the LIPS that we did not have time to run tonight. </t>
  </si>
  <si>
    <t xml:space="preserve">2 missed departure scans. #1: Doug didn't get scanner set up in time. #2: Had to unload whole trailer to get our stuff out that was mixed in with windoms and put the windom back in. </t>
  </si>
  <si>
    <t>Free Press came in at 04:40 ( it was Thursday's), and was not done until after 0500. Some drivers asked for late slips and were given.</t>
  </si>
  <si>
    <t>Jack shows he worked OT</t>
  </si>
  <si>
    <t>Two Inbound late trucks because of weather, and one came in from Xmas annex,  and one outbound left late because it was late for coming in.</t>
  </si>
  <si>
    <t>yes</t>
  </si>
  <si>
    <t>Melalie shows she'd worked OT on both Sat/Sun.  Or is she on schedule change?</t>
  </si>
  <si>
    <t xml:space="preserve">1 gaylord of Green is sitting by the periodical section. Did not have enough time to run it on tour 1. </t>
  </si>
  <si>
    <t>MCV completed?</t>
  </si>
  <si>
    <t>Expediter bulk departed as they were pushing last of the mail out and missed hitting the confirmation button. All trucks went out on time.</t>
  </si>
  <si>
    <t>T1 OT'ers  are still on the clock</t>
  </si>
  <si>
    <t>All arriving priority mail were sorted in to the APC"s(Route) in the pouch. Sacks were not hung yet so every thing small or big was thrown in the APC's</t>
  </si>
  <si>
    <t xml:space="preserve">Yes </t>
  </si>
  <si>
    <t>no</t>
  </si>
  <si>
    <t>05.00 trucks left on time but there are a dozen containers still on the dock.</t>
  </si>
  <si>
    <t>Lots of parcels late as well as late incoming trucks caused ten 0500 trucks to be 11-22 min late. Everything was completely done on our end as of 0400. Were just waiting on last trucks. HOP @ 0445 as well.</t>
  </si>
  <si>
    <t>Tacs is not clear yet because there are couple of clerks are still on the clock.</t>
  </si>
  <si>
    <t>Lash has clock ring errors</t>
  </si>
  <si>
    <t>All trucks left on time</t>
  </si>
  <si>
    <t>All trucks left on time but there's one gaylord of priority and FC that we had to cut to make dispaches</t>
  </si>
  <si>
    <t xml:space="preserve">0415 truck arrived at 0510. 2230 truck from St. Paul never arrived. 0330 truck from Windom never arrived. Both 2230 and 0330 are same contractor. </t>
  </si>
  <si>
    <t>Sioux Falls truck came in @ 05.11 ( was due in 03.30)</t>
  </si>
  <si>
    <t xml:space="preserve">Lots to run on LIPS yet. Lindsey ran the entire night. </t>
  </si>
  <si>
    <t>1.5 Hampers and .5 of cage of STD Violet left. We had to cut them to make the dispatches.</t>
  </si>
  <si>
    <t xml:space="preserve">We received  2 full BMC's small parcels,a gaylord and hamper from NDC on the last truck at 04.20 </t>
  </si>
  <si>
    <t xml:space="preserve">LOTS of orange to run tomorrow. </t>
  </si>
  <si>
    <t>There are 6 trays of mixed 560's left in opening unit. All other orange are done</t>
  </si>
  <si>
    <t>We had Bill dostal helping prep for flats about 2 hrs and then pushing mail out to the dock from LCTS</t>
  </si>
  <si>
    <t>There is about one gaylord of Thursday in AFSM area that came in on the  01.50 truck.</t>
  </si>
  <si>
    <t>As of 5 o'clock, Sioux falls truck has not showed up.</t>
  </si>
  <si>
    <t>Mandison lake pallet from Amazon came in, and HCR driver took it.</t>
  </si>
  <si>
    <t>~10</t>
  </si>
  <si>
    <t xml:space="preserve">Lots of pers to run on the LIPS. Got a lot of 3 digit for pouch rack on the last 2 trucks. </t>
  </si>
  <si>
    <t>We had to cut 2/3 hamper of FC parcels at 04.55 to pull down pouch rack to get the trucks out on time.</t>
  </si>
  <si>
    <t xml:space="preserve">T2 yard check done and color codes sent in. </t>
  </si>
  <si>
    <t>tonight there was a problem. When Adam tried to bulk depart the 05.00 trucks at 05.00, his scanner malfunctioned, when he tried to depart them again, it was 05.01 and he had to depart one at a time. All were 1-4 minutes late.</t>
  </si>
  <si>
    <t>T-1 DBCS operators were called in early to help DBCS</t>
  </si>
  <si>
    <t>city is done at  06.00</t>
  </si>
  <si>
    <t>We ran All blue, Orange &amp; FC that were here until midnight. Except 1 APC of 561 which came in @ 21:30 which was too late to process. But we receaved 2 1/2 APC's of blue @ midnight</t>
  </si>
  <si>
    <t>T-2 Yard check is done</t>
  </si>
  <si>
    <t>Facility certification for Political/Election Mail is done for T1</t>
  </si>
  <si>
    <t xml:space="preserve">There are 59 pieces of political mail in a tub at tear ups. </t>
  </si>
  <si>
    <t>House of print never made it tonight.</t>
  </si>
  <si>
    <t xml:space="preserve">Late arriving express due today for Albert Lea. </t>
  </si>
  <si>
    <t xml:space="preserve"> WERE TRIPS ON TIME?</t>
  </si>
  <si>
    <t xml:space="preserve"> TACS CLEAR?</t>
  </si>
  <si>
    <t xml:space="preserve"> DOCK CLEAR?</t>
  </si>
  <si>
    <t xml:space="preserve"> NUMBER OF OT HOURS TODAY</t>
  </si>
  <si>
    <t>Political Mail All Clear Certified?</t>
  </si>
  <si>
    <t xml:space="preserve">There's a couple hampers by pouch rack that came off the Sioux Falls truck that arrived late. Amos seperated it into 1st class and priority and recovered the Mankato. </t>
  </si>
  <si>
    <t>Political Mail Email Sent?</t>
  </si>
  <si>
    <t xml:space="preserve">City 03 ran past 05:00 because there wasn't enough people to get it started in time. </t>
  </si>
  <si>
    <t xml:space="preserve">Good night. No issues. </t>
  </si>
  <si>
    <t>Sioux Falls truck came in late. Lindsay scanned St Peter @ 05:00 but shows it's late for 1 minute.</t>
  </si>
  <si>
    <t>Political Mail Certified?</t>
  </si>
  <si>
    <t xml:space="preserve">Good night. No issues. Very light volume. </t>
  </si>
  <si>
    <t xml:space="preserve">Door 5 (Sanborn) didn't show. I called John Selly a little before 0500 and he came at 0535 with a truck to do the route. He was gone by 0545. </t>
  </si>
  <si>
    <t xml:space="preserve">Good night, no issues. Done early with everything. </t>
  </si>
  <si>
    <t>CREATED BY: OSS - DUSTIN DEVENS, MANKATO, MN P&amp;DF 56001</t>
  </si>
  <si>
    <r>
      <t xml:space="preserve">Answer YES or NO in the yellow highlighted boxes to the left. If ANY answer is a NO, then you </t>
    </r>
    <r>
      <rPr>
        <b/>
        <u/>
        <sz val="16"/>
        <color rgb="FFFF0000"/>
        <rFont val="Arial"/>
        <family val="2"/>
      </rPr>
      <t>MUST</t>
    </r>
    <r>
      <rPr>
        <b/>
        <sz val="16"/>
        <color rgb="FFFF0000"/>
        <rFont val="Arial"/>
        <family val="2"/>
      </rPr>
      <t xml:space="preserve"> add a comment in the bottom box to be able to submit the form.</t>
    </r>
  </si>
  <si>
    <t xml:space="preserve"> </t>
  </si>
  <si>
    <t xml:space="preserve">T-3 OT authorization missing. Also T-1 is missing AL </t>
  </si>
  <si>
    <t>It looks like Dee has been taking short lunches and putting her in OT.</t>
  </si>
  <si>
    <t xml:space="preserve">Waseca driver forgot an APC of mail. He is coming back to plant to recover. </t>
  </si>
  <si>
    <t>Corrine's clock rings are in error</t>
  </si>
  <si>
    <t>0300 Windom trip was late leaving due to an extra trip that arrived just after 0300 that had Windom mail on it. Driver called to notify me at 0215 of extra trip.</t>
  </si>
  <si>
    <t>Troy's clock rings are in error. I don't have enough info to fix.</t>
  </si>
  <si>
    <t>Abdi has shows ring errors</t>
  </si>
  <si>
    <t>Melanie and Amos are missing 8 hrs and are not on the calendar.</t>
  </si>
  <si>
    <t>Dee has 1 hr short and no lunch</t>
  </si>
  <si>
    <t>Riley has clock rings errors. Also 04:20 truck  from NDC was 3 min late.</t>
  </si>
  <si>
    <t>Again last 2 trucks brought mixed NMO's and small parcels. We processed mail until 5 to 5 and cut about 3 containers of NMO's 3 small parcels. We still had 7 trucks asking for late slips &amp; they got them</t>
  </si>
  <si>
    <t>EIP certified.</t>
  </si>
  <si>
    <t>05:00 left on time but we had to leave NMO's on dock &amp; parcels at pouch racks</t>
  </si>
  <si>
    <t>We left 1/2 of gaylord of small parcels to get trucks leave on time.</t>
  </si>
  <si>
    <t>T-2 Yard check is complete</t>
  </si>
  <si>
    <t xml:space="preserve">There's a Wuk of parcels we left in the pouch rack area. It came late from the Dock at 04:53. </t>
  </si>
  <si>
    <t>We had to cut 2 hampers and a gaylord of mostly FC parcels to get trucks out on time. I added some moves in the Scheduler for people that I'd mved them out of section.</t>
  </si>
  <si>
    <t>Mankato Dps will be done around 06:45. There are some click ring errors on wk 10-2 but it was too late to fix it. I will fix them tonight.</t>
  </si>
  <si>
    <t>T-2 yard check is done</t>
  </si>
  <si>
    <t>we cut 3 scanned hampers of parcels to the trucks out on time. We ran out of time to sort them.</t>
  </si>
  <si>
    <t>Bill helped the dock for 4 hours.</t>
  </si>
  <si>
    <t>We had to cut parcels to trucks go out on time. We have 4 scanned hampers and unscanned wire cage left. We used Bill Dostal to help out dock for 2.5 hrs</t>
  </si>
  <si>
    <t>This is correction.  The previous Telecom report was missing STD letters counts.</t>
  </si>
  <si>
    <t>Bill helped the doc from 03:20-0500</t>
  </si>
  <si>
    <t xml:space="preserve">There's about half of a gaylord of blue in the LIPS area.                                            </t>
  </si>
  <si>
    <t>04:20 truck was 2 min late coming in. Also Kilkenny driver's truck wouldn't start so he called John Selly to bring a different truck for him. John's expected to bring a truck @ 6:00 am.</t>
  </si>
  <si>
    <t>All STD flats are green pallets in LIPS area which we could not have finished last night.  Also There's a half of a wire cage of priority left in the pouch rack which came from dock, (at 0450) too late to process.</t>
  </si>
  <si>
    <t>We had to cut 6 UPS Innovation gaylords, and 2 hampers, gaylord and a wire cage of priority.</t>
  </si>
  <si>
    <t>0420 truck came in 2 min late. Four clerks are still on the clock finishing Mankato city.</t>
  </si>
  <si>
    <t>7:00</t>
  </si>
  <si>
    <t>There an Express live animal for Worthington that came from MSP late. We sent it with ST. Jame's drive. Windom will recover it then Worthington will pick up it from there.</t>
  </si>
  <si>
    <t>00.00</t>
  </si>
  <si>
    <t>Beth and Tracey are working OT helping Paul in customer service.</t>
  </si>
  <si>
    <t>3</t>
  </si>
  <si>
    <t>There are about 3 hampers worth of mainly FC parcels left in the pouch rack.</t>
  </si>
  <si>
    <t>0415 truck came in 100% and 0420 had most of parcels mixed in. on the dock, We've got 1 gaylord, 1/2 BMC and 1 STD gaylord of yellow. In the pouch rack, We have left 3  UPS Innov, 2 gaylords &amp; 4 hampers of mixed priority and FC.</t>
  </si>
  <si>
    <t>There is one hamper of mixed and 2 gaylords of UPS innovation left in the pouch rack this morning. Also a bag of priority in pouch rack was left on a rack. We need to find to ways recover it. I left it in the front of OSS office. Tina has ring errors.</t>
  </si>
  <si>
    <t>14.00</t>
  </si>
  <si>
    <t>We were behind on DBCS and Pouch rack coming in. We had to cut 4 gaylords and a wire cage of parcels to get trucks out on time. On DBCS, Mankato is getting splitted on to machines and will be clear around 0700. Five Clerks are still on the clock</t>
  </si>
  <si>
    <t>No mail dispatches on Sunday.</t>
  </si>
  <si>
    <t>0</t>
  </si>
  <si>
    <t>10</t>
  </si>
  <si>
    <t>Kept El Masdaqui for 2 hours to work Pouch. Keeping Chris and Tracy 2 hours to finish City runs. Keeping Dan and Rich 2 hours to clean up Docks.</t>
  </si>
  <si>
    <t>0415 Mpls truck was 6 min because it was 10 min leaving mpls.</t>
  </si>
  <si>
    <t>0400 ST Peter was 3 min late for contractor failure, 5500 was issued. There's one gaylord of UPS Innovation left in pouch rack.</t>
  </si>
  <si>
    <t>0000</t>
  </si>
  <si>
    <t>2</t>
  </si>
  <si>
    <t xml:space="preserve">No mail dispatches on Sunday, </t>
  </si>
  <si>
    <t>4</t>
  </si>
  <si>
    <t>There's a half of hamper of parcels left in pouch rack.</t>
  </si>
  <si>
    <t>There are 2 1/2 PC of violet that came in on the late truck @ 0200</t>
  </si>
  <si>
    <t>00000</t>
  </si>
  <si>
    <t>We've left 2 hampers and 1/2 wire cage of parcels from last last 2 trucks in pouch.</t>
  </si>
  <si>
    <t>0200</t>
  </si>
  <si>
    <t>There's a half of gaylord of parcels left in pouch rack.</t>
  </si>
  <si>
    <t>There are 7 gaylords and 3 BMC left on dock. We had only 2 MH</t>
  </si>
  <si>
    <t>No mail delivered on Sunday.</t>
  </si>
  <si>
    <t>Dan B. scheduled to work 2 hours O.T.</t>
  </si>
  <si>
    <t>Rich and Dan are scheduled for OT.</t>
  </si>
  <si>
    <t>02:00</t>
  </si>
  <si>
    <t xml:space="preserve">There are 2 UPS INNOV gaylords and 4 mixed FC/priodity left in pouch rack. Dock has also 2 gaylords left. At 0205 left on time but was departed at 0221. </t>
  </si>
  <si>
    <t>0300</t>
  </si>
  <si>
    <t>There's 1 gaylord  &amp; 1 hamper of parcels left in pouch rack. On the dock, we have 3 gaylords and 2 BMC's of NMO's left.</t>
  </si>
  <si>
    <t>Dock has about over 20 containers of NMO's on the dock. On pouch 5 gaylords and 2 wiretainers.</t>
  </si>
  <si>
    <t>Still working on clearing the dock at 2230. To early to do Political mail and MCV.</t>
  </si>
  <si>
    <t>Everything is as caught up as It can be except for pouch rack. I don't think Mitch scanned anything all night…. The same containers are still sitting there as when I left at 2300.</t>
  </si>
  <si>
    <t>8</t>
  </si>
  <si>
    <t xml:space="preserve">5 Gaylords of NMOs left on dock. Not enough people to keep up throughout the night. </t>
  </si>
  <si>
    <t>02.50</t>
  </si>
  <si>
    <t>We've got 10 gaylords and 3 BMC's of NMO's on the dock ,and 1.5 gaylords and 1.5 hampers of priority. Plus 3 gaylords of UPS Innovations in pouch rack.</t>
  </si>
  <si>
    <t>Lash has clock ring errors.  There are 3 gaylords and 3 BMC's on dock.</t>
  </si>
  <si>
    <t>2.30</t>
  </si>
  <si>
    <t>04:00</t>
  </si>
  <si>
    <t>We've 7 gaylords, 1 BMC and APC on the dock, and there's about 1/2 gaylord parcels in pouch rack. DBCS are still running so tacs are not clear.</t>
  </si>
  <si>
    <t>There are 3 hampers, 2 gaylords and wire cage of parcels left in pouch rack.                         All trucks were late for 6-9 minutes because pouch was on the dock about 5 after five.</t>
  </si>
  <si>
    <t>4 hours</t>
  </si>
  <si>
    <t>04.00</t>
  </si>
  <si>
    <t>There are 11 gaylords and 3 BMC's on dock, and four halves of gaylords in pouch. 0105 inbound from MPLS came 7 in late, form 5500 was issued.</t>
  </si>
  <si>
    <t>Dock has about 15 containers NMO's. Doug's time show clock rings errors.</t>
  </si>
  <si>
    <t>Trip 560CA-1603 was scanned out 1 min late. There was a scanner communication issue. Truck actually left at 02:58. 5 Gaylords and 1 BMC on dock and 1 Gaylord and 1 Wire at pouch rack from 0420 truck. (see tour report)</t>
  </si>
  <si>
    <t xml:space="preserve">1 Gaylord and 1 Hamper at pouch rack from the last 2 trucks. </t>
  </si>
  <si>
    <t>6</t>
  </si>
  <si>
    <t>6 containers of NMO's on dock</t>
  </si>
  <si>
    <t>There are 11 containers of NMO's on the dock and 1 gaylords in pouch. City is done and being pulled @ 0610</t>
  </si>
  <si>
    <t>2245 windom truck didn't come until 02.39.  There are 8 parcels in pouch and 9 NMO's on the dock.</t>
  </si>
  <si>
    <t>06</t>
  </si>
  <si>
    <t>There are 17 gaylords on the dock and 9 gaylords in pouch racks</t>
  </si>
  <si>
    <t>552U2-803 fromSaint Paul was late for contractor problems causing 552U2-803 to Sioux Falls to be late. 552U2-803 made it to Souix Falls by 02:19 AM</t>
  </si>
  <si>
    <t>552U2-801 Arrived 3 minutes late from ST. Paul due to contractor failure.</t>
  </si>
  <si>
    <t>552U2-802 from Windom was late for 8 min for contract failure.</t>
  </si>
  <si>
    <t xml:space="preserve">Dock has gaylords, 1 BMC and 2 wire cages of NMO's left. Pouch has also about 1 full wire cage and about 1.5 gaylords of parcels left. ERMS/TACS are down @ 6:. </t>
  </si>
  <si>
    <t>There are 9 NMO's and 2 gaylords on dock, and 2 gaylords and 1 wire.</t>
  </si>
  <si>
    <t xml:space="preserve">Pouch is clear. Dock has 5 gaylords, 2 BMCs, 2 wires, 1 APC and 1 pallet. 0400   trip for Saint Peter  was late 3 min for contractor failure.            </t>
  </si>
  <si>
    <t>there are 8 containers on dock and 3 in pouch rack.</t>
  </si>
  <si>
    <t xml:space="preserve">There are 11 gaylords of mostly (Tues) STD, and 5 BMC's on the dock.Also pouch rack has 4 gaylords of parcels left. </t>
  </si>
  <si>
    <t>000</t>
  </si>
  <si>
    <t>There are 11 containers of NMO's on the dock and about 5 gaylords of parcels in pouch rack</t>
  </si>
  <si>
    <t>Windom trip 802 still has not come back from Windom. There are about 18 gaylords, 1 BMC &amp; 1 wire cages left on dock. New Ulm mistakenly received a BMC of parcels that was for St. Cloud from MPLS. They will send it back on PM</t>
  </si>
  <si>
    <t xml:space="preserve">Dock has 5 gaylords and 1 BMC of NMOs. </t>
  </si>
  <si>
    <t>00</t>
  </si>
  <si>
    <t>There are 2 gaylords of UPS Innovation mail left in pouch racks. For 0230 trip was late 8 minutes for contractor failure.</t>
  </si>
  <si>
    <t>There are 7 containers of NMO's on the dock &amp; 5 containers parcels in pouch. Windom trips were late both times-coming from cities and back from Windom/Worthington</t>
  </si>
  <si>
    <t>There are  containers of NMO'S on the dock and 2 more in the pouch</t>
  </si>
  <si>
    <t>There are 9 gaylords &amp; 2 BMCs on the dock. Pouch has 3 gaylords and a wire cage.</t>
  </si>
  <si>
    <t>0105 truck was late for contract failure. Dock has 10 containers of NMO's left. Pouch has 4 containers parcels left.</t>
  </si>
  <si>
    <t>1.5</t>
  </si>
  <si>
    <t>0415 truck came in 1 min late. There are 2 gaylords, 2 Wire cages, 1 hampere &amp; 1 APC.</t>
  </si>
  <si>
    <t xml:space="preserve"> YARD CHECK, MCV, &amp; POLITICAL COMPLETE?</t>
  </si>
  <si>
    <t xml:space="preserve"> WAS DPS DONE BEFORE 05:00?</t>
  </si>
  <si>
    <t xml:space="preserve">There  11 containers left on the dock and 4 more in pouch rack. City was completed 05.27 AM because runs were behind the schedule(RPG) due to heavy Friday (Yellow)  STD.  </t>
  </si>
  <si>
    <t>0.45</t>
  </si>
  <si>
    <t># of 8 HR days needed.</t>
  </si>
  <si>
    <t>DPS done before 0500?</t>
  </si>
  <si>
    <t>MCV/Yard Check/Political done?</t>
  </si>
  <si>
    <t>3.5</t>
  </si>
  <si>
    <t>There are19 containers of NMO's on the dock, and 8 containers of parcels in pouch rack. El has clock ring errors</t>
  </si>
  <si>
    <t>DPS done by 0500?</t>
  </si>
  <si>
    <t># of 8 HR days needed:</t>
  </si>
  <si>
    <t>O.T. hrs used today:</t>
  </si>
  <si>
    <t>There is 1 Gaylord, 1 APC, 1 Hamper in NMO's to work. We left 3 Gaylords and 1 wire in POUCH.</t>
  </si>
  <si>
    <t>5</t>
  </si>
  <si>
    <t xml:space="preserve">Trip 552U2-801 was departed 3 min late at 2248. Didn't catch Lash before she left to find out why. Trip 552U2-802 departed 7 min late because it arrived 15 min late. Had machine issues that put us behind about 45min on city DPS. 8hr days = Spoors, Hardt, Wentz, Johnson T., Ryan, Rezac. </t>
  </si>
  <si>
    <t>City 2 was done at 05:12. Dock has 4 Gaylords, 1 OTR, and 1 APC to work.</t>
  </si>
  <si>
    <t>Dock has 4 Gaylords, 1 OTR, and 1 wire.  DPS city runs were done at 05:25</t>
  </si>
  <si>
    <t>1 OTR and 1 Small gaylord in NMO.</t>
  </si>
  <si>
    <t xml:space="preserve"> Number of employees on all tours needing an 8hr day?</t>
  </si>
  <si>
    <t>There 10 containers of NMO's on the dock. Mankato DPS is done @ 0545 due to staffing/machines issues.</t>
  </si>
  <si>
    <t>There are 14 containers of NMO's left on the dock,  8 parcels in the pouch rack.    Lash had short lunch &amp; need her clock rings fixed.</t>
  </si>
  <si>
    <t>NMO has 5 Gaylords.</t>
  </si>
  <si>
    <t>Dock has 7 Gaylords, 1 OTR, 1 wire, and 1 APC to work, Madison lake left 1 hamper of mail.   DPS machines shut down at 06:30, currently distributing mail.</t>
  </si>
  <si>
    <t>Dock has 2 Gaylords, 1 wire, and 1 hamper to work.DPS city finished at 05:30.</t>
  </si>
  <si>
    <t>1</t>
  </si>
  <si>
    <t>Dock has 17 NMO containers, pouch has 4 parcels.  DBCS 5 went down @ 2300 back up @ 0050.</t>
  </si>
  <si>
    <t xml:space="preserve">City DPS are done @ 0510. There are 13 NMO's on dock and 4 parcels in pouch. </t>
  </si>
  <si>
    <t>0415 truck was 2 min late for contractor faiture. There are 23 containers of NMO's on dock and 8 parcels in pouch rack. DPS was clear by 0500 due to short staffing/Machines issues.</t>
  </si>
  <si>
    <t>14</t>
  </si>
  <si>
    <t>2325 truck left on time and was not scanned departed. In TACS, Sharon has clock rings errors. City DPS were done@ 0739 due to mail volume and  short staffed because of Holiday. DBCS were behind the schedule.</t>
  </si>
  <si>
    <t>N/A</t>
  </si>
  <si>
    <t>Dock has 6Gaylords, 1 OTR, and 1 wire to work in NMO.</t>
  </si>
  <si>
    <t xml:space="preserve">Dock has 1 DHL Gsylord (Green), 1 tall gaylord, and 1 wire.  </t>
  </si>
  <si>
    <t>Dock has 1 wire. DPS finished running city at 06:00.</t>
  </si>
  <si>
    <t>Dock has 1 Tall Gaylord, 1 Small Gaylord.    DPS finished at 05:14.</t>
  </si>
  <si>
    <t>.5</t>
  </si>
  <si>
    <t>Dock has 6 Tall gaylords, 3 Small gaylords, 1 APC and 1 hamper.   DPS finished inner city run at 05:25.</t>
  </si>
  <si>
    <t xml:space="preserve">0230 trip never showed up. Also Window trip did not come in until 0416 because he had to go to Souix Falls and come back. DPS are clear @ 0522. </t>
  </si>
  <si>
    <t>7</t>
  </si>
  <si>
    <t>There are 21 NMO's containers left on the doc. Pouch has 8 containers of parcels.  DPS are done @ 0630. Pete H and Chris T have clock rings errors. Shane, Chris, Mosisa and Tracey.</t>
  </si>
  <si>
    <t>Dock has 3 Tall gaylords of DHL,1 OTR.</t>
  </si>
  <si>
    <t>Dock outsides has 5 Small gaylords, 1 Tall gaylord, and 1 OTR.</t>
  </si>
  <si>
    <t>Dock outside has 3 Small gaylords and 1 Tall gaylord. DPS was done by 05:30.</t>
  </si>
  <si>
    <t>There are 2 NMO gaylords on the dock, 8 containers of parcels in pouch rack.               Both Lash and Dee have clock rings errors because they had short lunches.  Hagert &amp; Gerdts need 8 hr day. Four APC of green STD came in @ 0030. TACS is down and shows that no one has had end tour yet.</t>
  </si>
  <si>
    <t>Dock has 7 NMO's left, pouch 3 parcels. DPS were done @ 0620. Jeff and Pete need 8 hr days.</t>
  </si>
  <si>
    <t xml:space="preserve">0150 truck was late for 8 min because USPS Inspector was inspecting mail on the truck. Dock has 10 containers of NMO's left and 8 containers in pouch rack. Pete needs 8 hr day. Mosisa calls in for IOJ. </t>
  </si>
  <si>
    <t>16</t>
  </si>
  <si>
    <t>Dock has 2 BMC and 1.5 gaylords. Pouch also has 1.5 wire 4.5 gaylords and 1/2 APC. DPS were done @ 05.:50. Manual (560)letters didn't get pulled. Will ran LiPS until he went home @ 0700</t>
  </si>
  <si>
    <t>Dock has 1 BMC, 1 Tall gaylord of DHL (pink)</t>
  </si>
  <si>
    <t xml:space="preserve">3 BMCs, 1 gaylord on dock. All but 1 BMC came in on last 2 trucks. Nancy is only one on OT list that needs 8 hr day by end of the week. 2 gaylords and 1 hamper for Pouch Rack that came in on last 2 trucks. </t>
  </si>
  <si>
    <t>0330 Window truck came in 6 min late for contractor failure. Dock has 3 BMC, 1wire and 1 pallet left. There are 1/2 of gaylord and 1/2 of wire cage in pouch. Nancy, Jeff, Rich, Troy and Jeff all need 8 hr day.</t>
  </si>
  <si>
    <t>.70</t>
  </si>
  <si>
    <t xml:space="preserve">0150 truck was scanned 1 min late. Expeditor was busy doing something else.    There are 7 gaylords and 4 containers of NMO's on dock. Pouch has 1 hamper left. Pete, Jeff, Rich &amp; nancy need 8 hr day. </t>
  </si>
  <si>
    <t>There are 15 containers of NMO's on the dock and 2 parcels in pouch. DPS were cleared @ 0547.  TACS seems to be down. Pete/Rich/Jeff need 8 hr day.</t>
  </si>
  <si>
    <t>Dock has 17 gaylords, 4BMC, 2 APC and 1 pallet. Pouch rack has 7 gaylords. Pete/Tina/Rich/Nancy need 8 hr day.  DPS were done @ 0441. Dee had short lunch and has OT error.</t>
  </si>
  <si>
    <t xml:space="preserve">There are total 22 containers of NMO's on dock and 1 wire in pouch. 0415 truck came in  0431 because it left MPLS 30 min late. Stacy/Will/Calleh need 8 hr day. Lash and Dee had short lunches,  and require OT authorization. 5 employees  still need OT auth for the (20-02) week just closed. </t>
  </si>
  <si>
    <t xml:space="preserve">There were trips around 3am that are showing up late. I was on the dock and those trucks were out on time. The scanner was not communicating. Mitch reset it and it showed green. About 0400 he noticed they had changed times. </t>
  </si>
  <si>
    <t xml:space="preserve">01:05 truck came in on time but was scanned 03 min late. Adam was dispatching the LIPS.  Upto six peaple need 8 hr day.  Dee punched out late and need OT authorization. </t>
  </si>
  <si>
    <t>DPS  City 2 cleared at 05:16.  Dock has 2 Tall gaylords, 2 Small gaylords,1 BMC, and 1 APC.</t>
  </si>
  <si>
    <t>Dock has 2 Tall gaylords, 2 Small gaylords,2 APC, and 1 BMC, all came in after 04:00.</t>
  </si>
  <si>
    <t xml:space="preserve">There 16 containers of NMO's on the dock. DBCS's 85 run cleared the DB @ 0515 and needed to be recovered. Jeff and Pete need 8 hr day. </t>
  </si>
  <si>
    <t>9</t>
  </si>
  <si>
    <t>EL ha clock ring errors. Dock has 21 containers of NMO's. City DPS was done @ 0617.  Chris/Doug/Mosisa need 8 hr day. Door 17 driver left 1 APC of flats and 1 gaylord of parcels.</t>
  </si>
  <si>
    <t>Dock has 4 Tall gaylords.</t>
  </si>
  <si>
    <t>Dock has 2 Small gaylords and 1 Tall gaylord.</t>
  </si>
  <si>
    <t>Dock has 8 BMC, 5 Tall gaylords, 1 APC.                                                              Pouch has 3 Small gaylords.</t>
  </si>
  <si>
    <t>Dock has 8 Tall gaylords, 7 BMC.  Pouch has 2 Small gaylords.   DPS  City 2 finished at 05:40 due to volume.</t>
  </si>
  <si>
    <t>There are 15 NMO's on the dock, and 3 parcels in pouch rack. There are 4 people need 8 hr day: Pete, Tracy, Chris, and Doug.</t>
  </si>
  <si>
    <t>0400 truck was late coming in. There are 13 containers of NMO's. City 1 is sdone at 0615 &amp; city 3 @ 0635. BJ is missing time.  Pete, Tracey, Chris and Doug need 8 hr day.</t>
  </si>
  <si>
    <t>Dock has 18 containers of NMO's.  And 3 more parcels in pouch rack. Tom/Stacy/Bradley need 8 hour day.</t>
  </si>
  <si>
    <t>0330 truck didn't come in until 05.30, There are 6 gaylords and 1 hamper on the dock.Lash/Stacy/Amos/Troy/Bradley have 8 hour day left.</t>
  </si>
  <si>
    <t>Dock has 12 Gaylords, 2 wires, 2 BMC, 1 hamper.</t>
  </si>
  <si>
    <t>Dock has 4 Gaylords.</t>
  </si>
  <si>
    <t>Dock has 7 Gaylords.  DPS inner city was done at 05:50. Pouch is clear.</t>
  </si>
  <si>
    <t>Dock has 8 gaylords, 1 BMC, and 2 pallets. City 01 cleared at 5:13.</t>
  </si>
  <si>
    <t>Dock has 10 Gsylords, 5 BMC,3 pallets, 1 wire. DPS city 3 was done at 06:50. Pouch has 2 Gaylords and 1 APC</t>
  </si>
  <si>
    <t>13 gaylords, 2 pallets and 1 BMC on the dock. Unable to certify yard check.</t>
  </si>
  <si>
    <t>Dock has 2 Tall gaylords, 8 small gaylords, 1 hamper, 1 APC, 1 BMC.  Pouch has 3 Small gaylords.</t>
  </si>
  <si>
    <t>Dock has 9 gaylords, 3 BMC, 1 APC, 1 pallet.  Pouch has 4 gaylords.</t>
  </si>
  <si>
    <t>Dock has 8 Gaylords, 1 hamper,1 BMC, 1 APC, 1 wire. Pouch has 7 Gaylords.</t>
  </si>
  <si>
    <t>Dock has 14 Gaylords, 6 BMC.  Pouch has 8 Gaylords.  DPS city 3 finished at 06:35.</t>
  </si>
  <si>
    <t>Dock has 13 gaylords, 4 BMC, 1 APC. Pouch has 7 gaylords.</t>
  </si>
  <si>
    <t>DOCK &amp; Pouch Rack: 5 BMC, 30 Gaylords, 2 APC, 2 Wires, 1 Hamper</t>
  </si>
  <si>
    <t xml:space="preserve">Dock has 16 gaylords, 3 BMC, 2 hampers.  Madison Lake driver left 2 APC and 1 hamper of Amazon behind.Pouch has 11 gaylords and 1 wire. </t>
  </si>
  <si>
    <t>Dock has 6 gaylords, 1 BMC, 1 hamper. Pouch has 7 gaylords, 2 hampers, 1 wire.</t>
  </si>
  <si>
    <t>Dock has 11 gaylords, 2 BMC. Poouch has 1 BMC, 1 hamper, 1 wire.</t>
  </si>
  <si>
    <t>Dock has 11 gaylords, 2 BMC. Pouch has 1 BMC, 1 wire, 1 hamper.</t>
  </si>
  <si>
    <t>DPS city 2 was done at 06:10. Dock has 10 gaylords,5 BMC, 3 APC, 1 hamper.  Pouch has 3.5 gaylords.</t>
  </si>
  <si>
    <t>Dock has 11 gaylords, 6 BMC, 1 wire, 1 APC. Pouch has 6 gaylords, 1 BMC.</t>
  </si>
  <si>
    <t>Pouch Rack: 6 gaylords     DOCK: 18 gaylords, 8 BMCs, 3 APCs, 1 hamper.          Marthaler and Brad need 8 hour day yet this week.</t>
  </si>
  <si>
    <t xml:space="preserve"> Dock has 21 gaylords, 3 BMC. Pouch has 1 BMC, 1 hamper.</t>
  </si>
  <si>
    <t>Dock has 1 BMC, 1 gaylord.</t>
  </si>
  <si>
    <t>Dock has 4 Gaylords, 1 BMC.</t>
  </si>
  <si>
    <t>Dock has 3 gaylords, half a BMC.</t>
  </si>
  <si>
    <t>Dock has 3 gaylords, 2 APC, 1 BMC.</t>
  </si>
  <si>
    <t xml:space="preserve">1 STD Orange pallet, 1/2 APC, 1 BMC, 1 Gaylord left on the dock. </t>
  </si>
  <si>
    <t>Dock has 15 gaylords, 1 BMC.  Pouch has 4 gaylords, 3 hampers.</t>
  </si>
  <si>
    <t>Dock has 8 gaylords, 3 pallets &amp; 1 APC.
Political Report not complete.</t>
  </si>
  <si>
    <t>3-6</t>
  </si>
  <si>
    <t>Dock has 17 containers with parcels
Have MH staying to clean up dock &amp; set up and clerks staying to open letter mail.</t>
  </si>
  <si>
    <t>Dock has 30 containers, about 14 came in on the 0415/0420.</t>
  </si>
  <si>
    <t>18 containers of parcels (at least 12 came on 0415/0420)
DPS city 002 finished at 0540
Bohks, Schaller, Sarbessa</t>
  </si>
  <si>
    <t>12 pallets from 0400 trucks to proccess</t>
  </si>
  <si>
    <t>13 gaylords for Amos to clean up.</t>
  </si>
  <si>
    <t>18 containers on dock</t>
  </si>
  <si>
    <t>12</t>
  </si>
  <si>
    <t>12.5</t>
  </si>
  <si>
    <t>31 Containers on Dock
City 002 DPS complete at 0557
Dee Clark needs an 8 hour day &amp; Dee needs a 1260 for lunch clockrings</t>
  </si>
  <si>
    <t xml:space="preserve"> 3 Containers on dock    Pouch rack has 20 containers
City 002 - complete at 0624</t>
  </si>
  <si>
    <t xml:space="preserve">Brad and Dan are working on the parcels that are coming in on the dock. </t>
  </si>
  <si>
    <t>Dock has 13 Gaylords. Pouch has 3 gaylords.</t>
  </si>
  <si>
    <t>Dock has 13 gaylords. Pouch has 3 gaylords.</t>
  </si>
  <si>
    <t>Dock has 20 gaylords, 2 hamp, 1 BMC. Pouch has 9 gaylords.</t>
  </si>
  <si>
    <t xml:space="preserve">Tacs/Erms are not clear by 0630. Dock has 51 containers of both NMO's and small parcels. </t>
  </si>
  <si>
    <t>Trip 560DA 402 (Inbound from MPLS) was late for 1 hr. there are 34 NMO's on the dock and 11 containers in pouch and 4 more staged for LIPS. For Tacs/Erms, 3 employees are still on the clock. Tracey &amp; Chris are staying 6 hrs.</t>
  </si>
  <si>
    <t xml:space="preserve">3 trucks from MPLS and 1 from New ElM came in few minutes lare each. T1 employees are still on the clock. Dock has 40 containers of parcels. City 3 is on P2 and will be done before 0800. </t>
  </si>
  <si>
    <t>Mosisa's clock ring has an error. Dock has 42 gaylords</t>
  </si>
  <si>
    <t>Dock has 37 gaylords, 3 BMC, 5 APC. Pouch has 7 gaylords, 3 APC, 1 hamper.</t>
  </si>
  <si>
    <t>Dock has 65 gsylords, 3 APC, 1 hamper. Pouch has 5 gaylords.</t>
  </si>
  <si>
    <t>Dock has 30 gaylords, 4 hampers, 2 APC. Pouch has 1 gaylord.</t>
  </si>
  <si>
    <t>Dock has 12 gaylords, 2 APC, 1 hamper. Pouch has 1 wire.</t>
  </si>
  <si>
    <t>Dock has 5 Gaylords, 6 wires, 3 APC. Pouch has 4 gaylords.</t>
  </si>
  <si>
    <t xml:space="preserve">We had a couple of inbound late for contractor failure. Four clerks are on the clock. Dock has 13 NMO's left. </t>
  </si>
  <si>
    <t>20</t>
  </si>
  <si>
    <t>Dock has 8 gaylords, 2 wires. Pouch has 2 gaylords, 1 APC.</t>
  </si>
  <si>
    <t>Dock has 10 gaylords, 5 BMC, 5 APC.  Pouch has 6 gaylords, 1 wire, 1 hamper.</t>
  </si>
  <si>
    <t>Dock has 43 gaylords, 17 APC, 1 BMC, 1 wire, 5 hampers. Pouch has 11 gaylords.</t>
  </si>
  <si>
    <t>Dock has 17 gaylords, 2 APC, 1 BMC, 1 hamper. Pouch has 18 gaylords.</t>
  </si>
  <si>
    <t>Pouch has 4 gaylords, 3 hampers.</t>
  </si>
  <si>
    <t>560DA-204 Inbound from MPLS was late for 2 min. Also,  553CA-701  Inbound was late for 10 min. Dock has 14 NMO's to process. For Tacs, 4 clerks are staying OT &amp; opening mail</t>
  </si>
  <si>
    <t>these two trips; 560DA-402 &amp; 56190-806 were late coming from cities. Tacs/erms are not cleared yet. The dock has about 40 NMO's left.</t>
  </si>
  <si>
    <t>Dock has 48 gaylords,24 APC, 1 wire. Pouch has 4 gaylords.</t>
  </si>
  <si>
    <t>Dock has 46 gaylords, 10 APC. Pouch has 12 gaylords.</t>
  </si>
  <si>
    <t>Dock has 22 gaylords, 6 APC, 1 BMC. Pouch has 9 gaylords.</t>
  </si>
  <si>
    <t>Dock has 30 gaylords, 5 APC, 2 BMC, 1 pallet. Pouch has 8 gsylords, 2 hampers.</t>
  </si>
  <si>
    <t>Dock has 16 gaylords, 4 APC, 1 BMC. Pouch has 15 gaylords.</t>
  </si>
  <si>
    <t>4 Inbound  late trucks and 1 outbound truck left late because it's late for inbound. There are about 40 containers on the dock. Five people still need 8/hr day</t>
  </si>
  <si>
    <t>there were 6 inbound late and 2 outbound truck. PP26-2 has some errorsyet. Dock has 40 containers on the dock. Also 05:15 NDC truck is in door 18 waiting to be unloaded.</t>
  </si>
  <si>
    <t>Dock has 61 gaylords, 21 APC.</t>
  </si>
  <si>
    <t>Dock has 56 gaylords, 13 APC, 6 pallets. Pouch has 4 gaylords.</t>
  </si>
  <si>
    <t>Dock has 43 gaylords, 25 APC, 3 pallets, 1 wire, 1 hamper.  Pouch has 15 gaylords.</t>
  </si>
  <si>
    <t>Dock has 3 gaylords, 2 APC, 1 BMC, 1 pallet. Pouch has 9 gaylords, oldest is 23rd 00:00.</t>
  </si>
  <si>
    <t xml:space="preserve"> All trucks were late coming and leaving. Dock has 10 gaylords and 1 APC. </t>
  </si>
  <si>
    <t xml:space="preserve">All trips came in and left late. Tacs are not clear. DBCS operators are  finishing runs and stay little bid of OT. </t>
  </si>
  <si>
    <t>Dock has 5 APC's, 5 gaylords of 5 digit sacks, and 4 gaylords,2 hampers,&amp;  1 BMC. Tacs/Erms have some clock rings error.</t>
  </si>
  <si>
    <t>Dock has 7 gaylords, 11 APC. Pouch has 4 gaylords.</t>
  </si>
  <si>
    <t>DPS city 1 and 3 finished at 05:30. Dock has 3 gaylords, 2 hampers, 1 wire, 1 APC. Pouch has .5 gaylord.</t>
  </si>
  <si>
    <t>2 late inbound came in MPLS and 1 came from Windom. There are about 20 containers of NMO's on the dock.</t>
  </si>
  <si>
    <t>2 Inbound from MPLS, 1 outboundto Windom. Dock has 5 containers</t>
  </si>
  <si>
    <t xml:space="preserve">01:50 truck was scanned in 1 minute late. Troy has clock rings errors </t>
  </si>
  <si>
    <t>Tacs is not clear. Dan Boettcher is missing time for Sat. Dock is not clear because it has 11 gaylords &amp; 1 APC.</t>
  </si>
  <si>
    <t>Dock has 12 gaylords,1 hamoer, 1.5 APC, 2 pallets.  Pouch has 3.5 gaylords.</t>
  </si>
  <si>
    <t>Dock has 5 gaylords, 1 BMC, 1 hamper. Pouch has 1 gaylord.</t>
  </si>
  <si>
    <t>Dock has 9 gaylords, 2 hampers, 1 BMC. Pouch has 1 gaylord.</t>
  </si>
  <si>
    <t>DPS city 2 was finished at 05:03. Dock has 11 gaylords, 3 BMC, 1 pallet, 1 APC. Pouch has 4 gaylords.</t>
  </si>
  <si>
    <t xml:space="preserve">Dee has no lunches. Dock has 20 NMO's. City of Mankato DPS was done @ 0608. </t>
  </si>
  <si>
    <t>This extra trip (560DA-FEX) came in &amp; left late. Also 0420 truck was 1 min late. Doch has 16 pallets. Mankato DPS was done @ 0620</t>
  </si>
  <si>
    <t>2 inbound trucks from cities came in a couple of minutes late. TACS/ERMS are not all clear and are being worked on now. Dock has 30 containers of mail. City Mankato DPS won't be done until close to 0745.</t>
  </si>
  <si>
    <t>Dock has 11 gaylords, 1.5 APC. Pouch has 14 gaylords, 4 BMC.</t>
  </si>
  <si>
    <t>Dock has 20 gaylords, 4 APC, 1 hamper. Pouch has 7 gaylords.</t>
  </si>
  <si>
    <t>Dock has 4 gaylords, 1 APC. Pouch has 12 gaylords.</t>
  </si>
  <si>
    <t>Dock has 3 gaylords, 1 APC. Pouch has 11 gaylords.</t>
  </si>
  <si>
    <t>Dock has 12 gaylords, 2 BMC, 1 hamper. Pouch has 11 gaylords.</t>
  </si>
  <si>
    <t xml:space="preserve">None of the 0500 trucks showed up yet. Also Due to weather issues, No truck went to Windom/Sioux falls. Cities I/B or O/B trucks were late. City DPS will be done between 07.00-0730. </t>
  </si>
  <si>
    <t xml:space="preserve">Trip 801 came in 10 min late and left 2 min late. TACS/ERMS are clear as of 0600 Tacs are through 0600.  Dock has about 40 containers of NMO's. Pink and blue STD came in on 0150 truck. </t>
  </si>
  <si>
    <t>Dock has 28 gaylords, 5 BMC, 3 hampers, 2 wire. Pouch has 6 gaylords.</t>
  </si>
  <si>
    <t>Dock has 31 gaylords, 3 wires, 3 APC, 2 BMC, 2 hampers. Pouch has 4 gaylords.</t>
  </si>
  <si>
    <t>Dock has 4 gaylords, 3 BMC, 2 APC, 1 wire, 1 hamper. Pouch has 15 gaylords, 1 wire, 1 hamper. DPS city 2 should be done by 07:00.</t>
  </si>
  <si>
    <t>Dock has 4 gaylords, 3 BMC, 2 APC, 1 wire, 1 hamper. Pouch has 15 gaylords, 1 wire, 1 hamper. DPS city 2 is running past 5:00, expected to finish at 7:00.</t>
  </si>
  <si>
    <t>Dock has 8 NMO's &amp; pouch has 15 containers of parcels. TACS/ERMS looks like it’s  be down now.</t>
  </si>
  <si>
    <t>Trip 560DA-101 scanned depart but still show it's not departed yet. Tacs/Erms are clear throught 0630. Dock has 25 NMO's left. Mankato DPS were done at 0550.</t>
  </si>
  <si>
    <t>Dock has about 10 NMO's, Tacs/Erms not clear,  DPS was done 0502. FC</t>
  </si>
  <si>
    <t>Dock has 2 NMO's left. DPS was done @ 05:32. On Tacs/Erms Emily ihas errors. worked.</t>
  </si>
  <si>
    <t>Dock has 2 gaylords. Pouch has 2 gaylords.</t>
  </si>
  <si>
    <t>Pouch is clear.</t>
  </si>
  <si>
    <t>Dock has 1 BMC, 2 gaylords, 1 wire, .5 APC. DPS City 2 finished at 05:30.</t>
  </si>
  <si>
    <t>DPS City 2 finished at 05:30. Dock has 4 gaylords, 1 hamper. Pouch has 3 gaylords, 2 hampers, 1 wire.</t>
  </si>
  <si>
    <t>Dock has 4 gaylords. Pouch has 4.5 gaylords, 1 BMC.</t>
  </si>
  <si>
    <t>DPS City 3 finished at 05:30.Dock has 2 gaylords, 2 hampers. Pouch has 2 gaylords, 1 BMC.</t>
  </si>
  <si>
    <t xml:space="preserve">3 BMCs, 6 gaylords, and 5 pallets of orange standard flate rate boxes on dock. 1 - 6' gaylord in pouch rack. </t>
  </si>
  <si>
    <t>Dock has 15 gaylords, 9 BMC, 5 pallets, 1 wire. Pouch has 3 gaylords, 1 wire.</t>
  </si>
  <si>
    <t>Dock has 7 gaylords, 4 pallets, 1 BMC. Pouch has 4 gaylords, 1 wire.</t>
  </si>
  <si>
    <t>Dock has 10 gaylords, 1 wire, 1 hamper. Pouch has 1 hamper.</t>
  </si>
  <si>
    <t>Dock has 2 gaylords, 1 BMC. Pouch is clear.</t>
  </si>
  <si>
    <t>Keith Rahm has clock ring errors.Dock as 3 NMO's left on the dock.</t>
  </si>
  <si>
    <t>This trip 560DA-204 was 4 min late inbound from MPLS due to weather. Tacs/ERMS still being worked on. Dock has 4 NMO's . City DPS will be done aroung 0545 due staffing shortage.</t>
  </si>
  <si>
    <t>This trip 560Da-2040 was 4 min late inbound from MPLS due to weather. Tacs/Erms are not cleared as they are being worked. City DPS were done @ 0536 because of staffing shortages.</t>
  </si>
  <si>
    <t xml:space="preserve">Tacs/Erms are being worked, Dock has . Mankato City DPS are done @ 0545. </t>
  </si>
  <si>
    <t>Dock has 6 gaylords, 1 hamper. Pouch has 1 gaylord.</t>
  </si>
  <si>
    <t>Dock has 2 gaylords, 1 wire. Pouch has 1.5 gaylords.</t>
  </si>
  <si>
    <t>Dock has 2 gaylords, 2 BMC, 1 hamper. Pouch has 1 hamper.</t>
  </si>
  <si>
    <t>Dock has 8 pallets, 1 gaylords, 1 BMC. Pouch has 1 gaylord.</t>
  </si>
  <si>
    <t xml:space="preserve">560CA-402 was 19 minutes inbound for contractor failure. </t>
  </si>
  <si>
    <t xml:space="preserve"> 560CA-402  late 19 min for contractor failure</t>
  </si>
  <si>
    <t>56190-806  was 1 min late for inbound for contractor failure. Doch has 4 NMO's left. Tacs appears to have issue.</t>
  </si>
  <si>
    <t>560DA-204 was 24 min late inbound for traffic/construction/detour. City DPS were done @ 05:03.</t>
  </si>
  <si>
    <t>Pouch has 2 wires, 1.5 gaylords.</t>
  </si>
  <si>
    <t>Dock has 6 gaylords, 1 wire, 1 hamper. Pouch has 1 gaylord, 2 wires.</t>
  </si>
  <si>
    <t>DPS city 3 was done at 05:16. Dock has 2 gaylords, 1 hamper. Pouch is clear.</t>
  </si>
  <si>
    <t>Dock has1 gaylord, 1.5 BMC. Pouch is clear.</t>
  </si>
  <si>
    <t xml:space="preserve">dock has 4 NMO's left. </t>
  </si>
  <si>
    <t xml:space="preserve">560DA-102 was 3 min late for contractor failure. City DPS are done 05:55. </t>
  </si>
  <si>
    <t xml:space="preserve">Dock has 3 NMO's. </t>
  </si>
  <si>
    <t>Pouch has half of a Gaylord.</t>
  </si>
  <si>
    <t>Dock has 3 gaylords. Pouch has 1 hamper.</t>
  </si>
  <si>
    <t>Dock has 1 gaylord, 1 BMC.  Pouch is clear.</t>
  </si>
  <si>
    <t>Dock has 2.5 gaylords, 1 APC. Pouch is clear.</t>
  </si>
  <si>
    <t>Dock has 1 BMC, 1 APC, 1 gaylord.  Pouch has 1 gaylord.</t>
  </si>
  <si>
    <t>LIPS ran 2233 bundles since 0230. Dock has 5 NMO's</t>
  </si>
  <si>
    <t>3 inbound trips were few minutes late. 2 for contractor failure and 1 for traffic/road. Dock has 12 NMO's left. No 2nd Amazon truck as of 0600</t>
  </si>
  <si>
    <t>Time clocks are not registering rings right now. Will check tomorrow when I come in and correct any issues then. Mail handlers are still working parcels as of the time of this report. T1 yard check is done but not MCV or Political. Numbers reflect what is on the floor as of 0200.</t>
  </si>
  <si>
    <t>6 gaylords, 1 BMC on the dock. 3 gaylords for the pouch rack. All of it came off the 0415 truck that didn't show up until 0500.</t>
  </si>
  <si>
    <t xml:space="preserve">560DA-204 was 1 min late inbound. Dock has 5 NMO's left. </t>
  </si>
  <si>
    <t>There are 3 employees on T-3 who took short lunches and they have clock rings errors. Dock has about 14 NMO's left. 5 employees need 8 hour days; Jeff, Pete, Rich, Dee &amp; Laura</t>
  </si>
  <si>
    <t xml:space="preserve">There are about 14 NMO's on the dock. </t>
  </si>
  <si>
    <t>Dcok has 12 NMO's left. Rich &amp; pete both need 8 hour day. Tacs/Erms are clear as of 0530</t>
  </si>
  <si>
    <t>Dock has about 20 containers of NMO's. 1 APC of Blue STD came in after cutoff time.</t>
  </si>
  <si>
    <t>Dock has 4 gsylords, 1 BMC. Pouch has 2 gaylords.</t>
  </si>
  <si>
    <t>Dockhas 5 gaylords.  Pouch has 1 wire, 1 gaylord.</t>
  </si>
  <si>
    <t>DPS City 1 and 3 should be done by 6 AM. Dock has 7 gaylords, 3 BMC, 1 hamper.  Pouch has 3 gaylords.</t>
  </si>
  <si>
    <t xml:space="preserve">560DA-402 was 1 min late for dock personnel. There are 16 NMO'S on the dock. </t>
  </si>
  <si>
    <t>Dock has 11 NMO's left.  TACS/ERMS</t>
  </si>
  <si>
    <t xml:space="preserve">dock has 7 gaylords/containers of NMO's.  This morning LIPS machine was set it back up, and more Blue bundles were run until 0515.  </t>
  </si>
  <si>
    <t>Dock has 7 containers of NMO's. 0.5 gaylord of blue std came at 0100 from NDC</t>
  </si>
  <si>
    <t>2230 Sioux Falls truck never showed.  ALL COUNTS ARE WHAT IS ON THE FLOOR AS OF 0100. Most of the letters and std flats and pers will be ran before morning. We will get more of all of it on the 0400 trucks though.</t>
  </si>
  <si>
    <t>Dock has 4 gaylords, 1 wire. Pouch has half of a hamper.</t>
  </si>
  <si>
    <t>At 5 AM, Dock has 1 and 1/2 BMC, hamper25%, APC 25%, 3 full gaylords and 1 gaylord that is 50 % full. Pouch is clear.</t>
  </si>
  <si>
    <t>It looks Tacs/Erms may be down. Dock has 2 gaylords of NMO's, and pouch has 1 gaylord and 1 hamper.</t>
  </si>
  <si>
    <t>Dock has 3 gaylords, 1 APC, 1 BMC. Pouch is clear.</t>
  </si>
  <si>
    <t>560DA-1 was 5 min late for contract failure. Dock has 5 gaylords and 2 BMC's</t>
  </si>
  <si>
    <t>560DA-402 was 17 min for contractor failure. Dock has about 14 gaylords of NMO's. pouch has 2 hampers and 1 half full gaylords.</t>
  </si>
  <si>
    <t>Dock has 7 gaylords, 2 hampers, 1 BMC, 1 APC. Pouch has 3 gaylords.</t>
  </si>
  <si>
    <t>Dock has 3 gaylords, 2 wires. Pouch is clear.</t>
  </si>
  <si>
    <t>dock has 8 gaylords, 2 wires, 1.5 BMC. Pouch is clear.</t>
  </si>
  <si>
    <t>Dock has 9 gaylords, 1 BMC, 1 APC. Pouch is clear.</t>
  </si>
  <si>
    <t>Dock has 8 gaylords, 1.5 BMC, 2 APC, 1 hamper. Pouch has 1 gaylord.</t>
  </si>
  <si>
    <t>There are 3 gaylords and a wire on the dock, 1 wire and 1 gaylord in pouches.</t>
  </si>
  <si>
    <t xml:space="preserve">Pouch racks has 2 gaylords, Dock has 15 NMO's. </t>
  </si>
  <si>
    <t>Dock has 3 and a half gaylords, 1 BMC. Pouch has 1 hamper.</t>
  </si>
  <si>
    <t>Pouch has 2 gaylords.</t>
  </si>
  <si>
    <t>560DA-402 was late inbound for 2 min. Dcok has 3 gaylords, 1.5 BMC left for NMO's. CRE's are clear as of 0520</t>
  </si>
  <si>
    <t>TACS/ERMS are down until 0800. There are 3 gaylords, 1 BMC &amp; 1 APC of NMO's on the dock.</t>
  </si>
  <si>
    <t>Dock has 2 gaylords. Pouch has 1 wire.  All Blue bundles and Pers have been run and are currently on the LIPS.  All blue letters are opened and put in with the pink.</t>
  </si>
  <si>
    <t>Dock has 3 NMO's left came in on the 0400 truck.</t>
  </si>
  <si>
    <t xml:space="preserve">Dock has 18 containers of NMO's. </t>
  </si>
  <si>
    <t>Parcels:   9 gaylords, 2 BMCs, 3 APCs on dock;  1 BMC, 1 gaylord at pouch rack                                                                                                                                       Numbers are as of 01:30.</t>
  </si>
  <si>
    <t>Dock has 2.5 BMC, 12 gaylords, 2 hampers, 5 APC, 1 wire. Pouch has 1 BMC, 1 gaylord.</t>
  </si>
  <si>
    <t>Dock has 5.5 gsylords, 3.5 APC, 1.5 wire. Pouch has 3 gaylords. Orange flats came in at 22:20.</t>
  </si>
  <si>
    <t>Dock has 2 BMC, 1 gaylord. Pouch is clear.</t>
  </si>
  <si>
    <t>Dock has 3 gaylords, 1 wire. Pouch has 1 wire, 1 gaylord.</t>
  </si>
  <si>
    <t>Dock has 3 gaylords,, 2 APC. Pouch has 1 gaylord.</t>
  </si>
  <si>
    <t>AM report site is still down Dock has 6 NMO's left. Pouches are clear. Mankato DPS were done at 05:01. Tacs/Erms appear to be down at the moment. Route/Trip 553CA-701 was late inbound for 1 min.</t>
  </si>
  <si>
    <t>Tacs clock rings reports aren't working for me. Others like missing time &amp; OT are working. Docks has 10 NMO's.</t>
  </si>
  <si>
    <t>Dock has 1 gaylord, 1 APC, 2 hampers. Pouch has .5 wire.</t>
  </si>
  <si>
    <t>Dock has 6 gaylords. Pouch is clear.</t>
  </si>
  <si>
    <t>Dock has 3 wires, 3 APC, 2 gaylords, 1 BMC, 1 hamper. Pouch has .5 gaylord.</t>
  </si>
  <si>
    <t>Dock has 3 gaylords, 2 APC, .5 BMC. Pouch has 1 gaylords, 1 hamper.</t>
  </si>
  <si>
    <t>553CA-701 was inbound late for 6 mins.  Chris is finishing up City rejects. Dee has clcok errors for short lunch.</t>
  </si>
  <si>
    <t>553CA-701 was 9 min late inbound. Dock has 5 NMO's.  Pouches has 2.5 gaylords.</t>
  </si>
  <si>
    <t>Dock has 7 containers of NMO's. Poches has 2 gaylords.</t>
  </si>
  <si>
    <t>NUMBERS ARE AS OF 02:00.  Dock has 6 gaylords of parcels and pouch has 3 gaylords. Matt is running parcels on LIPS. I only counted letters that are on the floor but will not be added yet tonight. (1 apc of 093)</t>
  </si>
  <si>
    <t>Dock has 16 gaylords, 4 APC, 3 wires, 1 hamper. Pouch has 1 hamper.</t>
  </si>
  <si>
    <t>Dock has 5 gaylords, 2.5 BMC, 1 wire, 1 APC, 1 pallet. Pouch has 1 gaylord.</t>
  </si>
  <si>
    <t>Dock has 4 gaylords, 1 APC. Pouch has .5 wire.</t>
  </si>
  <si>
    <t>01</t>
  </si>
  <si>
    <t>Dcok has 9 NMO's.  City DPS is done @ 0540.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</si>
</sst>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h:mm;@"/>
  </numFmts>
  <fonts count="43" x14ac:knownFonts="1">
    <font>
      <sz val="11"/>
      <color theme="1"/>
      <name val="Arial"/>
      <family val="2"/>
    </font>
    <font>
      <sz val="11"/>
      <color theme="1"/>
      <name val="Arial"/>
      <family val="2"/>
    </font>
    <font>
      <b/>
      <sz val="11"/>
      <color theme="1"/>
      <name val="Arial"/>
      <family val="2"/>
    </font>
    <font>
      <b/>
      <sz val="12"/>
      <color theme="1"/>
      <name val="Arial"/>
      <family val="2"/>
    </font>
    <font>
      <sz val="10"/>
      <color theme="1"/>
      <name val="Arial"/>
      <family val="2"/>
    </font>
    <font>
      <b/>
      <sz val="14"/>
      <color theme="1"/>
      <name val="Arial"/>
      <family val="2"/>
    </font>
    <font>
      <sz val="9"/>
      <color theme="1"/>
      <name val="Arial"/>
      <family val="2"/>
    </font>
    <font>
      <b/>
      <sz val="10"/>
      <color theme="1"/>
      <name val="Arial"/>
      <family val="2"/>
    </font>
    <font>
      <sz val="12"/>
      <color theme="1"/>
      <name val="Arial"/>
      <family val="2"/>
    </font>
    <font>
      <sz val="11"/>
      <name val="Arial"/>
      <family val="2"/>
    </font>
    <font>
      <b/>
      <sz val="14"/>
      <name val="Arial"/>
      <family val="2"/>
    </font>
    <font>
      <b/>
      <sz val="12"/>
      <name val="Arial"/>
      <family val="2"/>
    </font>
    <font>
      <sz val="12"/>
      <name val="Arial"/>
      <family val="2"/>
    </font>
    <font>
      <sz val="9"/>
      <name val="Arial"/>
      <family val="2"/>
    </font>
    <font>
      <sz val="10"/>
      <name val="Arial"/>
      <family val="2"/>
    </font>
    <font>
      <b/>
      <sz val="10"/>
      <name val="Arial"/>
      <family val="2"/>
    </font>
    <font>
      <u/>
      <sz val="14"/>
      <color theme="1"/>
      <name val="Arial"/>
      <family val="2"/>
    </font>
    <font>
      <u/>
      <sz val="24"/>
      <color theme="1"/>
      <name val="Arial"/>
      <family val="2"/>
    </font>
    <font>
      <b/>
      <u/>
      <sz val="24"/>
      <color theme="1"/>
      <name val="Arial"/>
      <family val="2"/>
    </font>
    <font>
      <b/>
      <u/>
      <sz val="14"/>
      <color theme="1"/>
      <name val="Arial"/>
      <family val="2"/>
    </font>
    <font>
      <b/>
      <sz val="20"/>
      <color theme="1"/>
      <name val="Arial"/>
      <family val="2"/>
    </font>
    <font>
      <sz val="11"/>
      <color rgb="FF000000"/>
      <name val="Arial"/>
      <family val="2"/>
    </font>
    <font>
      <b/>
      <sz val="26"/>
      <color theme="1"/>
      <name val="Arial"/>
      <family val="2"/>
    </font>
    <font>
      <b/>
      <sz val="16"/>
      <color theme="1"/>
      <name val="Arial"/>
      <family val="2"/>
    </font>
    <font>
      <sz val="5"/>
      <color theme="1"/>
      <name val="Arial"/>
      <family val="2"/>
    </font>
    <font>
      <sz val="11"/>
      <color theme="0"/>
      <name val="Arial"/>
      <family val="2"/>
    </font>
    <font>
      <b/>
      <sz val="9.25"/>
      <color theme="1"/>
      <name val="Arial"/>
      <family val="2"/>
    </font>
    <font>
      <b/>
      <sz val="20"/>
      <color theme="0"/>
      <name val="Arial"/>
      <family val="2"/>
    </font>
    <font>
      <b/>
      <sz val="16"/>
      <color rgb="FFFF0000"/>
      <name val="Arial"/>
      <family val="2"/>
    </font>
    <font>
      <b/>
      <u/>
      <sz val="16"/>
      <color rgb="FFFF0000"/>
      <name val="Arial"/>
      <family val="2"/>
    </font>
    <font>
      <sz val="16"/>
      <color theme="0"/>
      <name val="Arial"/>
      <family val="2"/>
    </font>
    <font>
      <b/>
      <sz val="12"/>
      <color theme="0"/>
      <name val="Arial"/>
      <family val="2"/>
    </font>
    <font>
      <b/>
      <sz val="11"/>
      <color theme="0"/>
      <name val="Arial"/>
      <family val="2"/>
    </font>
    <font>
      <b/>
      <u/>
      <sz val="20"/>
      <color theme="0"/>
      <name val="Arial"/>
      <family val="2"/>
    </font>
    <font>
      <b/>
      <u/>
      <sz val="18"/>
      <color theme="0"/>
      <name val="Arial"/>
      <family val="2"/>
    </font>
    <font>
      <b/>
      <sz val="14"/>
      <color theme="0"/>
      <name val="Arial"/>
      <family val="2"/>
    </font>
    <font>
      <u/>
      <sz val="24"/>
      <color theme="0"/>
      <name val="Arial"/>
      <family val="2"/>
    </font>
    <font>
      <u/>
      <sz val="14"/>
      <color theme="0"/>
      <name val="Arial"/>
      <family val="2"/>
    </font>
    <font>
      <b/>
      <u/>
      <sz val="16"/>
      <color theme="0"/>
      <name val="Arial"/>
      <family val="2"/>
    </font>
    <font>
      <b/>
      <sz val="9"/>
      <color theme="1"/>
      <name val="Arial"/>
      <family val="2"/>
    </font>
    <font>
      <sz val="11"/>
      <color rgb="FFFF0000"/>
      <name val="Arial"/>
      <family val="2"/>
    </font>
    <font>
      <b/>
      <u/>
      <sz val="20"/>
      <color rgb="FFFF0000"/>
      <name val="Arial"/>
      <family val="2"/>
    </font>
    <font>
      <b/>
      <sz val="13"/>
      <color theme="1"/>
      <name val="Arial"/>
      <family val="2"/>
    </font>
  </fonts>
  <fills count="8">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0070C0"/>
        <bgColor indexed="64"/>
      </patternFill>
    </fill>
    <fill>
      <patternFill patternType="solid">
        <fgColor rgb="FFFFFF00"/>
        <bgColor indexed="64"/>
      </patternFill>
    </fill>
    <fill>
      <patternFill patternType="solid">
        <fgColor theme="5" tint="0.79998168889431442"/>
        <bgColor indexed="64"/>
      </patternFill>
    </fill>
  </fills>
  <borders count="7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right/>
      <top style="thick">
        <color indexed="64"/>
      </top>
      <bottom/>
      <diagonal/>
    </border>
    <border>
      <left style="thin">
        <color indexed="64"/>
      </left>
      <right style="thick">
        <color indexed="64"/>
      </right>
      <top style="medium">
        <color indexed="64"/>
      </top>
      <bottom style="medium">
        <color indexed="64"/>
      </bottom>
      <diagonal/>
    </border>
    <border>
      <left/>
      <right style="thick">
        <color indexed="64"/>
      </right>
      <top style="medium">
        <color indexed="64"/>
      </top>
      <bottom style="medium">
        <color indexed="64"/>
      </bottom>
      <diagonal/>
    </border>
    <border>
      <left style="thin">
        <color indexed="64"/>
      </left>
      <right/>
      <top style="medium">
        <color indexed="64"/>
      </top>
      <bottom style="thick">
        <color indexed="64"/>
      </bottom>
      <diagonal/>
    </border>
    <border>
      <left/>
      <right style="medium">
        <color indexed="64"/>
      </right>
      <top style="medium">
        <color indexed="64"/>
      </top>
      <bottom style="thick">
        <color indexed="64"/>
      </bottom>
      <diagonal/>
    </border>
    <border>
      <left/>
      <right/>
      <top/>
      <bottom style="thick">
        <color indexed="64"/>
      </bottom>
      <diagonal/>
    </border>
    <border>
      <left style="medium">
        <color indexed="64"/>
      </left>
      <right style="thin">
        <color indexed="64"/>
      </right>
      <top style="medium">
        <color indexed="64"/>
      </top>
      <bottom style="thick">
        <color indexed="64"/>
      </bottom>
      <diagonal/>
    </border>
    <border>
      <left/>
      <right style="thick">
        <color indexed="64"/>
      </right>
      <top style="medium">
        <color indexed="64"/>
      </top>
      <bottom style="thick">
        <color indexed="64"/>
      </bottom>
      <diagonal/>
    </border>
    <border>
      <left style="medium">
        <color auto="1"/>
      </left>
      <right style="medium">
        <color auto="1"/>
      </right>
      <top/>
      <bottom/>
      <diagonal/>
    </border>
    <border>
      <left style="thin">
        <color indexed="64"/>
      </left>
      <right/>
      <top/>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ck">
        <color indexed="64"/>
      </right>
      <top style="medium">
        <color auto="1"/>
      </top>
      <bottom/>
      <diagonal/>
    </border>
    <border>
      <left/>
      <right style="thick">
        <color auto="1"/>
      </right>
      <top/>
      <bottom style="medium">
        <color indexed="64"/>
      </bottom>
      <diagonal/>
    </border>
    <border>
      <left style="medium">
        <color auto="1"/>
      </left>
      <right/>
      <top/>
      <bottom style="thick">
        <color auto="1"/>
      </bottom>
      <diagonal/>
    </border>
    <border>
      <left/>
      <right style="thick">
        <color auto="1"/>
      </right>
      <top/>
      <bottom style="thick">
        <color auto="1"/>
      </bottom>
      <diagonal/>
    </border>
    <border>
      <left style="thick">
        <color rgb="FFFF0000"/>
      </left>
      <right style="medium">
        <color auto="1"/>
      </right>
      <top style="thick">
        <color rgb="FFFF0000"/>
      </top>
      <bottom style="thin">
        <color auto="1"/>
      </bottom>
      <diagonal/>
    </border>
    <border>
      <left style="medium">
        <color indexed="64"/>
      </left>
      <right/>
      <top style="thick">
        <color rgb="FFFF0000"/>
      </top>
      <bottom style="thin">
        <color auto="1"/>
      </bottom>
      <diagonal/>
    </border>
    <border>
      <left/>
      <right/>
      <top style="thick">
        <color rgb="FFFF0000"/>
      </top>
      <bottom style="thin">
        <color auto="1"/>
      </bottom>
      <diagonal/>
    </border>
    <border>
      <left/>
      <right/>
      <top style="thick">
        <color rgb="FFFF0000"/>
      </top>
      <bottom/>
      <diagonal/>
    </border>
    <border>
      <left style="thick">
        <color rgb="FFFF0000"/>
      </left>
      <right style="medium">
        <color auto="1"/>
      </right>
      <top style="thin">
        <color auto="1"/>
      </top>
      <bottom style="thin">
        <color auto="1"/>
      </bottom>
      <diagonal/>
    </border>
    <border>
      <left style="thick">
        <color rgb="FFFF0000"/>
      </left>
      <right style="medium">
        <color auto="1"/>
      </right>
      <top style="thin">
        <color auto="1"/>
      </top>
      <bottom style="thick">
        <color rgb="FFFF0000"/>
      </bottom>
      <diagonal/>
    </border>
    <border>
      <left style="medium">
        <color indexed="64"/>
      </left>
      <right/>
      <top style="thin">
        <color auto="1"/>
      </top>
      <bottom style="thick">
        <color rgb="FFFF0000"/>
      </bottom>
      <diagonal/>
    </border>
    <border>
      <left/>
      <right/>
      <top style="thin">
        <color auto="1"/>
      </top>
      <bottom style="thick">
        <color rgb="FFFF0000"/>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right style="thick">
        <color rgb="FFFF0000"/>
      </right>
      <top style="thick">
        <color rgb="FFFF0000"/>
      </top>
      <bottom style="thin">
        <color auto="1"/>
      </bottom>
      <diagonal/>
    </border>
    <border>
      <left/>
      <right style="thick">
        <color rgb="FFFF0000"/>
      </right>
      <top style="thin">
        <color auto="1"/>
      </top>
      <bottom style="thin">
        <color auto="1"/>
      </bottom>
      <diagonal/>
    </border>
    <border>
      <left/>
      <right style="thick">
        <color rgb="FFFF0000"/>
      </right>
      <top style="thin">
        <color auto="1"/>
      </top>
      <bottom style="thick">
        <color rgb="FFFF0000"/>
      </bottom>
      <diagonal/>
    </border>
    <border>
      <left style="thick">
        <color rgb="FFFF0000"/>
      </left>
      <right/>
      <top/>
      <bottom/>
      <diagonal/>
    </border>
    <border>
      <left/>
      <right style="thin">
        <color indexed="64"/>
      </right>
      <top style="medium">
        <color indexed="64"/>
      </top>
      <bottom style="medium">
        <color indexed="64"/>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387">
    <xf numFmtId="0" fontId="0" fillId="0" borderId="0" xfId="0"/>
    <xf numFmtId="0" fontId="0" fillId="0" borderId="0" xfId="0" applyAlignment="1">
      <alignment horizontal="center"/>
    </xf>
    <xf numFmtId="0" fontId="0" fillId="2" borderId="10" xfId="0" applyFill="1" applyBorder="1"/>
    <xf numFmtId="0" fontId="0" fillId="2" borderId="3" xfId="0" applyFill="1" applyBorder="1"/>
    <xf numFmtId="0" fontId="0" fillId="2" borderId="14" xfId="0" applyFill="1" applyBorder="1"/>
    <xf numFmtId="0" fontId="0" fillId="2" borderId="15" xfId="0" applyFill="1" applyBorder="1"/>
    <xf numFmtId="0" fontId="0" fillId="2" borderId="16" xfId="0" applyFill="1" applyBorder="1"/>
    <xf numFmtId="0" fontId="0" fillId="2" borderId="21" xfId="0" applyFill="1" applyBorder="1"/>
    <xf numFmtId="0" fontId="3" fillId="2" borderId="9" xfId="0" applyFont="1" applyFill="1" applyBorder="1"/>
    <xf numFmtId="0" fontId="3" fillId="2" borderId="19" xfId="0" applyFont="1" applyFill="1" applyBorder="1"/>
    <xf numFmtId="0" fontId="3" fillId="2" borderId="18" xfId="0" applyFont="1" applyFill="1" applyBorder="1"/>
    <xf numFmtId="0" fontId="0" fillId="2" borderId="31" xfId="0" applyFill="1" applyBorder="1"/>
    <xf numFmtId="0" fontId="0" fillId="2" borderId="32" xfId="0" applyFill="1" applyBorder="1"/>
    <xf numFmtId="0" fontId="0" fillId="2" borderId="3" xfId="0" applyFill="1" applyBorder="1" applyAlignment="1">
      <alignment vertical="center"/>
    </xf>
    <xf numFmtId="0" fontId="3" fillId="2" borderId="1" xfId="0" applyFont="1" applyFill="1" applyBorder="1" applyAlignment="1">
      <alignment vertical="center"/>
    </xf>
    <xf numFmtId="0" fontId="3" fillId="2" borderId="22" xfId="0" applyFont="1" applyFill="1" applyBorder="1" applyAlignment="1" applyProtection="1">
      <alignment horizontal="center" vertical="top" wrapText="1"/>
      <protection locked="0"/>
    </xf>
    <xf numFmtId="0" fontId="3" fillId="2" borderId="20" xfId="0" applyFont="1" applyFill="1" applyBorder="1" applyAlignment="1" applyProtection="1">
      <alignment horizontal="center"/>
      <protection locked="0"/>
    </xf>
    <xf numFmtId="0" fontId="3" fillId="2" borderId="17" xfId="0" applyFont="1" applyFill="1" applyBorder="1" applyAlignment="1" applyProtection="1">
      <alignment horizontal="center"/>
      <protection locked="0"/>
    </xf>
    <xf numFmtId="0" fontId="3" fillId="2" borderId="33" xfId="0" applyFont="1" applyFill="1" applyBorder="1" applyAlignment="1" applyProtection="1">
      <alignment horizontal="center"/>
      <protection locked="0"/>
    </xf>
    <xf numFmtId="3" fontId="4" fillId="2" borderId="24" xfId="0" applyNumberFormat="1" applyFont="1" applyFill="1" applyBorder="1" applyAlignment="1">
      <alignment horizontal="center" vertical="center"/>
    </xf>
    <xf numFmtId="3" fontId="4" fillId="2" borderId="24" xfId="1" applyNumberFormat="1" applyFont="1" applyFill="1" applyBorder="1" applyAlignment="1">
      <alignment horizontal="center"/>
    </xf>
    <xf numFmtId="0" fontId="8" fillId="2" borderId="9" xfId="0" applyFont="1" applyFill="1" applyBorder="1"/>
    <xf numFmtId="3" fontId="3" fillId="4" borderId="4" xfId="2" applyNumberFormat="1" applyFont="1" applyFill="1" applyBorder="1" applyAlignment="1">
      <alignment horizontal="center" vertical="center"/>
    </xf>
    <xf numFmtId="3" fontId="3" fillId="4" borderId="22" xfId="0" applyNumberFormat="1" applyFont="1" applyFill="1" applyBorder="1" applyAlignment="1" applyProtection="1">
      <alignment horizontal="center"/>
      <protection locked="0"/>
    </xf>
    <xf numFmtId="3" fontId="6" fillId="2" borderId="22" xfId="0" applyNumberFormat="1" applyFont="1" applyFill="1" applyBorder="1" applyAlignment="1" applyProtection="1">
      <alignment horizontal="center" vertical="center"/>
      <protection locked="0"/>
    </xf>
    <xf numFmtId="14" fontId="9" fillId="0" borderId="0" xfId="0" applyNumberFormat="1" applyFont="1"/>
    <xf numFmtId="0" fontId="9" fillId="0" borderId="0" xfId="0" applyFont="1"/>
    <xf numFmtId="0" fontId="11" fillId="2" borderId="1" xfId="0" applyFont="1" applyFill="1" applyBorder="1" applyAlignment="1">
      <alignment vertical="center"/>
    </xf>
    <xf numFmtId="0" fontId="9" fillId="2" borderId="3" xfId="0" applyFont="1" applyFill="1" applyBorder="1" applyAlignment="1">
      <alignment vertical="center"/>
    </xf>
    <xf numFmtId="0" fontId="9" fillId="2" borderId="3" xfId="0" applyFont="1" applyFill="1" applyBorder="1"/>
    <xf numFmtId="0" fontId="11" fillId="2" borderId="22" xfId="0" applyFont="1" applyFill="1" applyBorder="1" applyAlignment="1" applyProtection="1">
      <alignment horizontal="center" vertical="top" wrapText="1"/>
      <protection locked="0"/>
    </xf>
    <xf numFmtId="0" fontId="11" fillId="2" borderId="9" xfId="0" applyFont="1" applyFill="1" applyBorder="1"/>
    <xf numFmtId="0" fontId="9" fillId="2" borderId="10" xfId="0" applyFont="1" applyFill="1" applyBorder="1"/>
    <xf numFmtId="3" fontId="11" fillId="4" borderId="4" xfId="2" applyNumberFormat="1" applyFont="1" applyFill="1" applyBorder="1" applyAlignment="1">
      <alignment horizontal="center" vertical="center"/>
    </xf>
    <xf numFmtId="0" fontId="12" fillId="2" borderId="9" xfId="0" applyFont="1" applyFill="1" applyBorder="1"/>
    <xf numFmtId="3" fontId="13" fillId="2" borderId="22" xfId="0" applyNumberFormat="1" applyFont="1" applyFill="1" applyBorder="1" applyAlignment="1" applyProtection="1">
      <alignment horizontal="center" vertical="center"/>
      <protection locked="0"/>
    </xf>
    <xf numFmtId="3" fontId="11" fillId="4" borderId="22" xfId="0" applyNumberFormat="1" applyFont="1" applyFill="1" applyBorder="1" applyAlignment="1" applyProtection="1">
      <alignment horizontal="center"/>
      <protection locked="0"/>
    </xf>
    <xf numFmtId="3" fontId="14" fillId="2" borderId="24" xfId="0" applyNumberFormat="1" applyFont="1" applyFill="1" applyBorder="1" applyAlignment="1">
      <alignment horizontal="center" vertical="center"/>
    </xf>
    <xf numFmtId="3" fontId="14" fillId="2" borderId="24" xfId="1" applyNumberFormat="1" applyFont="1" applyFill="1" applyBorder="1" applyAlignment="1">
      <alignment horizontal="center"/>
    </xf>
    <xf numFmtId="0" fontId="11" fillId="2" borderId="19" xfId="0" applyFont="1" applyFill="1" applyBorder="1"/>
    <xf numFmtId="0" fontId="9" fillId="2" borderId="21" xfId="0" applyFont="1" applyFill="1" applyBorder="1"/>
    <xf numFmtId="0" fontId="9" fillId="2" borderId="16" xfId="0" applyFont="1" applyFill="1" applyBorder="1"/>
    <xf numFmtId="0" fontId="11" fillId="2" borderId="20" xfId="0" applyFont="1" applyFill="1" applyBorder="1" applyAlignment="1" applyProtection="1">
      <alignment horizontal="center"/>
      <protection locked="0"/>
    </xf>
    <xf numFmtId="0" fontId="11" fillId="2" borderId="18" xfId="0" applyFont="1" applyFill="1" applyBorder="1"/>
    <xf numFmtId="0" fontId="9" fillId="2" borderId="14" xfId="0" applyFont="1" applyFill="1" applyBorder="1"/>
    <xf numFmtId="0" fontId="9" fillId="2" borderId="15" xfId="0" applyFont="1" applyFill="1" applyBorder="1"/>
    <xf numFmtId="0" fontId="11" fillId="2" borderId="17" xfId="0" applyFont="1" applyFill="1" applyBorder="1" applyAlignment="1" applyProtection="1">
      <alignment horizontal="center"/>
      <protection locked="0"/>
    </xf>
    <xf numFmtId="0" fontId="9" fillId="2" borderId="31" xfId="0" applyFont="1" applyFill="1" applyBorder="1"/>
    <xf numFmtId="0" fontId="9" fillId="2" borderId="32" xfId="0" applyFont="1" applyFill="1" applyBorder="1"/>
    <xf numFmtId="0" fontId="11" fillId="2" borderId="33" xfId="0" applyFont="1" applyFill="1" applyBorder="1" applyAlignment="1" applyProtection="1">
      <alignment horizontal="center"/>
      <protection locked="0"/>
    </xf>
    <xf numFmtId="0" fontId="3" fillId="2" borderId="0" xfId="0" applyFont="1" applyFill="1" applyBorder="1"/>
    <xf numFmtId="0" fontId="3" fillId="2" borderId="34" xfId="0" applyFont="1" applyFill="1" applyBorder="1"/>
    <xf numFmtId="0" fontId="0" fillId="2" borderId="35" xfId="0" applyFill="1" applyBorder="1"/>
    <xf numFmtId="0" fontId="0" fillId="2" borderId="36" xfId="0" applyFill="1" applyBorder="1"/>
    <xf numFmtId="0" fontId="0" fillId="0" borderId="0" xfId="0" applyAlignment="1">
      <alignment horizontal="center" vertical="center"/>
    </xf>
    <xf numFmtId="0" fontId="0" fillId="0" borderId="6" xfId="0" applyBorder="1" applyAlignment="1">
      <alignment horizontal="center" vertical="center"/>
    </xf>
    <xf numFmtId="0" fontId="0" fillId="0" borderId="0" xfId="0" applyProtection="1"/>
    <xf numFmtId="0" fontId="0" fillId="5" borderId="0" xfId="0" applyFill="1" applyProtection="1"/>
    <xf numFmtId="0" fontId="3" fillId="2" borderId="1" xfId="0" applyFont="1" applyFill="1" applyBorder="1" applyAlignment="1" applyProtection="1">
      <alignment vertical="center"/>
    </xf>
    <xf numFmtId="0" fontId="0" fillId="2" borderId="3" xfId="0" applyFill="1" applyBorder="1" applyAlignment="1" applyProtection="1">
      <alignment vertical="center"/>
    </xf>
    <xf numFmtId="0" fontId="0" fillId="2" borderId="3" xfId="0" applyFill="1" applyBorder="1" applyProtection="1"/>
    <xf numFmtId="0" fontId="3" fillId="2" borderId="9" xfId="0" applyFont="1" applyFill="1" applyBorder="1" applyProtection="1"/>
    <xf numFmtId="0" fontId="0" fillId="2" borderId="10" xfId="0" applyFill="1" applyBorder="1" applyProtection="1"/>
    <xf numFmtId="0" fontId="8" fillId="2" borderId="9" xfId="0" applyFont="1" applyFill="1" applyBorder="1" applyProtection="1"/>
    <xf numFmtId="0" fontId="3" fillId="2" borderId="34" xfId="0" applyFont="1" applyFill="1" applyBorder="1" applyAlignment="1" applyProtection="1"/>
    <xf numFmtId="0" fontId="3" fillId="2" borderId="35" xfId="0" applyFont="1" applyFill="1" applyBorder="1" applyAlignment="1" applyProtection="1"/>
    <xf numFmtId="0" fontId="3" fillId="2" borderId="36" xfId="0" applyFont="1" applyFill="1" applyBorder="1" applyAlignment="1" applyProtection="1"/>
    <xf numFmtId="0" fontId="3" fillId="2" borderId="18" xfId="0" applyFont="1" applyFill="1" applyBorder="1" applyAlignment="1" applyProtection="1"/>
    <xf numFmtId="0" fontId="3" fillId="2" borderId="14" xfId="0" applyFont="1" applyFill="1" applyBorder="1" applyAlignment="1" applyProtection="1"/>
    <xf numFmtId="0" fontId="3" fillId="2" borderId="15" xfId="0" applyFont="1" applyFill="1" applyBorder="1" applyAlignment="1" applyProtection="1"/>
    <xf numFmtId="0" fontId="2" fillId="0" borderId="0" xfId="0" applyFont="1" applyBorder="1" applyAlignment="1" applyProtection="1">
      <alignment horizontal="center" vertical="center"/>
    </xf>
    <xf numFmtId="0" fontId="2" fillId="0" borderId="0" xfId="0" applyFont="1" applyBorder="1" applyProtection="1"/>
    <xf numFmtId="0" fontId="3" fillId="0" borderId="6" xfId="0" applyFont="1" applyBorder="1" applyAlignment="1" applyProtection="1">
      <alignment horizontal="center" vertical="center"/>
    </xf>
    <xf numFmtId="0" fontId="3" fillId="0" borderId="51" xfId="0" applyFont="1" applyBorder="1" applyAlignment="1" applyProtection="1">
      <alignment horizontal="center" vertical="center"/>
    </xf>
    <xf numFmtId="0" fontId="3" fillId="0" borderId="52" xfId="0" applyFont="1" applyBorder="1" applyAlignment="1" applyProtection="1">
      <alignment horizontal="center" vertical="center"/>
    </xf>
    <xf numFmtId="0" fontId="2" fillId="0" borderId="51" xfId="0" applyFont="1" applyBorder="1" applyProtection="1"/>
    <xf numFmtId="0" fontId="2" fillId="0" borderId="0" xfId="0" applyFont="1" applyAlignment="1" applyProtection="1">
      <alignment horizontal="center" vertical="center"/>
    </xf>
    <xf numFmtId="0" fontId="2" fillId="0" borderId="0" xfId="0" applyFont="1" applyProtection="1"/>
    <xf numFmtId="0" fontId="5" fillId="0" borderId="0" xfId="0" applyFont="1" applyBorder="1" applyAlignment="1" applyProtection="1">
      <alignment horizontal="center" vertical="center"/>
    </xf>
    <xf numFmtId="0" fontId="3" fillId="0" borderId="0" xfId="0" applyFont="1" applyBorder="1" applyAlignment="1" applyProtection="1">
      <alignment horizontal="center" vertical="center"/>
    </xf>
    <xf numFmtId="0" fontId="3" fillId="0" borderId="0" xfId="0" applyFont="1" applyAlignment="1" applyProtection="1">
      <alignment horizontal="center" vertical="center"/>
    </xf>
    <xf numFmtId="0" fontId="2" fillId="0" borderId="51" xfId="0" applyFont="1" applyBorder="1" applyAlignment="1" applyProtection="1">
      <alignment horizontal="center" vertical="center"/>
    </xf>
    <xf numFmtId="0" fontId="0" fillId="0" borderId="0" xfId="0" applyBorder="1" applyAlignment="1" applyProtection="1">
      <alignment vertical="top"/>
    </xf>
    <xf numFmtId="0" fontId="0" fillId="2" borderId="0" xfId="0" applyFill="1" applyProtection="1"/>
    <xf numFmtId="0" fontId="0" fillId="2" borderId="56" xfId="0" applyFill="1" applyBorder="1" applyProtection="1"/>
    <xf numFmtId="0" fontId="18" fillId="0" borderId="10" xfId="0" applyFont="1" applyBorder="1" applyAlignment="1" applyProtection="1">
      <alignment vertical="center"/>
    </xf>
    <xf numFmtId="0" fontId="2" fillId="0" borderId="10" xfId="0" applyFont="1" applyBorder="1" applyAlignment="1" applyProtection="1">
      <alignment vertical="center"/>
    </xf>
    <xf numFmtId="0" fontId="3" fillId="0" borderId="10" xfId="0" applyFont="1" applyBorder="1" applyAlignment="1" applyProtection="1">
      <alignment vertical="center"/>
    </xf>
    <xf numFmtId="0" fontId="25" fillId="0" borderId="0" xfId="0" applyFont="1" applyProtection="1"/>
    <xf numFmtId="0" fontId="25" fillId="0" borderId="0" xfId="0" applyFont="1" applyBorder="1" applyProtection="1"/>
    <xf numFmtId="0" fontId="0" fillId="5" borderId="0" xfId="0" applyFill="1" applyBorder="1" applyProtection="1"/>
    <xf numFmtId="0" fontId="0" fillId="0" borderId="0" xfId="0" applyBorder="1" applyProtection="1"/>
    <xf numFmtId="0" fontId="23" fillId="0" borderId="62" xfId="0" applyFont="1" applyBorder="1" applyAlignment="1" applyProtection="1">
      <alignment horizontal="center" vertical="center"/>
      <protection locked="0"/>
    </xf>
    <xf numFmtId="0" fontId="0" fillId="0" borderId="65" xfId="0" applyBorder="1" applyProtection="1"/>
    <xf numFmtId="0" fontId="0" fillId="5" borderId="65" xfId="0" applyFill="1" applyBorder="1" applyProtection="1"/>
    <xf numFmtId="0" fontId="25" fillId="0" borderId="65" xfId="0" applyFont="1" applyBorder="1" applyProtection="1"/>
    <xf numFmtId="0" fontId="23" fillId="0" borderId="66" xfId="0" applyFont="1" applyBorder="1" applyAlignment="1" applyProtection="1">
      <alignment horizontal="center" vertical="center"/>
      <protection locked="0"/>
    </xf>
    <xf numFmtId="0" fontId="0" fillId="0" borderId="76" xfId="0" applyBorder="1" applyProtection="1"/>
    <xf numFmtId="0" fontId="27" fillId="0" borderId="0" xfId="0" applyFont="1" applyAlignment="1" applyProtection="1">
      <alignment horizontal="left"/>
    </xf>
    <xf numFmtId="0" fontId="25" fillId="0" borderId="0" xfId="0" applyFont="1" applyAlignment="1" applyProtection="1"/>
    <xf numFmtId="0" fontId="30" fillId="0" borderId="0" xfId="0" applyFont="1" applyAlignment="1" applyProtection="1">
      <alignment horizontal="left"/>
    </xf>
    <xf numFmtId="49" fontId="23" fillId="0" borderId="54" xfId="0" applyNumberFormat="1" applyFont="1" applyBorder="1" applyAlignment="1" applyProtection="1">
      <alignment horizontal="center" vertical="center"/>
      <protection locked="0"/>
    </xf>
    <xf numFmtId="0" fontId="25" fillId="0" borderId="0" xfId="0" applyFont="1"/>
    <xf numFmtId="0" fontId="35" fillId="0" borderId="1" xfId="0" applyFont="1" applyBorder="1" applyAlignment="1" applyProtection="1">
      <alignment vertical="center"/>
    </xf>
    <xf numFmtId="0" fontId="35" fillId="0" borderId="3" xfId="0" applyFont="1" applyBorder="1" applyAlignment="1" applyProtection="1">
      <alignment vertical="center"/>
    </xf>
    <xf numFmtId="0" fontId="35" fillId="0" borderId="2" xfId="0" applyFont="1" applyBorder="1" applyAlignment="1" applyProtection="1">
      <alignment vertical="center"/>
    </xf>
    <xf numFmtId="0" fontId="32" fillId="0" borderId="4" xfId="0" applyFont="1" applyBorder="1" applyAlignment="1" applyProtection="1">
      <alignment horizontal="left"/>
    </xf>
    <xf numFmtId="0" fontId="32" fillId="0" borderId="5" xfId="0" applyFont="1" applyBorder="1" applyAlignment="1" applyProtection="1">
      <alignment horizontal="center"/>
    </xf>
    <xf numFmtId="0" fontId="32" fillId="0" borderId="4" xfId="0" applyFont="1" applyBorder="1" applyAlignment="1" applyProtection="1">
      <alignment horizontal="right"/>
    </xf>
    <xf numFmtId="0" fontId="25" fillId="0" borderId="6" xfId="0" applyFont="1" applyBorder="1" applyProtection="1"/>
    <xf numFmtId="0" fontId="25" fillId="0" borderId="7" xfId="0" applyFont="1" applyBorder="1" applyAlignment="1" applyProtection="1">
      <alignment horizontal="right"/>
    </xf>
    <xf numFmtId="0" fontId="25" fillId="0" borderId="8" xfId="0" applyFont="1" applyBorder="1" applyAlignment="1" applyProtection="1">
      <alignment horizontal="right"/>
    </xf>
    <xf numFmtId="0" fontId="25" fillId="2" borderId="0" xfId="0" applyFont="1" applyFill="1" applyProtection="1"/>
    <xf numFmtId="0" fontId="25" fillId="0" borderId="6" xfId="0" applyFont="1" applyFill="1" applyBorder="1" applyProtection="1"/>
    <xf numFmtId="0" fontId="25" fillId="0" borderId="7" xfId="0" applyFont="1" applyFill="1" applyBorder="1" applyAlignment="1" applyProtection="1">
      <alignment horizontal="right"/>
    </xf>
    <xf numFmtId="0" fontId="25" fillId="0" borderId="8" xfId="0" applyFont="1" applyFill="1" applyBorder="1" applyAlignment="1" applyProtection="1">
      <alignment horizontal="right"/>
    </xf>
    <xf numFmtId="0" fontId="36" fillId="0" borderId="0" xfId="0" applyFont="1" applyAlignment="1" applyProtection="1">
      <alignment vertical="center"/>
    </xf>
    <xf numFmtId="0" fontId="37" fillId="0" borderId="6" xfId="0" applyFont="1" applyBorder="1" applyAlignment="1" applyProtection="1">
      <alignment vertical="center"/>
    </xf>
    <xf numFmtId="0" fontId="37" fillId="0" borderId="7" xfId="0" applyFont="1" applyBorder="1" applyAlignment="1" applyProtection="1">
      <alignment vertical="center"/>
    </xf>
    <xf numFmtId="0" fontId="37" fillId="0" borderId="8" xfId="0" applyFont="1" applyBorder="1" applyAlignment="1" applyProtection="1">
      <alignment vertical="center"/>
    </xf>
    <xf numFmtId="0" fontId="25" fillId="0" borderId="6" xfId="0" applyFont="1" applyBorder="1" applyAlignment="1" applyProtection="1">
      <alignment horizontal="center" vertical="center"/>
    </xf>
    <xf numFmtId="0" fontId="25" fillId="0" borderId="45" xfId="0" applyFont="1" applyBorder="1" applyAlignment="1" applyProtection="1"/>
    <xf numFmtId="0" fontId="25" fillId="0" borderId="2" xfId="0" applyFont="1" applyBorder="1" applyAlignment="1" applyProtection="1"/>
    <xf numFmtId="0" fontId="25" fillId="0" borderId="0" xfId="0" applyFont="1" applyAlignment="1" applyProtection="1">
      <alignment horizontal="center" vertical="center"/>
    </xf>
    <xf numFmtId="0" fontId="31" fillId="0" borderId="45" xfId="0" applyFont="1" applyBorder="1" applyAlignment="1" applyProtection="1">
      <alignment vertical="center"/>
    </xf>
    <xf numFmtId="0" fontId="31" fillId="0" borderId="49" xfId="0" applyFont="1" applyBorder="1" applyAlignment="1" applyProtection="1">
      <alignment vertical="center"/>
    </xf>
    <xf numFmtId="0" fontId="37" fillId="0" borderId="1" xfId="0" applyFont="1" applyBorder="1" applyAlignment="1" applyProtection="1">
      <alignment vertical="center"/>
    </xf>
    <xf numFmtId="0" fontId="37" fillId="0" borderId="3" xfId="0" applyFont="1" applyBorder="1" applyAlignment="1" applyProtection="1">
      <alignment vertical="center"/>
    </xf>
    <xf numFmtId="0" fontId="37" fillId="0" borderId="2" xfId="0" applyFont="1" applyBorder="1" applyAlignment="1" applyProtection="1">
      <alignment vertical="center"/>
    </xf>
    <xf numFmtId="0" fontId="25" fillId="0" borderId="55" xfId="0" applyFont="1" applyFill="1" applyBorder="1" applyAlignment="1" applyProtection="1"/>
    <xf numFmtId="0" fontId="25" fillId="0" borderId="77" xfId="0" applyFont="1" applyBorder="1" applyAlignment="1" applyProtection="1">
      <alignment horizontal="center" vertical="center"/>
    </xf>
    <xf numFmtId="0" fontId="25" fillId="0" borderId="0" xfId="0" applyFont="1" applyFill="1" applyBorder="1" applyAlignment="1" applyProtection="1"/>
    <xf numFmtId="14" fontId="25" fillId="0" borderId="0" xfId="0" applyNumberFormat="1" applyFont="1" applyProtection="1"/>
    <xf numFmtId="0" fontId="39" fillId="2" borderId="34" xfId="0" applyFont="1" applyFill="1" applyBorder="1" applyAlignment="1" applyProtection="1">
      <alignment vertical="center"/>
    </xf>
    <xf numFmtId="0" fontId="40" fillId="0" borderId="0" xfId="0" applyFont="1" applyProtection="1"/>
    <xf numFmtId="0" fontId="23" fillId="2" borderId="67" xfId="0" applyNumberFormat="1" applyFont="1" applyFill="1" applyBorder="1" applyAlignment="1" applyProtection="1">
      <alignment horizontal="center" vertical="center"/>
      <protection locked="0"/>
    </xf>
    <xf numFmtId="0" fontId="5" fillId="2" borderId="9" xfId="0" applyFont="1" applyFill="1" applyBorder="1" applyAlignment="1" applyProtection="1">
      <alignment horizontal="right" vertical="center"/>
    </xf>
    <xf numFmtId="164" fontId="5" fillId="2" borderId="10" xfId="0" applyNumberFormat="1" applyFont="1" applyFill="1" applyBorder="1" applyAlignment="1" applyProtection="1">
      <alignment horizontal="center" vertical="center"/>
    </xf>
    <xf numFmtId="0" fontId="0" fillId="2" borderId="32" xfId="0" applyFill="1" applyBorder="1" applyProtection="1"/>
    <xf numFmtId="0" fontId="0" fillId="2" borderId="5" xfId="0" applyFill="1" applyBorder="1" applyProtection="1"/>
    <xf numFmtId="0" fontId="0" fillId="2" borderId="13" xfId="0" applyFill="1" applyBorder="1" applyProtection="1"/>
    <xf numFmtId="0" fontId="3" fillId="2" borderId="1" xfId="0" applyFont="1" applyFill="1" applyBorder="1" applyAlignment="1" applyProtection="1"/>
    <xf numFmtId="0" fontId="3" fillId="2" borderId="3" xfId="0" applyFont="1" applyFill="1" applyBorder="1" applyAlignment="1" applyProtection="1"/>
    <xf numFmtId="0" fontId="3" fillId="2" borderId="2" xfId="0" applyFont="1" applyFill="1" applyBorder="1" applyAlignment="1" applyProtection="1"/>
    <xf numFmtId="0" fontId="3" fillId="2" borderId="3" xfId="0" applyFont="1" applyFill="1" applyBorder="1" applyAlignment="1" applyProtection="1">
      <alignment vertical="center"/>
    </xf>
    <xf numFmtId="0" fontId="3" fillId="2" borderId="2" xfId="0" applyFont="1" applyFill="1" applyBorder="1" applyAlignment="1" applyProtection="1">
      <alignment vertical="center"/>
    </xf>
    <xf numFmtId="0" fontId="41" fillId="0" borderId="0" xfId="0" applyFont="1" applyAlignment="1" applyProtection="1">
      <alignment horizontal="left"/>
    </xf>
    <xf numFmtId="0" fontId="34" fillId="0" borderId="0" xfId="0" applyFont="1" applyBorder="1" applyAlignment="1" applyProtection="1">
      <alignment horizontal="left"/>
    </xf>
    <xf numFmtId="0" fontId="38" fillId="0" borderId="0" xfId="0" applyFont="1" applyBorder="1" applyAlignment="1" applyProtection="1">
      <alignment horizontal="left"/>
    </xf>
    <xf numFmtId="0" fontId="33" fillId="0" borderId="0" xfId="0" applyFont="1" applyBorder="1" applyAlignment="1" applyProtection="1">
      <alignment horizontal="left"/>
    </xf>
    <xf numFmtId="0" fontId="33" fillId="0" borderId="0" xfId="0" applyFont="1" applyAlignment="1" applyProtection="1">
      <alignment horizontal="left"/>
    </xf>
    <xf numFmtId="0" fontId="28" fillId="6" borderId="70" xfId="0" applyFont="1" applyFill="1" applyBorder="1" applyAlignment="1" applyProtection="1">
      <alignment horizontal="center" vertical="center" wrapText="1"/>
    </xf>
    <xf numFmtId="0" fontId="28" fillId="6" borderId="71" xfId="0" applyFont="1" applyFill="1" applyBorder="1" applyAlignment="1" applyProtection="1">
      <alignment horizontal="center" vertical="center" wrapText="1"/>
    </xf>
    <xf numFmtId="0" fontId="28" fillId="6" borderId="72" xfId="0" applyFont="1" applyFill="1" applyBorder="1" applyAlignment="1" applyProtection="1">
      <alignment horizontal="center" vertical="center" wrapText="1"/>
    </xf>
    <xf numFmtId="0" fontId="2" fillId="0" borderId="46" xfId="0" applyFont="1" applyBorder="1" applyAlignment="1" applyProtection="1">
      <alignment horizontal="center"/>
    </xf>
    <xf numFmtId="0" fontId="2" fillId="0" borderId="0" xfId="0" applyFont="1" applyAlignment="1" applyProtection="1">
      <alignment horizontal="center"/>
    </xf>
    <xf numFmtId="0" fontId="19" fillId="0" borderId="6" xfId="0" applyFont="1" applyBorder="1" applyAlignment="1" applyProtection="1">
      <alignment horizontal="center" vertical="center"/>
    </xf>
    <xf numFmtId="0" fontId="19" fillId="0" borderId="7" xfId="0" applyFont="1" applyBorder="1" applyAlignment="1" applyProtection="1">
      <alignment horizontal="center" vertical="center"/>
    </xf>
    <xf numFmtId="0" fontId="19" fillId="0" borderId="8" xfId="0" applyFont="1" applyBorder="1" applyAlignment="1" applyProtection="1">
      <alignment horizontal="center" vertical="center"/>
    </xf>
    <xf numFmtId="0" fontId="23" fillId="0" borderId="45" xfId="0" applyFont="1" applyBorder="1" applyAlignment="1" applyProtection="1">
      <alignment horizontal="center" vertical="center"/>
      <protection locked="0"/>
    </xf>
    <xf numFmtId="0" fontId="23" fillId="0" borderId="2" xfId="0" applyFont="1" applyBorder="1" applyAlignment="1" applyProtection="1">
      <alignment horizontal="center" vertical="center"/>
      <protection locked="0"/>
    </xf>
    <xf numFmtId="0" fontId="3" fillId="0" borderId="9" xfId="0" applyFont="1" applyBorder="1" applyAlignment="1" applyProtection="1">
      <alignment horizontal="left" vertical="top" wrapText="1"/>
      <protection locked="0"/>
    </xf>
    <xf numFmtId="0" fontId="3" fillId="0" borderId="10" xfId="0" applyFont="1" applyBorder="1" applyAlignment="1" applyProtection="1">
      <alignment horizontal="left" vertical="top" wrapText="1"/>
      <protection locked="0"/>
    </xf>
    <xf numFmtId="0" fontId="3" fillId="0" borderId="58" xfId="0" applyFont="1" applyBorder="1" applyAlignment="1" applyProtection="1">
      <alignment horizontal="left" vertical="top" wrapText="1"/>
      <protection locked="0"/>
    </xf>
    <xf numFmtId="0" fontId="3" fillId="0" borderId="60" xfId="0" applyFont="1" applyBorder="1" applyAlignment="1" applyProtection="1">
      <alignment horizontal="left" vertical="top" wrapText="1"/>
      <protection locked="0"/>
    </xf>
    <xf numFmtId="0" fontId="3" fillId="0" borderId="51" xfId="0" applyFont="1" applyBorder="1" applyAlignment="1" applyProtection="1">
      <alignment horizontal="left" vertical="top" wrapText="1"/>
      <protection locked="0"/>
    </xf>
    <xf numFmtId="0" fontId="3" fillId="0" borderId="61" xfId="0" applyFont="1" applyBorder="1" applyAlignment="1" applyProtection="1">
      <alignment horizontal="left" vertical="top" wrapText="1"/>
      <protection locked="0"/>
    </xf>
    <xf numFmtId="0" fontId="5" fillId="0" borderId="18" xfId="0" applyFont="1" applyBorder="1" applyAlignment="1" applyProtection="1">
      <alignment horizontal="left" vertical="center"/>
    </xf>
    <xf numFmtId="0" fontId="5" fillId="0" borderId="14" xfId="0" applyFont="1" applyBorder="1" applyAlignment="1" applyProtection="1">
      <alignment horizontal="left" vertical="center"/>
    </xf>
    <xf numFmtId="0" fontId="5" fillId="0" borderId="74" xfId="0" applyFont="1" applyBorder="1" applyAlignment="1" applyProtection="1">
      <alignment horizontal="left" vertical="center"/>
    </xf>
    <xf numFmtId="0" fontId="23" fillId="0" borderId="49" xfId="0" applyFont="1" applyBorder="1" applyAlignment="1" applyProtection="1">
      <alignment horizontal="center" vertical="center"/>
      <protection locked="0"/>
    </xf>
    <xf numFmtId="0" fontId="23" fillId="0" borderId="50" xfId="0" applyFont="1" applyBorder="1" applyAlignment="1" applyProtection="1">
      <alignment horizontal="center" vertical="center"/>
      <protection locked="0"/>
    </xf>
    <xf numFmtId="0" fontId="23" fillId="0" borderId="53" xfId="0" applyFont="1" applyBorder="1" applyAlignment="1" applyProtection="1">
      <alignment horizontal="center" vertical="center"/>
      <protection locked="0"/>
    </xf>
    <xf numFmtId="0" fontId="22" fillId="0" borderId="9" xfId="0" applyFont="1" applyBorder="1" applyAlignment="1" applyProtection="1">
      <alignment horizontal="center" vertical="center"/>
    </xf>
    <xf numFmtId="0" fontId="22" fillId="0" borderId="10" xfId="0" applyFont="1" applyBorder="1" applyAlignment="1" applyProtection="1">
      <alignment horizontal="center" vertical="center"/>
    </xf>
    <xf numFmtId="0" fontId="22" fillId="0" borderId="58" xfId="0" applyFont="1" applyBorder="1" applyAlignment="1" applyProtection="1">
      <alignment horizontal="center" vertical="center"/>
    </xf>
    <xf numFmtId="0" fontId="23" fillId="0" borderId="48" xfId="0" applyFont="1" applyBorder="1" applyAlignment="1" applyProtection="1">
      <alignment horizontal="center" vertical="center"/>
      <protection locked="0"/>
    </xf>
    <xf numFmtId="0" fontId="22" fillId="0" borderId="1" xfId="0" applyFont="1" applyBorder="1" applyAlignment="1" applyProtection="1">
      <alignment horizontal="center" vertical="center"/>
    </xf>
    <xf numFmtId="0" fontId="22" fillId="0" borderId="3" xfId="0" applyFont="1" applyBorder="1" applyAlignment="1" applyProtection="1">
      <alignment horizontal="center" vertical="center"/>
    </xf>
    <xf numFmtId="0" fontId="22" fillId="0" borderId="2" xfId="0" applyFont="1" applyBorder="1" applyAlignment="1" applyProtection="1">
      <alignment horizontal="center" vertical="center"/>
    </xf>
    <xf numFmtId="0" fontId="20" fillId="0" borderId="1" xfId="0" applyFont="1" applyBorder="1" applyAlignment="1" applyProtection="1">
      <alignment horizontal="center" vertical="center"/>
    </xf>
    <xf numFmtId="0" fontId="20" fillId="0" borderId="3" xfId="0" applyFont="1" applyBorder="1" applyAlignment="1" applyProtection="1">
      <alignment horizontal="center" vertical="center"/>
    </xf>
    <xf numFmtId="0" fontId="20" fillId="0" borderId="2" xfId="0" applyFont="1" applyBorder="1" applyAlignment="1" applyProtection="1">
      <alignment horizontal="center" vertical="center"/>
    </xf>
    <xf numFmtId="0" fontId="19" fillId="0" borderId="1" xfId="0" applyFont="1" applyBorder="1" applyAlignment="1" applyProtection="1">
      <alignment horizontal="center" vertical="center"/>
    </xf>
    <xf numFmtId="0" fontId="19" fillId="0" borderId="3" xfId="0" applyFont="1" applyBorder="1" applyAlignment="1" applyProtection="1">
      <alignment horizontal="center" vertical="center"/>
    </xf>
    <xf numFmtId="0" fontId="19" fillId="0" borderId="2" xfId="0" applyFont="1" applyBorder="1" applyAlignment="1" applyProtection="1">
      <alignment horizontal="center" vertical="center"/>
    </xf>
    <xf numFmtId="0" fontId="20" fillId="0" borderId="48" xfId="0" applyFont="1" applyBorder="1" applyAlignment="1" applyProtection="1">
      <alignment horizontal="center" vertical="center"/>
    </xf>
    <xf numFmtId="0" fontId="19" fillId="0" borderId="47" xfId="0" applyFont="1" applyBorder="1" applyAlignment="1" applyProtection="1">
      <alignment horizontal="center" vertical="center"/>
    </xf>
    <xf numFmtId="0" fontId="24" fillId="0" borderId="0" xfId="0" applyFont="1" applyAlignment="1" applyProtection="1">
      <alignment horizontal="center"/>
    </xf>
    <xf numFmtId="0" fontId="5" fillId="7" borderId="4" xfId="0" applyFont="1" applyFill="1" applyBorder="1" applyAlignment="1" applyProtection="1">
      <alignment horizontal="center" vertical="center" wrapText="1"/>
    </xf>
    <xf numFmtId="0" fontId="5" fillId="7" borderId="57" xfId="0" applyFont="1" applyFill="1" applyBorder="1" applyAlignment="1" applyProtection="1">
      <alignment horizontal="center" vertical="center" wrapText="1"/>
    </xf>
    <xf numFmtId="0" fontId="23" fillId="0" borderId="63" xfId="0" applyFont="1" applyBorder="1" applyAlignment="1" applyProtection="1">
      <alignment horizontal="left" vertical="center"/>
    </xf>
    <xf numFmtId="0" fontId="23" fillId="0" borderId="64" xfId="0" applyFont="1" applyBorder="1" applyAlignment="1" applyProtection="1">
      <alignment horizontal="left" vertical="center"/>
    </xf>
    <xf numFmtId="0" fontId="23" fillId="0" borderId="73" xfId="0" applyFont="1" applyBorder="1" applyAlignment="1" applyProtection="1">
      <alignment horizontal="left" vertical="center"/>
    </xf>
    <xf numFmtId="0" fontId="5" fillId="0" borderId="1" xfId="0" applyFont="1" applyBorder="1" applyAlignment="1" applyProtection="1">
      <alignment horizontal="center" vertical="center"/>
    </xf>
    <xf numFmtId="0" fontId="5" fillId="0" borderId="3" xfId="0" applyFont="1" applyBorder="1" applyAlignment="1" applyProtection="1">
      <alignment horizontal="center" vertical="center"/>
    </xf>
    <xf numFmtId="0" fontId="5" fillId="0" borderId="48" xfId="0" applyFont="1" applyBorder="1" applyAlignment="1" applyProtection="1">
      <alignment horizontal="center" vertical="center"/>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5" fillId="0" borderId="59" xfId="0" applyFont="1" applyBorder="1" applyAlignment="1" applyProtection="1">
      <alignment horizontal="left" vertical="center"/>
    </xf>
    <xf numFmtId="0" fontId="42" fillId="0" borderId="68" xfId="0" applyFont="1" applyBorder="1" applyAlignment="1" applyProtection="1">
      <alignment horizontal="left" vertical="center"/>
    </xf>
    <xf numFmtId="0" fontId="42" fillId="0" borderId="69" xfId="0" applyFont="1" applyBorder="1" applyAlignment="1" applyProtection="1">
      <alignment horizontal="left" vertical="center"/>
    </xf>
    <xf numFmtId="0" fontId="42" fillId="0" borderId="75" xfId="0" applyFont="1" applyBorder="1" applyAlignment="1" applyProtection="1">
      <alignment horizontal="left" vertical="center"/>
    </xf>
    <xf numFmtId="0" fontId="19" fillId="0" borderId="48" xfId="0" applyFont="1" applyBorder="1" applyAlignment="1" applyProtection="1">
      <alignment horizontal="center" vertical="center"/>
    </xf>
    <xf numFmtId="0" fontId="17" fillId="0" borderId="0" xfId="0" applyFont="1" applyAlignment="1">
      <alignment horizontal="center" vertical="center"/>
    </xf>
    <xf numFmtId="0" fontId="16" fillId="0" borderId="6" xfId="0" applyFont="1" applyBorder="1" applyAlignment="1">
      <alignment horizontal="center" vertical="center"/>
    </xf>
    <xf numFmtId="0" fontId="16" fillId="0" borderId="7" xfId="0" applyFont="1" applyBorder="1" applyAlignment="1">
      <alignment horizontal="center" vertical="center"/>
    </xf>
    <xf numFmtId="0" fontId="16" fillId="0" borderId="8" xfId="0" applyFont="1" applyBorder="1" applyAlignment="1">
      <alignment horizontal="center" vertical="center"/>
    </xf>
    <xf numFmtId="0" fontId="0" fillId="0" borderId="45" xfId="0" applyBorder="1" applyAlignment="1">
      <alignment horizontal="center"/>
    </xf>
    <xf numFmtId="0" fontId="0" fillId="0" borderId="2" xfId="0" applyBorder="1" applyAlignment="1">
      <alignment horizontal="center"/>
    </xf>
    <xf numFmtId="0" fontId="16" fillId="0" borderId="1" xfId="0" applyFont="1" applyBorder="1" applyAlignment="1">
      <alignment horizontal="center" vertical="center"/>
    </xf>
    <xf numFmtId="0" fontId="16" fillId="0" borderId="3" xfId="0" applyFont="1" applyBorder="1" applyAlignment="1">
      <alignment horizontal="center" vertical="center"/>
    </xf>
    <xf numFmtId="0" fontId="16" fillId="0" borderId="2" xfId="0" applyFont="1" applyBorder="1" applyAlignment="1">
      <alignment horizontal="center" vertical="center"/>
    </xf>
    <xf numFmtId="0" fontId="3" fillId="2" borderId="1" xfId="0" applyFont="1" applyFill="1" applyBorder="1" applyAlignment="1" applyProtection="1">
      <alignment horizontal="center" vertical="top" wrapText="1"/>
    </xf>
    <xf numFmtId="0" fontId="3" fillId="2" borderId="2" xfId="0" applyFont="1" applyFill="1" applyBorder="1" applyAlignment="1" applyProtection="1">
      <alignment horizontal="center" vertical="top" wrapText="1"/>
    </xf>
    <xf numFmtId="0" fontId="4" fillId="2" borderId="38" xfId="0" applyFont="1" applyFill="1" applyBorder="1" applyAlignment="1" applyProtection="1">
      <alignment horizontal="center"/>
    </xf>
    <xf numFmtId="0" fontId="4" fillId="2" borderId="39" xfId="0" applyFont="1" applyFill="1" applyBorder="1" applyAlignment="1" applyProtection="1">
      <alignment horizontal="center"/>
    </xf>
    <xf numFmtId="0" fontId="4" fillId="2" borderId="18" xfId="0" applyFont="1" applyFill="1" applyBorder="1" applyAlignment="1" applyProtection="1">
      <alignment horizontal="center"/>
    </xf>
    <xf numFmtId="0" fontId="4" fillId="2" borderId="15" xfId="0" applyFont="1" applyFill="1" applyBorder="1" applyAlignment="1" applyProtection="1">
      <alignment horizontal="center"/>
    </xf>
    <xf numFmtId="0" fontId="4" fillId="2" borderId="37" xfId="0" applyFont="1" applyFill="1" applyBorder="1" applyAlignment="1" applyProtection="1">
      <alignment horizontal="center"/>
    </xf>
    <xf numFmtId="0" fontId="4" fillId="2" borderId="14" xfId="0" applyFont="1" applyFill="1" applyBorder="1" applyAlignment="1" applyProtection="1">
      <alignment horizontal="center"/>
    </xf>
    <xf numFmtId="0" fontId="4" fillId="2" borderId="17" xfId="0" applyFont="1" applyFill="1" applyBorder="1" applyAlignment="1" applyProtection="1">
      <alignment horizontal="center"/>
    </xf>
    <xf numFmtId="1" fontId="4" fillId="2" borderId="37" xfId="0" applyNumberFormat="1" applyFont="1" applyFill="1" applyBorder="1" applyAlignment="1" applyProtection="1">
      <alignment horizontal="center"/>
    </xf>
    <xf numFmtId="1" fontId="4" fillId="2" borderId="14" xfId="0" applyNumberFormat="1" applyFont="1" applyFill="1" applyBorder="1" applyAlignment="1" applyProtection="1">
      <alignment horizontal="center"/>
    </xf>
    <xf numFmtId="1" fontId="4" fillId="2" borderId="17" xfId="0" applyNumberFormat="1" applyFont="1" applyFill="1" applyBorder="1" applyAlignment="1" applyProtection="1">
      <alignment horizontal="center"/>
    </xf>
    <xf numFmtId="0" fontId="4" fillId="2" borderId="42" xfId="0" applyFont="1" applyFill="1" applyBorder="1" applyAlignment="1" applyProtection="1">
      <alignment horizontal="center"/>
    </xf>
    <xf numFmtId="0" fontId="4" fillId="2" borderId="12" xfId="0" applyFont="1" applyFill="1" applyBorder="1" applyAlignment="1" applyProtection="1">
      <alignment horizontal="center"/>
    </xf>
    <xf numFmtId="0" fontId="4" fillId="2" borderId="13" xfId="0" applyFont="1" applyFill="1" applyBorder="1" applyAlignment="1" applyProtection="1">
      <alignment horizontal="center"/>
    </xf>
    <xf numFmtId="0" fontId="0" fillId="3" borderId="37"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17" xfId="0" applyFont="1" applyFill="1" applyBorder="1" applyAlignment="1" applyProtection="1">
      <alignment horizontal="center"/>
    </xf>
    <xf numFmtId="3" fontId="4" fillId="2" borderId="43" xfId="0" applyNumberFormat="1" applyFont="1" applyFill="1" applyBorder="1" applyAlignment="1" applyProtection="1">
      <alignment horizontal="center" vertical="center"/>
    </xf>
    <xf numFmtId="3" fontId="4" fillId="2" borderId="44" xfId="0" applyNumberFormat="1" applyFont="1" applyFill="1" applyBorder="1" applyAlignment="1" applyProtection="1">
      <alignment horizontal="center" vertical="center"/>
    </xf>
    <xf numFmtId="3" fontId="3" fillId="4" borderId="1" xfId="2" applyNumberFormat="1" applyFont="1" applyFill="1" applyBorder="1" applyAlignment="1" applyProtection="1">
      <alignment horizontal="center" vertical="center"/>
    </xf>
    <xf numFmtId="3" fontId="3" fillId="4" borderId="2" xfId="2" applyNumberFormat="1" applyFont="1" applyFill="1" applyBorder="1" applyAlignment="1" applyProtection="1">
      <alignment horizontal="center" vertical="center"/>
    </xf>
    <xf numFmtId="3" fontId="3" fillId="4" borderId="1" xfId="0" applyNumberFormat="1" applyFont="1" applyFill="1" applyBorder="1" applyAlignment="1" applyProtection="1">
      <alignment horizontal="center"/>
    </xf>
    <xf numFmtId="3" fontId="3" fillId="4" borderId="2" xfId="0" applyNumberFormat="1" applyFont="1" applyFill="1" applyBorder="1" applyAlignment="1" applyProtection="1">
      <alignment horizontal="center"/>
    </xf>
    <xf numFmtId="3" fontId="6" fillId="2" borderId="1" xfId="0" applyNumberFormat="1" applyFont="1" applyFill="1" applyBorder="1" applyAlignment="1" applyProtection="1">
      <alignment horizontal="center" vertical="center"/>
    </xf>
    <xf numFmtId="3" fontId="6" fillId="2" borderId="2" xfId="0" applyNumberFormat="1" applyFont="1" applyFill="1" applyBorder="1" applyAlignment="1" applyProtection="1">
      <alignment horizontal="center" vertical="center"/>
    </xf>
    <xf numFmtId="3" fontId="4" fillId="2" borderId="43" xfId="1" applyNumberFormat="1" applyFont="1" applyFill="1" applyBorder="1" applyAlignment="1" applyProtection="1">
      <alignment horizontal="center"/>
    </xf>
    <xf numFmtId="3" fontId="4" fillId="2" borderId="44" xfId="1" applyNumberFormat="1" applyFont="1" applyFill="1" applyBorder="1" applyAlignment="1" applyProtection="1">
      <alignment horizontal="center"/>
    </xf>
    <xf numFmtId="0" fontId="4" fillId="2" borderId="30" xfId="0" applyFont="1" applyFill="1" applyBorder="1" applyAlignment="1" applyProtection="1">
      <alignment horizontal="left" vertical="top" wrapText="1"/>
    </xf>
    <xf numFmtId="0" fontId="4" fillId="2" borderId="31" xfId="0" applyFont="1" applyFill="1" applyBorder="1" applyAlignment="1" applyProtection="1">
      <alignment horizontal="left" vertical="top" wrapText="1"/>
    </xf>
    <xf numFmtId="0" fontId="4" fillId="2" borderId="33" xfId="0" applyFont="1" applyFill="1" applyBorder="1" applyAlignment="1" applyProtection="1">
      <alignment horizontal="left" vertical="top" wrapText="1"/>
    </xf>
    <xf numFmtId="0" fontId="4" fillId="2" borderId="11" xfId="0" applyFont="1" applyFill="1" applyBorder="1" applyAlignment="1" applyProtection="1">
      <alignment horizontal="left" vertical="top" wrapText="1"/>
    </xf>
    <xf numFmtId="0" fontId="4" fillId="2" borderId="12" xfId="0" applyFont="1" applyFill="1" applyBorder="1" applyAlignment="1" applyProtection="1">
      <alignment horizontal="left" vertical="top" wrapText="1"/>
    </xf>
    <xf numFmtId="0" fontId="4" fillId="2" borderId="13" xfId="0" applyFont="1" applyFill="1" applyBorder="1" applyAlignment="1" applyProtection="1">
      <alignment horizontal="left" vertical="top" wrapText="1"/>
    </xf>
    <xf numFmtId="0" fontId="3" fillId="2" borderId="18" xfId="0" applyFont="1" applyFill="1" applyBorder="1" applyAlignment="1" applyProtection="1">
      <alignment horizontal="center"/>
    </xf>
    <xf numFmtId="0" fontId="3" fillId="2" borderId="14" xfId="0" applyFont="1" applyFill="1" applyBorder="1" applyAlignment="1" applyProtection="1">
      <alignment horizontal="center"/>
    </xf>
    <xf numFmtId="0" fontId="3" fillId="2" borderId="17" xfId="0" applyFont="1" applyFill="1" applyBorder="1" applyAlignment="1" applyProtection="1">
      <alignment horizontal="center"/>
    </xf>
    <xf numFmtId="49" fontId="3" fillId="2" borderId="37" xfId="0" applyNumberFormat="1" applyFont="1" applyFill="1" applyBorder="1" applyAlignment="1" applyProtection="1">
      <alignment horizontal="center"/>
    </xf>
    <xf numFmtId="49" fontId="3" fillId="2" borderId="17" xfId="0" applyNumberFormat="1" applyFont="1" applyFill="1" applyBorder="1" applyAlignment="1" applyProtection="1">
      <alignment horizontal="center"/>
    </xf>
    <xf numFmtId="0" fontId="7" fillId="2" borderId="18" xfId="0" applyFont="1" applyFill="1" applyBorder="1" applyAlignment="1" applyProtection="1">
      <alignment horizontal="center"/>
    </xf>
    <xf numFmtId="0" fontId="7" fillId="2" borderId="15" xfId="0" applyFont="1" applyFill="1" applyBorder="1" applyAlignment="1" applyProtection="1">
      <alignment horizontal="center"/>
    </xf>
    <xf numFmtId="0" fontId="3" fillId="2" borderId="37" xfId="0" applyNumberFormat="1" applyFont="1" applyFill="1" applyBorder="1" applyAlignment="1" applyProtection="1">
      <alignment horizontal="center"/>
    </xf>
    <xf numFmtId="0" fontId="3" fillId="2" borderId="17" xfId="0" applyNumberFormat="1" applyFont="1" applyFill="1" applyBorder="1" applyAlignment="1" applyProtection="1">
      <alignment horizontal="center"/>
    </xf>
    <xf numFmtId="49" fontId="3" fillId="2" borderId="43" xfId="0" applyNumberFormat="1" applyFont="1" applyFill="1" applyBorder="1" applyAlignment="1" applyProtection="1">
      <alignment horizontal="center"/>
    </xf>
    <xf numFmtId="49" fontId="3" fillId="2" borderId="44" xfId="0" applyNumberFormat="1" applyFont="1" applyFill="1" applyBorder="1" applyAlignment="1" applyProtection="1">
      <alignment horizontal="center"/>
    </xf>
    <xf numFmtId="0" fontId="3" fillId="2" borderId="18" xfId="0" applyFont="1" applyFill="1" applyBorder="1" applyAlignment="1" applyProtection="1">
      <alignment horizontal="left" vertical="center"/>
    </xf>
    <xf numFmtId="0" fontId="3" fillId="2" borderId="14" xfId="0" applyFont="1" applyFill="1" applyBorder="1" applyAlignment="1" applyProtection="1">
      <alignment horizontal="left" vertical="center"/>
    </xf>
    <xf numFmtId="0" fontId="3" fillId="2" borderId="15" xfId="0" applyFont="1" applyFill="1" applyBorder="1" applyAlignment="1" applyProtection="1">
      <alignment horizontal="left" vertical="center"/>
    </xf>
    <xf numFmtId="0" fontId="5" fillId="2" borderId="9" xfId="0" applyFont="1" applyFill="1" applyBorder="1" applyAlignment="1" applyProtection="1">
      <alignment horizontal="right" vertical="center"/>
    </xf>
    <xf numFmtId="0" fontId="5" fillId="2" borderId="11" xfId="0" applyFont="1" applyFill="1" applyBorder="1" applyAlignment="1" applyProtection="1">
      <alignment horizontal="right" vertical="center"/>
    </xf>
    <xf numFmtId="14" fontId="5" fillId="2" borderId="10" xfId="0" applyNumberFormat="1" applyFont="1" applyFill="1" applyBorder="1" applyAlignment="1" applyProtection="1">
      <alignment horizontal="center" vertical="center"/>
    </xf>
    <xf numFmtId="14" fontId="5" fillId="2" borderId="12" xfId="0" applyNumberFormat="1" applyFont="1" applyFill="1" applyBorder="1" applyAlignment="1" applyProtection="1">
      <alignment horizontal="center" vertical="center"/>
    </xf>
    <xf numFmtId="164" fontId="5" fillId="2" borderId="10" xfId="0" applyNumberFormat="1" applyFont="1" applyFill="1" applyBorder="1" applyAlignment="1" applyProtection="1">
      <alignment horizontal="center" vertical="center"/>
    </xf>
    <xf numFmtId="164" fontId="5" fillId="2" borderId="12" xfId="0" applyNumberFormat="1" applyFont="1" applyFill="1" applyBorder="1" applyAlignment="1" applyProtection="1">
      <alignment horizontal="center" vertical="center"/>
    </xf>
    <xf numFmtId="0" fontId="0" fillId="2" borderId="34" xfId="0" applyFont="1" applyFill="1" applyBorder="1" applyAlignment="1" applyProtection="1">
      <alignment horizontal="center"/>
    </xf>
    <xf numFmtId="0" fontId="0" fillId="2" borderId="35" xfId="0" applyFont="1" applyFill="1" applyBorder="1" applyAlignment="1" applyProtection="1">
      <alignment horizontal="center"/>
    </xf>
    <xf numFmtId="0" fontId="0" fillId="2" borderId="36" xfId="0" applyFont="1" applyFill="1" applyBorder="1" applyAlignment="1" applyProtection="1">
      <alignment horizontal="center"/>
    </xf>
    <xf numFmtId="0" fontId="2" fillId="2" borderId="18" xfId="0" applyFont="1" applyFill="1" applyBorder="1" applyAlignment="1" applyProtection="1">
      <alignment horizontal="left" vertical="center"/>
    </xf>
    <xf numFmtId="0" fontId="2" fillId="2" borderId="14" xfId="0" applyFont="1" applyFill="1" applyBorder="1" applyAlignment="1" applyProtection="1">
      <alignment horizontal="left" vertical="center"/>
    </xf>
    <xf numFmtId="0" fontId="2" fillId="2" borderId="15" xfId="0" applyFont="1" applyFill="1" applyBorder="1" applyAlignment="1" applyProtection="1">
      <alignment horizontal="left" vertical="center"/>
    </xf>
    <xf numFmtId="0" fontId="3" fillId="2" borderId="37" xfId="0" applyFont="1" applyFill="1" applyBorder="1" applyAlignment="1" applyProtection="1">
      <alignment horizontal="center"/>
    </xf>
    <xf numFmtId="0" fontId="3" fillId="2" borderId="43" xfId="0" applyFont="1" applyFill="1" applyBorder="1" applyAlignment="1" applyProtection="1">
      <alignment horizontal="center"/>
    </xf>
    <xf numFmtId="0" fontId="3" fillId="2" borderId="44" xfId="0" applyFont="1" applyFill="1" applyBorder="1" applyAlignment="1" applyProtection="1">
      <alignment horizontal="center"/>
    </xf>
    <xf numFmtId="0" fontId="26" fillId="2" borderId="18" xfId="0" applyFont="1" applyFill="1" applyBorder="1" applyAlignment="1" applyProtection="1">
      <alignment horizontal="left"/>
    </xf>
    <xf numFmtId="0" fontId="26" fillId="2" borderId="14" xfId="0" applyFont="1" applyFill="1" applyBorder="1" applyAlignment="1" applyProtection="1">
      <alignment horizontal="left"/>
    </xf>
    <xf numFmtId="0" fontId="26" fillId="2" borderId="15" xfId="0" applyFont="1" applyFill="1" applyBorder="1" applyAlignment="1" applyProtection="1">
      <alignment horizontal="left"/>
    </xf>
    <xf numFmtId="0" fontId="4" fillId="2" borderId="42" xfId="0" applyFont="1" applyFill="1" applyBorder="1" applyAlignment="1" applyProtection="1">
      <alignment horizontal="center"/>
      <protection locked="0"/>
    </xf>
    <xf numFmtId="0" fontId="4" fillId="2" borderId="12" xfId="0" applyFont="1" applyFill="1" applyBorder="1" applyAlignment="1" applyProtection="1">
      <alignment horizontal="center"/>
      <protection locked="0"/>
    </xf>
    <xf numFmtId="0" fontId="4" fillId="2" borderId="13" xfId="0" applyFont="1" applyFill="1" applyBorder="1" applyAlignment="1" applyProtection="1">
      <alignment horizontal="center"/>
      <protection locked="0"/>
    </xf>
    <xf numFmtId="0" fontId="3" fillId="2" borderId="43" xfId="0" applyFont="1" applyFill="1" applyBorder="1" applyAlignment="1" applyProtection="1">
      <alignment horizontal="center"/>
      <protection locked="0"/>
    </xf>
    <xf numFmtId="0" fontId="3" fillId="2" borderId="44" xfId="0" applyFont="1" applyFill="1" applyBorder="1" applyAlignment="1" applyProtection="1">
      <alignment horizontal="center"/>
      <protection locked="0"/>
    </xf>
    <xf numFmtId="0" fontId="5" fillId="2" borderId="9" xfId="0" applyFont="1" applyFill="1" applyBorder="1" applyAlignment="1">
      <alignment horizontal="right" vertical="center"/>
    </xf>
    <xf numFmtId="0" fontId="5" fillId="2" borderId="11" xfId="0" applyFont="1" applyFill="1" applyBorder="1" applyAlignment="1">
      <alignment horizontal="right" vertical="center"/>
    </xf>
    <xf numFmtId="14" fontId="5" fillId="2" borderId="10" xfId="0" applyNumberFormat="1" applyFont="1" applyFill="1" applyBorder="1" applyAlignment="1" applyProtection="1">
      <alignment horizontal="center" vertical="center"/>
      <protection locked="0"/>
    </xf>
    <xf numFmtId="14" fontId="5" fillId="2" borderId="12" xfId="0" applyNumberFormat="1" applyFont="1" applyFill="1" applyBorder="1" applyAlignment="1" applyProtection="1">
      <alignment horizontal="center" vertical="center"/>
      <protection locked="0"/>
    </xf>
    <xf numFmtId="164" fontId="5" fillId="2" borderId="10" xfId="0" applyNumberFormat="1" applyFont="1" applyFill="1" applyBorder="1" applyAlignment="1" applyProtection="1">
      <alignment horizontal="center" vertical="center"/>
      <protection locked="0"/>
    </xf>
    <xf numFmtId="164" fontId="5" fillId="2" borderId="12" xfId="0" applyNumberFormat="1" applyFont="1" applyFill="1" applyBorder="1" applyAlignment="1" applyProtection="1">
      <alignment horizontal="center" vertical="center"/>
      <protection locked="0"/>
    </xf>
    <xf numFmtId="164" fontId="5" fillId="2" borderId="5" xfId="0" applyNumberFormat="1" applyFont="1" applyFill="1" applyBorder="1" applyAlignment="1" applyProtection="1">
      <alignment horizontal="center" vertical="center"/>
      <protection locked="0"/>
    </xf>
    <xf numFmtId="164" fontId="5" fillId="2" borderId="13" xfId="0" applyNumberFormat="1" applyFont="1" applyFill="1" applyBorder="1" applyAlignment="1" applyProtection="1">
      <alignment horizontal="center" vertical="center"/>
      <protection locked="0"/>
    </xf>
    <xf numFmtId="0" fontId="3" fillId="2" borderId="1" xfId="0" applyFont="1" applyFill="1" applyBorder="1" applyAlignment="1" applyProtection="1">
      <alignment horizontal="center" vertical="top" wrapText="1"/>
      <protection locked="0"/>
    </xf>
    <xf numFmtId="0" fontId="3" fillId="2" borderId="2" xfId="0" applyFont="1" applyFill="1" applyBorder="1" applyAlignment="1" applyProtection="1">
      <alignment horizontal="center" vertical="top" wrapText="1"/>
      <protection locked="0"/>
    </xf>
    <xf numFmtId="3" fontId="3" fillId="4" borderId="1" xfId="2" applyNumberFormat="1" applyFont="1" applyFill="1" applyBorder="1" applyAlignment="1">
      <alignment horizontal="center" vertical="center"/>
    </xf>
    <xf numFmtId="3" fontId="3" fillId="4" borderId="2" xfId="2" applyNumberFormat="1" applyFont="1" applyFill="1" applyBorder="1" applyAlignment="1">
      <alignment horizontal="center" vertical="center"/>
    </xf>
    <xf numFmtId="3" fontId="6" fillId="2" borderId="1" xfId="0" applyNumberFormat="1" applyFont="1" applyFill="1" applyBorder="1" applyAlignment="1" applyProtection="1">
      <alignment horizontal="center" vertical="center"/>
      <protection locked="0"/>
    </xf>
    <xf numFmtId="3" fontId="6" fillId="2" borderId="2" xfId="0" applyNumberFormat="1" applyFont="1" applyFill="1" applyBorder="1" applyAlignment="1" applyProtection="1">
      <alignment horizontal="center" vertical="center"/>
      <protection locked="0"/>
    </xf>
    <xf numFmtId="3" fontId="3" fillId="4" borderId="1" xfId="0" applyNumberFormat="1" applyFont="1" applyFill="1" applyBorder="1" applyAlignment="1" applyProtection="1">
      <alignment horizontal="center"/>
      <protection locked="0"/>
    </xf>
    <xf numFmtId="3" fontId="3" fillId="4" borderId="2" xfId="0" applyNumberFormat="1" applyFont="1" applyFill="1" applyBorder="1" applyAlignment="1" applyProtection="1">
      <alignment horizontal="center"/>
      <protection locked="0"/>
    </xf>
    <xf numFmtId="0" fontId="0" fillId="2" borderId="34" xfId="0" applyFont="1" applyFill="1" applyBorder="1" applyAlignment="1">
      <alignment horizontal="center"/>
    </xf>
    <xf numFmtId="0" fontId="0" fillId="2" borderId="35" xfId="0" applyFont="1" applyFill="1" applyBorder="1" applyAlignment="1">
      <alignment horizontal="center"/>
    </xf>
    <xf numFmtId="0" fontId="0" fillId="2" borderId="36" xfId="0" applyFont="1" applyFill="1" applyBorder="1" applyAlignment="1">
      <alignment horizontal="center"/>
    </xf>
    <xf numFmtId="3" fontId="4" fillId="2" borderId="43" xfId="0" applyNumberFormat="1" applyFont="1" applyFill="1" applyBorder="1" applyAlignment="1">
      <alignment horizontal="center" vertical="center"/>
    </xf>
    <xf numFmtId="3" fontId="4" fillId="2" borderId="44" xfId="0" applyNumberFormat="1" applyFont="1" applyFill="1" applyBorder="1" applyAlignment="1">
      <alignment horizontal="center" vertical="center"/>
    </xf>
    <xf numFmtId="0" fontId="7" fillId="2" borderId="18" xfId="0" applyFont="1" applyFill="1" applyBorder="1" applyAlignment="1">
      <alignment horizontal="center"/>
    </xf>
    <xf numFmtId="0" fontId="7" fillId="2" borderId="15" xfId="0" applyFont="1" applyFill="1" applyBorder="1" applyAlignment="1">
      <alignment horizontal="center"/>
    </xf>
    <xf numFmtId="0" fontId="0" fillId="3" borderId="37" xfId="0" applyFont="1" applyFill="1" applyBorder="1" applyAlignment="1">
      <alignment horizontal="center"/>
    </xf>
    <xf numFmtId="0" fontId="0" fillId="3" borderId="14" xfId="0" applyFont="1" applyFill="1" applyBorder="1" applyAlignment="1">
      <alignment horizontal="center"/>
    </xf>
    <xf numFmtId="0" fontId="0" fillId="3" borderId="17" xfId="0" applyFont="1" applyFill="1" applyBorder="1" applyAlignment="1">
      <alignment horizontal="center"/>
    </xf>
    <xf numFmtId="0" fontId="4" fillId="2" borderId="18" xfId="0" applyFont="1" applyFill="1" applyBorder="1" applyAlignment="1">
      <alignment horizontal="center"/>
    </xf>
    <xf numFmtId="0" fontId="4" fillId="2" borderId="15" xfId="0" applyFont="1" applyFill="1" applyBorder="1" applyAlignment="1">
      <alignment horizontal="center"/>
    </xf>
    <xf numFmtId="1" fontId="4" fillId="2" borderId="37" xfId="0" applyNumberFormat="1" applyFont="1" applyFill="1" applyBorder="1" applyAlignment="1" applyProtection="1">
      <alignment horizontal="center"/>
      <protection locked="0"/>
    </xf>
    <xf numFmtId="1" fontId="4" fillId="2" borderId="14" xfId="0" applyNumberFormat="1" applyFont="1" applyFill="1" applyBorder="1" applyAlignment="1" applyProtection="1">
      <alignment horizontal="center"/>
      <protection locked="0"/>
    </xf>
    <xf numFmtId="1" fontId="4" fillId="2" borderId="17" xfId="0" applyNumberFormat="1" applyFont="1" applyFill="1" applyBorder="1" applyAlignment="1" applyProtection="1">
      <alignment horizontal="center"/>
      <protection locked="0"/>
    </xf>
    <xf numFmtId="0" fontId="3" fillId="2" borderId="37" xfId="0" applyFont="1" applyFill="1" applyBorder="1" applyAlignment="1" applyProtection="1">
      <alignment horizontal="center"/>
      <protection locked="0"/>
    </xf>
    <xf numFmtId="0" fontId="3" fillId="2" borderId="17" xfId="0" applyFont="1" applyFill="1" applyBorder="1" applyAlignment="1" applyProtection="1">
      <alignment horizontal="center"/>
      <protection locked="0"/>
    </xf>
    <xf numFmtId="0" fontId="3" fillId="2" borderId="18" xfId="0" applyFont="1" applyFill="1" applyBorder="1" applyAlignment="1">
      <alignment horizontal="center"/>
    </xf>
    <xf numFmtId="0" fontId="3" fillId="2" borderId="14" xfId="0" applyFont="1" applyFill="1" applyBorder="1" applyAlignment="1">
      <alignment horizontal="center"/>
    </xf>
    <xf numFmtId="0" fontId="3" fillId="2" borderId="17" xfId="0" applyFont="1" applyFill="1" applyBorder="1" applyAlignment="1">
      <alignment horizontal="center"/>
    </xf>
    <xf numFmtId="0" fontId="4" fillId="0" borderId="40" xfId="0" applyFont="1" applyBorder="1" applyAlignment="1" applyProtection="1">
      <alignment horizontal="center" vertical="top" wrapText="1"/>
      <protection locked="0"/>
    </xf>
    <xf numFmtId="0" fontId="4" fillId="0" borderId="0" xfId="0" applyFont="1" applyBorder="1" applyAlignment="1" applyProtection="1">
      <alignment horizontal="center" vertical="top" wrapText="1"/>
      <protection locked="0"/>
    </xf>
    <xf numFmtId="0" fontId="4" fillId="0" borderId="41" xfId="0" applyFont="1" applyBorder="1" applyAlignment="1" applyProtection="1">
      <alignment horizontal="center" vertical="top" wrapText="1"/>
      <protection locked="0"/>
    </xf>
    <xf numFmtId="0" fontId="4" fillId="0" borderId="11" xfId="0" applyFont="1" applyBorder="1" applyAlignment="1" applyProtection="1">
      <alignment horizontal="center" vertical="top" wrapText="1"/>
      <protection locked="0"/>
    </xf>
    <xf numFmtId="0" fontId="4" fillId="0" borderId="12" xfId="0" applyFont="1" applyBorder="1" applyAlignment="1" applyProtection="1">
      <alignment horizontal="center" vertical="top" wrapText="1"/>
      <protection locked="0"/>
    </xf>
    <xf numFmtId="0" fontId="4" fillId="0" borderId="13" xfId="0" applyFont="1" applyBorder="1" applyAlignment="1" applyProtection="1">
      <alignment horizontal="center" vertical="top" wrapText="1"/>
      <protection locked="0"/>
    </xf>
    <xf numFmtId="0" fontId="4" fillId="2" borderId="38" xfId="0" applyFont="1" applyFill="1" applyBorder="1" applyAlignment="1">
      <alignment horizontal="center"/>
    </xf>
    <xf numFmtId="0" fontId="4" fillId="2" borderId="39" xfId="0" applyFont="1" applyFill="1" applyBorder="1" applyAlignment="1">
      <alignment horizontal="center"/>
    </xf>
    <xf numFmtId="3" fontId="4" fillId="2" borderId="43" xfId="1" applyNumberFormat="1" applyFont="1" applyFill="1" applyBorder="1" applyAlignment="1">
      <alignment horizontal="center"/>
    </xf>
    <xf numFmtId="3" fontId="4" fillId="2" borderId="44" xfId="1" applyNumberFormat="1" applyFont="1" applyFill="1" applyBorder="1" applyAlignment="1">
      <alignment horizontal="center"/>
    </xf>
    <xf numFmtId="0" fontId="4" fillId="2" borderId="37" xfId="0" applyFont="1" applyFill="1" applyBorder="1" applyAlignment="1" applyProtection="1">
      <alignment horizontal="center"/>
      <protection locked="0"/>
    </xf>
    <xf numFmtId="0" fontId="4" fillId="2" borderId="14" xfId="0" applyFont="1" applyFill="1" applyBorder="1" applyAlignment="1" applyProtection="1">
      <alignment horizontal="center"/>
      <protection locked="0"/>
    </xf>
    <xf numFmtId="0" fontId="4" fillId="2" borderId="17" xfId="0" applyFont="1" applyFill="1" applyBorder="1" applyAlignment="1" applyProtection="1">
      <alignment horizontal="center"/>
      <protection locked="0"/>
    </xf>
    <xf numFmtId="164" fontId="5" fillId="2" borderId="5" xfId="0" applyNumberFormat="1" applyFont="1" applyFill="1" applyBorder="1" applyAlignment="1" applyProtection="1">
      <alignment horizontal="left" vertical="center"/>
      <protection locked="0"/>
    </xf>
    <xf numFmtId="164" fontId="5" fillId="2" borderId="13" xfId="0" applyNumberFormat="1" applyFont="1" applyFill="1" applyBorder="1" applyAlignment="1" applyProtection="1">
      <alignment horizontal="left" vertical="center"/>
      <protection locked="0"/>
    </xf>
    <xf numFmtId="0" fontId="7" fillId="2" borderId="25" xfId="0" applyFont="1" applyFill="1" applyBorder="1" applyAlignment="1">
      <alignment horizontal="center"/>
    </xf>
    <xf numFmtId="0" fontId="7" fillId="2" borderId="23" xfId="0" applyFont="1" applyFill="1" applyBorder="1" applyAlignment="1">
      <alignment horizontal="center"/>
    </xf>
    <xf numFmtId="0" fontId="0" fillId="3" borderId="23" xfId="0" applyFont="1" applyFill="1" applyBorder="1" applyAlignment="1">
      <alignment horizontal="center"/>
    </xf>
    <xf numFmtId="0" fontId="0" fillId="3" borderId="26" xfId="0" applyFont="1" applyFill="1" applyBorder="1" applyAlignment="1">
      <alignment horizontal="center"/>
    </xf>
    <xf numFmtId="0" fontId="4" fillId="2" borderId="25" xfId="0" applyFont="1" applyFill="1" applyBorder="1" applyAlignment="1">
      <alignment horizontal="center"/>
    </xf>
    <xf numFmtId="0" fontId="4" fillId="2" borderId="23" xfId="0" applyFont="1" applyFill="1" applyBorder="1" applyAlignment="1">
      <alignment horizontal="center"/>
    </xf>
    <xf numFmtId="1" fontId="4" fillId="2" borderId="23" xfId="0" applyNumberFormat="1" applyFont="1" applyFill="1" applyBorder="1" applyAlignment="1" applyProtection="1">
      <alignment horizontal="center"/>
      <protection locked="0"/>
    </xf>
    <xf numFmtId="1" fontId="4" fillId="2" borderId="26" xfId="0" applyNumberFormat="1" applyFont="1" applyFill="1" applyBorder="1" applyAlignment="1" applyProtection="1">
      <alignment horizontal="center"/>
      <protection locked="0"/>
    </xf>
    <xf numFmtId="0" fontId="4" fillId="2" borderId="27" xfId="0" applyFont="1" applyFill="1" applyBorder="1" applyAlignment="1">
      <alignment horizontal="center"/>
    </xf>
    <xf numFmtId="0" fontId="4" fillId="2" borderId="28" xfId="0" applyFont="1" applyFill="1" applyBorder="1" applyAlignment="1">
      <alignment horizontal="center"/>
    </xf>
    <xf numFmtId="0" fontId="4" fillId="2" borderId="28" xfId="0" applyFont="1" applyFill="1" applyBorder="1" applyAlignment="1" applyProtection="1">
      <alignment horizontal="center"/>
      <protection locked="0"/>
    </xf>
    <xf numFmtId="0" fontId="4" fillId="2" borderId="29" xfId="0" applyFont="1" applyFill="1" applyBorder="1" applyAlignment="1" applyProtection="1">
      <alignment horizontal="center"/>
      <protection locked="0"/>
    </xf>
    <xf numFmtId="0" fontId="4" fillId="2" borderId="23" xfId="0" applyFont="1" applyFill="1" applyBorder="1" applyAlignment="1" applyProtection="1">
      <alignment horizontal="center"/>
      <protection locked="0"/>
    </xf>
    <xf numFmtId="0" fontId="4" fillId="2" borderId="26" xfId="0" applyFont="1" applyFill="1" applyBorder="1" applyAlignment="1" applyProtection="1">
      <alignment horizontal="center"/>
      <protection locked="0"/>
    </xf>
    <xf numFmtId="0" fontId="4" fillId="0" borderId="30" xfId="0" applyFont="1" applyBorder="1" applyAlignment="1" applyProtection="1">
      <alignment horizontal="left" vertical="top" wrapText="1"/>
      <protection locked="0"/>
    </xf>
    <xf numFmtId="0" fontId="4" fillId="0" borderId="31" xfId="0" applyFont="1" applyBorder="1" applyAlignment="1" applyProtection="1">
      <alignment horizontal="left" vertical="top" wrapText="1"/>
      <protection locked="0"/>
    </xf>
    <xf numFmtId="0" fontId="4" fillId="0" borderId="33" xfId="0" applyFont="1" applyBorder="1" applyAlignment="1" applyProtection="1">
      <alignment horizontal="left" vertical="top" wrapText="1"/>
      <protection locked="0"/>
    </xf>
    <xf numFmtId="0" fontId="4" fillId="0" borderId="11" xfId="0" applyFont="1" applyBorder="1" applyAlignment="1" applyProtection="1">
      <alignment horizontal="left" vertical="top" wrapText="1"/>
      <protection locked="0"/>
    </xf>
    <xf numFmtId="0" fontId="4" fillId="0" borderId="12" xfId="0" applyFont="1" applyBorder="1" applyAlignment="1" applyProtection="1">
      <alignment horizontal="left" vertical="top" wrapText="1"/>
      <protection locked="0"/>
    </xf>
    <xf numFmtId="0" fontId="4" fillId="0" borderId="13" xfId="0" applyFont="1" applyBorder="1" applyAlignment="1" applyProtection="1">
      <alignment horizontal="left" vertical="top" wrapText="1"/>
      <protection locked="0"/>
    </xf>
    <xf numFmtId="0" fontId="10" fillId="2" borderId="9" xfId="0" applyFont="1" applyFill="1" applyBorder="1" applyAlignment="1">
      <alignment horizontal="right" vertical="center"/>
    </xf>
    <xf numFmtId="0" fontId="10" fillId="2" borderId="11" xfId="0" applyFont="1" applyFill="1" applyBorder="1" applyAlignment="1">
      <alignment horizontal="right" vertical="center"/>
    </xf>
    <xf numFmtId="14" fontId="10" fillId="2" borderId="10" xfId="0" applyNumberFormat="1" applyFont="1" applyFill="1" applyBorder="1" applyAlignment="1" applyProtection="1">
      <alignment horizontal="center" vertical="center"/>
      <protection locked="0"/>
    </xf>
    <xf numFmtId="14" fontId="10" fillId="2" borderId="12" xfId="0" applyNumberFormat="1" applyFont="1" applyFill="1" applyBorder="1" applyAlignment="1" applyProtection="1">
      <alignment horizontal="center" vertical="center"/>
      <protection locked="0"/>
    </xf>
    <xf numFmtId="164" fontId="10" fillId="2" borderId="5" xfId="0" applyNumberFormat="1" applyFont="1" applyFill="1" applyBorder="1" applyAlignment="1" applyProtection="1">
      <alignment horizontal="left" vertical="center"/>
      <protection locked="0"/>
    </xf>
    <xf numFmtId="164" fontId="10" fillId="2" borderId="13" xfId="0" applyNumberFormat="1" applyFont="1" applyFill="1" applyBorder="1" applyAlignment="1" applyProtection="1">
      <alignment horizontal="left" vertical="center"/>
      <protection locked="0"/>
    </xf>
    <xf numFmtId="0" fontId="9" fillId="2" borderId="34" xfId="0" applyFont="1" applyFill="1" applyBorder="1" applyAlignment="1">
      <alignment horizontal="center"/>
    </xf>
    <xf numFmtId="0" fontId="9" fillId="2" borderId="35" xfId="0" applyFont="1" applyFill="1" applyBorder="1" applyAlignment="1">
      <alignment horizontal="center"/>
    </xf>
    <xf numFmtId="0" fontId="9" fillId="2" borderId="36" xfId="0" applyFont="1" applyFill="1" applyBorder="1" applyAlignment="1">
      <alignment horizontal="center"/>
    </xf>
    <xf numFmtId="0" fontId="15" fillId="2" borderId="25" xfId="0" applyFont="1" applyFill="1" applyBorder="1" applyAlignment="1">
      <alignment horizontal="center"/>
    </xf>
    <xf numFmtId="0" fontId="15" fillId="2" borderId="23" xfId="0" applyFont="1" applyFill="1" applyBorder="1" applyAlignment="1">
      <alignment horizontal="center"/>
    </xf>
    <xf numFmtId="0" fontId="9" fillId="3" borderId="23" xfId="0" applyFont="1" applyFill="1" applyBorder="1" applyAlignment="1">
      <alignment horizontal="center"/>
    </xf>
    <xf numFmtId="0" fontId="9" fillId="3" borderId="26" xfId="0" applyFont="1" applyFill="1" applyBorder="1" applyAlignment="1">
      <alignment horizontal="center"/>
    </xf>
    <xf numFmtId="0" fontId="14" fillId="2" borderId="25" xfId="0" applyFont="1" applyFill="1" applyBorder="1" applyAlignment="1">
      <alignment horizontal="center"/>
    </xf>
    <xf numFmtId="0" fontId="14" fillId="2" borderId="23" xfId="0" applyFont="1" applyFill="1" applyBorder="1" applyAlignment="1">
      <alignment horizontal="center"/>
    </xf>
    <xf numFmtId="1" fontId="14" fillId="2" borderId="23" xfId="0" applyNumberFormat="1" applyFont="1" applyFill="1" applyBorder="1" applyAlignment="1" applyProtection="1">
      <alignment horizontal="center"/>
      <protection locked="0"/>
    </xf>
    <xf numFmtId="1" fontId="14" fillId="2" borderId="26" xfId="0" applyNumberFormat="1" applyFont="1" applyFill="1" applyBorder="1" applyAlignment="1" applyProtection="1">
      <alignment horizontal="center"/>
      <protection locked="0"/>
    </xf>
    <xf numFmtId="0" fontId="14" fillId="2" borderId="27" xfId="0" applyFont="1" applyFill="1" applyBorder="1" applyAlignment="1">
      <alignment horizontal="center"/>
    </xf>
    <xf numFmtId="0" fontId="14" fillId="2" borderId="28" xfId="0" applyFont="1" applyFill="1" applyBorder="1" applyAlignment="1">
      <alignment horizontal="center"/>
    </xf>
    <xf numFmtId="0" fontId="14" fillId="2" borderId="28" xfId="0" applyFont="1" applyFill="1" applyBorder="1" applyAlignment="1" applyProtection="1">
      <alignment horizontal="center"/>
      <protection locked="0"/>
    </xf>
    <xf numFmtId="0" fontId="14" fillId="2" borderId="29" xfId="0" applyFont="1" applyFill="1" applyBorder="1" applyAlignment="1" applyProtection="1">
      <alignment horizontal="center"/>
      <protection locked="0"/>
    </xf>
    <xf numFmtId="0" fontId="11" fillId="2" borderId="18" xfId="0" applyFont="1" applyFill="1" applyBorder="1" applyAlignment="1">
      <alignment horizontal="center"/>
    </xf>
    <xf numFmtId="0" fontId="11" fillId="2" borderId="14" xfId="0" applyFont="1" applyFill="1" applyBorder="1" applyAlignment="1">
      <alignment horizontal="center"/>
    </xf>
    <xf numFmtId="0" fontId="11" fillId="2" borderId="17" xfId="0" applyFont="1" applyFill="1" applyBorder="1" applyAlignment="1">
      <alignment horizontal="center"/>
    </xf>
    <xf numFmtId="0" fontId="14" fillId="0" borderId="30" xfId="0" applyFont="1" applyBorder="1" applyAlignment="1" applyProtection="1">
      <alignment horizontal="left" vertical="top" wrapText="1"/>
      <protection locked="0"/>
    </xf>
    <xf numFmtId="0" fontId="14" fillId="0" borderId="31" xfId="0" applyFont="1" applyBorder="1" applyAlignment="1" applyProtection="1">
      <alignment horizontal="left" vertical="top" wrapText="1"/>
      <protection locked="0"/>
    </xf>
    <xf numFmtId="0" fontId="14" fillId="0" borderId="33" xfId="0" applyFont="1" applyBorder="1" applyAlignment="1" applyProtection="1">
      <alignment horizontal="left" vertical="top" wrapText="1"/>
      <protection locked="0"/>
    </xf>
    <xf numFmtId="0" fontId="14" fillId="0" borderId="11" xfId="0" applyFont="1" applyBorder="1" applyAlignment="1" applyProtection="1">
      <alignment horizontal="left" vertical="top" wrapText="1"/>
      <protection locked="0"/>
    </xf>
    <xf numFmtId="0" fontId="14" fillId="0" borderId="12" xfId="0" applyFont="1" applyBorder="1" applyAlignment="1" applyProtection="1">
      <alignment horizontal="left" vertical="top" wrapText="1"/>
      <protection locked="0"/>
    </xf>
    <xf numFmtId="0" fontId="14" fillId="0" borderId="13" xfId="0" applyFont="1" applyBorder="1" applyAlignment="1" applyProtection="1">
      <alignment horizontal="left" vertical="top" wrapText="1"/>
      <protection locked="0"/>
    </xf>
    <xf numFmtId="0" fontId="14" fillId="2" borderId="23" xfId="0" applyFont="1" applyFill="1" applyBorder="1" applyAlignment="1" applyProtection="1">
      <alignment horizontal="center"/>
      <protection locked="0"/>
    </xf>
    <xf numFmtId="0" fontId="14" fillId="2" borderId="26" xfId="0" applyFont="1" applyFill="1" applyBorder="1" applyAlignment="1" applyProtection="1">
      <alignment horizontal="center"/>
      <protection locked="0"/>
    </xf>
  </cellXfs>
  <cellStyles count="3">
    <cellStyle name="Comma" xfId="2" builtinId="3"/>
    <cellStyle name="Currency" xfId="1" builtinId="4"/>
    <cellStyle name="Normal" xfId="0" builtinId="0"/>
  </cellStyles>
  <dxfs count="1654">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u/>
        <color rgb="FFFF0000"/>
      </font>
      <fill>
        <patternFill>
          <bgColor rgb="FFFFFF00"/>
        </patternFill>
      </fill>
    </dxf>
    <dxf>
      <font>
        <b/>
        <i val="0"/>
        <color theme="0"/>
      </font>
      <fill>
        <patternFill>
          <bgColor rgb="FFFF0000"/>
        </patternFill>
      </fill>
    </dxf>
    <dxf>
      <font>
        <b/>
        <i/>
        <color rgb="FFFF0000"/>
      </font>
      <fill>
        <patternFill>
          <bgColor rgb="FFFFFF00"/>
        </patternFill>
      </fill>
    </dxf>
    <dxf>
      <font>
        <b/>
        <i val="0"/>
        <color theme="1"/>
      </font>
      <fill>
        <patternFill>
          <bgColor theme="0"/>
        </patternFill>
      </fill>
    </dxf>
    <dxf>
      <font>
        <b/>
        <i/>
        <color theme="0"/>
      </font>
      <fill>
        <patternFill>
          <bgColor rgb="FFFF0000"/>
        </patternFill>
      </fill>
    </dxf>
    <dxf>
      <font>
        <b/>
        <i val="0"/>
        <color theme="0"/>
      </font>
      <fill>
        <patternFill>
          <bgColor rgb="FF00B050"/>
        </patternFill>
      </fill>
    </dxf>
    <dxf>
      <font>
        <color theme="0"/>
      </font>
    </dxf>
    <dxf>
      <font>
        <color theme="0"/>
      </font>
    </dxf>
    <dxf>
      <font>
        <b/>
        <i/>
        <u/>
        <color rgb="FFFF0000"/>
      </font>
      <fill>
        <patternFill>
          <bgColor rgb="FFFFFF00"/>
        </patternFill>
      </fill>
    </dxf>
    <dxf>
      <border>
        <left/>
        <right/>
        <top/>
        <bottom/>
        <vertical/>
        <horizontal/>
      </border>
    </dxf>
    <dxf>
      <font>
        <b/>
        <i/>
        <color theme="0"/>
      </font>
      <fill>
        <patternFill>
          <bgColor theme="0"/>
        </patternFill>
      </fill>
      <border>
        <left/>
        <right/>
        <top/>
        <bottom/>
        <vertical/>
        <horizontal/>
      </border>
    </dxf>
    <dxf>
      <fill>
        <patternFill>
          <bgColor rgb="FFFFFF00"/>
        </patternFill>
      </fill>
    </dxf>
    <dxf>
      <fill>
        <patternFill>
          <bgColor theme="5" tint="0.79998168889431442"/>
        </patternFill>
      </fill>
    </dxf>
    <dxf>
      <font>
        <b/>
        <i val="0"/>
        <color theme="0"/>
      </font>
      <fill>
        <patternFill>
          <bgColor rgb="FF377AFF"/>
        </patternFill>
      </fill>
    </dxf>
    <dxf>
      <font>
        <b/>
        <i val="0"/>
        <color theme="0"/>
      </font>
      <fill>
        <patternFill>
          <bgColor rgb="FFFFC000"/>
        </patternFill>
      </fill>
    </dxf>
    <dxf>
      <font>
        <b/>
        <i val="0"/>
        <color theme="0"/>
      </font>
      <fill>
        <patternFill>
          <bgColor theme="9"/>
        </patternFill>
      </fill>
    </dxf>
    <dxf>
      <font>
        <b/>
        <i val="0"/>
        <color theme="0"/>
      </font>
      <fill>
        <patternFill>
          <bgColor rgb="FFB946EC"/>
        </patternFill>
      </fill>
    </dxf>
    <dxf>
      <font>
        <b/>
        <i val="0"/>
        <color auto="1"/>
      </font>
      <fill>
        <patternFill>
          <bgColor rgb="FFF4EE00"/>
        </patternFill>
      </fill>
    </dxf>
    <dxf>
      <font>
        <b/>
        <i val="0"/>
        <color theme="0"/>
      </font>
      <fill>
        <patternFill>
          <bgColor rgb="FFFF66FF"/>
        </patternFill>
      </fill>
    </dxf>
  </dxfs>
  <tableStyles count="0" defaultTableStyle="TableStyleMedium2" defaultPivotStyle="PivotStyleLight16"/>
  <colors>
    <mruColors>
      <color rgb="FFB946EC"/>
      <color rgb="FFFF66FF"/>
      <color rgb="FFF4EE00"/>
      <color rgb="FFAA72D4"/>
      <color rgb="FF377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99060</xdr:colOff>
          <xdr:row>7</xdr:row>
          <xdr:rowOff>60960</xdr:rowOff>
        </xdr:from>
        <xdr:to>
          <xdr:col>24</xdr:col>
          <xdr:colOff>2613660</xdr:colOff>
          <xdr:row>7</xdr:row>
          <xdr:rowOff>289560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PRINT FORM</a:t>
              </a:r>
            </a:p>
          </xdr:txBody>
        </xdr:sp>
        <xdr:clientData fPrintsWithSheet="0"/>
      </xdr:twoCellAnchor>
    </mc:Choice>
    <mc:Fallback/>
  </mc:AlternateContent>
  <xdr:twoCellAnchor editAs="oneCell">
    <xdr:from>
      <xdr:col>2</xdr:col>
      <xdr:colOff>625928</xdr:colOff>
      <xdr:row>26</xdr:row>
      <xdr:rowOff>170520</xdr:rowOff>
    </xdr:from>
    <xdr:to>
      <xdr:col>7</xdr:col>
      <xdr:colOff>136071</xdr:colOff>
      <xdr:row>30</xdr:row>
      <xdr:rowOff>289690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5607" y="8266770"/>
          <a:ext cx="2286000" cy="1479884"/>
        </a:xfrm>
        <a:prstGeom prst="rect">
          <a:avLst/>
        </a:prstGeom>
        <a:ln w="254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24</xdr:col>
          <xdr:colOff>68580</xdr:colOff>
          <xdr:row>2</xdr:row>
          <xdr:rowOff>99060</xdr:rowOff>
        </xdr:from>
        <xdr:to>
          <xdr:col>24</xdr:col>
          <xdr:colOff>2613660</xdr:colOff>
          <xdr:row>6</xdr:row>
          <xdr:rowOff>160020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137160</xdr:colOff>
          <xdr:row>2</xdr:row>
          <xdr:rowOff>76200</xdr:rowOff>
        </xdr:from>
        <xdr:to>
          <xdr:col>11</xdr:col>
          <xdr:colOff>190500</xdr:colOff>
          <xdr:row>3</xdr:row>
          <xdr:rowOff>365760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42182</xdr:colOff>
      <xdr:row>1</xdr:row>
      <xdr:rowOff>57938</xdr:rowOff>
    </xdr:from>
    <xdr:ext cx="557893" cy="361162"/>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8282" y="248438"/>
          <a:ext cx="557893" cy="361162"/>
        </a:xfrm>
        <a:prstGeom prst="rect">
          <a:avLst/>
        </a:prstGeom>
        <a:ln w="9525">
          <a:solidFill>
            <a:schemeClr val="tx1"/>
          </a:solid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1:AX95"/>
  <sheetViews>
    <sheetView showGridLines="0" tabSelected="1" zoomScale="70" zoomScaleNormal="70" workbookViewId="0">
      <selection activeCell="D5" sqref="D5:E5"/>
    </sheetView>
  </sheetViews>
  <sheetFormatPr defaultColWidth="9" defaultRowHeight="13.8" x14ac:dyDescent="0.25"/>
  <cols>
    <col min="1" max="1" width="0.59765625" style="56" customWidth="1"/>
    <col min="2" max="2" width="1.19921875" style="56" customWidth="1"/>
    <col min="3" max="3" width="12.5" style="56" bestFit="1" customWidth="1"/>
    <col min="4" max="5" width="5.09765625" style="56" customWidth="1"/>
    <col min="6" max="6" width="1.09765625" style="56" customWidth="1"/>
    <col min="7" max="7" width="12.5" style="56" bestFit="1" customWidth="1"/>
    <col min="8" max="9" width="5.09765625" style="56" customWidth="1"/>
    <col min="10" max="10" width="1.09765625" style="56" customWidth="1"/>
    <col min="11" max="11" width="20.5" style="56" bestFit="1" customWidth="1"/>
    <col min="12" max="13" width="5.09765625" style="56" customWidth="1"/>
    <col min="14" max="14" width="1.09765625" style="56" customWidth="1"/>
    <col min="15" max="15" width="12.5" style="56" bestFit="1" customWidth="1"/>
    <col min="16" max="17" width="5.09765625" style="56" customWidth="1"/>
    <col min="18" max="18" width="1.09765625" style="56" customWidth="1"/>
    <col min="19" max="19" width="12.5" style="56" bestFit="1" customWidth="1"/>
    <col min="20" max="21" width="5.09765625" style="56" customWidth="1"/>
    <col min="22" max="22" width="1.19921875" style="56" customWidth="1"/>
    <col min="23" max="23" width="0.59765625" style="56" customWidth="1"/>
    <col min="24" max="24" width="1.19921875" style="56" customWidth="1"/>
    <col min="25" max="25" width="38.19921875" style="56" customWidth="1"/>
    <col min="26" max="26" width="61.8984375" style="88" customWidth="1"/>
    <col min="27" max="27" width="10" style="88" hidden="1" customWidth="1"/>
    <col min="28" max="30" width="9" style="88" hidden="1" customWidth="1"/>
    <col min="31" max="31" width="10" style="88" hidden="1" customWidth="1"/>
    <col min="32" max="35" width="9.59765625" style="88" hidden="1" customWidth="1"/>
    <col min="36" max="37" width="5.09765625" style="88" hidden="1" customWidth="1"/>
    <col min="38" max="38" width="1.69921875" style="88" hidden="1" customWidth="1"/>
    <col min="39" max="39" width="10.19921875" style="88" hidden="1" customWidth="1"/>
    <col min="40" max="41" width="5.09765625" style="88" hidden="1" customWidth="1"/>
    <col min="42" max="42" width="1.69921875" style="88" hidden="1" customWidth="1"/>
    <col min="43" max="43" width="11.5" style="88" hidden="1" customWidth="1"/>
    <col min="44" max="48" width="7.69921875" style="88" customWidth="1"/>
    <col min="49" max="50" width="9" style="88"/>
    <col min="51" max="16384" width="9" style="56"/>
  </cols>
  <sheetData>
    <row r="1" spans="1:35" ht="3.75" customHeight="1" x14ac:dyDescent="0.25">
      <c r="A1" s="57"/>
      <c r="B1" s="57"/>
      <c r="C1" s="57"/>
      <c r="D1" s="57"/>
      <c r="E1" s="57"/>
      <c r="F1" s="57"/>
      <c r="G1" s="57"/>
      <c r="H1" s="57"/>
      <c r="I1" s="57"/>
      <c r="J1" s="57"/>
      <c r="K1" s="57"/>
      <c r="L1" s="57"/>
      <c r="M1" s="57"/>
      <c r="N1" s="57"/>
      <c r="O1" s="57"/>
      <c r="P1" s="57"/>
      <c r="Q1" s="57"/>
      <c r="R1" s="57"/>
      <c r="S1" s="57"/>
      <c r="T1" s="57"/>
      <c r="U1" s="57"/>
      <c r="V1" s="57"/>
      <c r="W1" s="57"/>
    </row>
    <row r="2" spans="1:35" ht="7.5" customHeight="1" thickBot="1" x14ac:dyDescent="0.3">
      <c r="A2" s="57"/>
      <c r="W2" s="57"/>
    </row>
    <row r="3" spans="1:35" ht="33.6" thickBot="1" x14ac:dyDescent="0.3">
      <c r="A3" s="57"/>
      <c r="C3" s="177" t="s">
        <v>74</v>
      </c>
      <c r="D3" s="178"/>
      <c r="E3" s="179"/>
      <c r="F3" s="85"/>
      <c r="G3" s="180" t="str">
        <f ca="1">AB30</f>
        <v>YELLOW</v>
      </c>
      <c r="H3" s="181"/>
      <c r="I3" s="182"/>
      <c r="J3" s="87"/>
      <c r="K3" s="180" t="str">
        <f ca="1">AC30</f>
        <v>PINK</v>
      </c>
      <c r="L3" s="181"/>
      <c r="M3" s="182"/>
      <c r="N3" s="86"/>
      <c r="O3" s="180" t="str">
        <f ca="1">AD30</f>
        <v/>
      </c>
      <c r="P3" s="181"/>
      <c r="Q3" s="182"/>
      <c r="R3" s="86"/>
      <c r="S3" s="180" t="str">
        <f ca="1">AE30</f>
        <v>BLUE</v>
      </c>
      <c r="T3" s="181"/>
      <c r="U3" s="186"/>
      <c r="W3" s="57"/>
      <c r="Y3" s="83"/>
      <c r="AA3" s="116" t="s">
        <v>74</v>
      </c>
      <c r="AB3" s="116"/>
      <c r="AC3" s="116"/>
      <c r="AD3" s="116"/>
      <c r="AF3" s="116" t="str">
        <f ca="1">G3</f>
        <v>YELLOW</v>
      </c>
      <c r="AG3" s="116" t="str">
        <f ca="1">K3</f>
        <v>PINK</v>
      </c>
      <c r="AH3" s="116" t="str">
        <f ca="1">O3</f>
        <v/>
      </c>
      <c r="AI3" s="116" t="str">
        <f ca="1">S3</f>
        <v>BLUE</v>
      </c>
    </row>
    <row r="4" spans="1:35" ht="22.5" customHeight="1" thickBot="1" x14ac:dyDescent="0.3">
      <c r="A4" s="57"/>
      <c r="C4" s="156" t="s">
        <v>75</v>
      </c>
      <c r="D4" s="157"/>
      <c r="E4" s="158"/>
      <c r="F4" s="70"/>
      <c r="G4" s="156" t="s">
        <v>76</v>
      </c>
      <c r="H4" s="157"/>
      <c r="I4" s="158"/>
      <c r="J4" s="71"/>
      <c r="K4" s="156" t="s">
        <v>76</v>
      </c>
      <c r="L4" s="157"/>
      <c r="M4" s="158"/>
      <c r="N4" s="71"/>
      <c r="O4" s="156" t="s">
        <v>76</v>
      </c>
      <c r="P4" s="157"/>
      <c r="Q4" s="158"/>
      <c r="R4" s="71"/>
      <c r="S4" s="156" t="s">
        <v>76</v>
      </c>
      <c r="T4" s="157"/>
      <c r="U4" s="187"/>
      <c r="W4" s="57"/>
      <c r="Y4" s="83"/>
      <c r="AA4" s="117" t="s">
        <v>75</v>
      </c>
      <c r="AB4" s="118"/>
      <c r="AC4" s="119"/>
      <c r="AE4" s="117" t="s">
        <v>76</v>
      </c>
      <c r="AF4" s="118"/>
      <c r="AG4" s="118"/>
      <c r="AH4" s="118"/>
      <c r="AI4" s="118"/>
    </row>
    <row r="5" spans="1:35" ht="26.25" customHeight="1" thickBot="1" x14ac:dyDescent="0.3">
      <c r="A5" s="57"/>
      <c r="C5" s="72" t="s">
        <v>80</v>
      </c>
      <c r="D5" s="159"/>
      <c r="E5" s="160"/>
      <c r="F5" s="70"/>
      <c r="G5" s="72" t="s">
        <v>80</v>
      </c>
      <c r="H5" s="159"/>
      <c r="I5" s="160"/>
      <c r="J5" s="71"/>
      <c r="K5" s="72" t="s">
        <v>80</v>
      </c>
      <c r="L5" s="159"/>
      <c r="M5" s="160"/>
      <c r="N5" s="71"/>
      <c r="O5" s="72" t="s">
        <v>80</v>
      </c>
      <c r="P5" s="159"/>
      <c r="Q5" s="160"/>
      <c r="R5" s="71"/>
      <c r="S5" s="72" t="s">
        <v>80</v>
      </c>
      <c r="T5" s="159"/>
      <c r="U5" s="176"/>
      <c r="W5" s="57"/>
      <c r="Y5" s="83"/>
      <c r="AA5" s="120" t="s">
        <v>80</v>
      </c>
      <c r="AB5" s="121">
        <f>D5*AB50</f>
        <v>0</v>
      </c>
      <c r="AC5" s="122"/>
      <c r="AD5" s="123"/>
      <c r="AE5" s="120" t="s">
        <v>80</v>
      </c>
      <c r="AF5" s="121">
        <f>$AC$50*H$5</f>
        <v>0</v>
      </c>
      <c r="AG5" s="124">
        <f>$AC$50*L$5</f>
        <v>0</v>
      </c>
      <c r="AH5" s="124">
        <f>$AC$50*P$5</f>
        <v>0</v>
      </c>
      <c r="AI5" s="124">
        <f>$AC$50*T$5</f>
        <v>0</v>
      </c>
    </row>
    <row r="6" spans="1:35" ht="26.25" customHeight="1" thickBot="1" x14ac:dyDescent="0.3">
      <c r="A6" s="57"/>
      <c r="C6" s="72" t="s">
        <v>77</v>
      </c>
      <c r="D6" s="159"/>
      <c r="E6" s="160"/>
      <c r="F6" s="70"/>
      <c r="G6" s="72" t="s">
        <v>77</v>
      </c>
      <c r="H6" s="159"/>
      <c r="I6" s="160"/>
      <c r="J6" s="71"/>
      <c r="K6" s="72" t="s">
        <v>77</v>
      </c>
      <c r="L6" s="159"/>
      <c r="M6" s="160"/>
      <c r="N6" s="71"/>
      <c r="O6" s="72" t="s">
        <v>77</v>
      </c>
      <c r="P6" s="159"/>
      <c r="Q6" s="160"/>
      <c r="R6" s="71"/>
      <c r="S6" s="72" t="s">
        <v>77</v>
      </c>
      <c r="T6" s="159"/>
      <c r="U6" s="176"/>
      <c r="W6" s="57"/>
      <c r="Y6" s="83"/>
      <c r="AA6" s="120" t="s">
        <v>77</v>
      </c>
      <c r="AB6" s="121">
        <f>D6*AB51</f>
        <v>0</v>
      </c>
      <c r="AC6" s="122"/>
      <c r="AD6" s="123"/>
      <c r="AE6" s="120" t="s">
        <v>77</v>
      </c>
      <c r="AF6" s="121">
        <f>$AC$51*H6</f>
        <v>0</v>
      </c>
      <c r="AG6" s="124">
        <f>$AC$51*L6</f>
        <v>0</v>
      </c>
      <c r="AH6" s="124">
        <f>$AC$51*P6</f>
        <v>0</v>
      </c>
      <c r="AI6" s="124">
        <f>$AC$51*T6</f>
        <v>0</v>
      </c>
    </row>
    <row r="7" spans="1:35" ht="26.25" customHeight="1" thickBot="1" x14ac:dyDescent="0.3">
      <c r="A7" s="57"/>
      <c r="C7" s="72" t="s">
        <v>78</v>
      </c>
      <c r="D7" s="159"/>
      <c r="E7" s="160"/>
      <c r="F7" s="70"/>
      <c r="G7" s="72" t="s">
        <v>78</v>
      </c>
      <c r="H7" s="159"/>
      <c r="I7" s="160"/>
      <c r="J7" s="71"/>
      <c r="K7" s="72" t="s">
        <v>78</v>
      </c>
      <c r="L7" s="159"/>
      <c r="M7" s="160"/>
      <c r="N7" s="71"/>
      <c r="O7" s="72" t="s">
        <v>78</v>
      </c>
      <c r="P7" s="159"/>
      <c r="Q7" s="160"/>
      <c r="R7" s="71"/>
      <c r="S7" s="72" t="s">
        <v>78</v>
      </c>
      <c r="T7" s="159"/>
      <c r="U7" s="176"/>
      <c r="W7" s="57"/>
      <c r="Y7" s="83"/>
      <c r="AA7" s="120" t="s">
        <v>78</v>
      </c>
      <c r="AB7" s="121">
        <f>D7*AB52</f>
        <v>0</v>
      </c>
      <c r="AC7" s="122"/>
      <c r="AD7" s="123"/>
      <c r="AE7" s="120" t="s">
        <v>78</v>
      </c>
      <c r="AF7" s="121">
        <f>$AC$52*H7</f>
        <v>0</v>
      </c>
      <c r="AG7" s="124">
        <f>$AC$52*L7</f>
        <v>0</v>
      </c>
      <c r="AH7" s="124">
        <f>$AC$52*P7</f>
        <v>0</v>
      </c>
      <c r="AI7" s="124">
        <f>$AC$52*T7</f>
        <v>0</v>
      </c>
    </row>
    <row r="8" spans="1:35" ht="26.25" customHeight="1" thickBot="1" x14ac:dyDescent="0.3">
      <c r="A8" s="57"/>
      <c r="C8" s="74" t="s">
        <v>79</v>
      </c>
      <c r="D8" s="170"/>
      <c r="E8" s="171"/>
      <c r="F8" s="73"/>
      <c r="G8" s="74" t="s">
        <v>79</v>
      </c>
      <c r="H8" s="170"/>
      <c r="I8" s="171"/>
      <c r="J8" s="75"/>
      <c r="K8" s="74" t="s">
        <v>79</v>
      </c>
      <c r="L8" s="170"/>
      <c r="M8" s="171"/>
      <c r="N8" s="75"/>
      <c r="O8" s="74" t="s">
        <v>79</v>
      </c>
      <c r="P8" s="170"/>
      <c r="Q8" s="171"/>
      <c r="R8" s="75"/>
      <c r="S8" s="74" t="s">
        <v>79</v>
      </c>
      <c r="T8" s="170"/>
      <c r="U8" s="172"/>
      <c r="W8" s="57"/>
      <c r="Y8" s="83"/>
      <c r="AA8" s="120" t="s">
        <v>79</v>
      </c>
      <c r="AB8" s="121">
        <f>AB53*D8</f>
        <v>0</v>
      </c>
      <c r="AC8" s="122"/>
      <c r="AD8" s="123"/>
      <c r="AE8" s="120" t="s">
        <v>79</v>
      </c>
      <c r="AF8" s="121">
        <f>$AC$53*H8</f>
        <v>0</v>
      </c>
      <c r="AG8" s="125">
        <f>$AC$53*L8</f>
        <v>0</v>
      </c>
      <c r="AH8" s="125">
        <f>$AC$53*P8</f>
        <v>0</v>
      </c>
      <c r="AI8" s="125">
        <f>$AC$53*T8</f>
        <v>0</v>
      </c>
    </row>
    <row r="9" spans="1:35" ht="10.5" customHeight="1" thickTop="1" thickBot="1" x14ac:dyDescent="0.3">
      <c r="A9" s="57"/>
      <c r="C9" s="76"/>
      <c r="D9" s="76"/>
      <c r="E9" s="76"/>
      <c r="F9" s="76"/>
      <c r="G9" s="76"/>
      <c r="H9" s="76"/>
      <c r="I9" s="76"/>
      <c r="J9" s="77"/>
      <c r="K9" s="77"/>
      <c r="L9" s="77"/>
      <c r="M9" s="77"/>
      <c r="N9" s="77"/>
      <c r="O9" s="77"/>
      <c r="P9" s="77"/>
      <c r="Q9" s="77"/>
      <c r="R9" s="77"/>
      <c r="S9" s="77"/>
      <c r="T9" s="77"/>
      <c r="U9" s="77"/>
      <c r="W9" s="57"/>
      <c r="AB9" s="88">
        <f>SUM(AB5:AB8)</f>
        <v>0</v>
      </c>
      <c r="AF9" s="88">
        <f t="shared" ref="AF9:AH9" si="0">SUM(AF5:AF8)</f>
        <v>0</v>
      </c>
      <c r="AG9" s="88">
        <f t="shared" si="0"/>
        <v>0</v>
      </c>
      <c r="AH9" s="88">
        <f t="shared" si="0"/>
        <v>0</v>
      </c>
      <c r="AI9" s="88">
        <f>SUM(AI5:AI8)</f>
        <v>0</v>
      </c>
    </row>
    <row r="10" spans="1:35" ht="33.6" thickBot="1" x14ac:dyDescent="0.3">
      <c r="A10" s="57"/>
      <c r="C10" s="177" t="s">
        <v>81</v>
      </c>
      <c r="D10" s="178"/>
      <c r="E10" s="179"/>
      <c r="F10" s="85"/>
      <c r="G10" s="180" t="str">
        <f ca="1">G3</f>
        <v>YELLOW</v>
      </c>
      <c r="H10" s="181"/>
      <c r="I10" s="182"/>
      <c r="J10" s="86"/>
      <c r="K10" s="180" t="str">
        <f ca="1">K3</f>
        <v>PINK</v>
      </c>
      <c r="L10" s="181"/>
      <c r="M10" s="182"/>
      <c r="N10" s="86"/>
      <c r="O10" s="180" t="str">
        <f ca="1">O3</f>
        <v/>
      </c>
      <c r="P10" s="181"/>
      <c r="Q10" s="182"/>
      <c r="R10" s="86"/>
      <c r="S10" s="180" t="str">
        <f ca="1">S3</f>
        <v>BLUE</v>
      </c>
      <c r="T10" s="181"/>
      <c r="U10" s="186"/>
      <c r="W10" s="57"/>
      <c r="AA10" s="116" t="s">
        <v>81</v>
      </c>
      <c r="AB10" s="116"/>
      <c r="AC10" s="116"/>
      <c r="AD10" s="116"/>
      <c r="AF10" s="116" t="str">
        <f ca="1">G10</f>
        <v>YELLOW</v>
      </c>
      <c r="AG10" s="116" t="str">
        <f ca="1">K10</f>
        <v>PINK</v>
      </c>
      <c r="AH10" s="116" t="str">
        <f ca="1">O10</f>
        <v/>
      </c>
      <c r="AI10" s="116" t="str">
        <f ca="1">S10</f>
        <v>BLUE</v>
      </c>
    </row>
    <row r="11" spans="1:35" ht="22.5" customHeight="1" thickBot="1" x14ac:dyDescent="0.3">
      <c r="A11" s="57"/>
      <c r="C11" s="183" t="s">
        <v>75</v>
      </c>
      <c r="D11" s="184"/>
      <c r="E11" s="185"/>
      <c r="F11" s="70"/>
      <c r="G11" s="183" t="s">
        <v>76</v>
      </c>
      <c r="H11" s="184"/>
      <c r="I11" s="185"/>
      <c r="J11" s="71"/>
      <c r="K11" s="183" t="s">
        <v>76</v>
      </c>
      <c r="L11" s="184"/>
      <c r="M11" s="185"/>
      <c r="N11" s="71"/>
      <c r="O11" s="183" t="s">
        <v>76</v>
      </c>
      <c r="P11" s="184"/>
      <c r="Q11" s="185"/>
      <c r="R11" s="71"/>
      <c r="S11" s="183" t="s">
        <v>76</v>
      </c>
      <c r="T11" s="184"/>
      <c r="U11" s="203"/>
      <c r="W11" s="57"/>
      <c r="Y11" s="189" t="s">
        <v>95</v>
      </c>
      <c r="AA11" s="126" t="s">
        <v>75</v>
      </c>
      <c r="AB11" s="127"/>
      <c r="AC11" s="128"/>
      <c r="AE11" s="126" t="s">
        <v>76</v>
      </c>
      <c r="AF11" s="127"/>
      <c r="AG11" s="127"/>
      <c r="AH11" s="127"/>
      <c r="AI11" s="127"/>
    </row>
    <row r="12" spans="1:35" ht="26.25" customHeight="1" thickBot="1" x14ac:dyDescent="0.3">
      <c r="A12" s="57"/>
      <c r="C12" s="72" t="s">
        <v>80</v>
      </c>
      <c r="D12" s="159"/>
      <c r="E12" s="160"/>
      <c r="F12" s="78"/>
      <c r="G12" s="72" t="s">
        <v>80</v>
      </c>
      <c r="H12" s="159"/>
      <c r="I12" s="160"/>
      <c r="J12" s="71"/>
      <c r="K12" s="72" t="s">
        <v>80</v>
      </c>
      <c r="L12" s="159"/>
      <c r="M12" s="160"/>
      <c r="N12" s="71"/>
      <c r="O12" s="72" t="s">
        <v>80</v>
      </c>
      <c r="P12" s="159"/>
      <c r="Q12" s="160"/>
      <c r="R12" s="71"/>
      <c r="S12" s="72" t="s">
        <v>80</v>
      </c>
      <c r="T12" s="159"/>
      <c r="U12" s="176"/>
      <c r="W12" s="57"/>
      <c r="Y12" s="190"/>
      <c r="AA12" s="120" t="s">
        <v>80</v>
      </c>
      <c r="AB12" s="121">
        <f t="shared" ref="AB12:AB19" si="1">AB58*D12</f>
        <v>0</v>
      </c>
      <c r="AC12" s="122"/>
      <c r="AD12" s="123"/>
      <c r="AE12" s="120" t="s">
        <v>80</v>
      </c>
      <c r="AF12" s="121">
        <f>$AF$58*H12</f>
        <v>0</v>
      </c>
      <c r="AG12" s="124">
        <f>$AF$58*L12</f>
        <v>0</v>
      </c>
      <c r="AH12" s="124">
        <f>$AF$58*P12</f>
        <v>0</v>
      </c>
      <c r="AI12" s="124">
        <f>$AF$58*T12</f>
        <v>0</v>
      </c>
    </row>
    <row r="13" spans="1:35" ht="26.25" customHeight="1" thickBot="1" x14ac:dyDescent="0.3">
      <c r="A13" s="57"/>
      <c r="C13" s="72" t="s">
        <v>82</v>
      </c>
      <c r="D13" s="159"/>
      <c r="E13" s="160"/>
      <c r="F13" s="79"/>
      <c r="G13" s="72" t="s">
        <v>82</v>
      </c>
      <c r="H13" s="159"/>
      <c r="I13" s="160"/>
      <c r="J13" s="71"/>
      <c r="K13" s="72" t="s">
        <v>82</v>
      </c>
      <c r="L13" s="159"/>
      <c r="M13" s="160"/>
      <c r="N13" s="71"/>
      <c r="O13" s="72" t="s">
        <v>82</v>
      </c>
      <c r="P13" s="159"/>
      <c r="Q13" s="160"/>
      <c r="R13" s="71"/>
      <c r="S13" s="72" t="s">
        <v>82</v>
      </c>
      <c r="T13" s="159"/>
      <c r="U13" s="176"/>
      <c r="W13" s="57"/>
      <c r="AA13" s="120" t="s">
        <v>82</v>
      </c>
      <c r="AB13" s="121">
        <f t="shared" si="1"/>
        <v>0</v>
      </c>
      <c r="AC13" s="122"/>
      <c r="AD13" s="123"/>
      <c r="AE13" s="120" t="s">
        <v>82</v>
      </c>
      <c r="AF13" s="121">
        <f>$AF$59*H13</f>
        <v>0</v>
      </c>
      <c r="AG13" s="124">
        <f>$AF$59*L13</f>
        <v>0</v>
      </c>
      <c r="AH13" s="124">
        <f>$AF$59*P13</f>
        <v>0</v>
      </c>
      <c r="AI13" s="124">
        <f>$AF$59*T13</f>
        <v>0</v>
      </c>
    </row>
    <row r="14" spans="1:35" ht="26.25" customHeight="1" thickBot="1" x14ac:dyDescent="0.3">
      <c r="A14" s="57"/>
      <c r="C14" s="72" t="s">
        <v>77</v>
      </c>
      <c r="D14" s="159"/>
      <c r="E14" s="160"/>
      <c r="F14" s="79"/>
      <c r="G14" s="72" t="s">
        <v>77</v>
      </c>
      <c r="H14" s="159"/>
      <c r="I14" s="160"/>
      <c r="J14" s="71"/>
      <c r="K14" s="72" t="s">
        <v>77</v>
      </c>
      <c r="L14" s="159"/>
      <c r="M14" s="160"/>
      <c r="N14" s="71"/>
      <c r="O14" s="72" t="s">
        <v>77</v>
      </c>
      <c r="P14" s="159"/>
      <c r="Q14" s="160"/>
      <c r="R14" s="71"/>
      <c r="S14" s="72" t="s">
        <v>77</v>
      </c>
      <c r="T14" s="159"/>
      <c r="U14" s="176"/>
      <c r="W14" s="57"/>
      <c r="AA14" s="120" t="s">
        <v>77</v>
      </c>
      <c r="AB14" s="121">
        <f t="shared" si="1"/>
        <v>0</v>
      </c>
      <c r="AC14" s="122"/>
      <c r="AD14" s="123"/>
      <c r="AE14" s="120" t="s">
        <v>77</v>
      </c>
      <c r="AF14" s="121">
        <f>$AF$60*H14</f>
        <v>0</v>
      </c>
      <c r="AG14" s="124">
        <f>$AF$60*L14</f>
        <v>0</v>
      </c>
      <c r="AH14" s="124">
        <f>$AF$60*P14</f>
        <v>0</v>
      </c>
      <c r="AI14" s="124">
        <f>$AF$60*T14</f>
        <v>0</v>
      </c>
    </row>
    <row r="15" spans="1:35" ht="26.25" customHeight="1" thickBot="1" x14ac:dyDescent="0.3">
      <c r="A15" s="57"/>
      <c r="C15" s="72" t="s">
        <v>78</v>
      </c>
      <c r="D15" s="159"/>
      <c r="E15" s="160"/>
      <c r="F15" s="79"/>
      <c r="G15" s="72" t="s">
        <v>78</v>
      </c>
      <c r="H15" s="159"/>
      <c r="I15" s="160"/>
      <c r="J15" s="71"/>
      <c r="K15" s="72" t="s">
        <v>78</v>
      </c>
      <c r="L15" s="159"/>
      <c r="M15" s="160"/>
      <c r="N15" s="71"/>
      <c r="O15" s="72" t="s">
        <v>78</v>
      </c>
      <c r="P15" s="159"/>
      <c r="Q15" s="160"/>
      <c r="R15" s="71"/>
      <c r="S15" s="72" t="s">
        <v>78</v>
      </c>
      <c r="T15" s="159"/>
      <c r="U15" s="176"/>
      <c r="W15" s="57"/>
      <c r="AA15" s="120" t="s">
        <v>78</v>
      </c>
      <c r="AB15" s="121">
        <f t="shared" si="1"/>
        <v>0</v>
      </c>
      <c r="AC15" s="122"/>
      <c r="AD15" s="123"/>
      <c r="AE15" s="120" t="s">
        <v>78</v>
      </c>
      <c r="AF15" s="121">
        <f>$AF$61*H15</f>
        <v>0</v>
      </c>
      <c r="AG15" s="124">
        <f>$AF$61*L15</f>
        <v>0</v>
      </c>
      <c r="AH15" s="124">
        <f>$AF$61*P15</f>
        <v>0</v>
      </c>
      <c r="AI15" s="124">
        <f>$AF$61*T15</f>
        <v>0</v>
      </c>
    </row>
    <row r="16" spans="1:35" ht="26.25" customHeight="1" thickTop="1" thickBot="1" x14ac:dyDescent="0.3">
      <c r="A16" s="57"/>
      <c r="C16" s="72" t="s">
        <v>79</v>
      </c>
      <c r="D16" s="159"/>
      <c r="E16" s="160"/>
      <c r="F16" s="79"/>
      <c r="G16" s="72" t="s">
        <v>79</v>
      </c>
      <c r="H16" s="159"/>
      <c r="I16" s="160"/>
      <c r="J16" s="71"/>
      <c r="K16" s="72" t="s">
        <v>79</v>
      </c>
      <c r="L16" s="159"/>
      <c r="M16" s="160"/>
      <c r="N16" s="71"/>
      <c r="O16" s="72" t="s">
        <v>79</v>
      </c>
      <c r="P16" s="159"/>
      <c r="Q16" s="160"/>
      <c r="R16" s="71"/>
      <c r="S16" s="72" t="s">
        <v>79</v>
      </c>
      <c r="T16" s="159"/>
      <c r="U16" s="176"/>
      <c r="W16" s="57"/>
      <c r="Y16" s="151" t="s">
        <v>170</v>
      </c>
      <c r="Z16" s="134"/>
      <c r="AA16" s="120" t="s">
        <v>79</v>
      </c>
      <c r="AB16" s="121">
        <f t="shared" si="1"/>
        <v>0</v>
      </c>
      <c r="AC16" s="122"/>
      <c r="AE16" s="120" t="s">
        <v>79</v>
      </c>
      <c r="AF16" s="121">
        <f>$AF$62*H16</f>
        <v>0</v>
      </c>
      <c r="AG16" s="124">
        <f>$AF$62*L16</f>
        <v>0</v>
      </c>
      <c r="AH16" s="124">
        <f>$AF$62*P16</f>
        <v>0</v>
      </c>
      <c r="AI16" s="124">
        <f>$AF$62*T16</f>
        <v>0</v>
      </c>
    </row>
    <row r="17" spans="1:35" ht="26.25" customHeight="1" thickBot="1" x14ac:dyDescent="0.3">
      <c r="A17" s="57"/>
      <c r="C17" s="72" t="s">
        <v>83</v>
      </c>
      <c r="D17" s="159"/>
      <c r="E17" s="160"/>
      <c r="F17" s="79"/>
      <c r="G17" s="72" t="s">
        <v>83</v>
      </c>
      <c r="H17" s="159"/>
      <c r="I17" s="160"/>
      <c r="J17" s="71"/>
      <c r="K17" s="72" t="s">
        <v>83</v>
      </c>
      <c r="L17" s="159"/>
      <c r="M17" s="160"/>
      <c r="N17" s="71"/>
      <c r="O17" s="72" t="s">
        <v>83</v>
      </c>
      <c r="P17" s="159"/>
      <c r="Q17" s="160"/>
      <c r="R17" s="71"/>
      <c r="S17" s="72" t="s">
        <v>83</v>
      </c>
      <c r="T17" s="159"/>
      <c r="U17" s="176"/>
      <c r="W17" s="57"/>
      <c r="X17" s="88"/>
      <c r="Y17" s="152"/>
      <c r="Z17" s="134"/>
      <c r="AA17" s="120" t="s">
        <v>83</v>
      </c>
      <c r="AB17" s="121">
        <f t="shared" si="1"/>
        <v>0</v>
      </c>
      <c r="AC17" s="122"/>
      <c r="AE17" s="120" t="s">
        <v>83</v>
      </c>
      <c r="AF17" s="121">
        <f>$AF$63*H17</f>
        <v>0</v>
      </c>
      <c r="AG17" s="124">
        <f>$AF$63*L17</f>
        <v>0</v>
      </c>
      <c r="AH17" s="124">
        <f>$AF$63*P17</f>
        <v>0</v>
      </c>
      <c r="AI17" s="124">
        <f>$AF$63*T17</f>
        <v>0</v>
      </c>
    </row>
    <row r="18" spans="1:35" ht="26.25" customHeight="1" thickBot="1" x14ac:dyDescent="0.3">
      <c r="A18" s="57"/>
      <c r="C18" s="72" t="s">
        <v>84</v>
      </c>
      <c r="D18" s="159"/>
      <c r="E18" s="160"/>
      <c r="F18" s="79"/>
      <c r="G18" s="72" t="s">
        <v>84</v>
      </c>
      <c r="H18" s="159"/>
      <c r="I18" s="160"/>
      <c r="J18" s="71"/>
      <c r="K18" s="72" t="s">
        <v>84</v>
      </c>
      <c r="L18" s="159"/>
      <c r="M18" s="160"/>
      <c r="N18" s="71"/>
      <c r="O18" s="72" t="s">
        <v>84</v>
      </c>
      <c r="P18" s="159"/>
      <c r="Q18" s="160"/>
      <c r="R18" s="71"/>
      <c r="S18" s="72" t="s">
        <v>84</v>
      </c>
      <c r="T18" s="159"/>
      <c r="U18" s="176"/>
      <c r="W18" s="57"/>
      <c r="X18" s="88"/>
      <c r="Y18" s="152"/>
      <c r="Z18" s="134"/>
      <c r="AA18" s="120" t="s">
        <v>84</v>
      </c>
      <c r="AB18" s="121">
        <f t="shared" si="1"/>
        <v>0</v>
      </c>
      <c r="AC18" s="122"/>
      <c r="AE18" s="120" t="s">
        <v>84</v>
      </c>
      <c r="AF18" s="121">
        <f>$AF$64*H18</f>
        <v>0</v>
      </c>
      <c r="AG18" s="124">
        <f>$AF$64*L18</f>
        <v>0</v>
      </c>
      <c r="AH18" s="124">
        <f>$AF$64*P18</f>
        <v>0</v>
      </c>
      <c r="AI18" s="124">
        <f>$AF$64*T18</f>
        <v>0</v>
      </c>
    </row>
    <row r="19" spans="1:35" ht="26.25" customHeight="1" thickBot="1" x14ac:dyDescent="0.3">
      <c r="A19" s="57"/>
      <c r="C19" s="72" t="s">
        <v>85</v>
      </c>
      <c r="D19" s="159"/>
      <c r="E19" s="160"/>
      <c r="F19" s="79"/>
      <c r="G19" s="72" t="s">
        <v>85</v>
      </c>
      <c r="H19" s="159"/>
      <c r="I19" s="160"/>
      <c r="J19" s="71"/>
      <c r="K19" s="72" t="s">
        <v>85</v>
      </c>
      <c r="L19" s="159"/>
      <c r="M19" s="160"/>
      <c r="N19" s="71"/>
      <c r="O19" s="72" t="s">
        <v>85</v>
      </c>
      <c r="P19" s="159"/>
      <c r="Q19" s="160"/>
      <c r="R19" s="71"/>
      <c r="S19" s="72" t="s">
        <v>85</v>
      </c>
      <c r="T19" s="159"/>
      <c r="U19" s="176"/>
      <c r="W19" s="57"/>
      <c r="X19" s="88"/>
      <c r="Y19" s="152"/>
      <c r="Z19" s="134"/>
      <c r="AA19" s="120" t="s">
        <v>85</v>
      </c>
      <c r="AB19" s="121">
        <f t="shared" si="1"/>
        <v>0</v>
      </c>
      <c r="AC19" s="122"/>
      <c r="AE19" s="120" t="s">
        <v>85</v>
      </c>
      <c r="AF19" s="121">
        <f>$AF$65*H19</f>
        <v>0</v>
      </c>
      <c r="AG19" s="124">
        <f>$AF$65*L19</f>
        <v>0</v>
      </c>
      <c r="AH19" s="124">
        <f>$AF$65*P19</f>
        <v>0</v>
      </c>
      <c r="AI19" s="124">
        <f>$AF$65*T19</f>
        <v>0</v>
      </c>
    </row>
    <row r="20" spans="1:35" ht="26.25" customHeight="1" thickBot="1" x14ac:dyDescent="0.3">
      <c r="A20" s="57"/>
      <c r="C20" s="74" t="s">
        <v>86</v>
      </c>
      <c r="D20" s="170"/>
      <c r="E20" s="171"/>
      <c r="F20" s="73"/>
      <c r="G20" s="74" t="s">
        <v>86</v>
      </c>
      <c r="H20" s="170"/>
      <c r="I20" s="171"/>
      <c r="J20" s="75"/>
      <c r="K20" s="74" t="s">
        <v>86</v>
      </c>
      <c r="L20" s="170"/>
      <c r="M20" s="171"/>
      <c r="N20" s="75"/>
      <c r="O20" s="74" t="s">
        <v>86</v>
      </c>
      <c r="P20" s="170"/>
      <c r="Q20" s="171"/>
      <c r="R20" s="75"/>
      <c r="S20" s="74" t="s">
        <v>86</v>
      </c>
      <c r="T20" s="170"/>
      <c r="U20" s="172"/>
      <c r="W20" s="57"/>
      <c r="X20" s="88"/>
      <c r="Y20" s="152"/>
      <c r="Z20" s="134"/>
      <c r="AA20" s="120" t="s">
        <v>86</v>
      </c>
      <c r="AB20" s="121">
        <f>AB57*D20</f>
        <v>0</v>
      </c>
      <c r="AC20" s="122"/>
      <c r="AE20" s="120" t="s">
        <v>86</v>
      </c>
      <c r="AF20" s="121">
        <f>$AF$57*H20</f>
        <v>0</v>
      </c>
      <c r="AG20" s="125">
        <f>$AF$57*L20</f>
        <v>0</v>
      </c>
      <c r="AH20" s="125">
        <f>$AF$57*P20</f>
        <v>0</v>
      </c>
      <c r="AI20" s="125">
        <f>$AF$57*T20</f>
        <v>0</v>
      </c>
    </row>
    <row r="21" spans="1:35" ht="10.5" customHeight="1" thickTop="1" thickBot="1" x14ac:dyDescent="0.3">
      <c r="A21" s="57"/>
      <c r="C21" s="80"/>
      <c r="D21" s="76"/>
      <c r="E21" s="76"/>
      <c r="F21" s="76"/>
      <c r="G21" s="76"/>
      <c r="H21" s="76"/>
      <c r="I21" s="76"/>
      <c r="J21" s="77"/>
      <c r="K21" s="77"/>
      <c r="L21" s="77"/>
      <c r="M21" s="77"/>
      <c r="N21" s="77"/>
      <c r="O21" s="77"/>
      <c r="P21" s="77"/>
      <c r="Q21" s="77"/>
      <c r="R21" s="77"/>
      <c r="S21" s="77"/>
      <c r="T21" s="77"/>
      <c r="U21" s="77"/>
      <c r="W21" s="57"/>
      <c r="X21" s="88"/>
      <c r="Y21" s="153"/>
      <c r="Z21" s="134"/>
      <c r="AB21" s="129">
        <f>SUM(AB12:AB20)</f>
        <v>0</v>
      </c>
    </row>
    <row r="22" spans="1:35" ht="34.200000000000003" thickTop="1" thickBot="1" x14ac:dyDescent="0.45">
      <c r="A22" s="57"/>
      <c r="C22" s="173" t="s">
        <v>87</v>
      </c>
      <c r="D22" s="174"/>
      <c r="E22" s="174"/>
      <c r="F22" s="174"/>
      <c r="G22" s="174"/>
      <c r="H22" s="174"/>
      <c r="I22" s="175"/>
      <c r="J22" s="77"/>
      <c r="K22" s="92"/>
      <c r="L22" s="191" t="s">
        <v>155</v>
      </c>
      <c r="M22" s="192"/>
      <c r="N22" s="192"/>
      <c r="O22" s="192"/>
      <c r="P22" s="192"/>
      <c r="Q22" s="192"/>
      <c r="R22" s="192"/>
      <c r="S22" s="192"/>
      <c r="T22" s="192"/>
      <c r="U22" s="193"/>
      <c r="V22" s="93"/>
      <c r="W22" s="94"/>
      <c r="X22" s="95"/>
      <c r="Y22" s="150">
        <f>IF(K22="",1,IF(K22="NO","Enter a comment on why trips were not on time.",""))</f>
        <v>1</v>
      </c>
      <c r="Z22" s="150"/>
      <c r="AA22" s="116" t="s">
        <v>87</v>
      </c>
      <c r="AB22" s="116"/>
      <c r="AC22" s="116"/>
      <c r="AD22" s="116"/>
      <c r="AE22" s="116"/>
      <c r="AF22" s="116">
        <f t="shared" ref="AF22:AH22" si="2">SUM(AF12:AF20)</f>
        <v>0</v>
      </c>
      <c r="AG22" s="116">
        <f t="shared" si="2"/>
        <v>0</v>
      </c>
      <c r="AH22" s="88">
        <f t="shared" si="2"/>
        <v>0</v>
      </c>
      <c r="AI22" s="88">
        <f>SUM(AI12:AI20)</f>
        <v>0</v>
      </c>
    </row>
    <row r="23" spans="1:35" ht="26.25" customHeight="1" thickBot="1" x14ac:dyDescent="0.45">
      <c r="A23" s="57"/>
      <c r="C23" s="72" t="s">
        <v>82</v>
      </c>
      <c r="D23" s="159"/>
      <c r="E23" s="160"/>
      <c r="F23" s="70"/>
      <c r="G23" s="72" t="s">
        <v>80</v>
      </c>
      <c r="H23" s="159"/>
      <c r="I23" s="176"/>
      <c r="J23" s="77"/>
      <c r="K23" s="96"/>
      <c r="L23" s="167" t="s">
        <v>156</v>
      </c>
      <c r="M23" s="168"/>
      <c r="N23" s="168"/>
      <c r="O23" s="168"/>
      <c r="P23" s="168"/>
      <c r="Q23" s="168"/>
      <c r="R23" s="168"/>
      <c r="S23" s="168"/>
      <c r="T23" s="168"/>
      <c r="U23" s="169"/>
      <c r="V23" s="91"/>
      <c r="W23" s="90"/>
      <c r="X23" s="89"/>
      <c r="Y23" s="149">
        <f>IF(K23="",1,IF(K23="NO","Enter a comment on why TACS is not clear.",""))</f>
        <v>1</v>
      </c>
      <c r="Z23" s="149"/>
      <c r="AA23" s="130" t="s">
        <v>82</v>
      </c>
      <c r="AB23" s="121">
        <f>AC59*D23</f>
        <v>0</v>
      </c>
      <c r="AC23" s="122"/>
      <c r="AE23" s="120" t="s">
        <v>80</v>
      </c>
      <c r="AF23" s="121">
        <f>AC58*H23</f>
        <v>0</v>
      </c>
      <c r="AG23" s="122"/>
    </row>
    <row r="24" spans="1:35" ht="26.25" customHeight="1" thickBot="1" x14ac:dyDescent="0.45">
      <c r="A24" s="57"/>
      <c r="C24" s="72" t="s">
        <v>77</v>
      </c>
      <c r="D24" s="159"/>
      <c r="E24" s="160"/>
      <c r="F24" s="70"/>
      <c r="G24" s="72" t="s">
        <v>83</v>
      </c>
      <c r="H24" s="159"/>
      <c r="I24" s="176"/>
      <c r="J24" s="77"/>
      <c r="K24" s="96"/>
      <c r="L24" s="167" t="s">
        <v>157</v>
      </c>
      <c r="M24" s="168"/>
      <c r="N24" s="168"/>
      <c r="O24" s="168"/>
      <c r="P24" s="168"/>
      <c r="Q24" s="168"/>
      <c r="R24" s="168"/>
      <c r="S24" s="168"/>
      <c r="T24" s="168"/>
      <c r="U24" s="169"/>
      <c r="V24" s="91"/>
      <c r="W24" s="90"/>
      <c r="X24" s="89"/>
      <c r="Y24" s="149">
        <f>IF(K24="",1,IF(K24="NO","Enter a comment on why dock is not clear.",""))</f>
        <v>1</v>
      </c>
      <c r="Z24" s="149"/>
      <c r="AA24" s="130" t="s">
        <v>77</v>
      </c>
      <c r="AB24" s="121">
        <f>AC60*D24</f>
        <v>0</v>
      </c>
      <c r="AC24" s="122"/>
      <c r="AE24" s="120" t="s">
        <v>83</v>
      </c>
      <c r="AF24" s="121">
        <f>AC63*H24</f>
        <v>0</v>
      </c>
      <c r="AG24" s="122"/>
    </row>
    <row r="25" spans="1:35" ht="26.25" customHeight="1" thickBot="1" x14ac:dyDescent="0.45">
      <c r="A25" s="57"/>
      <c r="C25" s="72" t="s">
        <v>78</v>
      </c>
      <c r="D25" s="159"/>
      <c r="E25" s="160"/>
      <c r="F25" s="70"/>
      <c r="G25" s="72" t="s">
        <v>85</v>
      </c>
      <c r="H25" s="159"/>
      <c r="I25" s="176"/>
      <c r="J25" s="77"/>
      <c r="K25" s="96"/>
      <c r="L25" s="167" t="s">
        <v>279</v>
      </c>
      <c r="M25" s="168"/>
      <c r="N25" s="168"/>
      <c r="O25" s="168"/>
      <c r="P25" s="168"/>
      <c r="Q25" s="168"/>
      <c r="R25" s="168"/>
      <c r="S25" s="168"/>
      <c r="T25" s="168"/>
      <c r="U25" s="169"/>
      <c r="V25" s="91"/>
      <c r="W25" s="90"/>
      <c r="X25" s="89"/>
      <c r="Y25" s="148">
        <f>IF(K25="",1,IF(K25="NO","Enter a comment on why yard check, MCV, Political certification was not done.",""))</f>
        <v>1</v>
      </c>
      <c r="Z25" s="148"/>
      <c r="AA25" s="130" t="s">
        <v>78</v>
      </c>
      <c r="AB25" s="121">
        <f>AC61*D25</f>
        <v>0</v>
      </c>
      <c r="AC25" s="122"/>
      <c r="AE25" s="120" t="s">
        <v>85</v>
      </c>
      <c r="AF25" s="121">
        <f>AC65*H25</f>
        <v>0</v>
      </c>
      <c r="AG25" s="122"/>
    </row>
    <row r="26" spans="1:35" ht="26.25" customHeight="1" thickBot="1" x14ac:dyDescent="0.45">
      <c r="A26" s="57"/>
      <c r="C26" s="74" t="s">
        <v>79</v>
      </c>
      <c r="D26" s="170"/>
      <c r="E26" s="171"/>
      <c r="F26" s="81"/>
      <c r="G26" s="74" t="s">
        <v>86</v>
      </c>
      <c r="H26" s="170"/>
      <c r="I26" s="172"/>
      <c r="J26" s="77"/>
      <c r="K26" s="96"/>
      <c r="L26" s="167" t="s">
        <v>280</v>
      </c>
      <c r="M26" s="168"/>
      <c r="N26" s="168"/>
      <c r="O26" s="168"/>
      <c r="P26" s="168"/>
      <c r="Q26" s="168"/>
      <c r="R26" s="168"/>
      <c r="S26" s="168"/>
      <c r="T26" s="168"/>
      <c r="U26" s="169"/>
      <c r="V26" s="91"/>
      <c r="W26" s="90"/>
      <c r="X26" s="89"/>
      <c r="Y26" s="147">
        <f>IF(K26="",1,IF(K26="NO","Enter a comment on why DPS was not completed before 05:00.",""))</f>
        <v>1</v>
      </c>
      <c r="Z26" s="147"/>
      <c r="AA26" s="130" t="s">
        <v>79</v>
      </c>
      <c r="AB26" s="121">
        <f>AC62*D26</f>
        <v>0</v>
      </c>
      <c r="AC26" s="122"/>
      <c r="AE26" s="120" t="s">
        <v>86</v>
      </c>
      <c r="AF26" s="121">
        <f>AC57*H26</f>
        <v>0</v>
      </c>
      <c r="AG26" s="122"/>
    </row>
    <row r="27" spans="1:35" ht="26.25" customHeight="1" thickTop="1" thickBot="1" x14ac:dyDescent="0.45">
      <c r="A27" s="57"/>
      <c r="C27" s="77"/>
      <c r="D27" s="154"/>
      <c r="E27" s="154"/>
      <c r="F27" s="154"/>
      <c r="G27" s="154"/>
      <c r="H27" s="77"/>
      <c r="I27" s="77"/>
      <c r="J27" s="77"/>
      <c r="K27" s="135"/>
      <c r="L27" s="200" t="s">
        <v>297</v>
      </c>
      <c r="M27" s="201"/>
      <c r="N27" s="201"/>
      <c r="O27" s="201"/>
      <c r="P27" s="201"/>
      <c r="Q27" s="201"/>
      <c r="R27" s="201"/>
      <c r="S27" s="201"/>
      <c r="T27" s="201"/>
      <c r="U27" s="202"/>
      <c r="V27" s="97"/>
      <c r="W27" s="90"/>
      <c r="X27" s="89"/>
      <c r="Y27" s="146">
        <f>IF(K27="",1,IF(K27&gt;0,"Enter names of employee's that need an 8 HR day.",""))</f>
        <v>1</v>
      </c>
      <c r="Z27" s="146"/>
      <c r="AB27" s="131">
        <f>SUM(AB23:AB26,AF23:AF26)</f>
        <v>0</v>
      </c>
    </row>
    <row r="28" spans="1:35" ht="26.25" customHeight="1" thickTop="1" thickBot="1" x14ac:dyDescent="0.45">
      <c r="A28" s="57"/>
      <c r="C28" s="77"/>
      <c r="D28" s="155"/>
      <c r="E28" s="155"/>
      <c r="F28" s="155"/>
      <c r="G28" s="155"/>
      <c r="H28" s="77"/>
      <c r="I28" s="77"/>
      <c r="J28" s="77"/>
      <c r="K28" s="101"/>
      <c r="L28" s="197" t="s">
        <v>158</v>
      </c>
      <c r="M28" s="198"/>
      <c r="N28" s="198"/>
      <c r="O28" s="198"/>
      <c r="P28" s="198"/>
      <c r="Q28" s="198"/>
      <c r="R28" s="198"/>
      <c r="S28" s="198"/>
      <c r="T28" s="198"/>
      <c r="U28" s="199"/>
      <c r="W28" s="57"/>
      <c r="X28" s="88"/>
      <c r="Y28" s="98">
        <f>IF(K28="",1,0)</f>
        <v>1</v>
      </c>
      <c r="Z28" s="100">
        <f>Y29+Z29</f>
        <v>6</v>
      </c>
      <c r="AA28" s="132">
        <f ca="1">TODAY()</f>
        <v>44308</v>
      </c>
      <c r="AB28" s="132">
        <f ca="1">TODAY()+1</f>
        <v>44309</v>
      </c>
      <c r="AC28" s="132">
        <f ca="1">TODAY()+2</f>
        <v>44310</v>
      </c>
      <c r="AD28" s="132">
        <f ca="1">TODAY()+3</f>
        <v>44311</v>
      </c>
      <c r="AE28" s="132">
        <f ca="1">TODAY()+4</f>
        <v>44312</v>
      </c>
      <c r="AF28" s="132">
        <f ca="1">TODAY()+5</f>
        <v>44313</v>
      </c>
      <c r="AG28" s="132">
        <f ca="1">TODAY()+6</f>
        <v>44314</v>
      </c>
      <c r="AH28" s="132"/>
    </row>
    <row r="29" spans="1:35" ht="26.25" customHeight="1" thickBot="1" x14ac:dyDescent="0.45">
      <c r="A29" s="57"/>
      <c r="C29" s="77"/>
      <c r="D29" s="155"/>
      <c r="E29" s="155"/>
      <c r="F29" s="155"/>
      <c r="G29" s="155"/>
      <c r="H29" s="77"/>
      <c r="I29" s="77"/>
      <c r="J29" s="77"/>
      <c r="K29" s="194" t="s">
        <v>94</v>
      </c>
      <c r="L29" s="195"/>
      <c r="M29" s="195"/>
      <c r="N29" s="195"/>
      <c r="O29" s="195"/>
      <c r="P29" s="195"/>
      <c r="Q29" s="195"/>
      <c r="R29" s="195"/>
      <c r="S29" s="195"/>
      <c r="T29" s="195"/>
      <c r="U29" s="196"/>
      <c r="W29" s="57"/>
      <c r="X29" s="88"/>
      <c r="Y29" s="98">
        <f>COUNTIFS(Y22:Y27,"&gt;a")</f>
        <v>0</v>
      </c>
      <c r="Z29" s="98">
        <f>COUNTIF(Y22:Y27,"=1")</f>
        <v>6</v>
      </c>
      <c r="AA29" s="88" t="str">
        <f t="shared" ref="AA29:AG29" ca="1" si="3">TEXT(AA28,"dddd")</f>
        <v>Thursday</v>
      </c>
      <c r="AB29" s="88" t="str">
        <f t="shared" ca="1" si="3"/>
        <v>Friday</v>
      </c>
      <c r="AC29" s="88" t="str">
        <f t="shared" ca="1" si="3"/>
        <v>Saturday</v>
      </c>
      <c r="AD29" s="88" t="str">
        <f t="shared" ca="1" si="3"/>
        <v>Sunday</v>
      </c>
      <c r="AE29" s="88" t="str">
        <f t="shared" ca="1" si="3"/>
        <v>Monday</v>
      </c>
      <c r="AF29" s="88" t="str">
        <f t="shared" ca="1" si="3"/>
        <v>Tuesday</v>
      </c>
      <c r="AG29" s="88" t="str">
        <f t="shared" ca="1" si="3"/>
        <v>Wednesday</v>
      </c>
    </row>
    <row r="30" spans="1:35" ht="26.25" customHeight="1" x14ac:dyDescent="0.4">
      <c r="A30" s="57"/>
      <c r="C30" s="77"/>
      <c r="D30" s="155"/>
      <c r="E30" s="155"/>
      <c r="F30" s="155"/>
      <c r="G30" s="155"/>
      <c r="H30" s="77"/>
      <c r="I30" s="77"/>
      <c r="J30" s="77"/>
      <c r="K30" s="161"/>
      <c r="L30" s="162"/>
      <c r="M30" s="162"/>
      <c r="N30" s="162"/>
      <c r="O30" s="162"/>
      <c r="P30" s="162"/>
      <c r="Q30" s="162"/>
      <c r="R30" s="162"/>
      <c r="S30" s="162"/>
      <c r="T30" s="162"/>
      <c r="U30" s="163"/>
      <c r="W30" s="57"/>
      <c r="X30" s="88"/>
      <c r="Y30" s="98">
        <f>IF(Y29+Y28+Z29=0,0,IF(LEN(K30)&gt;10,0,1))</f>
        <v>1</v>
      </c>
      <c r="Z30" s="98">
        <f>IF(Z29+Y29+Y28&gt;0,1,0)</f>
        <v>1</v>
      </c>
      <c r="AA30" s="88" t="str">
        <f t="shared" ref="AA30:AG30" ca="1" si="4">IF(AA29="Monday","BLUE",IF(AA29="TUESDAY","ORANGE",IF(AA29="WEDNESDAY","GREEN",IF(AA29="THURSDAY","VIOLET",IF(AA29="FRIDAY","YELLOW",IF(AA29="SATURDAY","PINK",""))))))</f>
        <v>VIOLET</v>
      </c>
      <c r="AB30" s="88" t="str">
        <f t="shared" ca="1" si="4"/>
        <v>YELLOW</v>
      </c>
      <c r="AC30" s="88" t="str">
        <f t="shared" ca="1" si="4"/>
        <v>PINK</v>
      </c>
      <c r="AD30" s="88" t="str">
        <f t="shared" ca="1" si="4"/>
        <v/>
      </c>
      <c r="AE30" s="88" t="str">
        <f t="shared" ca="1" si="4"/>
        <v>BLUE</v>
      </c>
      <c r="AF30" s="88" t="str">
        <f t="shared" ca="1" si="4"/>
        <v>ORANGE</v>
      </c>
      <c r="AG30" s="88" t="str">
        <f t="shared" ca="1" si="4"/>
        <v>GREEN</v>
      </c>
    </row>
    <row r="31" spans="1:35" ht="26.25" customHeight="1" thickBot="1" x14ac:dyDescent="0.45">
      <c r="A31" s="57"/>
      <c r="C31" s="77"/>
      <c r="D31" s="155"/>
      <c r="E31" s="155"/>
      <c r="F31" s="155"/>
      <c r="G31" s="155"/>
      <c r="H31" s="77"/>
      <c r="I31" s="77"/>
      <c r="J31" s="77"/>
      <c r="K31" s="164"/>
      <c r="L31" s="165"/>
      <c r="M31" s="165"/>
      <c r="N31" s="165"/>
      <c r="O31" s="165"/>
      <c r="P31" s="165"/>
      <c r="Q31" s="165"/>
      <c r="R31" s="165"/>
      <c r="S31" s="165"/>
      <c r="T31" s="165"/>
      <c r="U31" s="166"/>
      <c r="W31" s="57"/>
      <c r="X31" s="88"/>
      <c r="Y31" s="98">
        <f>IF(Z30=0,0,IF(Y30=0,0,1))</f>
        <v>1</v>
      </c>
      <c r="Z31" s="99"/>
    </row>
    <row r="32" spans="1:35" ht="7.5" customHeight="1" thickTop="1" x14ac:dyDescent="0.25">
      <c r="A32" s="57"/>
      <c r="B32" s="188" t="s">
        <v>169</v>
      </c>
      <c r="C32" s="188"/>
      <c r="D32" s="188"/>
      <c r="E32" s="188"/>
      <c r="F32" s="188"/>
      <c r="G32" s="188"/>
      <c r="H32" s="188"/>
      <c r="I32" s="188"/>
      <c r="L32" s="82"/>
      <c r="M32" s="82"/>
      <c r="N32" s="82"/>
      <c r="O32" s="82"/>
      <c r="P32" s="82"/>
      <c r="Q32" s="82"/>
      <c r="R32" s="82"/>
      <c r="S32" s="82"/>
      <c r="T32" s="82"/>
      <c r="U32" s="82"/>
      <c r="W32" s="57"/>
      <c r="X32" s="88"/>
      <c r="Y32" s="88"/>
    </row>
    <row r="33" spans="1:29" ht="3.75" customHeight="1" x14ac:dyDescent="0.25">
      <c r="A33" s="57"/>
      <c r="B33" s="57"/>
      <c r="C33" s="57"/>
      <c r="D33" s="57"/>
      <c r="E33" s="57"/>
      <c r="F33" s="57"/>
      <c r="G33" s="57"/>
      <c r="H33" s="57"/>
      <c r="I33" s="57"/>
      <c r="J33" s="57"/>
      <c r="K33" s="57"/>
      <c r="L33" s="57"/>
      <c r="M33" s="57"/>
      <c r="N33" s="57"/>
      <c r="O33" s="57"/>
      <c r="P33" s="57"/>
      <c r="Q33" s="57"/>
      <c r="R33" s="57"/>
      <c r="S33" s="57"/>
      <c r="T33" s="57"/>
      <c r="U33" s="57"/>
      <c r="V33" s="57"/>
      <c r="W33" s="57"/>
      <c r="X33" s="88"/>
      <c r="Y33" s="88"/>
    </row>
    <row r="34" spans="1:29" s="88" customFormat="1" ht="21.75" customHeight="1" x14ac:dyDescent="0.25"/>
    <row r="35" spans="1:29" s="88" customFormat="1" x14ac:dyDescent="0.25">
      <c r="Y35" s="88" t="str">
        <f>IF(AND(K22="YES",K23="YES",K24="YES",K25="YES",K26="YES",K27="YES"),"YES",IF(K30&gt;"a","YES","NO"))</f>
        <v>NO</v>
      </c>
    </row>
    <row r="36" spans="1:29" s="88" customFormat="1" x14ac:dyDescent="0.25"/>
    <row r="37" spans="1:29" s="88" customFormat="1" x14ac:dyDescent="0.25"/>
    <row r="38" spans="1:29" s="88" customFormat="1" x14ac:dyDescent="0.25"/>
    <row r="39" spans="1:29" s="88" customFormat="1" x14ac:dyDescent="0.25"/>
    <row r="40" spans="1:29" s="88" customFormat="1" x14ac:dyDescent="0.25">
      <c r="Y40" s="88">
        <f>SUM(Y22:Z27,Y28,Y30)</f>
        <v>8</v>
      </c>
    </row>
    <row r="41" spans="1:29" s="88" customFormat="1" x14ac:dyDescent="0.25"/>
    <row r="42" spans="1:29" s="88" customFormat="1" x14ac:dyDescent="0.25"/>
    <row r="43" spans="1:29" s="88" customFormat="1" x14ac:dyDescent="0.25"/>
    <row r="44" spans="1:29" s="88" customFormat="1" x14ac:dyDescent="0.25"/>
    <row r="45" spans="1:29" s="88" customFormat="1" x14ac:dyDescent="0.25"/>
    <row r="46" spans="1:29" s="88" customFormat="1" ht="14.4" thickBot="1" x14ac:dyDescent="0.3"/>
    <row r="47" spans="1:29" s="88" customFormat="1" ht="18" thickBot="1" x14ac:dyDescent="0.3">
      <c r="AA47" s="103" t="s">
        <v>16</v>
      </c>
      <c r="AB47" s="104"/>
      <c r="AC47" s="105"/>
    </row>
    <row r="48" spans="1:29" s="88" customFormat="1" ht="14.4" thickBot="1" x14ac:dyDescent="0.3">
      <c r="AA48" s="106" t="s">
        <v>24</v>
      </c>
      <c r="AB48" s="107" t="s">
        <v>17</v>
      </c>
      <c r="AC48" s="108" t="s">
        <v>18</v>
      </c>
    </row>
    <row r="49" spans="27:50" s="88" customFormat="1" ht="14.4" thickBot="1" x14ac:dyDescent="0.3">
      <c r="AA49" s="109" t="s">
        <v>19</v>
      </c>
      <c r="AB49" s="110">
        <v>4542</v>
      </c>
      <c r="AC49" s="111">
        <v>4495</v>
      </c>
    </row>
    <row r="50" spans="27:50" s="88" customFormat="1" ht="14.4" thickBot="1" x14ac:dyDescent="0.3">
      <c r="AA50" s="109" t="s">
        <v>20</v>
      </c>
      <c r="AB50" s="110">
        <v>10900</v>
      </c>
      <c r="AC50" s="111">
        <v>8909</v>
      </c>
    </row>
    <row r="51" spans="27:50" s="88" customFormat="1" ht="14.4" thickBot="1" x14ac:dyDescent="0.3">
      <c r="AA51" s="109" t="s">
        <v>21</v>
      </c>
      <c r="AB51" s="110">
        <v>7266</v>
      </c>
      <c r="AC51" s="111">
        <v>5160</v>
      </c>
    </row>
    <row r="52" spans="27:50" s="88" customFormat="1" ht="14.4" thickBot="1" x14ac:dyDescent="0.3">
      <c r="AA52" s="109" t="s">
        <v>22</v>
      </c>
      <c r="AB52" s="110">
        <v>10900</v>
      </c>
      <c r="AC52" s="111">
        <v>7740</v>
      </c>
    </row>
    <row r="53" spans="27:50" s="88" customFormat="1" ht="14.4" thickBot="1" x14ac:dyDescent="0.3">
      <c r="AA53" s="109" t="s">
        <v>23</v>
      </c>
      <c r="AB53" s="110">
        <v>14533</v>
      </c>
      <c r="AC53" s="111">
        <v>10320</v>
      </c>
    </row>
    <row r="54" spans="27:50" s="88" customFormat="1" ht="14.4" thickBot="1" x14ac:dyDescent="0.3">
      <c r="AA54" s="112"/>
      <c r="AB54" s="112"/>
      <c r="AC54" s="112"/>
    </row>
    <row r="55" spans="27:50" s="88" customFormat="1" ht="18" thickBot="1" x14ac:dyDescent="0.3">
      <c r="AA55" s="103" t="s">
        <v>25</v>
      </c>
      <c r="AB55" s="104"/>
      <c r="AC55" s="105"/>
    </row>
    <row r="56" spans="27:50" s="88" customFormat="1" ht="14.4" thickBot="1" x14ac:dyDescent="0.3">
      <c r="AA56" s="106" t="s">
        <v>24</v>
      </c>
      <c r="AB56" s="107" t="s">
        <v>17</v>
      </c>
      <c r="AC56" s="108" t="s">
        <v>18</v>
      </c>
      <c r="AF56" s="108" t="s">
        <v>18</v>
      </c>
    </row>
    <row r="57" spans="27:50" s="88" customFormat="1" ht="14.4" thickBot="1" x14ac:dyDescent="0.3">
      <c r="AA57" s="109" t="s">
        <v>19</v>
      </c>
      <c r="AB57" s="110">
        <v>1656</v>
      </c>
      <c r="AC57" s="111">
        <v>1588</v>
      </c>
      <c r="AF57" s="111">
        <v>1588</v>
      </c>
    </row>
    <row r="58" spans="27:50" s="88" customFormat="1" ht="14.4" thickBot="1" x14ac:dyDescent="0.3">
      <c r="AA58" s="109" t="s">
        <v>20</v>
      </c>
      <c r="AB58" s="110">
        <v>2208</v>
      </c>
      <c r="AC58" s="111">
        <v>3148</v>
      </c>
      <c r="AF58" s="111">
        <v>3148</v>
      </c>
    </row>
    <row r="59" spans="27:50" s="88" customFormat="1" ht="14.4" thickBot="1" x14ac:dyDescent="0.3">
      <c r="AA59" s="109" t="s">
        <v>30</v>
      </c>
      <c r="AB59" s="110">
        <v>1050</v>
      </c>
      <c r="AC59" s="111">
        <v>1502</v>
      </c>
      <c r="AF59" s="111">
        <v>1502</v>
      </c>
      <c r="AR59" s="112"/>
      <c r="AS59" s="112"/>
      <c r="AT59" s="112"/>
    </row>
    <row r="60" spans="27:50" s="88" customFormat="1" ht="14.4" thickBot="1" x14ac:dyDescent="0.3">
      <c r="AA60" s="109" t="s">
        <v>21</v>
      </c>
      <c r="AB60" s="110">
        <v>2101</v>
      </c>
      <c r="AC60" s="111">
        <v>3005</v>
      </c>
      <c r="AF60" s="111">
        <v>3005</v>
      </c>
      <c r="AP60" s="112"/>
      <c r="AQ60" s="112"/>
      <c r="AR60" s="112"/>
      <c r="AS60" s="112"/>
      <c r="AT60" s="112"/>
      <c r="AU60" s="112"/>
      <c r="AV60" s="112"/>
      <c r="AW60" s="112"/>
      <c r="AX60" s="112"/>
    </row>
    <row r="61" spans="27:50" s="88" customFormat="1" ht="14.4" thickBot="1" x14ac:dyDescent="0.3">
      <c r="AA61" s="109" t="s">
        <v>22</v>
      </c>
      <c r="AB61" s="110">
        <v>3152</v>
      </c>
      <c r="AC61" s="111">
        <v>4507</v>
      </c>
      <c r="AF61" s="111">
        <v>4507</v>
      </c>
      <c r="AP61" s="112"/>
      <c r="AQ61" s="112"/>
      <c r="AR61" s="112"/>
      <c r="AS61" s="112"/>
      <c r="AT61" s="112"/>
      <c r="AU61" s="112"/>
      <c r="AV61" s="112"/>
      <c r="AW61" s="112"/>
      <c r="AX61" s="112"/>
    </row>
    <row r="62" spans="27:50" s="88" customFormat="1" ht="14.4" thickBot="1" x14ac:dyDescent="0.3">
      <c r="AA62" s="109" t="s">
        <v>23</v>
      </c>
      <c r="AB62" s="110">
        <v>4203</v>
      </c>
      <c r="AC62" s="111">
        <v>6010</v>
      </c>
      <c r="AF62" s="111">
        <v>6010</v>
      </c>
      <c r="AP62" s="112"/>
      <c r="AQ62" s="112"/>
      <c r="AR62" s="112"/>
      <c r="AS62" s="112"/>
      <c r="AT62" s="112"/>
      <c r="AU62" s="112"/>
      <c r="AV62" s="112"/>
      <c r="AW62" s="112"/>
      <c r="AX62" s="112"/>
    </row>
    <row r="63" spans="27:50" s="88" customFormat="1" ht="16.5" customHeight="1" thickBot="1" x14ac:dyDescent="0.3">
      <c r="AA63" s="113" t="s">
        <v>26</v>
      </c>
      <c r="AB63" s="114">
        <v>2484</v>
      </c>
      <c r="AC63" s="115">
        <v>3208</v>
      </c>
      <c r="AF63" s="115">
        <v>3208</v>
      </c>
      <c r="AN63" s="112"/>
      <c r="AO63" s="112"/>
      <c r="AP63" s="112"/>
      <c r="AQ63" s="112"/>
      <c r="AW63" s="112"/>
      <c r="AX63" s="112"/>
    </row>
    <row r="64" spans="27:50" s="88" customFormat="1" ht="16.5" customHeight="1" thickBot="1" x14ac:dyDescent="0.3">
      <c r="AA64" s="113" t="s">
        <v>27</v>
      </c>
      <c r="AB64" s="114">
        <v>2729</v>
      </c>
      <c r="AC64" s="115">
        <v>2835</v>
      </c>
      <c r="AF64" s="115">
        <v>2835</v>
      </c>
      <c r="AN64" s="112"/>
      <c r="AO64" s="112"/>
      <c r="AP64" s="112"/>
      <c r="AQ64" s="112"/>
      <c r="AW64" s="112"/>
      <c r="AX64" s="112"/>
    </row>
    <row r="65" spans="8:50" s="88" customFormat="1" ht="15.75" customHeight="1" thickBot="1" x14ac:dyDescent="0.3">
      <c r="AA65" s="113" t="s">
        <v>28</v>
      </c>
      <c r="AB65" s="114">
        <v>2484</v>
      </c>
      <c r="AC65" s="115">
        <v>4033</v>
      </c>
      <c r="AF65" s="115">
        <v>4033</v>
      </c>
      <c r="AN65" s="112"/>
      <c r="AO65" s="112"/>
      <c r="AP65" s="112"/>
      <c r="AQ65" s="112"/>
      <c r="AW65" s="112"/>
      <c r="AX65" s="112"/>
    </row>
    <row r="66" spans="8:50" s="88" customFormat="1" ht="15.75" customHeight="1" thickBot="1" x14ac:dyDescent="0.3">
      <c r="AA66" s="113" t="s">
        <v>29</v>
      </c>
      <c r="AB66" s="114">
        <v>3312</v>
      </c>
      <c r="AC66" s="115">
        <v>5378</v>
      </c>
      <c r="AF66" s="115">
        <v>5378</v>
      </c>
      <c r="AQ66" s="112"/>
      <c r="AW66" s="112"/>
    </row>
    <row r="67" spans="8:50" s="88" customFormat="1" ht="15.75" customHeight="1" x14ac:dyDescent="0.25">
      <c r="AO67" s="112"/>
      <c r="AP67" s="112"/>
      <c r="AQ67" s="112"/>
      <c r="AW67" s="112"/>
      <c r="AX67" s="112"/>
    </row>
    <row r="68" spans="8:50" s="88" customFormat="1" ht="15.75" customHeight="1" x14ac:dyDescent="0.25">
      <c r="AO68" s="112"/>
      <c r="AP68" s="112"/>
      <c r="AQ68" s="112"/>
      <c r="AW68" s="112"/>
      <c r="AX68" s="112"/>
    </row>
    <row r="69" spans="8:50" s="88" customFormat="1" ht="15.75" customHeight="1" x14ac:dyDescent="0.25">
      <c r="AQ69" s="112"/>
      <c r="AW69" s="112"/>
    </row>
    <row r="70" spans="8:50" s="88" customFormat="1" ht="15.75" customHeight="1" x14ac:dyDescent="0.25">
      <c r="H70" s="102"/>
      <c r="I70" s="102"/>
      <c r="J70" s="102"/>
      <c r="K70" s="102"/>
      <c r="L70" s="102"/>
      <c r="M70" s="102"/>
      <c r="N70" s="102"/>
      <c r="O70" s="102"/>
      <c r="P70" s="102"/>
      <c r="Q70" s="102"/>
      <c r="R70" s="102"/>
      <c r="S70" s="102"/>
      <c r="T70" s="102"/>
      <c r="U70" s="102"/>
      <c r="V70" s="102"/>
      <c r="W70" s="102"/>
      <c r="X70" s="102"/>
      <c r="Y70" s="102"/>
      <c r="AQ70" s="112"/>
      <c r="AW70" s="112"/>
    </row>
    <row r="71" spans="8:50" s="88" customFormat="1" ht="31.5" customHeight="1" x14ac:dyDescent="0.25">
      <c r="H71" s="102"/>
      <c r="I71" s="102"/>
      <c r="J71" s="102"/>
      <c r="K71" s="102"/>
      <c r="L71" s="102"/>
      <c r="M71" s="102"/>
      <c r="N71" s="102"/>
      <c r="O71" s="102"/>
      <c r="P71" s="102"/>
      <c r="Q71" s="102"/>
      <c r="R71" s="102"/>
      <c r="S71" s="102"/>
      <c r="T71" s="102"/>
      <c r="U71" s="102"/>
      <c r="V71" s="102"/>
      <c r="W71" s="102"/>
      <c r="X71" s="102"/>
      <c r="Y71" s="102"/>
      <c r="AN71" s="112"/>
      <c r="AO71" s="112"/>
      <c r="AP71" s="112"/>
      <c r="AQ71" s="112"/>
      <c r="AW71" s="112"/>
      <c r="AX71" s="112"/>
    </row>
    <row r="72" spans="8:50" s="88" customFormat="1" ht="15.75" customHeight="1" x14ac:dyDescent="0.25">
      <c r="H72" s="102"/>
      <c r="I72" s="102"/>
      <c r="J72" s="102"/>
      <c r="K72" s="102"/>
      <c r="L72" s="102"/>
      <c r="M72" s="102"/>
      <c r="N72" s="102"/>
      <c r="O72" s="102"/>
      <c r="P72" s="102"/>
      <c r="Q72" s="102"/>
      <c r="R72" s="102"/>
      <c r="S72" s="102"/>
      <c r="T72" s="102"/>
      <c r="U72" s="102"/>
      <c r="V72" s="102"/>
      <c r="W72" s="102"/>
      <c r="X72" s="102"/>
      <c r="Y72" s="102"/>
      <c r="AQ72" s="112"/>
      <c r="AW72" s="112"/>
    </row>
    <row r="73" spans="8:50" s="88" customFormat="1" ht="15.75" customHeight="1" x14ac:dyDescent="0.25">
      <c r="H73" s="102"/>
      <c r="I73" s="102"/>
      <c r="J73" s="102"/>
      <c r="K73" s="102"/>
      <c r="L73" s="102"/>
      <c r="M73" s="102"/>
      <c r="N73" s="102"/>
      <c r="O73" s="102"/>
      <c r="P73" s="102"/>
      <c r="Q73" s="102"/>
      <c r="R73" s="102"/>
      <c r="S73" s="102"/>
      <c r="T73" s="102"/>
      <c r="U73" s="102"/>
      <c r="V73" s="102"/>
      <c r="W73" s="102"/>
      <c r="X73" s="102"/>
      <c r="Y73" s="102"/>
      <c r="AQ73" s="112"/>
      <c r="AW73" s="112"/>
    </row>
    <row r="74" spans="8:50" s="88" customFormat="1" ht="15.75" customHeight="1" x14ac:dyDescent="0.25">
      <c r="H74" s="102"/>
      <c r="I74" s="102"/>
      <c r="J74" s="102"/>
      <c r="K74" s="102"/>
      <c r="L74" s="102"/>
      <c r="M74" s="102"/>
      <c r="N74" s="102"/>
      <c r="O74" s="102"/>
      <c r="P74" s="102"/>
      <c r="Q74" s="102"/>
      <c r="R74" s="102"/>
      <c r="S74" s="102"/>
      <c r="T74" s="102"/>
      <c r="U74" s="102"/>
      <c r="V74" s="102"/>
      <c r="W74" s="102"/>
      <c r="X74" s="102"/>
      <c r="Y74" s="102"/>
      <c r="AQ74" s="112"/>
      <c r="AW74" s="112"/>
    </row>
    <row r="75" spans="8:50" s="88" customFormat="1" ht="15.75" customHeight="1" x14ac:dyDescent="0.25">
      <c r="H75" s="102"/>
      <c r="I75" s="102"/>
      <c r="J75" s="102"/>
      <c r="K75" s="102"/>
      <c r="L75" s="102"/>
      <c r="M75" s="102"/>
      <c r="N75" s="102"/>
      <c r="O75" s="102"/>
      <c r="P75" s="102"/>
      <c r="Q75" s="102"/>
      <c r="R75" s="102"/>
      <c r="S75" s="102"/>
      <c r="T75" s="102"/>
      <c r="U75" s="102"/>
      <c r="V75" s="102"/>
      <c r="W75" s="102"/>
      <c r="X75" s="102"/>
      <c r="Y75" s="102"/>
      <c r="AQ75" s="112"/>
      <c r="AW75" s="112"/>
    </row>
    <row r="76" spans="8:50" s="88" customFormat="1" ht="15.75" customHeight="1" x14ac:dyDescent="0.25">
      <c r="H76" s="102"/>
      <c r="I76" s="102"/>
      <c r="J76" s="102"/>
      <c r="K76" s="102"/>
      <c r="L76" s="102"/>
      <c r="M76" s="102"/>
      <c r="N76" s="102"/>
      <c r="O76" s="102"/>
      <c r="P76" s="102"/>
      <c r="Q76" s="102"/>
      <c r="R76" s="102"/>
      <c r="S76" s="102"/>
      <c r="T76" s="102"/>
      <c r="U76" s="102"/>
      <c r="V76" s="102"/>
      <c r="W76" s="102"/>
      <c r="X76" s="102"/>
      <c r="Y76" s="102"/>
      <c r="AQ76" s="112"/>
      <c r="AW76" s="112"/>
    </row>
    <row r="77" spans="8:50" s="88" customFormat="1" ht="15.75" customHeight="1" x14ac:dyDescent="0.25">
      <c r="H77" s="102"/>
      <c r="I77" s="102"/>
      <c r="J77" s="102"/>
      <c r="K77" s="102"/>
      <c r="L77" s="102"/>
      <c r="M77" s="102"/>
      <c r="N77" s="102"/>
      <c r="O77" s="102"/>
      <c r="P77" s="102"/>
      <c r="Q77" s="102"/>
      <c r="R77" s="102"/>
      <c r="S77" s="102"/>
      <c r="T77" s="102"/>
      <c r="U77" s="102"/>
      <c r="V77" s="102"/>
      <c r="W77" s="102"/>
      <c r="X77" s="102"/>
      <c r="Y77" s="102"/>
      <c r="AQ77" s="112"/>
      <c r="AW77" s="112"/>
    </row>
    <row r="78" spans="8:50" s="88" customFormat="1" ht="15.75" customHeight="1" x14ac:dyDescent="0.25">
      <c r="H78" s="102"/>
      <c r="I78" s="102"/>
      <c r="J78" s="102"/>
      <c r="K78" s="102"/>
      <c r="L78" s="102"/>
      <c r="M78" s="102"/>
      <c r="N78" s="102"/>
      <c r="O78" s="102"/>
      <c r="P78" s="102"/>
      <c r="Q78" s="102"/>
      <c r="R78" s="102"/>
      <c r="S78" s="102"/>
      <c r="T78" s="102"/>
      <c r="U78" s="102"/>
      <c r="V78" s="102"/>
      <c r="W78" s="102"/>
      <c r="X78" s="102"/>
      <c r="Y78" s="102"/>
      <c r="AQ78" s="112"/>
      <c r="AW78" s="112"/>
    </row>
    <row r="79" spans="8:50" s="88" customFormat="1" ht="15.75" customHeight="1" x14ac:dyDescent="0.25">
      <c r="H79" s="102"/>
      <c r="I79" s="102"/>
      <c r="J79" s="102"/>
      <c r="K79" s="102"/>
      <c r="L79" s="102"/>
      <c r="M79" s="102"/>
      <c r="N79" s="102"/>
      <c r="O79" s="102"/>
      <c r="P79" s="102"/>
      <c r="Q79" s="102"/>
      <c r="R79" s="102"/>
      <c r="S79" s="102"/>
      <c r="T79" s="102"/>
      <c r="U79" s="102"/>
      <c r="V79" s="102"/>
      <c r="W79" s="102"/>
      <c r="X79" s="102"/>
      <c r="Y79" s="102"/>
      <c r="AQ79" s="112"/>
      <c r="AW79" s="112"/>
    </row>
    <row r="80" spans="8:50" s="88" customFormat="1" ht="15.75" customHeight="1" x14ac:dyDescent="0.25">
      <c r="H80" s="102"/>
      <c r="I80" s="102"/>
      <c r="J80" s="102"/>
      <c r="K80" s="102"/>
      <c r="L80" s="102"/>
      <c r="M80" s="102"/>
      <c r="N80" s="102"/>
      <c r="O80" s="102"/>
      <c r="P80" s="102"/>
      <c r="Q80" s="102"/>
      <c r="R80" s="102"/>
      <c r="S80" s="102"/>
      <c r="T80" s="102"/>
      <c r="U80" s="102"/>
      <c r="V80" s="102"/>
      <c r="W80" s="102"/>
      <c r="X80" s="102"/>
      <c r="Y80" s="102"/>
      <c r="AQ80" s="112"/>
      <c r="AW80" s="112"/>
    </row>
    <row r="81" spans="8:49" s="88" customFormat="1" ht="15.75" customHeight="1" x14ac:dyDescent="0.25">
      <c r="H81" s="102"/>
      <c r="I81" s="102"/>
      <c r="J81" s="102"/>
      <c r="K81" s="102"/>
      <c r="L81" s="102"/>
      <c r="M81" s="102"/>
      <c r="N81" s="102"/>
      <c r="O81" s="102"/>
      <c r="P81" s="102"/>
      <c r="Q81" s="102"/>
      <c r="R81" s="102"/>
      <c r="S81" s="102"/>
      <c r="T81" s="102"/>
      <c r="U81" s="102"/>
      <c r="V81" s="102"/>
      <c r="W81" s="102"/>
      <c r="X81" s="102"/>
      <c r="Y81" s="102"/>
      <c r="AQ81" s="112"/>
      <c r="AW81" s="112"/>
    </row>
    <row r="82" spans="8:49" s="88" customFormat="1" ht="15.75" customHeight="1" x14ac:dyDescent="0.25">
      <c r="H82" s="102"/>
      <c r="I82" s="102"/>
      <c r="J82" s="102"/>
      <c r="K82" s="102"/>
      <c r="L82" s="102"/>
      <c r="M82" s="102"/>
      <c r="N82" s="102"/>
      <c r="O82" s="102"/>
      <c r="P82" s="102"/>
      <c r="Q82" s="102"/>
      <c r="R82" s="102"/>
      <c r="S82" s="102"/>
      <c r="T82" s="102"/>
      <c r="U82" s="102"/>
      <c r="V82" s="102"/>
      <c r="W82" s="102"/>
      <c r="X82" s="102"/>
      <c r="Y82" s="102"/>
      <c r="AQ82" s="112"/>
      <c r="AW82" s="112"/>
    </row>
    <row r="83" spans="8:49" s="88" customFormat="1" ht="15.75" customHeight="1" x14ac:dyDescent="0.25">
      <c r="H83" s="102"/>
      <c r="I83" s="102"/>
      <c r="J83" s="102"/>
      <c r="K83" s="102"/>
      <c r="L83" s="102"/>
      <c r="M83" s="102"/>
      <c r="N83" s="102"/>
      <c r="O83" s="102"/>
      <c r="P83" s="102"/>
      <c r="Q83" s="102"/>
      <c r="R83" s="102"/>
      <c r="S83" s="102"/>
      <c r="T83" s="102"/>
      <c r="U83" s="102"/>
      <c r="V83" s="102"/>
      <c r="W83" s="102"/>
      <c r="X83" s="102"/>
      <c r="Y83" s="102"/>
      <c r="AQ83" s="112"/>
      <c r="AW83" s="112"/>
    </row>
    <row r="84" spans="8:49" s="88" customFormat="1" ht="15.75" customHeight="1" x14ac:dyDescent="0.25">
      <c r="H84" s="102"/>
      <c r="I84" s="102"/>
      <c r="J84" s="102"/>
      <c r="K84" s="102"/>
      <c r="L84" s="102"/>
      <c r="M84" s="102"/>
      <c r="N84" s="102"/>
      <c r="O84" s="102"/>
      <c r="P84" s="102"/>
      <c r="Q84" s="102"/>
      <c r="R84" s="102"/>
      <c r="S84" s="102"/>
      <c r="T84" s="102"/>
      <c r="U84" s="102"/>
      <c r="V84" s="102"/>
      <c r="W84" s="102"/>
      <c r="X84" s="102"/>
      <c r="Y84" s="102"/>
      <c r="AQ84" s="112"/>
      <c r="AW84" s="112"/>
    </row>
    <row r="85" spans="8:49" s="88" customFormat="1" ht="15.75" customHeight="1" x14ac:dyDescent="0.25">
      <c r="H85" s="102"/>
      <c r="I85" s="102"/>
      <c r="J85" s="102"/>
      <c r="K85" s="102"/>
      <c r="L85" s="102"/>
      <c r="M85" s="102"/>
      <c r="N85" s="102"/>
      <c r="O85" s="102"/>
      <c r="P85" s="102"/>
      <c r="Q85" s="102"/>
      <c r="R85" s="102"/>
      <c r="S85" s="102"/>
      <c r="T85" s="102"/>
      <c r="U85" s="102"/>
      <c r="V85" s="102"/>
      <c r="W85" s="102"/>
      <c r="X85" s="102"/>
      <c r="Y85" s="102"/>
      <c r="AQ85" s="112"/>
      <c r="AW85" s="112"/>
    </row>
    <row r="86" spans="8:49" s="88" customFormat="1" ht="15.75" customHeight="1" x14ac:dyDescent="0.25">
      <c r="H86" s="102"/>
      <c r="I86" s="102"/>
      <c r="J86" s="102"/>
      <c r="K86" s="102"/>
      <c r="L86" s="102"/>
      <c r="M86" s="102"/>
      <c r="N86" s="102"/>
      <c r="O86" s="102"/>
      <c r="P86" s="102"/>
      <c r="Q86" s="102"/>
      <c r="R86" s="102"/>
      <c r="S86" s="102"/>
      <c r="T86" s="102"/>
      <c r="U86" s="102"/>
      <c r="V86" s="102"/>
      <c r="W86" s="102"/>
      <c r="X86" s="102"/>
      <c r="Y86" s="102"/>
      <c r="AQ86" s="112"/>
      <c r="AW86" s="112"/>
    </row>
    <row r="87" spans="8:49" s="88" customFormat="1" ht="15.75" customHeight="1" x14ac:dyDescent="0.25">
      <c r="H87" s="102"/>
      <c r="I87" s="102"/>
      <c r="J87" s="102"/>
      <c r="K87" s="102"/>
      <c r="L87" s="102"/>
      <c r="M87" s="102"/>
      <c r="N87" s="102"/>
      <c r="O87" s="102"/>
      <c r="P87" s="102"/>
      <c r="Q87" s="102"/>
      <c r="R87" s="102"/>
      <c r="S87" s="102"/>
      <c r="T87" s="102"/>
      <c r="U87" s="102"/>
      <c r="V87" s="102"/>
      <c r="W87" s="102"/>
      <c r="X87" s="102"/>
      <c r="Y87" s="102"/>
      <c r="AQ87" s="112"/>
      <c r="AW87" s="112"/>
    </row>
    <row r="88" spans="8:49" s="88" customFormat="1" ht="15.75" customHeight="1" x14ac:dyDescent="0.25">
      <c r="H88" s="102"/>
      <c r="I88" s="102"/>
      <c r="J88" s="102"/>
      <c r="K88" s="102"/>
      <c r="L88" s="102"/>
      <c r="M88" s="102"/>
      <c r="N88" s="102"/>
      <c r="O88" s="102"/>
      <c r="P88" s="102"/>
      <c r="Q88" s="102"/>
      <c r="R88" s="102"/>
      <c r="S88" s="102"/>
      <c r="T88" s="102"/>
      <c r="U88" s="102"/>
      <c r="V88" s="102"/>
      <c r="W88" s="102"/>
      <c r="X88" s="102"/>
      <c r="Y88" s="102"/>
      <c r="AQ88" s="112"/>
      <c r="AW88" s="112"/>
    </row>
    <row r="89" spans="8:49" s="88" customFormat="1" ht="15.75" customHeight="1" x14ac:dyDescent="0.25">
      <c r="H89" s="102"/>
      <c r="I89" s="102"/>
      <c r="J89" s="102"/>
      <c r="K89" s="102"/>
      <c r="L89" s="102"/>
      <c r="M89" s="102"/>
      <c r="N89" s="102"/>
      <c r="O89" s="102"/>
      <c r="P89" s="102"/>
      <c r="Q89" s="102"/>
      <c r="R89" s="102"/>
      <c r="S89" s="102"/>
      <c r="T89" s="102"/>
      <c r="U89" s="102"/>
      <c r="V89" s="102"/>
      <c r="W89" s="102"/>
      <c r="X89" s="102"/>
      <c r="Y89" s="102"/>
      <c r="AQ89" s="112"/>
      <c r="AW89" s="112"/>
    </row>
    <row r="90" spans="8:49" s="88" customFormat="1" ht="24.75" customHeight="1" x14ac:dyDescent="0.25">
      <c r="H90" s="102"/>
      <c r="I90" s="102"/>
      <c r="J90" s="102"/>
      <c r="K90" s="102"/>
      <c r="L90" s="102"/>
      <c r="M90" s="102"/>
      <c r="N90" s="102"/>
      <c r="O90" s="102"/>
      <c r="P90" s="102"/>
      <c r="Q90" s="102"/>
      <c r="R90" s="102"/>
      <c r="S90" s="102"/>
      <c r="T90" s="102"/>
      <c r="U90" s="102"/>
      <c r="V90" s="102"/>
      <c r="W90" s="102"/>
      <c r="X90" s="102"/>
      <c r="Y90" s="102"/>
      <c r="AQ90" s="112"/>
      <c r="AW90" s="112"/>
    </row>
    <row r="91" spans="8:49" s="88" customFormat="1" ht="24.75" customHeight="1" x14ac:dyDescent="0.25">
      <c r="H91" s="102"/>
      <c r="I91" s="102"/>
      <c r="J91" s="102"/>
      <c r="K91" s="102"/>
      <c r="L91" s="102"/>
      <c r="M91" s="102"/>
      <c r="N91" s="102"/>
      <c r="O91" s="102"/>
      <c r="P91" s="102"/>
      <c r="Q91" s="102"/>
      <c r="R91" s="102"/>
      <c r="S91" s="102"/>
      <c r="T91" s="102"/>
      <c r="U91" s="102"/>
      <c r="V91" s="102"/>
      <c r="W91" s="102"/>
      <c r="X91" s="102"/>
      <c r="Y91" s="102"/>
      <c r="AQ91" s="112"/>
      <c r="AW91" s="112"/>
    </row>
    <row r="92" spans="8:49" x14ac:dyDescent="0.25">
      <c r="H92"/>
      <c r="I92"/>
      <c r="J92"/>
      <c r="K92"/>
      <c r="L92"/>
      <c r="M92"/>
      <c r="N92"/>
      <c r="O92"/>
      <c r="P92"/>
      <c r="Q92"/>
      <c r="R92"/>
      <c r="S92"/>
      <c r="T92"/>
      <c r="U92"/>
      <c r="V92"/>
      <c r="W92"/>
      <c r="X92"/>
      <c r="Y92"/>
      <c r="AQ92" s="112"/>
      <c r="AR92" s="112"/>
      <c r="AS92" s="112"/>
      <c r="AT92" s="112"/>
      <c r="AU92" s="112"/>
      <c r="AV92" s="112"/>
      <c r="AW92" s="112"/>
    </row>
    <row r="93" spans="8:49" x14ac:dyDescent="0.25">
      <c r="AQ93" s="112"/>
      <c r="AR93" s="112"/>
      <c r="AS93" s="112"/>
      <c r="AT93" s="112"/>
      <c r="AU93" s="112"/>
      <c r="AV93" s="112"/>
      <c r="AW93" s="112"/>
    </row>
    <row r="94" spans="8:49" x14ac:dyDescent="0.25">
      <c r="AQ94" s="112"/>
      <c r="AR94" s="112"/>
      <c r="AS94" s="112"/>
      <c r="AT94" s="112"/>
      <c r="AU94" s="112"/>
      <c r="AV94" s="112"/>
    </row>
    <row r="95" spans="8:49" x14ac:dyDescent="0.25">
      <c r="AR95" s="112"/>
      <c r="AS95" s="112"/>
      <c r="AT95" s="112"/>
      <c r="AU95" s="112"/>
      <c r="AV95" s="112"/>
    </row>
  </sheetData>
  <sheetProtection algorithmName="SHA-512" hashValue="2CR4fki1gffTHLpQxTBvg97cfOWfXVfwt9p4ZCe4WYIB3w6KDXLk3rSFoD/eYQMMbJ+Hwe4Av+UYWtvOm/14aw==" saltValue="TPHJdlYtIwk8aImFyYbmtQ==" spinCount="100000" sheet="1" objects="1" scenarios="1" selectLockedCells="1"/>
  <mergeCells count="113">
    <mergeCell ref="B32:I32"/>
    <mergeCell ref="Y11:Y12"/>
    <mergeCell ref="T20:U20"/>
    <mergeCell ref="L22:U22"/>
    <mergeCell ref="K29:U29"/>
    <mergeCell ref="L28:U28"/>
    <mergeCell ref="L27:U27"/>
    <mergeCell ref="L26:U26"/>
    <mergeCell ref="L25:U25"/>
    <mergeCell ref="P17:Q17"/>
    <mergeCell ref="P18:Q18"/>
    <mergeCell ref="P19:Q19"/>
    <mergeCell ref="P20:Q20"/>
    <mergeCell ref="L20:M20"/>
    <mergeCell ref="S11:U11"/>
    <mergeCell ref="T12:U12"/>
    <mergeCell ref="T13:U13"/>
    <mergeCell ref="T14:U14"/>
    <mergeCell ref="T15:U15"/>
    <mergeCell ref="T16:U16"/>
    <mergeCell ref="L17:M17"/>
    <mergeCell ref="L18:M18"/>
    <mergeCell ref="L19:M19"/>
    <mergeCell ref="O11:Q11"/>
    <mergeCell ref="P12:Q12"/>
    <mergeCell ref="P14:Q14"/>
    <mergeCell ref="P15:Q15"/>
    <mergeCell ref="P16:Q16"/>
    <mergeCell ref="K11:M11"/>
    <mergeCell ref="L12:M12"/>
    <mergeCell ref="L13:M13"/>
    <mergeCell ref="L14:M14"/>
    <mergeCell ref="L15:M15"/>
    <mergeCell ref="L16:M16"/>
    <mergeCell ref="T17:U17"/>
    <mergeCell ref="T18:U18"/>
    <mergeCell ref="T19:U19"/>
    <mergeCell ref="K3:M3"/>
    <mergeCell ref="O3:Q3"/>
    <mergeCell ref="S3:U3"/>
    <mergeCell ref="G10:I10"/>
    <mergeCell ref="K10:M10"/>
    <mergeCell ref="O10:Q10"/>
    <mergeCell ref="S10:U10"/>
    <mergeCell ref="O4:Q4"/>
    <mergeCell ref="P5:Q5"/>
    <mergeCell ref="P6:Q6"/>
    <mergeCell ref="P7:Q7"/>
    <mergeCell ref="P8:Q8"/>
    <mergeCell ref="S4:U4"/>
    <mergeCell ref="T5:U5"/>
    <mergeCell ref="T6:U6"/>
    <mergeCell ref="T7:U7"/>
    <mergeCell ref="T8:U8"/>
    <mergeCell ref="L6:M6"/>
    <mergeCell ref="L7:M7"/>
    <mergeCell ref="L8:M8"/>
    <mergeCell ref="P13:Q13"/>
    <mergeCell ref="D24:E24"/>
    <mergeCell ref="H24:I24"/>
    <mergeCell ref="D25:E25"/>
    <mergeCell ref="H25:I25"/>
    <mergeCell ref="D18:E18"/>
    <mergeCell ref="H18:I18"/>
    <mergeCell ref="D19:E19"/>
    <mergeCell ref="H19:I19"/>
    <mergeCell ref="D20:E20"/>
    <mergeCell ref="H20:I20"/>
    <mergeCell ref="C3:E3"/>
    <mergeCell ref="G3:I3"/>
    <mergeCell ref="D17:E17"/>
    <mergeCell ref="H17:I17"/>
    <mergeCell ref="D12:E12"/>
    <mergeCell ref="H12:I12"/>
    <mergeCell ref="D13:E13"/>
    <mergeCell ref="H13:I13"/>
    <mergeCell ref="D14:E14"/>
    <mergeCell ref="H14:I14"/>
    <mergeCell ref="D7:E7"/>
    <mergeCell ref="H7:I7"/>
    <mergeCell ref="D8:E8"/>
    <mergeCell ref="H8:I8"/>
    <mergeCell ref="C11:E11"/>
    <mergeCell ref="G11:I11"/>
    <mergeCell ref="C10:E10"/>
    <mergeCell ref="D15:E15"/>
    <mergeCell ref="H15:I15"/>
    <mergeCell ref="D16:E16"/>
    <mergeCell ref="H16:I16"/>
    <mergeCell ref="Y27:Z27"/>
    <mergeCell ref="Y26:Z26"/>
    <mergeCell ref="Y25:Z25"/>
    <mergeCell ref="Y24:Z24"/>
    <mergeCell ref="Y23:Z23"/>
    <mergeCell ref="Y22:Z22"/>
    <mergeCell ref="Y16:Y21"/>
    <mergeCell ref="D27:G31"/>
    <mergeCell ref="C4:E4"/>
    <mergeCell ref="G4:I4"/>
    <mergeCell ref="D5:E5"/>
    <mergeCell ref="H5:I5"/>
    <mergeCell ref="D6:E6"/>
    <mergeCell ref="H6:I6"/>
    <mergeCell ref="K30:U31"/>
    <mergeCell ref="L24:U24"/>
    <mergeCell ref="L23:U23"/>
    <mergeCell ref="D26:E26"/>
    <mergeCell ref="H26:I26"/>
    <mergeCell ref="C22:I22"/>
    <mergeCell ref="K4:M4"/>
    <mergeCell ref="L5:M5"/>
    <mergeCell ref="D23:E23"/>
    <mergeCell ref="H23:I23"/>
  </mergeCells>
  <conditionalFormatting sqref="G3:U3 G10:U10">
    <cfRule type="expression" dxfId="1653" priority="20">
      <formula>IF(G3="PINK",TRUE,FALSE)</formula>
    </cfRule>
    <cfRule type="expression" dxfId="1652" priority="21">
      <formula>IF(G3="YELLOW",TRUE,FALSE)</formula>
    </cfRule>
    <cfRule type="expression" dxfId="1651" priority="22">
      <formula>IF(G3="VIOLET",TRUE,FALSE)</formula>
    </cfRule>
    <cfRule type="expression" dxfId="1650" priority="23">
      <formula>IF(G3="GREEN",TRUE,FALSE)</formula>
    </cfRule>
    <cfRule type="expression" dxfId="1649" priority="24">
      <formula>IF(G3="ORANGE",TRUE,FALSE)</formula>
    </cfRule>
    <cfRule type="expression" dxfId="1648" priority="25">
      <formula>IF(G3="BLUE",TRUE,FALSE)</formula>
    </cfRule>
  </conditionalFormatting>
  <conditionalFormatting sqref="D5:E8 H5:I8 L5:M8 P5:Q8 T5:U8 T12:U20 P12:Q20 L12:M20 H12:I20 D12:E20 D23:E26 H23:I26 K22:K28 K30:U31">
    <cfRule type="expression" dxfId="1647" priority="19">
      <formula>IF(D5="",TRUE,FALSE)</formula>
    </cfRule>
  </conditionalFormatting>
  <conditionalFormatting sqref="K22:K28">
    <cfRule type="expression" dxfId="1646" priority="14">
      <formula>IF(K22="",TRUE,FALSE)</formula>
    </cfRule>
  </conditionalFormatting>
  <conditionalFormatting sqref="Y16:Y21">
    <cfRule type="expression" dxfId="1645" priority="12">
      <formula>IF($Y$30=0,TRUE,FALSE)</formula>
    </cfRule>
  </conditionalFormatting>
  <conditionalFormatting sqref="V21:X21">
    <cfRule type="expression" dxfId="1644" priority="11">
      <formula>IF($Y$30=0,TRUE,FALSE)</formula>
    </cfRule>
  </conditionalFormatting>
  <conditionalFormatting sqref="Y22:Y27">
    <cfRule type="expression" dxfId="1643" priority="5">
      <formula>IF(K22="NO",TRUE,FALSE)</formula>
    </cfRule>
    <cfRule type="expression" dxfId="1642" priority="9">
      <formula>IF(Y22=1,TRUE,FALSE)</formula>
    </cfRule>
    <cfRule type="expression" dxfId="1641" priority="10">
      <formula>IF($Y$30=0,TRUE,FALSE)</formula>
    </cfRule>
  </conditionalFormatting>
  <conditionalFormatting sqref="K22:K27">
    <cfRule type="expression" dxfId="1640" priority="7">
      <formula>IF(K22="YES",TRUE,FALSE)</formula>
    </cfRule>
    <cfRule type="expression" dxfId="1639" priority="8">
      <formula>IF(K22="NO",TRUE,FALSE)</formula>
    </cfRule>
  </conditionalFormatting>
  <conditionalFormatting sqref="K30:U31">
    <cfRule type="expression" dxfId="1638" priority="4">
      <formula>IF(LEN($K$30)&gt;10,TRUE,FALSE)</formula>
    </cfRule>
    <cfRule type="expression" dxfId="1637" priority="6">
      <formula>IF($Y$29&gt;0,TRUE,FALSE)</formula>
    </cfRule>
  </conditionalFormatting>
  <conditionalFormatting sqref="K27">
    <cfRule type="expression" dxfId="1636" priority="3">
      <formula>IF($K$27&gt;0,TRUE,FALSE)</formula>
    </cfRule>
  </conditionalFormatting>
  <conditionalFormatting sqref="Y27:Z27">
    <cfRule type="expression" dxfId="1635" priority="1">
      <formula>IF(K27&gt;0,TRUE,FALSE)</formula>
    </cfRule>
  </conditionalFormatting>
  <dataValidations count="3">
    <dataValidation type="list" allowBlank="1" showErrorMessage="1" errorTitle="Wrong Text Entered" error="Please only enter YES or NO in the yellow highlighted boxes." sqref="K22:K25" xr:uid="{00000000-0002-0000-0000-000000000000}">
      <formula1>"YES, NO"</formula1>
    </dataValidation>
    <dataValidation type="whole" showErrorMessage="1" errorTitle="Wrong Text Entered" error="Please enter a number into this cell." sqref="K27" xr:uid="{00000000-0002-0000-0000-000001000000}">
      <formula1>0</formula1>
      <formula2>63</formula2>
    </dataValidation>
    <dataValidation type="list" allowBlank="1" showErrorMessage="1" errorTitle="Wrong Text Entered" error="Please only enter YES or NO in the yellow highlighted boxes." sqref="K26" xr:uid="{00000000-0002-0000-0000-000002000000}">
      <formula1>"YES, NO, N/A"</formula1>
    </dataValidation>
  </dataValidations>
  <printOptions horizontalCentered="1"/>
  <pageMargins left="0" right="0" top="1.5" bottom="0" header="0.3" footer="0.3"/>
  <pageSetup scale="74" orientation="portrait" r:id="rId1"/>
  <headerFooter>
    <oddFooter>&amp;R&amp;D</oddFooter>
  </headerFooter>
  <drawing r:id="rId2"/>
  <legacyDrawing r:id="rId3"/>
  <controls>
    <mc:AlternateContent xmlns:mc="http://schemas.openxmlformats.org/markup-compatibility/2006">
      <mc:Choice Requires="x14">
        <control shapeId="5123" r:id="rId4" name="CommandButton1">
          <controlPr defaultSize="0" disabled="1" autoFill="0" autoLine="0" autoPict="0" r:id="rId5">
            <anchor moveWithCells="1">
              <from>
                <xdr:col>24</xdr:col>
                <xdr:colOff>68580</xdr:colOff>
                <xdr:row>2</xdr:row>
                <xdr:rowOff>99060</xdr:rowOff>
              </from>
              <to>
                <xdr:col>24</xdr:col>
                <xdr:colOff>2613660</xdr:colOff>
                <xdr:row>6</xdr:row>
                <xdr:rowOff>160020</xdr:rowOff>
              </to>
            </anchor>
          </controlPr>
        </control>
      </mc:Choice>
      <mc:Fallback>
        <control shapeId="5123" r:id="rId4" name="CommandButton1"/>
      </mc:Fallback>
    </mc:AlternateContent>
    <mc:AlternateContent xmlns:mc="http://schemas.openxmlformats.org/markup-compatibility/2006">
      <mc:Choice Requires="x14">
        <control shapeId="5122" r:id="rId6" name="Button 2">
          <controlPr defaultSize="0" print="0" autoFill="0" autoPict="0" macro="[0]!print_form">
            <anchor moveWithCells="1" sizeWithCells="1">
              <from>
                <xdr:col>24</xdr:col>
                <xdr:colOff>99060</xdr:colOff>
                <xdr:row>7</xdr:row>
                <xdr:rowOff>60960</xdr:rowOff>
              </from>
              <to>
                <xdr:col>24</xdr:col>
                <xdr:colOff>2613660</xdr:colOff>
                <xdr:row>7</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B2:H75"/>
  <sheetViews>
    <sheetView showGridLines="0" topLeftCell="A7" workbookViewId="0">
      <selection activeCell="K17" sqref="K17"/>
    </sheetView>
  </sheetViews>
  <sheetFormatPr defaultRowHeight="13.8" x14ac:dyDescent="0.25"/>
  <cols>
    <col min="2" max="2" width="11.19921875" customWidth="1"/>
    <col min="3" max="4" width="13.69921875" customWidth="1"/>
    <col min="5" max="5" width="1.19921875" customWidth="1"/>
    <col min="6" max="6" width="11.19921875" customWidth="1"/>
    <col min="7" max="8" width="13.69921875" customWidth="1"/>
  </cols>
  <sheetData>
    <row r="2" spans="2:8" ht="36" customHeight="1" thickBot="1" x14ac:dyDescent="0.3">
      <c r="D2" s="204" t="s">
        <v>74</v>
      </c>
      <c r="E2" s="204"/>
      <c r="F2" s="204"/>
    </row>
    <row r="3" spans="2:8" ht="22.5" customHeight="1" thickBot="1" x14ac:dyDescent="0.3">
      <c r="B3" s="205" t="s">
        <v>75</v>
      </c>
      <c r="C3" s="206"/>
      <c r="D3" s="207"/>
      <c r="F3" s="205" t="s">
        <v>76</v>
      </c>
      <c r="G3" s="206"/>
      <c r="H3" s="207"/>
    </row>
    <row r="4" spans="2:8" ht="33.75" customHeight="1" thickBot="1" x14ac:dyDescent="0.3">
      <c r="B4" s="55" t="s">
        <v>80</v>
      </c>
      <c r="C4" s="208"/>
      <c r="D4" s="209"/>
      <c r="E4" s="54"/>
      <c r="F4" s="55" t="s">
        <v>80</v>
      </c>
      <c r="G4" s="208"/>
      <c r="H4" s="209"/>
    </row>
    <row r="5" spans="2:8" ht="33.75" customHeight="1" thickBot="1" x14ac:dyDescent="0.3">
      <c r="B5" s="55" t="s">
        <v>77</v>
      </c>
      <c r="C5" s="208"/>
      <c r="D5" s="209"/>
      <c r="E5" s="54"/>
      <c r="F5" s="55" t="s">
        <v>77</v>
      </c>
      <c r="G5" s="208"/>
      <c r="H5" s="209"/>
    </row>
    <row r="6" spans="2:8" ht="33.75" customHeight="1" thickBot="1" x14ac:dyDescent="0.3">
      <c r="B6" s="55" t="s">
        <v>78</v>
      </c>
      <c r="C6" s="208"/>
      <c r="D6" s="209"/>
      <c r="E6" s="54"/>
      <c r="F6" s="55" t="s">
        <v>78</v>
      </c>
      <c r="G6" s="208"/>
      <c r="H6" s="209"/>
    </row>
    <row r="7" spans="2:8" ht="33.75" customHeight="1" thickBot="1" x14ac:dyDescent="0.3">
      <c r="B7" s="55" t="s">
        <v>79</v>
      </c>
      <c r="C7" s="208"/>
      <c r="D7" s="209"/>
      <c r="E7" s="54"/>
      <c r="F7" s="55" t="s">
        <v>79</v>
      </c>
      <c r="G7" s="208"/>
      <c r="H7" s="209"/>
    </row>
    <row r="8" spans="2:8" ht="11.25" customHeight="1" x14ac:dyDescent="0.25"/>
    <row r="9" spans="2:8" ht="30.6" thickBot="1" x14ac:dyDescent="0.3">
      <c r="D9" s="204" t="s">
        <v>81</v>
      </c>
      <c r="E9" s="204"/>
      <c r="F9" s="204"/>
    </row>
    <row r="10" spans="2:8" ht="22.5" customHeight="1" thickBot="1" x14ac:dyDescent="0.3">
      <c r="B10" s="210" t="s">
        <v>75</v>
      </c>
      <c r="C10" s="211"/>
      <c r="D10" s="212"/>
      <c r="F10" s="210" t="s">
        <v>76</v>
      </c>
      <c r="G10" s="211"/>
      <c r="H10" s="212"/>
    </row>
    <row r="11" spans="2:8" ht="33.75" customHeight="1" thickBot="1" x14ac:dyDescent="0.3">
      <c r="B11" s="55" t="s">
        <v>80</v>
      </c>
      <c r="C11" s="208"/>
      <c r="D11" s="209"/>
      <c r="E11" s="54"/>
      <c r="F11" s="55" t="s">
        <v>80</v>
      </c>
      <c r="G11" s="208"/>
      <c r="H11" s="209"/>
    </row>
    <row r="12" spans="2:8" ht="33.75" customHeight="1" thickBot="1" x14ac:dyDescent="0.3">
      <c r="B12" s="55" t="s">
        <v>82</v>
      </c>
      <c r="C12" s="208"/>
      <c r="D12" s="209"/>
      <c r="E12" s="54"/>
      <c r="F12" s="55" t="s">
        <v>82</v>
      </c>
      <c r="G12" s="208"/>
      <c r="H12" s="209"/>
    </row>
    <row r="13" spans="2:8" ht="33.75" customHeight="1" thickBot="1" x14ac:dyDescent="0.3">
      <c r="B13" s="55" t="s">
        <v>77</v>
      </c>
      <c r="C13" s="208"/>
      <c r="D13" s="209"/>
      <c r="E13" s="54"/>
      <c r="F13" s="55" t="s">
        <v>77</v>
      </c>
      <c r="G13" s="208"/>
      <c r="H13" s="209"/>
    </row>
    <row r="14" spans="2:8" ht="33.75" customHeight="1" thickBot="1" x14ac:dyDescent="0.3">
      <c r="B14" s="55" t="s">
        <v>78</v>
      </c>
      <c r="C14" s="208"/>
      <c r="D14" s="209"/>
      <c r="E14" s="54"/>
      <c r="F14" s="55" t="s">
        <v>78</v>
      </c>
      <c r="G14" s="208"/>
      <c r="H14" s="209"/>
    </row>
    <row r="15" spans="2:8" ht="33.75" customHeight="1" thickBot="1" x14ac:dyDescent="0.3">
      <c r="B15" s="55" t="s">
        <v>79</v>
      </c>
      <c r="C15" s="208"/>
      <c r="D15" s="209"/>
      <c r="F15" s="55" t="s">
        <v>79</v>
      </c>
      <c r="G15" s="208"/>
      <c r="H15" s="209"/>
    </row>
    <row r="16" spans="2:8" ht="33.75" customHeight="1" thickBot="1" x14ac:dyDescent="0.3">
      <c r="B16" s="55" t="s">
        <v>83</v>
      </c>
      <c r="C16" s="208"/>
      <c r="D16" s="209"/>
      <c r="F16" s="55" t="s">
        <v>83</v>
      </c>
      <c r="G16" s="208"/>
      <c r="H16" s="209"/>
    </row>
    <row r="17" spans="2:8" ht="33.75" customHeight="1" thickBot="1" x14ac:dyDescent="0.3">
      <c r="B17" s="55" t="s">
        <v>84</v>
      </c>
      <c r="C17" s="208"/>
      <c r="D17" s="209"/>
      <c r="F17" s="55" t="s">
        <v>84</v>
      </c>
      <c r="G17" s="208"/>
      <c r="H17" s="209"/>
    </row>
    <row r="18" spans="2:8" ht="33.75" customHeight="1" thickBot="1" x14ac:dyDescent="0.3">
      <c r="B18" s="55" t="s">
        <v>85</v>
      </c>
      <c r="C18" s="208"/>
      <c r="D18" s="209"/>
      <c r="F18" s="55" t="s">
        <v>85</v>
      </c>
      <c r="G18" s="208"/>
      <c r="H18" s="209"/>
    </row>
    <row r="19" spans="2:8" ht="33.75" customHeight="1" thickBot="1" x14ac:dyDescent="0.3">
      <c r="B19" s="55" t="s">
        <v>86</v>
      </c>
      <c r="C19" s="208"/>
      <c r="D19" s="209"/>
      <c r="F19" s="55" t="s">
        <v>86</v>
      </c>
      <c r="G19" s="208"/>
      <c r="H19" s="209"/>
    </row>
    <row r="20" spans="2:8" ht="11.25" customHeight="1" x14ac:dyDescent="0.25"/>
    <row r="21" spans="2:8" ht="33.75" customHeight="1" thickBot="1" x14ac:dyDescent="0.3">
      <c r="C21" s="204" t="s">
        <v>87</v>
      </c>
      <c r="D21" s="204"/>
      <c r="E21" s="204"/>
      <c r="F21" s="204"/>
      <c r="G21" s="204"/>
    </row>
    <row r="22" spans="2:8" ht="33.75" customHeight="1" thickBot="1" x14ac:dyDescent="0.3">
      <c r="B22" s="55" t="s">
        <v>82</v>
      </c>
      <c r="C22" s="208"/>
      <c r="D22" s="209"/>
      <c r="F22" s="55" t="s">
        <v>80</v>
      </c>
      <c r="G22" s="208"/>
      <c r="H22" s="209"/>
    </row>
    <row r="23" spans="2:8" ht="33.75" customHeight="1" thickBot="1" x14ac:dyDescent="0.3">
      <c r="B23" s="55" t="s">
        <v>77</v>
      </c>
      <c r="C23" s="208"/>
      <c r="D23" s="209"/>
      <c r="F23" s="55" t="s">
        <v>83</v>
      </c>
      <c r="G23" s="208"/>
      <c r="H23" s="209"/>
    </row>
    <row r="24" spans="2:8" ht="33.75" customHeight="1" thickBot="1" x14ac:dyDescent="0.3">
      <c r="B24" s="55" t="s">
        <v>78</v>
      </c>
      <c r="C24" s="208"/>
      <c r="D24" s="209"/>
      <c r="F24" s="55" t="s">
        <v>85</v>
      </c>
      <c r="G24" s="208"/>
      <c r="H24" s="209"/>
    </row>
    <row r="25" spans="2:8" ht="33.75" customHeight="1" thickBot="1" x14ac:dyDescent="0.3">
      <c r="B25" s="55" t="s">
        <v>79</v>
      </c>
      <c r="C25" s="208"/>
      <c r="D25" s="209"/>
      <c r="F25" s="55" t="s">
        <v>86</v>
      </c>
      <c r="G25" s="208"/>
      <c r="H25" s="209"/>
    </row>
    <row r="26" spans="2:8" ht="33.75" customHeight="1" x14ac:dyDescent="0.25"/>
    <row r="27" spans="2:8" ht="33.75" customHeight="1" x14ac:dyDescent="0.25"/>
    <row r="28" spans="2:8" ht="33.75" customHeight="1" x14ac:dyDescent="0.25"/>
    <row r="29" spans="2:8" ht="33.75" customHeight="1" x14ac:dyDescent="0.25"/>
    <row r="30" spans="2:8" ht="33.75" customHeight="1" x14ac:dyDescent="0.25"/>
    <row r="31" spans="2:8" ht="33.75" customHeight="1" x14ac:dyDescent="0.25"/>
    <row r="32" spans="2:8" ht="33.75" customHeight="1" x14ac:dyDescent="0.25"/>
    <row r="33" ht="33.75" customHeight="1" x14ac:dyDescent="0.25"/>
    <row r="34" ht="33.75" customHeight="1" x14ac:dyDescent="0.25"/>
    <row r="35" ht="33.75" customHeight="1" x14ac:dyDescent="0.25"/>
    <row r="36" ht="33.75" customHeight="1" x14ac:dyDescent="0.25"/>
    <row r="37" ht="33.75" customHeight="1" x14ac:dyDescent="0.25"/>
    <row r="38" ht="33.75" customHeight="1" x14ac:dyDescent="0.25"/>
    <row r="39" ht="33.75" customHeight="1" x14ac:dyDescent="0.25"/>
    <row r="40" ht="33.75" customHeight="1" x14ac:dyDescent="0.25"/>
    <row r="41" ht="33.75" customHeight="1" x14ac:dyDescent="0.25"/>
    <row r="42" ht="33.75" customHeight="1" x14ac:dyDescent="0.25"/>
    <row r="43" ht="33.75" customHeight="1" x14ac:dyDescent="0.25"/>
    <row r="44" ht="33.75" customHeight="1" x14ac:dyDescent="0.25"/>
    <row r="45" ht="33.75" customHeight="1" x14ac:dyDescent="0.25"/>
    <row r="46" ht="33.75" customHeight="1" x14ac:dyDescent="0.25"/>
    <row r="47" ht="33.75" customHeight="1" x14ac:dyDescent="0.25"/>
    <row r="48" ht="33.75" customHeight="1" x14ac:dyDescent="0.25"/>
    <row r="49" ht="33.75" customHeight="1" x14ac:dyDescent="0.25"/>
    <row r="50" ht="33.75" customHeight="1" x14ac:dyDescent="0.25"/>
    <row r="51" ht="33.75" customHeight="1" x14ac:dyDescent="0.25"/>
    <row r="52" ht="33.75" customHeight="1" x14ac:dyDescent="0.25"/>
    <row r="53" ht="33.75" customHeight="1" x14ac:dyDescent="0.25"/>
    <row r="54" ht="33.75" customHeight="1" x14ac:dyDescent="0.25"/>
    <row r="55" ht="33.75" customHeight="1" x14ac:dyDescent="0.25"/>
    <row r="56" ht="33.75" customHeight="1" x14ac:dyDescent="0.25"/>
    <row r="57" ht="33.75" customHeight="1" x14ac:dyDescent="0.25"/>
    <row r="58" ht="33.75" customHeight="1" x14ac:dyDescent="0.25"/>
    <row r="59" ht="33.75" customHeight="1" x14ac:dyDescent="0.25"/>
    <row r="60" ht="33.75" customHeight="1" x14ac:dyDescent="0.25"/>
    <row r="61" ht="33.75" customHeight="1" x14ac:dyDescent="0.25"/>
    <row r="62" ht="33.75" customHeight="1" x14ac:dyDescent="0.25"/>
    <row r="63" ht="33.75" customHeight="1" x14ac:dyDescent="0.25"/>
    <row r="64" ht="33.75" customHeight="1" x14ac:dyDescent="0.25"/>
    <row r="65" ht="33.75" customHeight="1" x14ac:dyDescent="0.25"/>
    <row r="66" ht="33.75" customHeight="1" x14ac:dyDescent="0.25"/>
    <row r="67" ht="33.75" customHeight="1" x14ac:dyDescent="0.25"/>
    <row r="68" ht="33.75" customHeight="1" x14ac:dyDescent="0.25"/>
    <row r="69" ht="33.75" customHeight="1" x14ac:dyDescent="0.25"/>
    <row r="70" ht="33.75" customHeight="1" x14ac:dyDescent="0.25"/>
    <row r="71" ht="33.75" customHeight="1" x14ac:dyDescent="0.25"/>
    <row r="72" ht="33.75" customHeight="1" x14ac:dyDescent="0.25"/>
    <row r="73" ht="33.75" customHeight="1" x14ac:dyDescent="0.25"/>
    <row r="74" ht="33.75" customHeight="1" x14ac:dyDescent="0.25"/>
    <row r="75" ht="33.75" customHeight="1" x14ac:dyDescent="0.25"/>
  </sheetData>
  <sheetProtection algorithmName="SHA-512" hashValue="36PsyMAJyUghn3bnc5CGoy8R9mfQoW7TrCotxscuLEVo8KrsEd+4J26Rt1cI7LXFPusmAz3Y73dhTOHLtImsJQ==" saltValue="S4Y5h04yEpUNz26bvL1+qg==" spinCount="100000" sheet="1" objects="1" scenarios="1"/>
  <mergeCells count="41">
    <mergeCell ref="C21:G21"/>
    <mergeCell ref="G25:H25"/>
    <mergeCell ref="G24:H24"/>
    <mergeCell ref="G23:H23"/>
    <mergeCell ref="G22:H22"/>
    <mergeCell ref="C22:D22"/>
    <mergeCell ref="C23:D23"/>
    <mergeCell ref="C24:D24"/>
    <mergeCell ref="C25:D25"/>
    <mergeCell ref="C19:D19"/>
    <mergeCell ref="G15:H15"/>
    <mergeCell ref="G16:H16"/>
    <mergeCell ref="G19:H19"/>
    <mergeCell ref="C17:D17"/>
    <mergeCell ref="G17:H17"/>
    <mergeCell ref="C18:D18"/>
    <mergeCell ref="G18:H18"/>
    <mergeCell ref="C15:D15"/>
    <mergeCell ref="C16:D16"/>
    <mergeCell ref="C13:D13"/>
    <mergeCell ref="G13:H13"/>
    <mergeCell ref="C14:D14"/>
    <mergeCell ref="G14:H14"/>
    <mergeCell ref="B10:D10"/>
    <mergeCell ref="F10:H10"/>
    <mergeCell ref="C11:D11"/>
    <mergeCell ref="G11:H11"/>
    <mergeCell ref="C12:D12"/>
    <mergeCell ref="G12:H12"/>
    <mergeCell ref="D9:F9"/>
    <mergeCell ref="D2:F2"/>
    <mergeCell ref="B3:D3"/>
    <mergeCell ref="C7:D7"/>
    <mergeCell ref="C6:D6"/>
    <mergeCell ref="C5:D5"/>
    <mergeCell ref="C4:D4"/>
    <mergeCell ref="F3:H3"/>
    <mergeCell ref="G7:H7"/>
    <mergeCell ref="G6:H6"/>
    <mergeCell ref="G5:H5"/>
    <mergeCell ref="G4:H4"/>
  </mergeCells>
  <printOptions horizontalCentered="1"/>
  <pageMargins left="0" right="0" top="1" bottom="0" header="0.3" footer="0.3"/>
  <pageSetup scale="98"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printsimple">
                <anchor moveWithCells="1" sizeWithCells="1">
                  <from>
                    <xdr:col>9</xdr:col>
                    <xdr:colOff>137160</xdr:colOff>
                    <xdr:row>2</xdr:row>
                    <xdr:rowOff>76200</xdr:rowOff>
                  </from>
                  <to>
                    <xdr:col>11</xdr:col>
                    <xdr:colOff>190500</xdr:colOff>
                    <xdr:row>3</xdr:row>
                    <xdr:rowOff>365760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F30"/>
  <sheetViews>
    <sheetView showGridLines="0" topLeftCell="A19" workbookViewId="0">
      <selection activeCell="B29" sqref="B2:F30"/>
    </sheetView>
  </sheetViews>
  <sheetFormatPr defaultRowHeight="13.8" x14ac:dyDescent="0.25"/>
  <cols>
    <col min="2" max="6" width="7.69921875" customWidth="1"/>
  </cols>
  <sheetData>
    <row r="1" spans="2:6" ht="14.4" thickBot="1" x14ac:dyDescent="0.3"/>
    <row r="2" spans="2:6" ht="16.5" customHeight="1" x14ac:dyDescent="0.25">
      <c r="B2" s="261" t="s">
        <v>33</v>
      </c>
      <c r="C2" s="263">
        <f ca="1">TODAY()</f>
        <v>44308</v>
      </c>
      <c r="D2" s="263"/>
      <c r="E2" s="265">
        <f ca="1">NOW()</f>
        <v>44308.249858449075</v>
      </c>
      <c r="F2" s="83"/>
    </row>
    <row r="3" spans="2:6" ht="16.5" customHeight="1" thickBot="1" x14ac:dyDescent="0.3">
      <c r="B3" s="262"/>
      <c r="C3" s="264"/>
      <c r="D3" s="264"/>
      <c r="E3" s="266"/>
      <c r="F3" s="84"/>
    </row>
    <row r="4" spans="2:6" ht="16.5" customHeight="1" thickBot="1" x14ac:dyDescent="0.3">
      <c r="B4" s="58" t="s">
        <v>0</v>
      </c>
      <c r="C4" s="59"/>
      <c r="D4" s="60"/>
      <c r="E4" s="213" t="str">
        <f>IF('DATA ENTRY'!K22=0,"",'DATA ENTRY'!K22)</f>
        <v/>
      </c>
      <c r="F4" s="214"/>
    </row>
    <row r="5" spans="2:6" ht="16.5" customHeight="1" thickBot="1" x14ac:dyDescent="0.35">
      <c r="B5" s="61" t="s">
        <v>56</v>
      </c>
      <c r="C5" s="62"/>
      <c r="D5" s="62"/>
      <c r="E5" s="233">
        <f>E6+E7</f>
        <v>0</v>
      </c>
      <c r="F5" s="234"/>
    </row>
    <row r="6" spans="2:6" ht="16.5" customHeight="1" thickBot="1" x14ac:dyDescent="0.3">
      <c r="B6" s="63" t="s">
        <v>54</v>
      </c>
      <c r="C6" s="62"/>
      <c r="D6" s="62"/>
      <c r="E6" s="237">
        <f>'DATA ENTRY'!AB9</f>
        <v>0</v>
      </c>
      <c r="F6" s="238"/>
    </row>
    <row r="7" spans="2:6" ht="16.5" customHeight="1" thickBot="1" x14ac:dyDescent="0.3">
      <c r="B7" s="63" t="s">
        <v>55</v>
      </c>
      <c r="C7" s="62"/>
      <c r="D7" s="62"/>
      <c r="E7" s="237">
        <f>'DATA ENTRY'!AB21</f>
        <v>0</v>
      </c>
      <c r="F7" s="238"/>
    </row>
    <row r="8" spans="2:6" ht="16.5" customHeight="1" thickBot="1" x14ac:dyDescent="0.35">
      <c r="B8" s="61" t="s">
        <v>38</v>
      </c>
      <c r="C8" s="62"/>
      <c r="D8" s="62"/>
      <c r="E8" s="235">
        <f>'DATA ENTRY'!AB27</f>
        <v>0</v>
      </c>
      <c r="F8" s="236"/>
    </row>
    <row r="9" spans="2:6" ht="16.5" customHeight="1" thickBot="1" x14ac:dyDescent="0.35">
      <c r="B9" s="61" t="s">
        <v>43</v>
      </c>
      <c r="C9" s="62"/>
      <c r="D9" s="62"/>
      <c r="E9" s="233">
        <f ca="1">E16+E10</f>
        <v>0</v>
      </c>
      <c r="F9" s="234"/>
    </row>
    <row r="10" spans="2:6" ht="16.5" customHeight="1" x14ac:dyDescent="0.25">
      <c r="B10" s="267" t="s">
        <v>2</v>
      </c>
      <c r="C10" s="268"/>
      <c r="D10" s="269"/>
      <c r="E10" s="231">
        <f ca="1">D12+D13+D14+D15</f>
        <v>0</v>
      </c>
      <c r="F10" s="232"/>
    </row>
    <row r="11" spans="2:6" ht="16.5" customHeight="1" x14ac:dyDescent="0.25">
      <c r="B11" s="252" t="s">
        <v>4</v>
      </c>
      <c r="C11" s="253"/>
      <c r="D11" s="228"/>
      <c r="E11" s="229"/>
      <c r="F11" s="230"/>
    </row>
    <row r="12" spans="2:6" ht="16.5" customHeight="1" x14ac:dyDescent="0.25">
      <c r="B12" s="217" t="str">
        <f ca="1">'DATA ENTRY'!AB30</f>
        <v>YELLOW</v>
      </c>
      <c r="C12" s="218"/>
      <c r="D12" s="222">
        <f ca="1">SUMIF('DATA ENTRY'!$AF$3:$AI$3,$B12,'DATA ENTRY'!$AF$9:$AI$9)</f>
        <v>0</v>
      </c>
      <c r="E12" s="223"/>
      <c r="F12" s="224"/>
    </row>
    <row r="13" spans="2:6" ht="16.5" customHeight="1" x14ac:dyDescent="0.25">
      <c r="B13" s="217" t="str">
        <f ca="1">'DATA ENTRY'!AC30</f>
        <v>PINK</v>
      </c>
      <c r="C13" s="218"/>
      <c r="D13" s="222">
        <f ca="1">SUMIF('DATA ENTRY'!$AF$3:$AI$3,$B13,'DATA ENTRY'!$AF$9:$AI$9)</f>
        <v>0</v>
      </c>
      <c r="E13" s="223"/>
      <c r="F13" s="224"/>
    </row>
    <row r="14" spans="2:6" ht="16.5" customHeight="1" x14ac:dyDescent="0.25">
      <c r="B14" s="217" t="str">
        <f ca="1">'DATA ENTRY'!AD30</f>
        <v/>
      </c>
      <c r="C14" s="218"/>
      <c r="D14" s="222">
        <f ca="1">SUMIF('DATA ENTRY'!$AF$3:$AI$3,$B14,'DATA ENTRY'!$AF$9:$AI$9)</f>
        <v>0</v>
      </c>
      <c r="E14" s="223"/>
      <c r="F14" s="224"/>
    </row>
    <row r="15" spans="2:6" ht="16.5" customHeight="1" thickBot="1" x14ac:dyDescent="0.3">
      <c r="B15" s="215" t="str">
        <f ca="1">'DATA ENTRY'!AE30</f>
        <v>BLUE</v>
      </c>
      <c r="C15" s="216"/>
      <c r="D15" s="225">
        <f ca="1">SUMIF('DATA ENTRY'!$AF$3:$AI$3,$B15,'DATA ENTRY'!$AF$9:$AI$9)</f>
        <v>0</v>
      </c>
      <c r="E15" s="226"/>
      <c r="F15" s="227"/>
    </row>
    <row r="16" spans="2:6" ht="16.5" customHeight="1" x14ac:dyDescent="0.25">
      <c r="B16" s="267" t="s">
        <v>5</v>
      </c>
      <c r="C16" s="268"/>
      <c r="D16" s="269"/>
      <c r="E16" s="239">
        <f ca="1">D18+D19+D20+D21</f>
        <v>0</v>
      </c>
      <c r="F16" s="240"/>
    </row>
    <row r="17" spans="2:6" ht="16.5" customHeight="1" x14ac:dyDescent="0.25">
      <c r="B17" s="252" t="s">
        <v>4</v>
      </c>
      <c r="C17" s="253"/>
      <c r="D17" s="228"/>
      <c r="E17" s="229"/>
      <c r="F17" s="230"/>
    </row>
    <row r="18" spans="2:6" ht="16.5" customHeight="1" x14ac:dyDescent="0.25">
      <c r="B18" s="217" t="str">
        <f ca="1">B12</f>
        <v>YELLOW</v>
      </c>
      <c r="C18" s="218"/>
      <c r="D18" s="222">
        <f ca="1">SUMIF('DATA ENTRY'!$AF$10:$AI$10,$B18,'DATA ENTRY'!$AF$22:$AI$22)</f>
        <v>0</v>
      </c>
      <c r="E18" s="223"/>
      <c r="F18" s="224"/>
    </row>
    <row r="19" spans="2:6" ht="16.5" customHeight="1" x14ac:dyDescent="0.25">
      <c r="B19" s="217" t="str">
        <f ca="1">B13</f>
        <v>PINK</v>
      </c>
      <c r="C19" s="218"/>
      <c r="D19" s="222">
        <f ca="1">SUMIF('DATA ENTRY'!$AF$10:$AI$10,$B19,'DATA ENTRY'!$AF$22:$AI$22)</f>
        <v>0</v>
      </c>
      <c r="E19" s="223"/>
      <c r="F19" s="224"/>
    </row>
    <row r="20" spans="2:6" ht="16.5" customHeight="1" x14ac:dyDescent="0.25">
      <c r="B20" s="217" t="str">
        <f ca="1">B14</f>
        <v/>
      </c>
      <c r="C20" s="218"/>
      <c r="D20" s="219">
        <f ca="1">SUMIF('DATA ENTRY'!$AF$10:$AI$10,$B20,'DATA ENTRY'!$AF$22:$AI$22)</f>
        <v>0</v>
      </c>
      <c r="E20" s="220"/>
      <c r="F20" s="221"/>
    </row>
    <row r="21" spans="2:6" ht="16.5" customHeight="1" thickBot="1" x14ac:dyDescent="0.3">
      <c r="B21" s="215" t="str">
        <f ca="1">B15</f>
        <v>BLUE</v>
      </c>
      <c r="C21" s="216"/>
      <c r="D21" s="225">
        <f ca="1">SUMIF('DATA ENTRY'!$AF$10:$AI$10,$B21,'DATA ENTRY'!$AF$22:$AI$22)</f>
        <v>0</v>
      </c>
      <c r="E21" s="226"/>
      <c r="F21" s="227"/>
    </row>
    <row r="22" spans="2:6" ht="16.5" customHeight="1" x14ac:dyDescent="0.3">
      <c r="B22" s="133" t="s">
        <v>285</v>
      </c>
      <c r="C22" s="65"/>
      <c r="D22" s="66"/>
      <c r="E22" s="256" t="str">
        <f>IF('DATA ENTRY'!K25=0,"",'DATA ENTRY'!K25)</f>
        <v/>
      </c>
      <c r="F22" s="257"/>
    </row>
    <row r="23" spans="2:6" ht="16.5" customHeight="1" x14ac:dyDescent="0.3">
      <c r="B23" s="67" t="s">
        <v>89</v>
      </c>
      <c r="C23" s="68"/>
      <c r="D23" s="69"/>
      <c r="E23" s="250" t="str">
        <f>IF('DATA ENTRY'!K24=0,"",'DATA ENTRY'!K24)</f>
        <v/>
      </c>
      <c r="F23" s="251"/>
    </row>
    <row r="24" spans="2:6" ht="16.5" customHeight="1" x14ac:dyDescent="0.3">
      <c r="B24" s="67" t="s">
        <v>88</v>
      </c>
      <c r="C24" s="68"/>
      <c r="D24" s="69"/>
      <c r="E24" s="250" t="str">
        <f>IF('DATA ENTRY'!K23=0,"",'DATA ENTRY'!K23)</f>
        <v/>
      </c>
      <c r="F24" s="251"/>
    </row>
    <row r="25" spans="2:6" ht="16.5" customHeight="1" x14ac:dyDescent="0.3">
      <c r="B25" s="67" t="s">
        <v>289</v>
      </c>
      <c r="C25" s="68"/>
      <c r="D25" s="69"/>
      <c r="E25" s="254">
        <f>IF('DATA ENTRY'!K27=0,0,'DATA ENTRY'!K27)</f>
        <v>0</v>
      </c>
      <c r="F25" s="255"/>
    </row>
    <row r="26" spans="2:6" ht="16.5" customHeight="1" x14ac:dyDescent="0.3">
      <c r="B26" s="258" t="s">
        <v>288</v>
      </c>
      <c r="C26" s="259"/>
      <c r="D26" s="260"/>
      <c r="E26" s="250" t="str">
        <f>IF('DATA ENTRY'!K26="","",'DATA ENTRY'!K26)</f>
        <v/>
      </c>
      <c r="F26" s="251"/>
    </row>
    <row r="27" spans="2:6" ht="16.5" customHeight="1" x14ac:dyDescent="0.3">
      <c r="B27" s="67" t="s">
        <v>290</v>
      </c>
      <c r="C27" s="68"/>
      <c r="D27" s="69"/>
      <c r="E27" s="250" t="str">
        <f>IF('DATA ENTRY'!K28="","",'DATA ENTRY'!K28)</f>
        <v/>
      </c>
      <c r="F27" s="251"/>
    </row>
    <row r="28" spans="2:6" ht="16.5" customHeight="1" x14ac:dyDescent="0.3">
      <c r="B28" s="247" t="s">
        <v>73</v>
      </c>
      <c r="C28" s="248"/>
      <c r="D28" s="248"/>
      <c r="E28" s="248"/>
      <c r="F28" s="249"/>
    </row>
    <row r="29" spans="2:6" ht="47.25" customHeight="1" x14ac:dyDescent="0.25">
      <c r="B29" s="241" t="str">
        <f>IF('DATA ENTRY'!K30=0,"",'DATA ENTRY'!K30)</f>
        <v/>
      </c>
      <c r="C29" s="242"/>
      <c r="D29" s="242"/>
      <c r="E29" s="242"/>
      <c r="F29" s="243"/>
    </row>
    <row r="30" spans="2:6" ht="47.25" customHeight="1" thickBot="1" x14ac:dyDescent="0.3">
      <c r="B30" s="244"/>
      <c r="C30" s="245"/>
      <c r="D30" s="245"/>
      <c r="E30" s="245"/>
      <c r="F30" s="246"/>
    </row>
  </sheetData>
  <sheetProtection algorithmName="SHA-512" hashValue="u4MTN6e1iCyIczXThK9W7p49RnVSb/6GRq4ser4OILdePpb+eJr/yTLCDip8RvKrTE91LFOmh+lF5dzZTOPXFA==" saltValue="Gz4bL68OCNGfkkcQ1teyLw==" spinCount="100000" sheet="1" objects="1" scenarios="1"/>
  <mergeCells count="42">
    <mergeCell ref="B2:B3"/>
    <mergeCell ref="C2:D3"/>
    <mergeCell ref="E2:E3"/>
    <mergeCell ref="B10:D10"/>
    <mergeCell ref="B16:D16"/>
    <mergeCell ref="D13:F13"/>
    <mergeCell ref="D12:F12"/>
    <mergeCell ref="B15:C15"/>
    <mergeCell ref="B13:C13"/>
    <mergeCell ref="B14:C14"/>
    <mergeCell ref="D15:F15"/>
    <mergeCell ref="D14:F14"/>
    <mergeCell ref="B11:C11"/>
    <mergeCell ref="B12:C12"/>
    <mergeCell ref="E6:F6"/>
    <mergeCell ref="E5:F5"/>
    <mergeCell ref="B29:F30"/>
    <mergeCell ref="B28:F28"/>
    <mergeCell ref="E27:F27"/>
    <mergeCell ref="B17:C17"/>
    <mergeCell ref="B18:C18"/>
    <mergeCell ref="D18:F18"/>
    <mergeCell ref="E26:F26"/>
    <mergeCell ref="E25:F25"/>
    <mergeCell ref="E24:F24"/>
    <mergeCell ref="E23:F23"/>
    <mergeCell ref="E22:F22"/>
    <mergeCell ref="B26:D26"/>
    <mergeCell ref="E4:F4"/>
    <mergeCell ref="B21:C21"/>
    <mergeCell ref="B20:C20"/>
    <mergeCell ref="D20:F20"/>
    <mergeCell ref="D19:F19"/>
    <mergeCell ref="D21:F21"/>
    <mergeCell ref="B19:C19"/>
    <mergeCell ref="D11:F11"/>
    <mergeCell ref="E10:F10"/>
    <mergeCell ref="E9:F9"/>
    <mergeCell ref="E8:F8"/>
    <mergeCell ref="E7:F7"/>
    <mergeCell ref="D17:F17"/>
    <mergeCell ref="E16:F16"/>
  </mergeCells>
  <conditionalFormatting sqref="E4 E9 E22:E27">
    <cfRule type="expression" dxfId="1634" priority="3">
      <formula>IF(E4="NO",TRUE,IF(E4="no",TRUE,IF(E4="n",TRUE,IF(E4="N",TRUE,FALSE))))</formula>
    </cfRule>
  </conditionalFormatting>
  <conditionalFormatting sqref="E5">
    <cfRule type="expression" dxfId="1633" priority="2">
      <formula>IF(E5="NO",TRUE,IF(E5="no",TRUE,IF(E5="n",TRUE,IF(E5="N",TRUE,FALSE))))</formula>
    </cfRule>
  </conditionalFormatting>
  <conditionalFormatting sqref="E4">
    <cfRule type="expression" dxfId="1632" priority="1">
      <formula>IF(E4="YES",TRUE,IF(E4="yes",TRUE,IF(E4="y",TRUE,IF(E4="Y",TRUE,FALSE))))</formula>
    </cfRule>
  </conditionalFormatting>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DT32"/>
  <sheetViews>
    <sheetView showGridLines="0" zoomScale="85" zoomScaleNormal="85" workbookViewId="0">
      <selection sqref="A1:A2"/>
    </sheetView>
  </sheetViews>
  <sheetFormatPr defaultColWidth="9" defaultRowHeight="13.8" x14ac:dyDescent="0.25"/>
  <cols>
    <col min="1" max="16384" width="9" style="26"/>
  </cols>
  <sheetData>
    <row r="1" spans="1:2828" s="25" customFormat="1" ht="14.25" customHeight="1" x14ac:dyDescent="0.25">
      <c r="A1" s="261" t="s">
        <v>33</v>
      </c>
      <c r="B1" s="263">
        <v>44308</v>
      </c>
      <c r="C1" s="263"/>
      <c r="D1" s="265">
        <v>44308.249853356479</v>
      </c>
      <c r="E1" s="83"/>
      <c r="F1" s="261" t="s">
        <v>33</v>
      </c>
      <c r="G1" s="263">
        <v>44307</v>
      </c>
      <c r="H1" s="263"/>
      <c r="I1" s="265">
        <v>44307.228240046294</v>
      </c>
      <c r="J1" s="83"/>
      <c r="K1" s="261" t="s">
        <v>33</v>
      </c>
      <c r="L1" s="263">
        <v>44306</v>
      </c>
      <c r="M1" s="263"/>
      <c r="N1" s="265">
        <v>44306.243125925925</v>
      </c>
      <c r="O1" s="83"/>
      <c r="P1" s="261" t="s">
        <v>33</v>
      </c>
      <c r="Q1" s="263">
        <v>44305</v>
      </c>
      <c r="R1" s="263"/>
      <c r="S1" s="265">
        <v>44305.227421296295</v>
      </c>
      <c r="T1" s="83"/>
      <c r="U1" s="261" t="s">
        <v>33</v>
      </c>
      <c r="V1" s="263">
        <v>44304</v>
      </c>
      <c r="W1" s="263"/>
      <c r="X1" s="265">
        <v>44304.088116087965</v>
      </c>
      <c r="Y1" s="83"/>
      <c r="Z1" s="261" t="s">
        <v>33</v>
      </c>
      <c r="AA1" s="263">
        <v>44303</v>
      </c>
      <c r="AB1" s="263"/>
      <c r="AC1" s="265">
        <v>44303.21562800926</v>
      </c>
      <c r="AD1" s="83"/>
      <c r="AE1" s="261" t="s">
        <v>33</v>
      </c>
      <c r="AF1" s="263">
        <v>44302</v>
      </c>
      <c r="AG1" s="263"/>
      <c r="AH1" s="265">
        <v>44302.242604282408</v>
      </c>
      <c r="AI1" s="83"/>
      <c r="AJ1" s="261" t="s">
        <v>33</v>
      </c>
      <c r="AK1" s="263">
        <v>44301</v>
      </c>
      <c r="AL1" s="263"/>
      <c r="AM1" s="265">
        <v>44301.254413888892</v>
      </c>
      <c r="AN1" s="83"/>
      <c r="AO1" s="261" t="s">
        <v>33</v>
      </c>
      <c r="AP1" s="263">
        <v>44300</v>
      </c>
      <c r="AQ1" s="263"/>
      <c r="AR1" s="265">
        <v>44300.231851388889</v>
      </c>
      <c r="AS1" s="83"/>
      <c r="AT1" s="261" t="s">
        <v>33</v>
      </c>
      <c r="AU1" s="263">
        <v>44299</v>
      </c>
      <c r="AV1" s="263"/>
      <c r="AW1" s="265">
        <v>44299.238665393517</v>
      </c>
      <c r="AX1" s="83"/>
      <c r="AY1" s="261" t="s">
        <v>33</v>
      </c>
      <c r="AZ1" s="263">
        <v>44298</v>
      </c>
      <c r="BA1" s="263"/>
      <c r="BB1" s="265">
        <v>44298.225111458334</v>
      </c>
      <c r="BC1" s="83"/>
      <c r="BD1" s="261" t="s">
        <v>33</v>
      </c>
      <c r="BE1" s="263">
        <v>44297</v>
      </c>
      <c r="BF1" s="263"/>
      <c r="BG1" s="265">
        <v>44297.249143171299</v>
      </c>
      <c r="BH1" s="83"/>
      <c r="BI1" s="261" t="s">
        <v>33</v>
      </c>
      <c r="BJ1" s="263">
        <v>44296</v>
      </c>
      <c r="BK1" s="263"/>
      <c r="BL1" s="265">
        <v>44296.24976979167</v>
      </c>
      <c r="BM1" s="83"/>
      <c r="BN1" s="261" t="s">
        <v>33</v>
      </c>
      <c r="BO1" s="263">
        <v>44295</v>
      </c>
      <c r="BP1" s="263"/>
      <c r="BQ1" s="265">
        <v>44295.239961805557</v>
      </c>
      <c r="BR1" s="83"/>
      <c r="BS1" s="261" t="s">
        <v>33</v>
      </c>
      <c r="BT1" s="263">
        <v>44294</v>
      </c>
      <c r="BU1" s="263"/>
      <c r="BV1" s="265">
        <v>44294.246410648149</v>
      </c>
      <c r="BW1" s="83"/>
      <c r="BX1" s="261" t="s">
        <v>33</v>
      </c>
      <c r="BY1" s="263">
        <v>44293</v>
      </c>
      <c r="BZ1" s="263"/>
      <c r="CA1" s="265">
        <v>44293.219620601849</v>
      </c>
      <c r="CB1" s="83"/>
      <c r="CC1" s="261" t="s">
        <v>33</v>
      </c>
      <c r="CD1" s="263">
        <v>44292</v>
      </c>
      <c r="CE1" s="263"/>
      <c r="CF1" s="265">
        <v>44292.236690393518</v>
      </c>
      <c r="CG1" s="83"/>
      <c r="CH1" s="261" t="s">
        <v>33</v>
      </c>
      <c r="CI1" s="263">
        <v>44291</v>
      </c>
      <c r="CJ1" s="263"/>
      <c r="CK1" s="265">
        <v>44291.246363078702</v>
      </c>
      <c r="CL1" s="83"/>
      <c r="CM1" s="261" t="s">
        <v>33</v>
      </c>
      <c r="CN1" s="263">
        <v>44290</v>
      </c>
      <c r="CO1" s="263"/>
      <c r="CP1" s="265">
        <v>44290.245306481484</v>
      </c>
      <c r="CQ1" s="83"/>
      <c r="CR1" s="261" t="s">
        <v>33</v>
      </c>
      <c r="CS1" s="263">
        <v>44290</v>
      </c>
      <c r="CT1" s="263"/>
      <c r="CU1" s="265">
        <v>44290.059684953703</v>
      </c>
      <c r="CV1" s="83"/>
      <c r="CW1" s="261" t="s">
        <v>33</v>
      </c>
      <c r="CX1" s="263">
        <v>44289</v>
      </c>
      <c r="CY1" s="263"/>
      <c r="CZ1" s="265">
        <v>44289.256435185183</v>
      </c>
      <c r="DA1" s="83"/>
      <c r="DB1" s="261" t="s">
        <v>33</v>
      </c>
      <c r="DC1" s="263">
        <v>44288</v>
      </c>
      <c r="DD1" s="263"/>
      <c r="DE1" s="265">
        <v>44288.232260763885</v>
      </c>
      <c r="DF1" s="83"/>
      <c r="DG1" s="261" t="s">
        <v>33</v>
      </c>
      <c r="DH1" s="263">
        <v>44287</v>
      </c>
      <c r="DI1" s="263"/>
      <c r="DJ1" s="265">
        <v>44287.242176504631</v>
      </c>
      <c r="DK1" s="83"/>
      <c r="DL1" s="261" t="s">
        <v>33</v>
      </c>
      <c r="DM1" s="263">
        <v>44286</v>
      </c>
      <c r="DN1" s="263"/>
      <c r="DO1" s="265">
        <v>44286.223409953702</v>
      </c>
      <c r="DP1" s="83"/>
      <c r="DQ1" s="261" t="s">
        <v>33</v>
      </c>
      <c r="DR1" s="263">
        <v>44285</v>
      </c>
      <c r="DS1" s="263"/>
      <c r="DT1" s="265">
        <v>44285.222067476854</v>
      </c>
      <c r="DU1" s="83"/>
      <c r="DV1" s="261" t="s">
        <v>33</v>
      </c>
      <c r="DW1" s="263">
        <v>44284</v>
      </c>
      <c r="DX1" s="263"/>
      <c r="DY1" s="265">
        <v>44284.242029166664</v>
      </c>
      <c r="DZ1" s="83"/>
      <c r="EA1" s="261" t="s">
        <v>33</v>
      </c>
      <c r="EB1" s="263">
        <v>44283</v>
      </c>
      <c r="EC1" s="263"/>
      <c r="ED1" s="265">
        <v>44283.246564004628</v>
      </c>
      <c r="EE1" s="83"/>
      <c r="EF1" s="261" t="s">
        <v>33</v>
      </c>
      <c r="EG1" s="263">
        <v>44282</v>
      </c>
      <c r="EH1" s="263"/>
      <c r="EI1" s="265">
        <v>44282.237830208331</v>
      </c>
      <c r="EJ1" s="83"/>
      <c r="EK1" s="261" t="s">
        <v>33</v>
      </c>
      <c r="EL1" s="263">
        <v>44281</v>
      </c>
      <c r="EM1" s="263"/>
      <c r="EN1" s="265">
        <v>44281.252671643517</v>
      </c>
      <c r="EO1" s="83"/>
      <c r="EP1" s="261" t="s">
        <v>33</v>
      </c>
      <c r="EQ1" s="263">
        <v>44280</v>
      </c>
      <c r="ER1" s="263"/>
      <c r="ES1" s="265">
        <v>44280.247283217592</v>
      </c>
      <c r="ET1" s="83"/>
      <c r="EU1" s="261" t="s">
        <v>33</v>
      </c>
      <c r="EV1" s="263">
        <v>44279</v>
      </c>
      <c r="EW1" s="263"/>
      <c r="EX1" s="265">
        <v>44279.244961111108</v>
      </c>
      <c r="EY1" s="83"/>
      <c r="EZ1" s="261" t="s">
        <v>33</v>
      </c>
      <c r="FA1" s="263">
        <v>44278</v>
      </c>
      <c r="FB1" s="263"/>
      <c r="FC1" s="265">
        <v>44278.237582754628</v>
      </c>
      <c r="FD1" s="83"/>
      <c r="FE1" s="261" t="s">
        <v>33</v>
      </c>
      <c r="FF1" s="263">
        <v>44277</v>
      </c>
      <c r="FG1" s="263"/>
      <c r="FH1" s="265">
        <v>44277.218350578703</v>
      </c>
      <c r="FI1" s="83"/>
      <c r="FJ1" s="261" t="s">
        <v>33</v>
      </c>
      <c r="FK1" s="263">
        <v>44276</v>
      </c>
      <c r="FL1" s="263"/>
      <c r="FM1" s="265">
        <v>44276.233376620374</v>
      </c>
      <c r="FN1" s="83"/>
      <c r="FO1" s="261" t="s">
        <v>33</v>
      </c>
      <c r="FP1" s="263">
        <v>44275</v>
      </c>
      <c r="FQ1" s="263"/>
      <c r="FR1" s="265">
        <v>44275.255390740742</v>
      </c>
      <c r="FS1" s="83"/>
      <c r="FT1" s="261" t="s">
        <v>33</v>
      </c>
      <c r="FU1" s="263">
        <v>44274</v>
      </c>
      <c r="FV1" s="263"/>
      <c r="FW1" s="265">
        <v>44274.246204861112</v>
      </c>
      <c r="FX1" s="83"/>
      <c r="FY1" s="261" t="s">
        <v>33</v>
      </c>
      <c r="FZ1" s="263">
        <v>44273</v>
      </c>
      <c r="GA1" s="263"/>
      <c r="GB1" s="265">
        <v>44273.221111689818</v>
      </c>
      <c r="GC1" s="83"/>
      <c r="GD1" s="261" t="s">
        <v>33</v>
      </c>
      <c r="GE1" s="263">
        <v>44272</v>
      </c>
      <c r="GF1" s="263"/>
      <c r="GG1" s="265">
        <v>44272.26141979167</v>
      </c>
      <c r="GH1" s="83"/>
      <c r="GI1" s="261" t="s">
        <v>33</v>
      </c>
      <c r="GJ1" s="263">
        <v>44271</v>
      </c>
      <c r="GK1" s="263"/>
      <c r="GL1" s="265">
        <v>44271.214265625</v>
      </c>
      <c r="GM1" s="83"/>
      <c r="GN1" s="261" t="s">
        <v>33</v>
      </c>
      <c r="GO1" s="263">
        <v>44270</v>
      </c>
      <c r="GP1" s="263"/>
      <c r="GQ1" s="265">
        <v>44270.210537384257</v>
      </c>
      <c r="GR1" s="83"/>
      <c r="GS1" s="261" t="s">
        <v>33</v>
      </c>
      <c r="GT1" s="263">
        <v>44269</v>
      </c>
      <c r="GU1" s="263"/>
      <c r="GV1" s="265">
        <v>44269.043237152779</v>
      </c>
      <c r="GW1" s="83"/>
      <c r="GX1" s="261" t="s">
        <v>33</v>
      </c>
      <c r="GY1" s="263">
        <v>44268</v>
      </c>
      <c r="GZ1" s="263"/>
      <c r="HA1" s="265">
        <v>44268.263527893519</v>
      </c>
      <c r="HB1" s="83"/>
      <c r="HC1" s="261" t="s">
        <v>33</v>
      </c>
      <c r="HD1" s="263">
        <v>44267</v>
      </c>
      <c r="HE1" s="263"/>
      <c r="HF1" s="265">
        <v>44267.236436458334</v>
      </c>
      <c r="HG1" s="83"/>
      <c r="HH1" s="261" t="s">
        <v>33</v>
      </c>
      <c r="HI1" s="263">
        <v>44266</v>
      </c>
      <c r="HJ1" s="263"/>
      <c r="HK1" s="265">
        <v>44266.233637037039</v>
      </c>
      <c r="HL1" s="83"/>
      <c r="HM1" s="261" t="s">
        <v>33</v>
      </c>
      <c r="HN1" s="263">
        <v>44265</v>
      </c>
      <c r="HO1" s="263"/>
      <c r="HP1" s="265">
        <v>44265.255165856484</v>
      </c>
      <c r="HQ1" s="83"/>
      <c r="HR1" s="261" t="s">
        <v>33</v>
      </c>
      <c r="HS1" s="263">
        <v>44264</v>
      </c>
      <c r="HT1" s="263"/>
      <c r="HU1" s="265">
        <v>44264.199005092596</v>
      </c>
      <c r="HV1" s="83"/>
      <c r="HW1" s="261" t="s">
        <v>33</v>
      </c>
      <c r="HX1" s="263">
        <v>44263</v>
      </c>
      <c r="HY1" s="263"/>
      <c r="HZ1" s="265">
        <v>44263.2205875</v>
      </c>
      <c r="IA1" s="83"/>
      <c r="IB1" s="261" t="s">
        <v>33</v>
      </c>
      <c r="IC1" s="263">
        <v>44262</v>
      </c>
      <c r="ID1" s="263"/>
      <c r="IE1" s="265">
        <v>44262.238220254629</v>
      </c>
      <c r="IF1" s="83"/>
      <c r="IG1" s="261" t="s">
        <v>33</v>
      </c>
      <c r="IH1" s="263">
        <v>44261</v>
      </c>
      <c r="II1" s="263"/>
      <c r="IJ1" s="265">
        <v>44261.247621875002</v>
      </c>
      <c r="IK1" s="83"/>
      <c r="IL1" s="261" t="s">
        <v>33</v>
      </c>
      <c r="IM1" s="263">
        <v>44260</v>
      </c>
      <c r="IN1" s="263"/>
      <c r="IO1" s="265">
        <v>44260.23560925926</v>
      </c>
      <c r="IP1" s="83"/>
      <c r="IQ1" s="261" t="s">
        <v>33</v>
      </c>
      <c r="IR1" s="263">
        <v>44259</v>
      </c>
      <c r="IS1" s="263"/>
      <c r="IT1" s="265">
        <v>44259.262172106479</v>
      </c>
      <c r="IU1" s="83"/>
      <c r="IV1" s="261" t="s">
        <v>33</v>
      </c>
      <c r="IW1" s="263">
        <v>44258</v>
      </c>
      <c r="IX1" s="263"/>
      <c r="IY1" s="265">
        <v>44258.251045486111</v>
      </c>
      <c r="IZ1" s="83"/>
      <c r="JA1" s="261" t="s">
        <v>33</v>
      </c>
      <c r="JB1" s="263">
        <v>44257</v>
      </c>
      <c r="JC1" s="263"/>
      <c r="JD1" s="265">
        <v>44257.251773263888</v>
      </c>
      <c r="JE1" s="83"/>
      <c r="JF1" s="261" t="s">
        <v>33</v>
      </c>
      <c r="JG1" s="263">
        <v>44256</v>
      </c>
      <c r="JH1" s="263"/>
      <c r="JI1" s="265">
        <v>44256.254737384261</v>
      </c>
      <c r="JJ1" s="83"/>
      <c r="JK1" s="261" t="s">
        <v>33</v>
      </c>
      <c r="JL1" s="263">
        <v>44255</v>
      </c>
      <c r="JM1" s="263"/>
      <c r="JN1" s="265">
        <v>44255.084352662037</v>
      </c>
      <c r="JO1" s="83"/>
      <c r="JP1" s="261" t="s">
        <v>33</v>
      </c>
      <c r="JQ1" s="263">
        <v>44254</v>
      </c>
      <c r="JR1" s="263"/>
      <c r="JS1" s="265">
        <v>44254.252087731482</v>
      </c>
      <c r="JT1" s="83"/>
      <c r="JU1" s="261" t="s">
        <v>33</v>
      </c>
      <c r="JV1" s="263">
        <v>44253</v>
      </c>
      <c r="JW1" s="263"/>
      <c r="JX1" s="265">
        <v>44253.256649537034</v>
      </c>
      <c r="JY1" s="83"/>
      <c r="JZ1" s="261" t="s">
        <v>33</v>
      </c>
      <c r="KA1" s="263">
        <v>44252</v>
      </c>
      <c r="KB1" s="263"/>
      <c r="KC1" s="265">
        <v>44252.248309953706</v>
      </c>
      <c r="KD1" s="83"/>
      <c r="KE1" s="261" t="s">
        <v>33</v>
      </c>
      <c r="KF1" s="263">
        <v>44251</v>
      </c>
      <c r="KG1" s="263"/>
      <c r="KH1" s="265">
        <v>44251.241831712963</v>
      </c>
      <c r="KI1" s="83"/>
      <c r="KJ1" s="261" t="s">
        <v>33</v>
      </c>
      <c r="KK1" s="263">
        <v>44250</v>
      </c>
      <c r="KL1" s="263"/>
      <c r="KM1" s="265">
        <v>44250.22235196759</v>
      </c>
      <c r="KN1" s="83"/>
      <c r="KO1" s="261" t="s">
        <v>33</v>
      </c>
      <c r="KP1" s="263">
        <v>44249</v>
      </c>
      <c r="KQ1" s="263"/>
      <c r="KR1" s="265">
        <v>44249.229299999999</v>
      </c>
      <c r="KS1" s="83"/>
      <c r="KT1" s="261" t="s">
        <v>33</v>
      </c>
      <c r="KU1" s="263">
        <v>44248</v>
      </c>
      <c r="KV1" s="263"/>
      <c r="KW1" s="265">
        <v>44248.239960300925</v>
      </c>
      <c r="KX1" s="83"/>
      <c r="KY1" s="261" t="s">
        <v>33</v>
      </c>
      <c r="KZ1" s="263">
        <v>44247</v>
      </c>
      <c r="LA1" s="263"/>
      <c r="LB1" s="265">
        <v>44247.265336805554</v>
      </c>
      <c r="LC1" s="83"/>
      <c r="LD1" s="261" t="s">
        <v>33</v>
      </c>
      <c r="LE1" s="263">
        <v>44246</v>
      </c>
      <c r="LF1" s="263"/>
      <c r="LG1" s="265">
        <v>44246.252737731484</v>
      </c>
      <c r="LH1" s="83"/>
      <c r="LI1" s="261" t="s">
        <v>33</v>
      </c>
      <c r="LJ1" s="263">
        <v>44245</v>
      </c>
      <c r="LK1" s="263"/>
      <c r="LL1" s="265">
        <v>44245.264711111115</v>
      </c>
      <c r="LM1" s="83"/>
      <c r="LN1" s="261" t="s">
        <v>33</v>
      </c>
      <c r="LO1" s="263">
        <v>44244</v>
      </c>
      <c r="LP1" s="263"/>
      <c r="LQ1" s="265">
        <v>44244.194258680553</v>
      </c>
      <c r="LR1" s="83"/>
      <c r="LS1" s="261" t="s">
        <v>33</v>
      </c>
      <c r="LT1" s="263">
        <v>44243</v>
      </c>
      <c r="LU1" s="263"/>
      <c r="LV1" s="265">
        <v>44243.257997337962</v>
      </c>
      <c r="LW1" s="83"/>
      <c r="LX1" s="261" t="s">
        <v>33</v>
      </c>
      <c r="LY1" s="263">
        <v>44242</v>
      </c>
      <c r="LZ1" s="263"/>
      <c r="MA1" s="265">
        <v>44242.252646759262</v>
      </c>
      <c r="MB1" s="83"/>
      <c r="MC1" s="261" t="s">
        <v>33</v>
      </c>
      <c r="MD1" s="263">
        <v>44241</v>
      </c>
      <c r="ME1" s="263"/>
      <c r="MF1" s="265">
        <v>44241.260749189816</v>
      </c>
      <c r="MG1" s="83"/>
      <c r="MH1" s="261" t="s">
        <v>33</v>
      </c>
      <c r="MI1" s="263">
        <v>44240</v>
      </c>
      <c r="MJ1" s="263"/>
      <c r="MK1" s="265">
        <v>44240.223503587964</v>
      </c>
      <c r="ML1" s="83"/>
      <c r="MM1" s="261" t="s">
        <v>33</v>
      </c>
      <c r="MN1" s="263">
        <v>44239</v>
      </c>
      <c r="MO1" s="263"/>
      <c r="MP1" s="265">
        <v>44239.233599074076</v>
      </c>
      <c r="MQ1" s="83"/>
      <c r="MR1" s="261" t="s">
        <v>33</v>
      </c>
      <c r="MS1" s="263">
        <v>44238</v>
      </c>
      <c r="MT1" s="263"/>
      <c r="MU1" s="265">
        <v>44238.275876967593</v>
      </c>
      <c r="MV1" s="83"/>
      <c r="MW1" s="261" t="s">
        <v>33</v>
      </c>
      <c r="MX1" s="263">
        <v>44238</v>
      </c>
      <c r="MY1" s="263"/>
      <c r="MZ1" s="265">
        <v>44238.260628935182</v>
      </c>
      <c r="NA1" s="83"/>
      <c r="NB1" s="261" t="s">
        <v>33</v>
      </c>
      <c r="NC1" s="263">
        <v>44237</v>
      </c>
      <c r="ND1" s="263"/>
      <c r="NE1" s="265">
        <v>44237.208882638886</v>
      </c>
      <c r="NF1" s="83"/>
      <c r="NG1" s="261" t="s">
        <v>33</v>
      </c>
      <c r="NH1" s="263">
        <v>44236</v>
      </c>
      <c r="NI1" s="263"/>
      <c r="NJ1" s="265">
        <v>44236.222404050925</v>
      </c>
      <c r="NK1" s="83"/>
      <c r="NL1" s="261" t="s">
        <v>33</v>
      </c>
      <c r="NM1" s="263">
        <v>44235</v>
      </c>
      <c r="NN1" s="263"/>
      <c r="NO1" s="265">
        <v>44235.258846064811</v>
      </c>
      <c r="NP1" s="83"/>
      <c r="NQ1" s="261" t="s">
        <v>33</v>
      </c>
      <c r="NR1" s="263">
        <v>44234</v>
      </c>
      <c r="NS1" s="263"/>
      <c r="NT1" s="265">
        <v>44234.246980208336</v>
      </c>
      <c r="NU1" s="83"/>
      <c r="NV1" s="261" t="s">
        <v>33</v>
      </c>
      <c r="NW1" s="263">
        <v>44233</v>
      </c>
      <c r="NX1" s="263"/>
      <c r="NY1" s="265">
        <v>44233.261965277779</v>
      </c>
      <c r="NZ1" s="83"/>
      <c r="OA1" s="261" t="s">
        <v>33</v>
      </c>
      <c r="OB1" s="263">
        <v>44232</v>
      </c>
      <c r="OC1" s="263"/>
      <c r="OD1" s="265">
        <v>44232.267253703707</v>
      </c>
      <c r="OE1" s="83"/>
      <c r="OF1" s="261" t="s">
        <v>33</v>
      </c>
      <c r="OG1" s="263">
        <v>44232</v>
      </c>
      <c r="OH1" s="263"/>
      <c r="OI1" s="265">
        <v>44232.253617476854</v>
      </c>
      <c r="OJ1" s="83"/>
      <c r="OK1" s="261" t="s">
        <v>33</v>
      </c>
      <c r="OL1" s="263">
        <v>44231</v>
      </c>
      <c r="OM1" s="263"/>
      <c r="ON1" s="265">
        <v>44231.256181828707</v>
      </c>
      <c r="OO1" s="83"/>
      <c r="OP1" s="261" t="s">
        <v>33</v>
      </c>
      <c r="OQ1" s="263">
        <v>44230</v>
      </c>
      <c r="OR1" s="263"/>
      <c r="OS1" s="265">
        <v>44230.265900694445</v>
      </c>
      <c r="OT1" s="83"/>
      <c r="OU1" s="261" t="s">
        <v>33</v>
      </c>
      <c r="OV1" s="263">
        <v>44229</v>
      </c>
      <c r="OW1" s="263"/>
      <c r="OX1" s="265">
        <v>44229.242296064818</v>
      </c>
      <c r="OY1" s="83"/>
      <c r="OZ1" s="261" t="s">
        <v>33</v>
      </c>
      <c r="PA1" s="263">
        <v>44228</v>
      </c>
      <c r="PB1" s="263"/>
      <c r="PC1" s="265">
        <v>44228.237473726855</v>
      </c>
      <c r="PD1" s="83"/>
      <c r="PE1" s="261" t="s">
        <v>33</v>
      </c>
      <c r="PF1" s="263">
        <v>44227</v>
      </c>
      <c r="PG1" s="263"/>
      <c r="PH1" s="265">
        <v>44227.243875694447</v>
      </c>
      <c r="PI1" s="83"/>
      <c r="PJ1" s="261" t="s">
        <v>33</v>
      </c>
      <c r="PK1" s="263">
        <v>44226</v>
      </c>
      <c r="PL1" s="263"/>
      <c r="PM1" s="265">
        <v>44226.253497569443</v>
      </c>
      <c r="PN1" s="83"/>
      <c r="PO1" s="261" t="s">
        <v>33</v>
      </c>
      <c r="PP1" s="263">
        <v>44225</v>
      </c>
      <c r="PQ1" s="263"/>
      <c r="PR1" s="265">
        <v>44225.252853819446</v>
      </c>
      <c r="PS1" s="83"/>
      <c r="PT1" s="261" t="s">
        <v>33</v>
      </c>
      <c r="PU1" s="263">
        <v>44224</v>
      </c>
      <c r="PV1" s="263"/>
      <c r="PW1" s="265">
        <v>44224.267278240739</v>
      </c>
      <c r="PX1" s="83"/>
      <c r="PY1" s="261" t="s">
        <v>33</v>
      </c>
      <c r="PZ1" s="263">
        <v>44223</v>
      </c>
      <c r="QA1" s="263"/>
      <c r="QB1" s="265">
        <v>44223.277345254632</v>
      </c>
      <c r="QC1" s="83"/>
      <c r="QD1" s="261" t="s">
        <v>33</v>
      </c>
      <c r="QE1" s="263">
        <v>44222</v>
      </c>
      <c r="QF1" s="263"/>
      <c r="QG1" s="265">
        <v>44222.232467708331</v>
      </c>
      <c r="QH1" s="83"/>
      <c r="QI1" s="261" t="s">
        <v>33</v>
      </c>
      <c r="QJ1" s="263">
        <v>44221</v>
      </c>
      <c r="QK1" s="263"/>
      <c r="QL1" s="265">
        <v>44221.243922453701</v>
      </c>
      <c r="QM1" s="83"/>
      <c r="QN1" s="261" t="s">
        <v>33</v>
      </c>
      <c r="QO1" s="263">
        <v>44221</v>
      </c>
      <c r="QP1" s="263"/>
      <c r="QQ1" s="265">
        <v>44221.238617939816</v>
      </c>
      <c r="QR1" s="83"/>
      <c r="QS1" s="261" t="s">
        <v>33</v>
      </c>
      <c r="QT1" s="263">
        <v>44220</v>
      </c>
      <c r="QU1" s="263"/>
      <c r="QV1" s="265">
        <v>44220.229181944444</v>
      </c>
      <c r="QW1" s="83"/>
      <c r="QX1" s="261" t="s">
        <v>33</v>
      </c>
      <c r="QY1" s="263">
        <v>44219</v>
      </c>
      <c r="QZ1" s="263"/>
      <c r="RA1" s="265">
        <v>44219.284497685185</v>
      </c>
      <c r="RB1" s="83"/>
      <c r="RC1" s="261" t="s">
        <v>33</v>
      </c>
      <c r="RD1" s="263">
        <v>44218</v>
      </c>
      <c r="RE1" s="263"/>
      <c r="RF1" s="265">
        <v>44218.277437152778</v>
      </c>
      <c r="RG1" s="83"/>
      <c r="RH1" s="261" t="s">
        <v>33</v>
      </c>
      <c r="RI1" s="263">
        <v>44217</v>
      </c>
      <c r="RJ1" s="263"/>
      <c r="RK1" s="265">
        <v>44217.25578796296</v>
      </c>
      <c r="RL1" s="83"/>
      <c r="RM1" s="261" t="s">
        <v>33</v>
      </c>
      <c r="RN1" s="263">
        <v>44216</v>
      </c>
      <c r="RO1" s="263"/>
      <c r="RP1" s="265">
        <v>44216.265094212962</v>
      </c>
      <c r="RQ1" s="83"/>
      <c r="RR1" s="261" t="s">
        <v>33</v>
      </c>
      <c r="RS1" s="263">
        <v>44215</v>
      </c>
      <c r="RT1" s="263"/>
      <c r="RU1" s="265">
        <v>44215.28392037037</v>
      </c>
      <c r="RV1" s="83"/>
      <c r="RW1" s="261" t="s">
        <v>33</v>
      </c>
      <c r="RX1" s="263">
        <v>44215</v>
      </c>
      <c r="RY1" s="263"/>
      <c r="RZ1" s="265">
        <v>44215.250812384256</v>
      </c>
      <c r="SA1" s="83"/>
      <c r="SB1" s="261" t="s">
        <v>33</v>
      </c>
      <c r="SC1" s="263">
        <v>44214</v>
      </c>
      <c r="SD1" s="263"/>
      <c r="SE1" s="265">
        <v>44214.262341435184</v>
      </c>
      <c r="SF1" s="83"/>
      <c r="SG1" s="261" t="s">
        <v>33</v>
      </c>
      <c r="SH1" s="263">
        <v>44213</v>
      </c>
      <c r="SI1" s="263"/>
      <c r="SJ1" s="265">
        <v>44213.248328472226</v>
      </c>
      <c r="SK1" s="83"/>
      <c r="SL1" s="261" t="s">
        <v>33</v>
      </c>
      <c r="SM1" s="263">
        <v>44212</v>
      </c>
      <c r="SN1" s="263"/>
      <c r="SO1" s="265">
        <v>44212.268676736108</v>
      </c>
      <c r="SP1" s="83"/>
      <c r="SQ1" s="261" t="s">
        <v>33</v>
      </c>
      <c r="SR1" s="263">
        <v>44211</v>
      </c>
      <c r="SS1" s="263"/>
      <c r="ST1" s="265">
        <v>44211.271274305553</v>
      </c>
      <c r="SU1" s="83"/>
      <c r="SV1" s="261" t="s">
        <v>33</v>
      </c>
      <c r="SW1" s="263">
        <v>44210</v>
      </c>
      <c r="SX1" s="263"/>
      <c r="SY1" s="265">
        <v>44210.215538773147</v>
      </c>
      <c r="SZ1" s="83"/>
      <c r="TA1" s="261" t="s">
        <v>33</v>
      </c>
      <c r="TB1" s="263">
        <v>44209</v>
      </c>
      <c r="TC1" s="263"/>
      <c r="TD1" s="265">
        <v>44209.205269560189</v>
      </c>
      <c r="TE1" s="83"/>
      <c r="TF1" s="261" t="s">
        <v>33</v>
      </c>
      <c r="TG1" s="263">
        <v>44208</v>
      </c>
      <c r="TH1" s="263"/>
      <c r="TI1" s="265">
        <v>44208.21551898148</v>
      </c>
      <c r="TJ1" s="83"/>
      <c r="TK1" s="261" t="s">
        <v>33</v>
      </c>
      <c r="TL1" s="263">
        <v>44207</v>
      </c>
      <c r="TM1" s="263"/>
      <c r="TN1" s="265">
        <v>44207.284428819446</v>
      </c>
      <c r="TO1" s="83"/>
      <c r="TP1" s="261" t="s">
        <v>33</v>
      </c>
      <c r="TQ1" s="263">
        <v>44206</v>
      </c>
      <c r="TR1" s="263"/>
      <c r="TS1" s="265">
        <v>44206.283778240744</v>
      </c>
      <c r="TT1" s="83"/>
      <c r="TU1" s="261" t="s">
        <v>33</v>
      </c>
      <c r="TV1" s="263">
        <v>44205</v>
      </c>
      <c r="TW1" s="263"/>
      <c r="TX1" s="265">
        <v>44205.26277789352</v>
      </c>
      <c r="TY1" s="83"/>
      <c r="TZ1" s="261" t="s">
        <v>33</v>
      </c>
      <c r="UA1" s="263">
        <v>44204</v>
      </c>
      <c r="UB1" s="263"/>
      <c r="UC1" s="265">
        <v>44204.283361921298</v>
      </c>
      <c r="UD1" s="83"/>
      <c r="UE1" s="261" t="s">
        <v>33</v>
      </c>
      <c r="UF1" s="263">
        <v>44203</v>
      </c>
      <c r="UG1" s="263"/>
      <c r="UH1" s="265">
        <v>44203.293798379629</v>
      </c>
      <c r="UI1" s="83"/>
      <c r="UJ1" s="261" t="s">
        <v>33</v>
      </c>
      <c r="UK1" s="263">
        <v>44202</v>
      </c>
      <c r="UL1" s="263"/>
      <c r="UM1" s="265">
        <v>44202.251058680558</v>
      </c>
      <c r="UN1" s="83"/>
      <c r="UO1" s="261" t="s">
        <v>33</v>
      </c>
      <c r="UP1" s="263">
        <v>44201</v>
      </c>
      <c r="UQ1" s="263"/>
      <c r="UR1" s="265">
        <v>44201.220316435189</v>
      </c>
      <c r="US1" s="83"/>
      <c r="UT1" s="261" t="s">
        <v>33</v>
      </c>
      <c r="UU1" s="263">
        <v>44200</v>
      </c>
      <c r="UV1" s="263"/>
      <c r="UW1" s="265">
        <v>44200.272603356483</v>
      </c>
      <c r="UX1" s="83"/>
      <c r="UY1" s="261" t="s">
        <v>33</v>
      </c>
      <c r="UZ1" s="263">
        <v>44199</v>
      </c>
      <c r="VA1" s="263"/>
      <c r="VB1" s="265">
        <v>44199.271746990744</v>
      </c>
      <c r="VC1" s="83"/>
      <c r="VD1" s="261" t="s">
        <v>33</v>
      </c>
      <c r="VE1" s="263">
        <v>44198</v>
      </c>
      <c r="VF1" s="263"/>
      <c r="VG1" s="265">
        <v>44198.275467013889</v>
      </c>
      <c r="VH1" s="83"/>
      <c r="VI1" s="261" t="s">
        <v>33</v>
      </c>
      <c r="VJ1" s="263">
        <v>44197</v>
      </c>
      <c r="VK1" s="263"/>
      <c r="VL1" s="265">
        <v>44197.298788657405</v>
      </c>
      <c r="VM1" s="83"/>
      <c r="VN1" s="261" t="s">
        <v>33</v>
      </c>
      <c r="VO1" s="263">
        <v>44196</v>
      </c>
      <c r="VP1" s="263"/>
      <c r="VQ1" s="265">
        <v>44196.274059490737</v>
      </c>
      <c r="VR1" s="83"/>
      <c r="VS1" s="261" t="s">
        <v>33</v>
      </c>
      <c r="VT1" s="263">
        <v>44195</v>
      </c>
      <c r="VU1" s="263"/>
      <c r="VV1" s="265">
        <v>44195.300437500002</v>
      </c>
      <c r="VW1" s="83"/>
      <c r="VX1" s="261" t="s">
        <v>33</v>
      </c>
      <c r="VY1" s="263">
        <v>44194</v>
      </c>
      <c r="VZ1" s="263"/>
      <c r="WA1" s="265">
        <v>44194.290988078705</v>
      </c>
      <c r="WB1" s="83"/>
      <c r="WC1" s="261" t="s">
        <v>33</v>
      </c>
      <c r="WD1" s="263">
        <v>44193</v>
      </c>
      <c r="WE1" s="263"/>
      <c r="WF1" s="265">
        <v>44193.25176608796</v>
      </c>
      <c r="WG1" s="83"/>
      <c r="WH1" s="261" t="s">
        <v>33</v>
      </c>
      <c r="WI1" s="263">
        <v>44191</v>
      </c>
      <c r="WJ1" s="263"/>
      <c r="WK1" s="265">
        <v>44191.272149421296</v>
      </c>
      <c r="WL1" s="83"/>
      <c r="WM1" s="261" t="s">
        <v>33</v>
      </c>
      <c r="WN1" s="263">
        <v>44190</v>
      </c>
      <c r="WO1" s="263"/>
      <c r="WP1" s="265">
        <v>44190.309380555555</v>
      </c>
      <c r="WQ1" s="83"/>
      <c r="WR1" s="261" t="s">
        <v>33</v>
      </c>
      <c r="WS1" s="263">
        <v>44189</v>
      </c>
      <c r="WT1" s="263"/>
      <c r="WU1" s="265">
        <v>44189.303120833334</v>
      </c>
      <c r="WV1" s="83"/>
      <c r="WW1" s="261" t="s">
        <v>33</v>
      </c>
      <c r="WX1" s="263">
        <v>44188</v>
      </c>
      <c r="WY1" s="263"/>
      <c r="WZ1" s="265">
        <v>44188.260115393517</v>
      </c>
      <c r="XA1" s="83"/>
      <c r="XB1" s="261" t="s">
        <v>33</v>
      </c>
      <c r="XC1" s="263">
        <v>44187</v>
      </c>
      <c r="XD1" s="263"/>
      <c r="XE1" s="265">
        <v>44187.305742245371</v>
      </c>
      <c r="XF1" s="83"/>
      <c r="XG1" s="261" t="s">
        <v>33</v>
      </c>
      <c r="XH1" s="263">
        <v>44186</v>
      </c>
      <c r="XI1" s="263"/>
      <c r="XJ1" s="265">
        <v>44186.282138078706</v>
      </c>
      <c r="XK1" s="83"/>
      <c r="XL1" s="261" t="s">
        <v>33</v>
      </c>
      <c r="XM1" s="263">
        <v>44185</v>
      </c>
      <c r="XN1" s="263"/>
      <c r="XO1" s="265">
        <v>44185.27794803241</v>
      </c>
      <c r="XP1" s="83"/>
      <c r="XQ1" s="261" t="s">
        <v>33</v>
      </c>
      <c r="XR1" s="263">
        <v>44184</v>
      </c>
      <c r="XS1" s="263"/>
      <c r="XT1" s="265">
        <v>44184.289651273146</v>
      </c>
      <c r="XU1" s="83"/>
      <c r="XV1" s="261" t="s">
        <v>33</v>
      </c>
      <c r="XW1" s="263">
        <v>44183</v>
      </c>
      <c r="XX1" s="263"/>
      <c r="XY1" s="265">
        <v>44183.287994444443</v>
      </c>
      <c r="XZ1" s="83"/>
      <c r="YA1" s="261" t="s">
        <v>33</v>
      </c>
      <c r="YB1" s="263">
        <v>44182</v>
      </c>
      <c r="YC1" s="263"/>
      <c r="YD1" s="265">
        <v>44182.269967708336</v>
      </c>
      <c r="YE1" s="83"/>
      <c r="YF1" s="261" t="s">
        <v>33</v>
      </c>
      <c r="YG1" s="263">
        <v>44181</v>
      </c>
      <c r="YH1" s="263"/>
      <c r="YI1" s="265">
        <v>44181.274564236111</v>
      </c>
      <c r="YJ1" s="83"/>
      <c r="YK1" s="261" t="s">
        <v>33</v>
      </c>
      <c r="YL1" s="263">
        <v>44180</v>
      </c>
      <c r="YM1" s="263"/>
      <c r="YN1" s="265">
        <v>44180.278895023148</v>
      </c>
      <c r="YO1" s="83"/>
      <c r="YP1" s="261" t="s">
        <v>33</v>
      </c>
      <c r="YQ1" s="263">
        <v>44179</v>
      </c>
      <c r="YR1" s="263"/>
      <c r="YS1" s="265">
        <v>44179.249808333334</v>
      </c>
      <c r="YT1" s="83"/>
      <c r="YU1" s="261" t="s">
        <v>33</v>
      </c>
      <c r="YV1" s="263">
        <v>44178</v>
      </c>
      <c r="YW1" s="263"/>
      <c r="YX1" s="265">
        <v>44178.277019560184</v>
      </c>
      <c r="YY1" s="83"/>
      <c r="YZ1" s="261" t="s">
        <v>33</v>
      </c>
      <c r="ZA1" s="263">
        <v>44177</v>
      </c>
      <c r="ZB1" s="263"/>
      <c r="ZC1" s="265">
        <v>44177.246660879631</v>
      </c>
      <c r="ZD1" s="83"/>
      <c r="ZE1" s="261" t="s">
        <v>33</v>
      </c>
      <c r="ZF1" s="263">
        <v>44176</v>
      </c>
      <c r="ZG1" s="263"/>
      <c r="ZH1" s="265">
        <v>44176.297357870368</v>
      </c>
      <c r="ZI1" s="83"/>
      <c r="ZJ1" s="261" t="s">
        <v>33</v>
      </c>
      <c r="ZK1" s="263">
        <v>44175</v>
      </c>
      <c r="ZL1" s="263"/>
      <c r="ZM1" s="265">
        <v>44175.261777083331</v>
      </c>
      <c r="ZN1" s="83"/>
      <c r="ZO1" s="261" t="s">
        <v>33</v>
      </c>
      <c r="ZP1" s="263">
        <v>44174</v>
      </c>
      <c r="ZQ1" s="263"/>
      <c r="ZR1" s="265">
        <v>44174.254747800929</v>
      </c>
      <c r="ZS1" s="83"/>
      <c r="ZT1" s="261" t="s">
        <v>33</v>
      </c>
      <c r="ZU1" s="263">
        <v>44173</v>
      </c>
      <c r="ZV1" s="263"/>
      <c r="ZW1" s="265">
        <v>44173.246501504633</v>
      </c>
      <c r="ZX1" s="83"/>
      <c r="ZY1" s="261" t="s">
        <v>33</v>
      </c>
      <c r="ZZ1" s="263">
        <v>44172</v>
      </c>
      <c r="AAA1" s="263"/>
      <c r="AAB1" s="265">
        <v>44172.247534027774</v>
      </c>
      <c r="AAC1" s="83"/>
      <c r="AAD1" s="261" t="s">
        <v>33</v>
      </c>
      <c r="AAE1" s="263">
        <v>44171</v>
      </c>
      <c r="AAF1" s="263"/>
      <c r="AAG1" s="265">
        <v>44171.297959953707</v>
      </c>
      <c r="AAH1" s="83"/>
      <c r="AAI1" s="261" t="s">
        <v>33</v>
      </c>
      <c r="AAJ1" s="263">
        <v>44169</v>
      </c>
      <c r="AAK1" s="263"/>
      <c r="AAL1" s="265">
        <v>44169.267245254632</v>
      </c>
      <c r="AAM1" s="83"/>
      <c r="AAN1" s="261" t="s">
        <v>33</v>
      </c>
      <c r="AAO1" s="263">
        <v>44168</v>
      </c>
      <c r="AAP1" s="263"/>
      <c r="AAQ1" s="265">
        <v>44168.279987499998</v>
      </c>
      <c r="AAR1" s="83"/>
      <c r="AAS1" s="261" t="s">
        <v>33</v>
      </c>
      <c r="AAT1" s="263">
        <v>44167</v>
      </c>
      <c r="AAU1" s="263"/>
      <c r="AAV1" s="265">
        <v>44167.218255671294</v>
      </c>
      <c r="AAW1" s="83"/>
      <c r="AAX1" s="261" t="s">
        <v>33</v>
      </c>
      <c r="AAY1" s="263">
        <v>44166</v>
      </c>
      <c r="AAZ1" s="263"/>
      <c r="ABA1" s="265">
        <v>44166.275908680553</v>
      </c>
      <c r="ABB1" s="83"/>
      <c r="ABC1" s="261" t="s">
        <v>33</v>
      </c>
      <c r="ABD1" s="263">
        <v>44165</v>
      </c>
      <c r="ABE1" s="263"/>
      <c r="ABF1" s="265">
        <v>44165.276068749998</v>
      </c>
      <c r="ABG1" s="83"/>
      <c r="ABH1" s="261" t="s">
        <v>33</v>
      </c>
      <c r="ABI1" s="263">
        <v>44164</v>
      </c>
      <c r="ABJ1" s="263"/>
      <c r="ABK1" s="265">
        <v>44164.287328819446</v>
      </c>
      <c r="ABL1" s="83"/>
      <c r="ABM1" s="261" t="s">
        <v>33</v>
      </c>
      <c r="ABN1" s="263">
        <v>44163</v>
      </c>
      <c r="ABO1" s="263"/>
      <c r="ABP1" s="265">
        <v>44163.273251041668</v>
      </c>
      <c r="ABQ1" s="83"/>
      <c r="ABR1" s="261" t="s">
        <v>33</v>
      </c>
      <c r="ABS1" s="263">
        <v>44162</v>
      </c>
      <c r="ABT1" s="263"/>
      <c r="ABU1" s="265">
        <v>44162.296517592593</v>
      </c>
      <c r="ABV1" s="83"/>
      <c r="ABW1" s="261" t="s">
        <v>33</v>
      </c>
      <c r="ABX1" s="263">
        <v>44161</v>
      </c>
      <c r="ABY1" s="263"/>
      <c r="ABZ1" s="265">
        <v>44161.28722928241</v>
      </c>
      <c r="ACA1" s="83"/>
      <c r="ACB1" s="261" t="s">
        <v>33</v>
      </c>
      <c r="ACC1" s="263">
        <v>44160</v>
      </c>
      <c r="ACD1" s="263"/>
      <c r="ACE1" s="265">
        <v>44160.292894212966</v>
      </c>
      <c r="ACF1" s="83"/>
      <c r="ACG1" s="261" t="s">
        <v>33</v>
      </c>
      <c r="ACH1" s="263">
        <v>44159</v>
      </c>
      <c r="ACI1" s="263"/>
      <c r="ACJ1" s="265">
        <v>44159.274538888887</v>
      </c>
      <c r="ACK1" s="83"/>
      <c r="ACL1" s="261" t="s">
        <v>33</v>
      </c>
      <c r="ACM1" s="263">
        <v>44158</v>
      </c>
      <c r="ACN1" s="263"/>
      <c r="ACO1" s="265">
        <v>44158.304938194444</v>
      </c>
      <c r="ACP1" s="83"/>
      <c r="ACQ1" s="261" t="s">
        <v>33</v>
      </c>
      <c r="ACR1" s="263">
        <v>44158</v>
      </c>
      <c r="ACS1" s="263"/>
      <c r="ACT1" s="265">
        <v>44158.299428009261</v>
      </c>
      <c r="ACU1" s="83"/>
      <c r="ACV1" s="261" t="s">
        <v>33</v>
      </c>
      <c r="ACW1" s="263">
        <v>44157</v>
      </c>
      <c r="ACX1" s="263"/>
      <c r="ACY1" s="265">
        <v>44157.046106712965</v>
      </c>
      <c r="ACZ1" s="83"/>
      <c r="ADA1" s="261" t="s">
        <v>33</v>
      </c>
      <c r="ADB1" s="263">
        <v>44156</v>
      </c>
      <c r="ADC1" s="263"/>
      <c r="ADD1" s="265">
        <v>44156.269054282406</v>
      </c>
      <c r="ADE1" s="83"/>
      <c r="ADF1" s="261" t="s">
        <v>33</v>
      </c>
      <c r="ADG1" s="263">
        <v>44155</v>
      </c>
      <c r="ADH1" s="263"/>
      <c r="ADI1" s="265">
        <v>44155.269398263888</v>
      </c>
      <c r="ADJ1" s="83"/>
      <c r="ADK1" s="261" t="s">
        <v>33</v>
      </c>
      <c r="ADL1" s="263">
        <v>44154</v>
      </c>
      <c r="ADM1" s="263"/>
      <c r="ADN1" s="265">
        <v>44154.281929976853</v>
      </c>
      <c r="ADO1" s="83"/>
      <c r="ADP1" s="261" t="s">
        <v>33</v>
      </c>
      <c r="ADQ1" s="263">
        <v>44152</v>
      </c>
      <c r="ADR1" s="263"/>
      <c r="ADS1" s="265">
        <v>44152.252119560188</v>
      </c>
      <c r="ADT1" s="83"/>
      <c r="ADU1" s="261" t="s">
        <v>33</v>
      </c>
      <c r="ADV1" s="263">
        <v>44151</v>
      </c>
      <c r="ADW1" s="263"/>
      <c r="ADX1" s="265">
        <v>44151.268187615744</v>
      </c>
      <c r="ADY1" s="83"/>
      <c r="ADZ1" s="261" t="s">
        <v>33</v>
      </c>
      <c r="AEA1" s="263">
        <v>44149</v>
      </c>
      <c r="AEB1" s="263"/>
      <c r="AEC1" s="265">
        <v>44149.261157986111</v>
      </c>
      <c r="AED1" s="83"/>
      <c r="AEE1" s="261" t="s">
        <v>33</v>
      </c>
      <c r="AEF1" s="263">
        <v>44148</v>
      </c>
      <c r="AEG1" s="263"/>
      <c r="AEH1" s="265">
        <v>44148.261432523148</v>
      </c>
      <c r="AEI1" s="83"/>
      <c r="AEJ1" s="261" t="s">
        <v>33</v>
      </c>
      <c r="AEK1" s="263">
        <v>44147</v>
      </c>
      <c r="AEL1" s="263"/>
      <c r="AEM1" s="265">
        <v>44147.256226157406</v>
      </c>
      <c r="AEN1" s="83"/>
      <c r="AEO1" s="261" t="s">
        <v>33</v>
      </c>
      <c r="AEP1" s="263">
        <v>44146</v>
      </c>
      <c r="AEQ1" s="263"/>
      <c r="AER1" s="265">
        <v>44146.261153240739</v>
      </c>
      <c r="AES1" s="83"/>
      <c r="AET1" s="261" t="s">
        <v>33</v>
      </c>
      <c r="AEU1" s="263">
        <v>44144</v>
      </c>
      <c r="AEV1" s="263"/>
      <c r="AEW1" s="265">
        <v>44144.288049884257</v>
      </c>
      <c r="AEX1" s="83"/>
      <c r="AEY1" s="261" t="s">
        <v>33</v>
      </c>
      <c r="AEZ1" s="263">
        <v>44142</v>
      </c>
      <c r="AFA1" s="263"/>
      <c r="AFB1" s="265">
        <v>44142.263726504629</v>
      </c>
      <c r="AFC1" s="83"/>
      <c r="AFD1" s="261" t="s">
        <v>33</v>
      </c>
      <c r="AFE1" s="263">
        <v>44141</v>
      </c>
      <c r="AFF1" s="263"/>
      <c r="AFG1" s="265">
        <v>44141.268280787037</v>
      </c>
      <c r="AFH1" s="83"/>
      <c r="AFI1" s="261" t="s">
        <v>33</v>
      </c>
      <c r="AFJ1" s="263">
        <v>44140</v>
      </c>
      <c r="AFK1" s="263"/>
      <c r="AFL1" s="265">
        <v>44140.249027314814</v>
      </c>
      <c r="AFM1" s="83"/>
      <c r="AFN1" s="261" t="s">
        <v>33</v>
      </c>
      <c r="AFO1" s="263">
        <v>44139</v>
      </c>
      <c r="AFP1" s="263"/>
      <c r="AFQ1" s="265">
        <v>44139.233491782405</v>
      </c>
      <c r="AFR1" s="83"/>
      <c r="AFS1" s="261" t="s">
        <v>33</v>
      </c>
      <c r="AFT1" s="263">
        <v>44138</v>
      </c>
      <c r="AFU1" s="263"/>
      <c r="AFV1" s="265">
        <v>44138.273079398146</v>
      </c>
      <c r="AFW1" s="83"/>
      <c r="AFX1" s="261" t="s">
        <v>33</v>
      </c>
      <c r="AFY1" s="263">
        <v>44137</v>
      </c>
      <c r="AFZ1" s="263"/>
      <c r="AGA1" s="265">
        <v>44137.237146064814</v>
      </c>
      <c r="AGB1" s="83"/>
      <c r="AGC1" s="261" t="s">
        <v>33</v>
      </c>
      <c r="AGD1" s="263">
        <v>44135</v>
      </c>
      <c r="AGE1" s="263"/>
      <c r="AGF1" s="265">
        <v>44135.247490277776</v>
      </c>
      <c r="AGG1" s="83"/>
      <c r="AGH1" s="261" t="s">
        <v>33</v>
      </c>
      <c r="AGI1" s="263">
        <v>44134</v>
      </c>
      <c r="AGJ1" s="263"/>
      <c r="AGK1" s="265">
        <v>44134.290492939814</v>
      </c>
      <c r="AGL1" s="83"/>
      <c r="AGM1" s="261" t="s">
        <v>33</v>
      </c>
      <c r="AGN1" s="263">
        <v>44133</v>
      </c>
      <c r="AGO1" s="263"/>
      <c r="AGP1" s="265">
        <v>44133.286484722223</v>
      </c>
      <c r="AGQ1" s="83"/>
      <c r="AGR1" s="261" t="s">
        <v>33</v>
      </c>
      <c r="AGS1" s="263">
        <v>44132</v>
      </c>
      <c r="AGT1" s="263"/>
      <c r="AGU1" s="265">
        <v>44132.276997569446</v>
      </c>
      <c r="AGV1" s="83"/>
      <c r="AGW1" s="261" t="s">
        <v>33</v>
      </c>
      <c r="AGX1" s="263">
        <v>44132</v>
      </c>
      <c r="AGY1" s="263"/>
      <c r="AGZ1" s="265">
        <v>44132.275421759259</v>
      </c>
      <c r="AHA1" s="83"/>
      <c r="AHB1" s="261" t="s">
        <v>33</v>
      </c>
      <c r="AHC1" s="263">
        <v>44131</v>
      </c>
      <c r="AHD1" s="263"/>
      <c r="AHE1" s="265">
        <v>44131.276585648149</v>
      </c>
      <c r="AHF1" s="83"/>
      <c r="AHG1" s="261" t="s">
        <v>33</v>
      </c>
      <c r="AHH1" s="263">
        <v>44130</v>
      </c>
      <c r="AHI1" s="263"/>
      <c r="AHJ1" s="265">
        <v>44130.27115601852</v>
      </c>
      <c r="AHK1" s="83"/>
      <c r="AHL1" s="261" t="s">
        <v>33</v>
      </c>
      <c r="AHM1" s="263">
        <v>44128</v>
      </c>
      <c r="AHN1" s="263"/>
      <c r="AHO1" s="265">
        <v>44128.251729166666</v>
      </c>
      <c r="AHP1" s="83"/>
      <c r="AHQ1" s="261" t="s">
        <v>33</v>
      </c>
      <c r="AHR1" s="263">
        <v>44127</v>
      </c>
      <c r="AHS1" s="263"/>
      <c r="AHT1" s="265">
        <v>44127.277022106478</v>
      </c>
      <c r="AHU1" s="83"/>
      <c r="AHV1" s="261" t="s">
        <v>33</v>
      </c>
      <c r="AHW1" s="263">
        <v>44126</v>
      </c>
      <c r="AHX1" s="263"/>
      <c r="AHY1" s="265">
        <v>44126.291536226854</v>
      </c>
      <c r="AHZ1" s="83"/>
      <c r="AIA1" s="261" t="s">
        <v>33</v>
      </c>
      <c r="AIB1" s="263">
        <v>44125</v>
      </c>
      <c r="AIC1" s="263"/>
      <c r="AID1" s="265">
        <v>44125.265716782407</v>
      </c>
      <c r="AIE1" s="83"/>
      <c r="AIF1" s="261" t="s">
        <v>33</v>
      </c>
      <c r="AIG1" s="263">
        <v>44124</v>
      </c>
      <c r="AIH1" s="263"/>
      <c r="AII1" s="265">
        <v>44124.267068518522</v>
      </c>
      <c r="AIJ1" s="83"/>
      <c r="AIK1" s="261" t="s">
        <v>33</v>
      </c>
      <c r="AIL1" s="263">
        <v>44123</v>
      </c>
      <c r="AIM1" s="263"/>
      <c r="AIN1" s="265">
        <v>44123.252034490739</v>
      </c>
      <c r="AIO1" s="83"/>
      <c r="AIP1" s="261" t="s">
        <v>33</v>
      </c>
      <c r="AIQ1" s="263">
        <v>44121</v>
      </c>
      <c r="AIR1" s="263"/>
      <c r="AIS1" s="265">
        <v>44121.26195763889</v>
      </c>
      <c r="AIT1" s="83"/>
      <c r="AIU1" s="261" t="s">
        <v>33</v>
      </c>
      <c r="AIV1" s="263">
        <v>44120</v>
      </c>
      <c r="AIW1" s="263"/>
      <c r="AIX1" s="265">
        <v>44120.311824999997</v>
      </c>
      <c r="AIY1" s="83"/>
      <c r="AIZ1" s="261" t="s">
        <v>33</v>
      </c>
      <c r="AJA1" s="263">
        <v>44119</v>
      </c>
      <c r="AJB1" s="263"/>
      <c r="AJC1" s="265">
        <v>44119.239499189818</v>
      </c>
      <c r="AJD1" s="83"/>
      <c r="AJE1" s="261" t="s">
        <v>33</v>
      </c>
      <c r="AJF1" s="263">
        <v>44118</v>
      </c>
      <c r="AJG1" s="263"/>
      <c r="AJH1" s="265">
        <v>44118.26033715278</v>
      </c>
      <c r="AJI1" s="83"/>
      <c r="AJJ1" s="261" t="s">
        <v>33</v>
      </c>
      <c r="AJK1" s="263">
        <v>44117</v>
      </c>
      <c r="AJL1" s="263"/>
      <c r="AJM1" s="265">
        <v>44117.260317245367</v>
      </c>
      <c r="AJN1" s="83"/>
      <c r="AJO1" s="261" t="s">
        <v>33</v>
      </c>
      <c r="AJP1" s="263">
        <v>44116</v>
      </c>
      <c r="AJQ1" s="263"/>
      <c r="AJR1" s="265">
        <v>44116.261723495372</v>
      </c>
      <c r="AJS1" s="83"/>
      <c r="AJT1" s="261" t="s">
        <v>33</v>
      </c>
      <c r="AJU1" s="263">
        <v>44115</v>
      </c>
      <c r="AJV1" s="263"/>
      <c r="AJW1" s="265">
        <v>44115.318968287036</v>
      </c>
      <c r="AJX1" s="83"/>
      <c r="AJY1" s="261" t="s">
        <v>33</v>
      </c>
      <c r="AJZ1" s="263">
        <v>44114</v>
      </c>
      <c r="AKA1" s="263"/>
      <c r="AKB1" s="265">
        <v>44114.280923032406</v>
      </c>
      <c r="AKC1" s="83"/>
      <c r="AKD1" s="261" t="s">
        <v>33</v>
      </c>
      <c r="AKE1" s="263">
        <v>44113</v>
      </c>
      <c r="AKF1" s="263"/>
      <c r="AKG1" s="265">
        <v>44113.282922453705</v>
      </c>
      <c r="AKH1" s="83"/>
      <c r="AKI1" s="261" t="s">
        <v>33</v>
      </c>
      <c r="AKJ1" s="263">
        <v>44112</v>
      </c>
      <c r="AKK1" s="263"/>
      <c r="AKL1" s="265">
        <v>44112.264768518522</v>
      </c>
      <c r="AKM1" s="83"/>
      <c r="AKN1" s="261" t="s">
        <v>33</v>
      </c>
      <c r="AKO1" s="263">
        <v>44111</v>
      </c>
      <c r="AKP1" s="263"/>
      <c r="AKQ1" s="265">
        <v>44111.326668865739</v>
      </c>
      <c r="AKR1" s="83"/>
      <c r="AKS1" s="261" t="s">
        <v>33</v>
      </c>
      <c r="AKT1" s="263">
        <v>44110</v>
      </c>
      <c r="AKU1" s="263"/>
      <c r="AKV1" s="265">
        <v>44110.337914814816</v>
      </c>
      <c r="AKW1" s="83"/>
      <c r="AKX1" s="261" t="s">
        <v>33</v>
      </c>
      <c r="AKY1" s="263">
        <v>44109</v>
      </c>
      <c r="AKZ1" s="263"/>
      <c r="ALA1" s="265">
        <v>44109.281122106484</v>
      </c>
      <c r="ALB1" s="83"/>
      <c r="ALC1" s="261" t="s">
        <v>33</v>
      </c>
      <c r="ALD1" s="263">
        <v>44108</v>
      </c>
      <c r="ALE1" s="263"/>
      <c r="ALF1" s="265">
        <v>44108.302943981478</v>
      </c>
      <c r="ALG1" s="83"/>
      <c r="ALH1" s="261" t="s">
        <v>33</v>
      </c>
      <c r="ALI1" s="263">
        <v>44107</v>
      </c>
      <c r="ALJ1" s="263"/>
      <c r="ALK1" s="265">
        <v>44107.28605949074</v>
      </c>
      <c r="ALL1" s="83"/>
      <c r="ALM1" s="261" t="s">
        <v>33</v>
      </c>
      <c r="ALN1" s="263">
        <v>44106</v>
      </c>
      <c r="ALO1" s="263"/>
      <c r="ALP1" s="265">
        <v>44106.26676377315</v>
      </c>
      <c r="ALQ1" s="83"/>
      <c r="ALR1" s="261" t="s">
        <v>33</v>
      </c>
      <c r="ALS1" s="263">
        <v>44105</v>
      </c>
      <c r="ALT1" s="263"/>
      <c r="ALU1" s="265">
        <v>44105.312661226853</v>
      </c>
      <c r="ALV1" s="83"/>
      <c r="ALW1" s="261" t="s">
        <v>33</v>
      </c>
      <c r="ALX1" s="263">
        <v>44104</v>
      </c>
      <c r="ALY1" s="263"/>
      <c r="ALZ1" s="265">
        <v>44104.313549768522</v>
      </c>
      <c r="AMA1" s="83"/>
      <c r="AMB1" s="261" t="s">
        <v>33</v>
      </c>
      <c r="AMC1" s="263">
        <v>44103</v>
      </c>
      <c r="AMD1" s="263"/>
      <c r="AME1" s="265">
        <v>44103.264196296295</v>
      </c>
      <c r="AMF1" s="83"/>
      <c r="AMG1" s="261" t="s">
        <v>33</v>
      </c>
      <c r="AMH1" s="263">
        <v>44102</v>
      </c>
      <c r="AMI1" s="263"/>
      <c r="AMJ1" s="265">
        <v>44102.263683217592</v>
      </c>
      <c r="AMK1" s="83"/>
      <c r="AML1" s="261" t="s">
        <v>33</v>
      </c>
      <c r="AMM1" s="263">
        <v>44100</v>
      </c>
      <c r="AMN1" s="263"/>
      <c r="AMO1" s="265">
        <v>44100.273246064811</v>
      </c>
      <c r="AMP1" s="83"/>
      <c r="AMQ1" s="261" t="s">
        <v>33</v>
      </c>
      <c r="AMR1" s="263">
        <v>44099</v>
      </c>
      <c r="AMS1" s="263"/>
      <c r="AMT1" s="265">
        <v>44099.281386111114</v>
      </c>
      <c r="AMU1" s="83"/>
      <c r="AMV1" s="261" t="s">
        <v>33</v>
      </c>
      <c r="AMW1" s="263">
        <v>44098</v>
      </c>
      <c r="AMX1" s="263"/>
      <c r="AMY1" s="265">
        <v>44098.289622916665</v>
      </c>
      <c r="AMZ1" s="83"/>
      <c r="ANA1" s="261" t="s">
        <v>33</v>
      </c>
      <c r="ANB1" s="263">
        <v>44097</v>
      </c>
      <c r="ANC1" s="263"/>
      <c r="AND1" s="265">
        <v>44097.261401736112</v>
      </c>
      <c r="ANE1" s="83"/>
      <c r="ANF1" s="261" t="s">
        <v>33</v>
      </c>
      <c r="ANG1" s="263">
        <v>44096</v>
      </c>
      <c r="ANH1" s="263"/>
      <c r="ANI1" s="265">
        <v>44096.271759953706</v>
      </c>
      <c r="ANJ1" s="83"/>
      <c r="ANK1" s="261" t="s">
        <v>33</v>
      </c>
      <c r="ANL1" s="263">
        <v>44095</v>
      </c>
      <c r="ANM1" s="263"/>
      <c r="ANN1" s="265">
        <v>44095.277454513889</v>
      </c>
      <c r="ANO1" s="83"/>
      <c r="ANP1" s="261" t="s">
        <v>33</v>
      </c>
      <c r="ANQ1" s="263">
        <v>44094</v>
      </c>
      <c r="ANR1" s="263"/>
      <c r="ANS1" s="265">
        <v>44094.255115856482</v>
      </c>
      <c r="ANT1" s="83"/>
      <c r="ANU1" s="261" t="s">
        <v>33</v>
      </c>
      <c r="ANV1" s="263">
        <v>44093</v>
      </c>
      <c r="ANW1" s="263"/>
      <c r="ANX1" s="265">
        <v>44093.307516203706</v>
      </c>
      <c r="ANY1" s="83"/>
      <c r="ANZ1" s="261" t="s">
        <v>33</v>
      </c>
      <c r="AOA1" s="263">
        <v>44092</v>
      </c>
      <c r="AOB1" s="263"/>
      <c r="AOC1" s="265">
        <v>44092.274027893516</v>
      </c>
      <c r="AOD1" s="83"/>
      <c r="AOE1" s="261" t="s">
        <v>33</v>
      </c>
      <c r="AOF1" s="263">
        <v>44091</v>
      </c>
      <c r="AOG1" s="263"/>
      <c r="AOH1" s="265">
        <v>44091.278799421299</v>
      </c>
      <c r="AOI1" s="83"/>
      <c r="AOJ1" s="261" t="s">
        <v>33</v>
      </c>
      <c r="AOK1" s="263">
        <v>44090</v>
      </c>
      <c r="AOL1" s="263"/>
      <c r="AOM1" s="265">
        <v>44090.254498032409</v>
      </c>
      <c r="AON1" s="83"/>
      <c r="AOO1" s="261" t="s">
        <v>33</v>
      </c>
      <c r="AOP1" s="263">
        <v>44089</v>
      </c>
      <c r="AOQ1" s="263"/>
      <c r="AOR1" s="265">
        <v>44089.282790509256</v>
      </c>
      <c r="AOS1" s="83"/>
      <c r="AOT1" s="261" t="s">
        <v>33</v>
      </c>
      <c r="AOU1" s="263">
        <v>44088</v>
      </c>
      <c r="AOV1" s="263"/>
      <c r="AOW1" s="265">
        <v>44088.25047013889</v>
      </c>
      <c r="AOX1" s="83"/>
      <c r="AOY1" s="261" t="s">
        <v>33</v>
      </c>
      <c r="AOZ1" s="263">
        <v>44087</v>
      </c>
      <c r="APA1" s="263"/>
      <c r="APB1" s="265">
        <v>44087.264216550924</v>
      </c>
      <c r="APC1" s="83"/>
      <c r="APD1" s="261" t="s">
        <v>33</v>
      </c>
      <c r="APE1" s="263">
        <v>44086</v>
      </c>
      <c r="APF1" s="263"/>
      <c r="APG1" s="265">
        <v>44086.289743865738</v>
      </c>
      <c r="APH1" s="83"/>
      <c r="API1" s="261" t="s">
        <v>33</v>
      </c>
      <c r="APJ1" s="263">
        <v>44085</v>
      </c>
      <c r="APK1" s="263"/>
      <c r="APL1" s="265">
        <v>44085.255628472223</v>
      </c>
      <c r="APM1" s="83"/>
      <c r="APN1" s="261" t="s">
        <v>33</v>
      </c>
      <c r="APO1" s="263">
        <v>44084</v>
      </c>
      <c r="APP1" s="263"/>
      <c r="APQ1" s="265">
        <v>44084.268940624999</v>
      </c>
      <c r="APR1" s="83"/>
      <c r="APS1" s="261" t="s">
        <v>33</v>
      </c>
      <c r="APT1" s="263">
        <v>44083</v>
      </c>
      <c r="APU1" s="263"/>
      <c r="APV1" s="265">
        <v>44083.276097685186</v>
      </c>
      <c r="APW1" s="83"/>
      <c r="APX1" s="261" t="s">
        <v>33</v>
      </c>
      <c r="APY1" s="263">
        <v>44082</v>
      </c>
      <c r="APZ1" s="263"/>
      <c r="AQA1" s="265">
        <v>44082.31010023148</v>
      </c>
      <c r="AQB1" s="83"/>
      <c r="AQC1" s="261" t="s">
        <v>33</v>
      </c>
      <c r="AQD1" s="263">
        <v>44081</v>
      </c>
      <c r="AQE1" s="263"/>
      <c r="AQF1" s="265">
        <v>44081.295304976855</v>
      </c>
      <c r="AQG1" s="83"/>
      <c r="AQH1" s="261" t="s">
        <v>33</v>
      </c>
      <c r="AQI1" s="263">
        <v>44080</v>
      </c>
      <c r="AQJ1" s="263"/>
      <c r="AQK1" s="265">
        <v>44080.279700578707</v>
      </c>
      <c r="AQL1" s="83"/>
      <c r="AQM1" s="261" t="s">
        <v>33</v>
      </c>
      <c r="AQN1" s="263">
        <v>44079</v>
      </c>
      <c r="AQO1" s="263"/>
      <c r="AQP1" s="265">
        <v>44079.341136805553</v>
      </c>
      <c r="AQQ1" s="83"/>
      <c r="AQR1" s="261" t="s">
        <v>33</v>
      </c>
      <c r="AQS1" s="263">
        <v>44078</v>
      </c>
      <c r="AQT1" s="263"/>
      <c r="AQU1" s="265">
        <v>44078.277021064816</v>
      </c>
      <c r="AQV1" s="83"/>
      <c r="AQW1" s="261" t="s">
        <v>33</v>
      </c>
      <c r="AQX1" s="263">
        <v>44077</v>
      </c>
      <c r="AQY1" s="263"/>
      <c r="AQZ1" s="265">
        <v>44077.236988773147</v>
      </c>
      <c r="ARA1" s="83"/>
      <c r="ARB1" s="261" t="s">
        <v>33</v>
      </c>
      <c r="ARC1" s="263">
        <v>44076</v>
      </c>
      <c r="ARD1" s="263"/>
      <c r="ARE1" s="265">
        <v>44076.259289004629</v>
      </c>
      <c r="ARF1" s="83"/>
      <c r="ARG1" s="261" t="s">
        <v>33</v>
      </c>
      <c r="ARH1" s="263">
        <v>44075</v>
      </c>
      <c r="ARI1" s="263"/>
      <c r="ARJ1" s="265">
        <v>44075.277851620369</v>
      </c>
      <c r="ARK1" s="83"/>
      <c r="ARL1" s="261" t="s">
        <v>33</v>
      </c>
      <c r="ARM1" s="263">
        <v>44074</v>
      </c>
      <c r="ARN1" s="263"/>
      <c r="ARO1" s="265">
        <v>44074.273650925927</v>
      </c>
      <c r="ARP1" s="83"/>
      <c r="ARQ1" s="261" t="s">
        <v>33</v>
      </c>
      <c r="ARR1" s="263">
        <v>44073</v>
      </c>
      <c r="ARS1" s="263"/>
      <c r="ART1" s="265">
        <v>44073.258577314817</v>
      </c>
      <c r="ARU1" s="83"/>
      <c r="ARV1" s="261" t="s">
        <v>33</v>
      </c>
      <c r="ARW1" s="263">
        <v>44072</v>
      </c>
      <c r="ARX1" s="263"/>
      <c r="ARY1" s="265">
        <v>44072.282424421297</v>
      </c>
      <c r="ARZ1" s="83"/>
      <c r="ASA1" s="261" t="s">
        <v>33</v>
      </c>
      <c r="ASB1" s="263">
        <v>44071</v>
      </c>
      <c r="ASC1" s="263"/>
      <c r="ASD1" s="265">
        <v>44071.265880671293</v>
      </c>
      <c r="ASE1" s="83"/>
      <c r="ASF1" s="261" t="s">
        <v>33</v>
      </c>
      <c r="ASG1" s="263">
        <v>44070</v>
      </c>
      <c r="ASH1" s="263"/>
      <c r="ASI1" s="265">
        <v>44070.235642361113</v>
      </c>
      <c r="ASJ1" s="83"/>
      <c r="ASK1" s="261" t="s">
        <v>33</v>
      </c>
      <c r="ASL1" s="263">
        <v>44069</v>
      </c>
      <c r="ASM1" s="263"/>
      <c r="ASN1" s="265">
        <v>44069.258054166668</v>
      </c>
      <c r="ASO1" s="83"/>
      <c r="ASP1" s="261" t="s">
        <v>33</v>
      </c>
      <c r="ASQ1" s="263">
        <v>44068</v>
      </c>
      <c r="ASR1" s="263"/>
      <c r="ASS1" s="265">
        <v>44068.267617708334</v>
      </c>
      <c r="AST1" s="83"/>
      <c r="ASU1" s="261" t="s">
        <v>33</v>
      </c>
      <c r="ASV1" s="263">
        <v>44067</v>
      </c>
      <c r="ASW1" s="263"/>
      <c r="ASX1" s="265">
        <v>44067.221443287039</v>
      </c>
      <c r="ASY1" s="83"/>
      <c r="ASZ1" s="261" t="s">
        <v>33</v>
      </c>
      <c r="ATA1" s="263">
        <v>44066</v>
      </c>
      <c r="ATB1" s="263"/>
      <c r="ATC1" s="265">
        <v>44066.277110995368</v>
      </c>
      <c r="ATD1" s="83"/>
      <c r="ATE1" s="261" t="s">
        <v>33</v>
      </c>
      <c r="ATF1" s="263">
        <v>44065</v>
      </c>
      <c r="ATG1" s="263"/>
      <c r="ATH1" s="265">
        <v>44065.276112384257</v>
      </c>
      <c r="ATI1" s="83"/>
      <c r="ATJ1" s="261" t="s">
        <v>33</v>
      </c>
      <c r="ATK1" s="263">
        <v>44064</v>
      </c>
      <c r="ATL1" s="263"/>
      <c r="ATM1" s="265">
        <v>44064.277921990739</v>
      </c>
      <c r="ATN1" s="83"/>
      <c r="ATO1" s="261" t="s">
        <v>33</v>
      </c>
      <c r="ATP1" s="263">
        <v>44063</v>
      </c>
      <c r="ATQ1" s="263"/>
      <c r="ATR1" s="265">
        <v>44063.254284143521</v>
      </c>
      <c r="ATS1" s="83"/>
      <c r="ATT1" s="261" t="s">
        <v>33</v>
      </c>
      <c r="ATU1" s="263">
        <v>44062</v>
      </c>
      <c r="ATV1" s="263"/>
      <c r="ATW1" s="265">
        <v>44062.274440856483</v>
      </c>
      <c r="ATX1" s="83"/>
      <c r="ATY1" s="261" t="s">
        <v>33</v>
      </c>
      <c r="ATZ1" s="263">
        <v>44061</v>
      </c>
      <c r="AUA1" s="263"/>
      <c r="AUB1" s="265">
        <v>44061.255691550927</v>
      </c>
      <c r="AUC1" s="83"/>
      <c r="AUD1" s="261" t="s">
        <v>33</v>
      </c>
      <c r="AUE1" s="263">
        <v>44060</v>
      </c>
      <c r="AUF1" s="263"/>
      <c r="AUG1" s="265">
        <v>44060.273700231483</v>
      </c>
      <c r="AUH1" s="83"/>
      <c r="AUI1" s="261" t="s">
        <v>33</v>
      </c>
      <c r="AUJ1" s="263">
        <v>44059</v>
      </c>
      <c r="AUK1" s="263"/>
      <c r="AUL1" s="265">
        <v>44059.233860185188</v>
      </c>
      <c r="AUM1" s="83"/>
      <c r="AUN1" s="261" t="s">
        <v>33</v>
      </c>
      <c r="AUO1" s="263">
        <v>44058</v>
      </c>
      <c r="AUP1" s="263"/>
      <c r="AUQ1" s="265">
        <v>44058.287389120371</v>
      </c>
      <c r="AUR1" s="83"/>
      <c r="AUS1" s="261" t="s">
        <v>33</v>
      </c>
      <c r="AUT1" s="263">
        <v>44057</v>
      </c>
      <c r="AUU1" s="263"/>
      <c r="AUV1" s="265">
        <v>44057.260276157409</v>
      </c>
      <c r="AUW1" s="83"/>
      <c r="AUX1" s="261" t="s">
        <v>33</v>
      </c>
      <c r="AUY1" s="263">
        <v>44056</v>
      </c>
      <c r="AUZ1" s="263"/>
      <c r="AVA1" s="265">
        <v>44056.269853587961</v>
      </c>
      <c r="AVB1" s="83"/>
      <c r="AVC1" s="261" t="s">
        <v>33</v>
      </c>
      <c r="AVD1" s="263">
        <v>44055</v>
      </c>
      <c r="AVE1" s="263"/>
      <c r="AVF1" s="265">
        <v>44055.249322337964</v>
      </c>
      <c r="AVG1" s="83"/>
      <c r="AVH1" s="261" t="s">
        <v>33</v>
      </c>
      <c r="AVI1" s="263">
        <v>44054</v>
      </c>
      <c r="AVJ1" s="263"/>
      <c r="AVK1" s="265">
        <v>44054.252985763887</v>
      </c>
      <c r="AVL1" s="83"/>
      <c r="AVM1" s="261" t="s">
        <v>33</v>
      </c>
      <c r="AVN1" s="263">
        <v>44053</v>
      </c>
      <c r="AVO1" s="263"/>
      <c r="AVP1" s="265">
        <v>44053.223057523152</v>
      </c>
      <c r="AVQ1" s="83"/>
      <c r="AVR1" s="261" t="s">
        <v>33</v>
      </c>
      <c r="AVS1" s="263">
        <v>44052</v>
      </c>
      <c r="AVT1" s="263"/>
      <c r="AVU1" s="265">
        <v>44052.256017129628</v>
      </c>
      <c r="AVV1" s="83"/>
      <c r="AVW1" s="261" t="s">
        <v>33</v>
      </c>
      <c r="AVX1" s="263">
        <v>44051</v>
      </c>
      <c r="AVY1" s="263"/>
      <c r="AVZ1" s="265">
        <v>44051.294525231482</v>
      </c>
      <c r="AWA1" s="83"/>
      <c r="AWB1" s="261" t="s">
        <v>33</v>
      </c>
      <c r="AWC1" s="263">
        <v>44050</v>
      </c>
      <c r="AWD1" s="263"/>
      <c r="AWE1" s="265">
        <v>44050.267181481482</v>
      </c>
      <c r="AWF1" s="83"/>
      <c r="AWG1" s="261" t="s">
        <v>33</v>
      </c>
      <c r="AWH1" s="263">
        <v>44049</v>
      </c>
      <c r="AWI1" s="263"/>
      <c r="AWJ1" s="265">
        <v>44049.275227314814</v>
      </c>
      <c r="AWK1" s="83"/>
      <c r="AWL1" s="261" t="s">
        <v>33</v>
      </c>
      <c r="AWM1" s="263">
        <v>44048</v>
      </c>
      <c r="AWN1" s="263"/>
      <c r="AWO1" s="265">
        <v>44048.265190740742</v>
      </c>
      <c r="AWP1" s="83"/>
      <c r="AWQ1" s="261" t="s">
        <v>33</v>
      </c>
      <c r="AWR1" s="263">
        <v>44047</v>
      </c>
      <c r="AWS1" s="263"/>
      <c r="AWT1" s="265">
        <v>44047.248572337965</v>
      </c>
      <c r="AWU1" s="83"/>
      <c r="AWV1" s="261" t="s">
        <v>33</v>
      </c>
      <c r="AWW1" s="263">
        <v>44046</v>
      </c>
      <c r="AWX1" s="263"/>
      <c r="AWY1" s="265">
        <v>44046.275345601854</v>
      </c>
      <c r="AWZ1" s="83"/>
      <c r="AXA1" s="261" t="s">
        <v>33</v>
      </c>
      <c r="AXB1" s="263">
        <v>44045</v>
      </c>
      <c r="AXC1" s="263"/>
      <c r="AXD1" s="265">
        <v>44045.258845486111</v>
      </c>
      <c r="AXE1" s="83"/>
      <c r="AXF1" s="261" t="s">
        <v>33</v>
      </c>
      <c r="AXG1" s="263">
        <v>44044</v>
      </c>
      <c r="AXH1" s="263"/>
      <c r="AXI1" s="265">
        <v>44044.243490740744</v>
      </c>
      <c r="AXJ1" s="83"/>
      <c r="AXK1" s="261" t="s">
        <v>33</v>
      </c>
      <c r="AXL1" s="263">
        <v>44043</v>
      </c>
      <c r="AXM1" s="263"/>
      <c r="AXN1" s="265">
        <v>44043.27172488426</v>
      </c>
      <c r="AXO1" s="83"/>
      <c r="AXP1" s="261" t="s">
        <v>33</v>
      </c>
      <c r="AXQ1" s="263">
        <v>44042</v>
      </c>
      <c r="AXR1" s="263"/>
      <c r="AXS1" s="265">
        <v>44042.27838275463</v>
      </c>
      <c r="AXT1" s="83"/>
      <c r="AXU1" s="261" t="s">
        <v>33</v>
      </c>
      <c r="AXV1" s="263">
        <v>44041</v>
      </c>
      <c r="AXW1" s="263"/>
      <c r="AXX1" s="265">
        <v>44041.27217546296</v>
      </c>
      <c r="AXY1" s="83"/>
      <c r="AXZ1" s="261" t="s">
        <v>33</v>
      </c>
      <c r="AYA1" s="263">
        <v>44040</v>
      </c>
      <c r="AYB1" s="263"/>
      <c r="AYC1" s="265">
        <v>44040.237351388889</v>
      </c>
      <c r="AYD1" s="83"/>
      <c r="AYE1" s="261" t="s">
        <v>33</v>
      </c>
      <c r="AYF1" s="263">
        <v>44039</v>
      </c>
      <c r="AYG1" s="263"/>
      <c r="AYH1" s="265">
        <v>44039.297500000001</v>
      </c>
      <c r="AYI1" s="83"/>
      <c r="AYJ1" s="261" t="s">
        <v>33</v>
      </c>
      <c r="AYK1" s="263">
        <v>44038</v>
      </c>
      <c r="AYL1" s="263"/>
      <c r="AYM1" s="265">
        <v>44038.25524791667</v>
      </c>
      <c r="AYN1" s="83"/>
      <c r="AYO1" s="261" t="s">
        <v>33</v>
      </c>
      <c r="AYP1" s="263">
        <v>44037</v>
      </c>
      <c r="AYQ1" s="263"/>
      <c r="AYR1" s="265">
        <v>44037.256480902775</v>
      </c>
      <c r="AYS1" s="83"/>
      <c r="AYT1" s="261" t="s">
        <v>33</v>
      </c>
      <c r="AYU1" s="263">
        <v>44034</v>
      </c>
      <c r="AYV1" s="263"/>
      <c r="AYW1" s="265">
        <v>44034.271469328705</v>
      </c>
      <c r="AYX1" s="83"/>
      <c r="AYY1" s="261" t="s">
        <v>33</v>
      </c>
      <c r="AYZ1" s="263">
        <v>44033</v>
      </c>
      <c r="AZA1" s="263"/>
      <c r="AZB1" s="265">
        <v>44033.271519444446</v>
      </c>
      <c r="AZC1" s="83"/>
      <c r="AZD1" s="261" t="s">
        <v>33</v>
      </c>
      <c r="AZE1" s="263">
        <v>44032</v>
      </c>
      <c r="AZF1" s="263"/>
      <c r="AZG1" s="265">
        <v>44032.344673726853</v>
      </c>
      <c r="AZH1" s="83"/>
      <c r="AZI1" s="261" t="s">
        <v>33</v>
      </c>
      <c r="AZJ1" s="263">
        <v>44031</v>
      </c>
      <c r="AZK1" s="263"/>
      <c r="AZL1" s="265">
        <v>44031.258199421296</v>
      </c>
      <c r="AZM1" s="83"/>
      <c r="AZN1" s="261" t="s">
        <v>33</v>
      </c>
      <c r="AZO1" s="263">
        <v>44030</v>
      </c>
      <c r="AZP1" s="263"/>
      <c r="AZQ1" s="265">
        <v>44030.259004398147</v>
      </c>
      <c r="AZR1" s="83"/>
      <c r="AZS1" s="261" t="s">
        <v>33</v>
      </c>
      <c r="AZT1" s="263">
        <v>44029</v>
      </c>
      <c r="AZU1" s="263"/>
      <c r="AZV1" s="265">
        <v>44029.282905092594</v>
      </c>
      <c r="AZW1" s="83"/>
      <c r="AZX1" s="261" t="s">
        <v>33</v>
      </c>
      <c r="AZY1" s="263">
        <v>44028</v>
      </c>
      <c r="AZZ1" s="263"/>
      <c r="BAA1" s="265">
        <v>44028.27611215278</v>
      </c>
      <c r="BAB1" s="83"/>
      <c r="BAC1" s="261" t="s">
        <v>33</v>
      </c>
      <c r="BAD1" s="263">
        <v>44027</v>
      </c>
      <c r="BAE1" s="263"/>
      <c r="BAF1" s="265">
        <v>44027.303331365743</v>
      </c>
      <c r="BAG1" s="83"/>
      <c r="BAH1" s="261" t="s">
        <v>33</v>
      </c>
      <c r="BAI1" s="263">
        <v>44026</v>
      </c>
      <c r="BAJ1" s="263"/>
      <c r="BAK1" s="265">
        <v>44026.277354398146</v>
      </c>
      <c r="BAL1" s="83"/>
      <c r="BAM1" s="261" t="s">
        <v>33</v>
      </c>
      <c r="BAN1" s="263">
        <v>44025</v>
      </c>
      <c r="BAO1" s="263"/>
      <c r="BAP1" s="265">
        <v>44025.353689120369</v>
      </c>
      <c r="BAQ1" s="83"/>
      <c r="BAR1" s="261" t="s">
        <v>33</v>
      </c>
      <c r="BAS1" s="263">
        <v>44024</v>
      </c>
      <c r="BAT1" s="263"/>
      <c r="BAU1" s="265">
        <v>44024.252042476852</v>
      </c>
      <c r="BAV1" s="83"/>
      <c r="BAW1" s="261" t="s">
        <v>33</v>
      </c>
      <c r="BAX1" s="263">
        <v>44023</v>
      </c>
      <c r="BAY1" s="263"/>
      <c r="BAZ1" s="265">
        <v>44023.258128472226</v>
      </c>
      <c r="BBA1" s="83"/>
      <c r="BBB1" s="261" t="s">
        <v>33</v>
      </c>
      <c r="BBC1" s="263">
        <v>44022</v>
      </c>
      <c r="BBD1" s="263"/>
      <c r="BBE1" s="265">
        <v>44022.263744791664</v>
      </c>
      <c r="BBF1" s="83"/>
      <c r="BBG1" s="261" t="s">
        <v>33</v>
      </c>
      <c r="BBH1" s="263">
        <v>44021</v>
      </c>
      <c r="BBI1" s="263"/>
      <c r="BBJ1" s="265">
        <v>44021.262884722222</v>
      </c>
      <c r="BBK1" s="83"/>
      <c r="BBL1" s="261" t="s">
        <v>33</v>
      </c>
      <c r="BBM1" s="263">
        <v>44020</v>
      </c>
      <c r="BBN1" s="263"/>
      <c r="BBO1" s="265">
        <v>44020.276769560187</v>
      </c>
      <c r="BBP1" s="83"/>
      <c r="BBQ1" s="261" t="s">
        <v>33</v>
      </c>
      <c r="BBR1" s="263">
        <v>44019</v>
      </c>
      <c r="BBS1" s="263"/>
      <c r="BBT1" s="265">
        <v>44019.249865509257</v>
      </c>
      <c r="BBU1" s="83"/>
      <c r="BBV1" s="261" t="s">
        <v>33</v>
      </c>
      <c r="BBW1" s="263">
        <v>44018</v>
      </c>
      <c r="BBX1" s="263"/>
      <c r="BBY1" s="265">
        <v>44018.262810532404</v>
      </c>
      <c r="BBZ1" s="83"/>
      <c r="BCA1" s="261" t="s">
        <v>33</v>
      </c>
      <c r="BCB1" s="263">
        <v>44017</v>
      </c>
      <c r="BCC1" s="263"/>
      <c r="BCD1" s="265">
        <v>44017.235843518516</v>
      </c>
      <c r="BCE1" s="83"/>
      <c r="BCF1" s="261" t="s">
        <v>33</v>
      </c>
      <c r="BCG1" s="263">
        <v>44016</v>
      </c>
      <c r="BCH1" s="263"/>
      <c r="BCI1" s="265">
        <v>44016.941960532407</v>
      </c>
      <c r="BCJ1" s="83"/>
      <c r="BCK1" s="261" t="s">
        <v>33</v>
      </c>
      <c r="BCL1" s="263">
        <v>44016</v>
      </c>
      <c r="BCM1" s="263"/>
      <c r="BCN1" s="265">
        <v>44016.247642361108</v>
      </c>
      <c r="BCO1" s="83"/>
      <c r="BCP1" s="261" t="s">
        <v>33</v>
      </c>
      <c r="BCQ1" s="263">
        <v>44015</v>
      </c>
      <c r="BCR1" s="263"/>
      <c r="BCS1" s="265">
        <v>44015.309291087964</v>
      </c>
      <c r="BCT1" s="83"/>
      <c r="BCU1" s="261" t="s">
        <v>33</v>
      </c>
      <c r="BCV1" s="263">
        <v>44014</v>
      </c>
      <c r="BCW1" s="263"/>
      <c r="BCX1" s="265">
        <v>44014.239439814817</v>
      </c>
      <c r="BCY1" s="83"/>
      <c r="BCZ1" s="261" t="s">
        <v>33</v>
      </c>
      <c r="BDA1" s="263">
        <v>44013</v>
      </c>
      <c r="BDB1" s="263"/>
      <c r="BDC1" s="265">
        <v>44013.245699884261</v>
      </c>
      <c r="BDD1" s="83"/>
      <c r="BDE1" s="261" t="s">
        <v>33</v>
      </c>
      <c r="BDF1" s="263">
        <v>44012</v>
      </c>
      <c r="BDG1" s="263"/>
      <c r="BDH1" s="265">
        <v>44012.25497141204</v>
      </c>
      <c r="BDI1" s="83"/>
      <c r="BDJ1" s="261" t="s">
        <v>33</v>
      </c>
      <c r="BDK1" s="263">
        <v>44011</v>
      </c>
      <c r="BDL1" s="263"/>
      <c r="BDM1" s="265">
        <v>44011.333981597221</v>
      </c>
      <c r="BDN1" s="83"/>
      <c r="BDO1" s="261" t="s">
        <v>33</v>
      </c>
      <c r="BDP1" s="263">
        <v>44010</v>
      </c>
      <c r="BDQ1" s="263"/>
      <c r="BDR1" s="265">
        <v>44010.261664351849</v>
      </c>
      <c r="BDS1" s="83"/>
      <c r="BDT1" s="261" t="s">
        <v>33</v>
      </c>
      <c r="BDU1" s="263">
        <v>44009</v>
      </c>
      <c r="BDV1" s="263"/>
      <c r="BDW1" s="265">
        <v>44009.26211087963</v>
      </c>
      <c r="BDX1" s="83"/>
      <c r="BDY1" s="261" t="s">
        <v>33</v>
      </c>
      <c r="BDZ1" s="263">
        <v>44008</v>
      </c>
      <c r="BEA1" s="263"/>
      <c r="BEB1" s="265">
        <v>44008.264124884263</v>
      </c>
      <c r="BEC1" s="83"/>
      <c r="BED1" s="261" t="s">
        <v>33</v>
      </c>
      <c r="BEE1" s="263">
        <v>44007</v>
      </c>
      <c r="BEF1" s="263"/>
      <c r="BEG1" s="265">
        <v>44007.26356284722</v>
      </c>
      <c r="BEH1" s="83"/>
      <c r="BEI1" s="261" t="s">
        <v>33</v>
      </c>
      <c r="BEJ1" s="263">
        <v>44005</v>
      </c>
      <c r="BEK1" s="263"/>
      <c r="BEL1" s="265">
        <v>44005.303248495373</v>
      </c>
      <c r="BEM1" s="83"/>
      <c r="BEN1" s="261" t="s">
        <v>33</v>
      </c>
      <c r="BEO1" s="263">
        <v>44004</v>
      </c>
      <c r="BEP1" s="263"/>
      <c r="BEQ1" s="265">
        <v>44004.285330671293</v>
      </c>
      <c r="BER1" s="83"/>
      <c r="BES1" s="261" t="s">
        <v>33</v>
      </c>
      <c r="BET1" s="263">
        <v>44003</v>
      </c>
      <c r="BEU1" s="263"/>
      <c r="BEV1" s="265">
        <v>44003.276058449075</v>
      </c>
      <c r="BEW1" s="83"/>
      <c r="BEX1" s="261" t="s">
        <v>33</v>
      </c>
      <c r="BEY1" s="263">
        <v>44002</v>
      </c>
      <c r="BEZ1" s="263"/>
      <c r="BFA1" s="265">
        <v>44002.263648263892</v>
      </c>
      <c r="BFB1" s="83"/>
      <c r="BFC1" s="261" t="s">
        <v>33</v>
      </c>
      <c r="BFD1" s="263">
        <v>44001</v>
      </c>
      <c r="BFE1" s="263"/>
      <c r="BFF1" s="265">
        <v>44001.24219016204</v>
      </c>
      <c r="BFG1" s="83"/>
      <c r="BFH1" s="261" t="s">
        <v>33</v>
      </c>
      <c r="BFI1" s="263">
        <v>44000</v>
      </c>
      <c r="BFJ1" s="263"/>
      <c r="BFK1" s="265">
        <v>44000.268223148145</v>
      </c>
      <c r="BFL1" s="83"/>
      <c r="BFM1" s="261" t="s">
        <v>33</v>
      </c>
      <c r="BFN1" s="263">
        <v>43999</v>
      </c>
      <c r="BFO1" s="263"/>
      <c r="BFP1" s="265">
        <v>43999.258356712962</v>
      </c>
      <c r="BFQ1" s="83"/>
      <c r="BFR1" s="261" t="s">
        <v>33</v>
      </c>
      <c r="BFS1" s="263">
        <v>43998</v>
      </c>
      <c r="BFT1" s="263"/>
      <c r="BFU1" s="265">
        <v>43998.25960208333</v>
      </c>
      <c r="BFV1" s="83"/>
      <c r="BFW1" s="261" t="s">
        <v>33</v>
      </c>
      <c r="BFX1" s="263">
        <v>43997</v>
      </c>
      <c r="BFY1" s="263"/>
      <c r="BFZ1" s="265">
        <v>43997.269561342589</v>
      </c>
      <c r="BGA1" s="83"/>
      <c r="BGB1" s="261" t="s">
        <v>33</v>
      </c>
      <c r="BGC1" s="263">
        <v>43996</v>
      </c>
      <c r="BGD1" s="263"/>
      <c r="BGE1" s="265">
        <v>43996.264264004632</v>
      </c>
      <c r="BGF1" s="83"/>
      <c r="BGG1" s="261" t="s">
        <v>33</v>
      </c>
      <c r="BGH1" s="263">
        <v>43995</v>
      </c>
      <c r="BGI1" s="263"/>
      <c r="BGJ1" s="265">
        <v>43995.251276967596</v>
      </c>
      <c r="BGK1" s="83"/>
      <c r="BGL1" s="261" t="s">
        <v>33</v>
      </c>
      <c r="BGM1" s="263">
        <v>43993</v>
      </c>
      <c r="BGN1" s="263"/>
      <c r="BGO1" s="265">
        <v>43993.259090046296</v>
      </c>
      <c r="BGP1" s="83"/>
      <c r="BGQ1" s="261" t="s">
        <v>33</v>
      </c>
      <c r="BGR1" s="263">
        <v>43992</v>
      </c>
      <c r="BGS1" s="263"/>
      <c r="BGT1" s="265">
        <v>43992.256859374997</v>
      </c>
      <c r="BGU1" s="83"/>
      <c r="BGV1" s="261" t="s">
        <v>33</v>
      </c>
      <c r="BGW1" s="263">
        <v>43991</v>
      </c>
      <c r="BGX1" s="263"/>
      <c r="BGY1" s="265">
        <v>43991.265081712962</v>
      </c>
      <c r="BGZ1" s="83"/>
      <c r="BHA1" s="261" t="s">
        <v>33</v>
      </c>
      <c r="BHB1" s="263">
        <v>43990</v>
      </c>
      <c r="BHC1" s="263"/>
      <c r="BHD1" s="265">
        <v>43990.263075578703</v>
      </c>
      <c r="BHE1" s="83"/>
      <c r="BHF1" s="261" t="s">
        <v>33</v>
      </c>
      <c r="BHG1" s="263">
        <v>43989</v>
      </c>
      <c r="BHH1" s="263"/>
      <c r="BHI1" s="265">
        <v>43989.273860532405</v>
      </c>
      <c r="BHJ1" s="83"/>
      <c r="BHK1" s="261" t="s">
        <v>33</v>
      </c>
      <c r="BHL1" s="263">
        <v>43988</v>
      </c>
      <c r="BHM1" s="263"/>
      <c r="BHN1" s="265">
        <v>43988.265866087961</v>
      </c>
      <c r="BHO1" s="83"/>
      <c r="BHP1" s="261" t="s">
        <v>33</v>
      </c>
      <c r="BHQ1" s="263">
        <v>43987</v>
      </c>
      <c r="BHR1" s="263"/>
      <c r="BHS1" s="265">
        <v>43987.270267708336</v>
      </c>
      <c r="BHT1" s="83"/>
      <c r="BHU1" s="261" t="s">
        <v>33</v>
      </c>
      <c r="BHV1" s="263">
        <v>43986</v>
      </c>
      <c r="BHW1" s="263"/>
      <c r="BHX1" s="265">
        <v>43986.252775000001</v>
      </c>
      <c r="BHY1" s="83"/>
      <c r="BHZ1" s="261" t="s">
        <v>33</v>
      </c>
      <c r="BIA1" s="263">
        <v>43985</v>
      </c>
      <c r="BIB1" s="263"/>
      <c r="BIC1" s="265">
        <v>43985.256559490743</v>
      </c>
      <c r="BID1" s="83"/>
      <c r="BIE1" s="261" t="s">
        <v>33</v>
      </c>
      <c r="BIF1" s="263">
        <v>43984</v>
      </c>
      <c r="BIG1" s="263"/>
      <c r="BIH1" s="265">
        <v>43984.267219675923</v>
      </c>
      <c r="BII1" s="83"/>
      <c r="BIJ1" s="261" t="s">
        <v>33</v>
      </c>
      <c r="BIK1" s="263">
        <v>43981</v>
      </c>
      <c r="BIL1" s="263"/>
      <c r="BIM1" s="265">
        <v>43981.263465277778</v>
      </c>
      <c r="BIN1" s="83"/>
      <c r="BIO1" s="261" t="s">
        <v>33</v>
      </c>
      <c r="BIP1" s="263">
        <v>43980</v>
      </c>
      <c r="BIQ1" s="263"/>
      <c r="BIR1" s="265">
        <v>43980.29626516204</v>
      </c>
      <c r="BIS1" s="83"/>
      <c r="BIT1" s="261" t="s">
        <v>33</v>
      </c>
      <c r="BIU1" s="263">
        <v>43979</v>
      </c>
      <c r="BIV1" s="263"/>
      <c r="BIW1" s="265">
        <v>43979.264004282406</v>
      </c>
      <c r="BIX1" s="83"/>
      <c r="BIY1" s="261" t="s">
        <v>33</v>
      </c>
      <c r="BIZ1" s="263">
        <v>43978</v>
      </c>
      <c r="BJA1" s="263"/>
      <c r="BJB1" s="265">
        <v>43978.233174768517</v>
      </c>
      <c r="BJC1" s="83"/>
      <c r="BJD1" s="261" t="s">
        <v>33</v>
      </c>
      <c r="BJE1" s="263">
        <v>43977</v>
      </c>
      <c r="BJF1" s="263"/>
      <c r="BJG1" s="265">
        <v>43977.243682754626</v>
      </c>
      <c r="BJH1" s="83"/>
      <c r="BJI1" s="261" t="s">
        <v>33</v>
      </c>
      <c r="BJJ1" s="263">
        <v>43976</v>
      </c>
      <c r="BJK1" s="263"/>
      <c r="BJL1" s="265">
        <v>43976.269603009256</v>
      </c>
      <c r="BJM1" s="83"/>
      <c r="BJN1" s="261" t="s">
        <v>33</v>
      </c>
      <c r="BJO1" s="263">
        <v>43972</v>
      </c>
      <c r="BJP1" s="263"/>
      <c r="BJQ1" s="265">
        <v>43972.271302314817</v>
      </c>
      <c r="BJR1" s="83"/>
      <c r="BJS1" s="261" t="s">
        <v>33</v>
      </c>
      <c r="BJT1" s="263">
        <v>43971</v>
      </c>
      <c r="BJU1" s="263"/>
      <c r="BJV1" s="265">
        <v>43971.271181018521</v>
      </c>
      <c r="BJW1" s="83"/>
      <c r="BJX1" s="261" t="s">
        <v>33</v>
      </c>
      <c r="BJY1" s="263">
        <v>43971</v>
      </c>
      <c r="BJZ1" s="263"/>
      <c r="BKA1" s="265">
        <v>43971.26390046296</v>
      </c>
      <c r="BKB1" s="83"/>
      <c r="BKC1" s="261" t="s">
        <v>33</v>
      </c>
      <c r="BKD1" s="263">
        <v>43968</v>
      </c>
      <c r="BKE1" s="263"/>
      <c r="BKF1" s="265">
        <v>43968.274428240744</v>
      </c>
      <c r="BKG1" s="83"/>
      <c r="BKH1" s="261" t="s">
        <v>33</v>
      </c>
      <c r="BKI1" s="263">
        <v>43967</v>
      </c>
      <c r="BKJ1" s="263"/>
      <c r="BKK1" s="265">
        <v>43967.265690509259</v>
      </c>
      <c r="BKL1" s="83"/>
      <c r="BKM1" s="261" t="s">
        <v>33</v>
      </c>
      <c r="BKN1" s="263">
        <v>43966</v>
      </c>
      <c r="BKO1" s="263"/>
      <c r="BKP1" s="265">
        <v>43966.275020138892</v>
      </c>
      <c r="BKQ1" s="83"/>
      <c r="BKR1" s="261" t="s">
        <v>33</v>
      </c>
      <c r="BKS1" s="263">
        <v>43964</v>
      </c>
      <c r="BKT1" s="263"/>
      <c r="BKU1" s="265">
        <v>43964.255430439815</v>
      </c>
      <c r="BKV1" s="83"/>
      <c r="BKW1" s="261" t="s">
        <v>33</v>
      </c>
      <c r="BKX1" s="263">
        <v>43961</v>
      </c>
      <c r="BKY1" s="263"/>
      <c r="BKZ1" s="265">
        <v>43961.268300347219</v>
      </c>
      <c r="BLA1" s="83"/>
      <c r="BLB1" s="261" t="s">
        <v>33</v>
      </c>
      <c r="BLC1" s="263">
        <v>43960</v>
      </c>
      <c r="BLD1" s="263"/>
      <c r="BLE1" s="265">
        <v>43960.262884374999</v>
      </c>
      <c r="BLF1" s="83"/>
      <c r="BLG1" s="261" t="s">
        <v>33</v>
      </c>
      <c r="BLH1" s="263">
        <v>43959</v>
      </c>
      <c r="BLI1" s="263"/>
      <c r="BLJ1" s="265">
        <v>43959.280715046298</v>
      </c>
      <c r="BLK1" s="83"/>
      <c r="BLL1" s="261" t="s">
        <v>33</v>
      </c>
      <c r="BLM1" s="263">
        <v>43958</v>
      </c>
      <c r="BLN1" s="263"/>
      <c r="BLO1" s="265">
        <v>43958.25278101852</v>
      </c>
      <c r="BLP1" s="83"/>
      <c r="BLQ1" s="261" t="s">
        <v>33</v>
      </c>
      <c r="BLR1" s="263">
        <v>43957</v>
      </c>
      <c r="BLS1" s="263"/>
      <c r="BLT1" s="265">
        <v>43957.275638657411</v>
      </c>
      <c r="BLU1" s="83"/>
      <c r="BLV1" s="261" t="s">
        <v>33</v>
      </c>
      <c r="BLW1" s="263">
        <v>43954</v>
      </c>
      <c r="BLX1" s="263"/>
      <c r="BLY1" s="265">
        <v>43954.251579745367</v>
      </c>
      <c r="BLZ1" s="83"/>
      <c r="BMA1" s="261" t="s">
        <v>33</v>
      </c>
      <c r="BMB1" s="263">
        <v>43953</v>
      </c>
      <c r="BMC1" s="263"/>
      <c r="BMD1" s="265">
        <v>43953.257545717592</v>
      </c>
      <c r="BME1" s="83"/>
      <c r="BMF1" s="261" t="s">
        <v>33</v>
      </c>
      <c r="BMG1" s="263">
        <v>43952</v>
      </c>
      <c r="BMH1" s="263"/>
      <c r="BMI1" s="265">
        <v>43952.269274652775</v>
      </c>
      <c r="BMJ1" s="83"/>
      <c r="BMK1" s="261" t="s">
        <v>33</v>
      </c>
      <c r="BML1" s="263">
        <v>43951</v>
      </c>
      <c r="BMM1" s="263"/>
      <c r="BMN1" s="265">
        <v>43951.262039120367</v>
      </c>
      <c r="BMO1" s="83"/>
      <c r="BMP1" s="261" t="s">
        <v>33</v>
      </c>
      <c r="BMQ1" s="263">
        <v>43947</v>
      </c>
      <c r="BMR1" s="263"/>
      <c r="BMS1" s="265">
        <v>43947.259603819446</v>
      </c>
      <c r="BMT1" s="83"/>
      <c r="BMU1" s="261" t="s">
        <v>33</v>
      </c>
      <c r="BMV1" s="263">
        <v>43946</v>
      </c>
      <c r="BMW1" s="263"/>
      <c r="BMX1" s="265">
        <v>43946.266798495373</v>
      </c>
      <c r="BMY1" s="83"/>
      <c r="BMZ1" s="261" t="s">
        <v>33</v>
      </c>
      <c r="BNA1" s="263">
        <v>43945</v>
      </c>
      <c r="BNB1" s="263"/>
      <c r="BNC1" s="265">
        <v>43945.258580092595</v>
      </c>
      <c r="BND1" s="83"/>
      <c r="BNE1" s="261" t="s">
        <v>33</v>
      </c>
      <c r="BNF1" s="263">
        <v>43943</v>
      </c>
      <c r="BNG1" s="263"/>
      <c r="BNH1" s="265">
        <v>43943.221917013892</v>
      </c>
      <c r="BNI1" s="83"/>
      <c r="BNJ1" s="261" t="s">
        <v>33</v>
      </c>
      <c r="BNK1" s="263">
        <v>43938</v>
      </c>
      <c r="BNL1" s="263"/>
      <c r="BNM1" s="265">
        <v>43938.270918981485</v>
      </c>
      <c r="BNN1" s="83"/>
      <c r="BNO1" s="261" t="s">
        <v>33</v>
      </c>
      <c r="BNP1" s="263">
        <v>43937</v>
      </c>
      <c r="BNQ1" s="263"/>
      <c r="BNR1" s="265">
        <v>43937.260467708336</v>
      </c>
      <c r="BNS1" s="83"/>
      <c r="BNT1" s="261" t="s">
        <v>33</v>
      </c>
      <c r="BNU1" s="263">
        <v>43936</v>
      </c>
      <c r="BNV1" s="263"/>
      <c r="BNW1" s="265">
        <v>43936.268096874999</v>
      </c>
      <c r="BNX1" s="83"/>
      <c r="BNY1" s="261" t="s">
        <v>33</v>
      </c>
      <c r="BNZ1" s="263">
        <v>43933</v>
      </c>
      <c r="BOA1" s="263"/>
      <c r="BOB1" s="265">
        <v>43933.273108796297</v>
      </c>
      <c r="BOC1" s="83"/>
      <c r="BOD1" s="261" t="s">
        <v>33</v>
      </c>
      <c r="BOE1" s="263">
        <v>43930</v>
      </c>
      <c r="BOF1" s="263"/>
      <c r="BOG1" s="265">
        <v>43930.235986921296</v>
      </c>
      <c r="BOH1" s="83"/>
      <c r="BOI1" s="261" t="s">
        <v>33</v>
      </c>
      <c r="BOJ1" s="263">
        <v>43929</v>
      </c>
      <c r="BOK1" s="263"/>
      <c r="BOL1" s="265">
        <v>43929.261657175928</v>
      </c>
      <c r="BOM1" s="83"/>
      <c r="BON1" s="261" t="s">
        <v>33</v>
      </c>
      <c r="BOO1" s="263">
        <v>43928</v>
      </c>
      <c r="BOP1" s="263"/>
      <c r="BOQ1" s="265">
        <v>43928.262385069444</v>
      </c>
      <c r="BOR1" s="83"/>
      <c r="BOS1" s="261" t="s">
        <v>33</v>
      </c>
      <c r="BOT1" s="263">
        <v>43927</v>
      </c>
      <c r="BOU1" s="263"/>
      <c r="BOV1" s="265">
        <v>43927.266497569442</v>
      </c>
      <c r="BOW1" s="83"/>
      <c r="BOX1" s="261" t="s">
        <v>33</v>
      </c>
      <c r="BOY1" s="263">
        <v>43926</v>
      </c>
      <c r="BOZ1" s="263"/>
      <c r="BPA1" s="265">
        <v>43926.243911805555</v>
      </c>
      <c r="BPB1" s="83"/>
      <c r="BPC1" s="261" t="s">
        <v>33</v>
      </c>
      <c r="BPD1" s="263">
        <v>43925</v>
      </c>
      <c r="BPE1" s="263"/>
      <c r="BPF1" s="265">
        <v>43925.278782291665</v>
      </c>
      <c r="BPG1" s="83"/>
      <c r="BPH1" s="261" t="s">
        <v>33</v>
      </c>
      <c r="BPI1" s="263">
        <v>43924</v>
      </c>
      <c r="BPJ1" s="263"/>
      <c r="BPK1" s="265">
        <v>43924.215321643518</v>
      </c>
      <c r="BPL1" s="83"/>
      <c r="BPM1" s="261" t="s">
        <v>33</v>
      </c>
      <c r="BPN1" s="263">
        <v>43923</v>
      </c>
      <c r="BPO1" s="263"/>
      <c r="BPP1" s="265">
        <v>43923.267731018517</v>
      </c>
      <c r="BPQ1" s="83"/>
      <c r="BPR1" s="261" t="s">
        <v>33</v>
      </c>
      <c r="BPS1" s="263">
        <v>43922</v>
      </c>
      <c r="BPT1" s="263"/>
      <c r="BPU1" s="265">
        <v>43922.261268981485</v>
      </c>
      <c r="BPV1" s="83"/>
      <c r="BPW1" s="261" t="s">
        <v>33</v>
      </c>
      <c r="BPX1" s="263">
        <v>43921</v>
      </c>
      <c r="BPY1" s="263"/>
      <c r="BPZ1" s="265">
        <v>43921.230087847223</v>
      </c>
      <c r="BQA1" s="83"/>
      <c r="BQB1" s="261" t="s">
        <v>33</v>
      </c>
      <c r="BQC1" s="263">
        <v>43920</v>
      </c>
      <c r="BQD1" s="263"/>
      <c r="BQE1" s="265">
        <v>43920.22071898148</v>
      </c>
      <c r="BQF1" s="83"/>
      <c r="BQG1" s="261" t="s">
        <v>33</v>
      </c>
      <c r="BQH1" s="263">
        <v>43919</v>
      </c>
      <c r="BQI1" s="263"/>
      <c r="BQJ1" s="265">
        <v>43919.273772569446</v>
      </c>
      <c r="BQK1" s="83"/>
      <c r="BQL1" s="261" t="s">
        <v>33</v>
      </c>
      <c r="BQM1" s="263">
        <v>43918</v>
      </c>
      <c r="BQN1" s="263"/>
      <c r="BQO1" s="265">
        <v>43918.258951157404</v>
      </c>
      <c r="BQP1" s="83"/>
      <c r="BQQ1" s="261" t="s">
        <v>33</v>
      </c>
      <c r="BQR1" s="263">
        <v>43917</v>
      </c>
      <c r="BQS1" s="263"/>
      <c r="BQT1" s="265">
        <v>43917.222883680559</v>
      </c>
      <c r="BQU1" s="83"/>
      <c r="BQV1" s="261" t="s">
        <v>33</v>
      </c>
      <c r="BQW1" s="263">
        <v>43916</v>
      </c>
      <c r="BQX1" s="263"/>
      <c r="BQY1" s="265">
        <v>43916.26654571759</v>
      </c>
      <c r="BQZ1" s="83"/>
      <c r="BRA1" s="261" t="s">
        <v>33</v>
      </c>
      <c r="BRB1" s="263">
        <v>43915</v>
      </c>
      <c r="BRC1" s="263"/>
      <c r="BRD1" s="265">
        <v>43915.253535069445</v>
      </c>
      <c r="BRE1" s="83"/>
      <c r="BRF1" s="261" t="s">
        <v>33</v>
      </c>
      <c r="BRG1" s="263">
        <v>43914</v>
      </c>
      <c r="BRH1" s="263"/>
      <c r="BRI1" s="265">
        <v>43914.225951157408</v>
      </c>
      <c r="BRJ1" s="83"/>
      <c r="BRK1" s="261" t="s">
        <v>33</v>
      </c>
      <c r="BRL1" s="263">
        <v>43913</v>
      </c>
      <c r="BRM1" s="263"/>
      <c r="BRN1" s="265">
        <v>43913.241645949071</v>
      </c>
      <c r="BRO1" s="83"/>
      <c r="BRP1" s="261" t="s">
        <v>33</v>
      </c>
      <c r="BRQ1" s="263">
        <v>43912</v>
      </c>
      <c r="BRR1" s="263"/>
      <c r="BRS1" s="265">
        <v>43912.249379976849</v>
      </c>
      <c r="BRT1" s="83"/>
      <c r="BRU1" s="261" t="s">
        <v>33</v>
      </c>
      <c r="BRV1" s="263">
        <v>43911</v>
      </c>
      <c r="BRW1" s="263"/>
      <c r="BRX1" s="265">
        <v>43911.2409974537</v>
      </c>
      <c r="BRY1" s="83"/>
      <c r="BRZ1" s="261" t="s">
        <v>33</v>
      </c>
      <c r="BSA1" s="263">
        <v>43910</v>
      </c>
      <c r="BSB1" s="263"/>
      <c r="BSC1" s="265">
        <v>43910.248280208332</v>
      </c>
      <c r="BSD1" s="83"/>
      <c r="BSE1" s="261" t="s">
        <v>33</v>
      </c>
      <c r="BSF1" s="263">
        <v>43909</v>
      </c>
      <c r="BSG1" s="263"/>
      <c r="BSH1" s="265">
        <v>43909.251457407408</v>
      </c>
      <c r="BSI1" s="83"/>
      <c r="BSJ1" s="261" t="s">
        <v>33</v>
      </c>
      <c r="BSK1" s="263">
        <v>43908</v>
      </c>
      <c r="BSL1" s="263"/>
      <c r="BSM1" s="265">
        <v>43908.249764583335</v>
      </c>
      <c r="BSN1" s="83"/>
      <c r="BSO1" s="261" t="s">
        <v>33</v>
      </c>
      <c r="BSP1" s="263">
        <v>43907</v>
      </c>
      <c r="BSQ1" s="263"/>
      <c r="BSR1" s="265">
        <v>43907.261890972222</v>
      </c>
      <c r="BSS1" s="83"/>
      <c r="BST1" s="261" t="s">
        <v>33</v>
      </c>
      <c r="BSU1" s="263">
        <v>43906</v>
      </c>
      <c r="BSV1" s="263"/>
      <c r="BSW1" s="265">
        <v>43906.25115891204</v>
      </c>
      <c r="BSX1" s="83"/>
      <c r="BSY1" s="261" t="s">
        <v>33</v>
      </c>
      <c r="BSZ1" s="263">
        <v>43905</v>
      </c>
      <c r="BTA1" s="263"/>
      <c r="BTB1" s="265">
        <v>43905.257807407404</v>
      </c>
      <c r="BTC1" s="83"/>
      <c r="BTD1" s="261" t="s">
        <v>33</v>
      </c>
      <c r="BTE1" s="263">
        <v>43904</v>
      </c>
      <c r="BTF1" s="263"/>
      <c r="BTG1" s="265">
        <v>43904.22057164352</v>
      </c>
      <c r="BTH1" s="83"/>
      <c r="BTI1" s="261" t="s">
        <v>33</v>
      </c>
      <c r="BTJ1" s="263">
        <v>43903</v>
      </c>
      <c r="BTK1" s="263"/>
      <c r="BTL1" s="265">
        <v>43903.236405208336</v>
      </c>
      <c r="BTM1" s="83"/>
      <c r="BTN1" s="261" t="s">
        <v>33</v>
      </c>
      <c r="BTO1" s="263">
        <v>43902</v>
      </c>
      <c r="BTP1" s="263"/>
      <c r="BTQ1" s="265">
        <v>43902.232473611111</v>
      </c>
      <c r="BTR1" s="83"/>
      <c r="BTS1" s="261" t="s">
        <v>33</v>
      </c>
      <c r="BTT1" s="263">
        <v>43901</v>
      </c>
      <c r="BTU1" s="263"/>
      <c r="BTV1" s="265">
        <v>43901.239359953703</v>
      </c>
      <c r="BTW1" s="83"/>
      <c r="BTX1" s="261" t="s">
        <v>33</v>
      </c>
      <c r="BTY1" s="263">
        <v>43900</v>
      </c>
      <c r="BTZ1" s="263"/>
      <c r="BUA1" s="265">
        <v>43900.227488425924</v>
      </c>
      <c r="BUB1" s="83"/>
      <c r="BUC1" s="261" t="s">
        <v>33</v>
      </c>
      <c r="BUD1" s="263">
        <v>43899</v>
      </c>
      <c r="BUE1" s="263"/>
      <c r="BUF1" s="265">
        <v>43899.2382349537</v>
      </c>
      <c r="BUG1" s="83"/>
      <c r="BUH1" s="261" t="s">
        <v>33</v>
      </c>
      <c r="BUI1" s="263">
        <v>43893</v>
      </c>
      <c r="BUJ1" s="263"/>
      <c r="BUK1" s="265">
        <v>43893.255934143519</v>
      </c>
      <c r="BUL1" s="83"/>
      <c r="BUM1" s="261" t="s">
        <v>33</v>
      </c>
      <c r="BUN1" s="263">
        <v>43892</v>
      </c>
      <c r="BUO1" s="263"/>
      <c r="BUP1" s="265">
        <v>43892.257632870373</v>
      </c>
      <c r="BUQ1" s="83"/>
      <c r="BUR1" s="261" t="s">
        <v>33</v>
      </c>
      <c r="BUS1" s="263">
        <v>43891</v>
      </c>
      <c r="BUT1" s="263"/>
      <c r="BUU1" s="265">
        <v>43891.255668865742</v>
      </c>
      <c r="BUV1" s="83"/>
      <c r="BUW1" s="261" t="s">
        <v>33</v>
      </c>
      <c r="BUX1" s="263">
        <v>43890</v>
      </c>
      <c r="BUY1" s="263"/>
      <c r="BUZ1" s="265">
        <v>43890.990845023145</v>
      </c>
      <c r="BVA1" s="83"/>
      <c r="BVB1" s="261" t="s">
        <v>33</v>
      </c>
      <c r="BVC1" s="263">
        <v>43889</v>
      </c>
      <c r="BVD1" s="263"/>
      <c r="BVE1" s="265">
        <v>43889.244788425924</v>
      </c>
      <c r="BVF1" s="83"/>
      <c r="BVG1" s="261" t="s">
        <v>33</v>
      </c>
      <c r="BVH1" s="263">
        <v>43889</v>
      </c>
      <c r="BVI1" s="263"/>
      <c r="BVJ1" s="265">
        <v>43889.219445254632</v>
      </c>
      <c r="BVK1" s="83"/>
      <c r="BVL1" s="261" t="s">
        <v>33</v>
      </c>
      <c r="BVM1" s="263">
        <v>43888</v>
      </c>
      <c r="BVN1" s="263"/>
      <c r="BVO1" s="265">
        <v>43888.241687037036</v>
      </c>
      <c r="BVP1" s="83"/>
      <c r="BVQ1" s="261" t="s">
        <v>33</v>
      </c>
      <c r="BVR1" s="263">
        <v>43887</v>
      </c>
      <c r="BVS1" s="263"/>
      <c r="BVT1" s="265">
        <v>43887.258140625003</v>
      </c>
      <c r="BVU1" s="83"/>
      <c r="BVV1" s="261" t="s">
        <v>33</v>
      </c>
      <c r="BVW1" s="263">
        <v>43886</v>
      </c>
      <c r="BVX1" s="263"/>
      <c r="BVY1" s="265">
        <v>43886.240684837961</v>
      </c>
      <c r="BVZ1" s="83"/>
      <c r="BWA1" s="261" t="s">
        <v>33</v>
      </c>
      <c r="BWB1" s="263">
        <v>43885</v>
      </c>
      <c r="BWC1" s="263"/>
      <c r="BWD1" s="265">
        <v>43885.23985046296</v>
      </c>
      <c r="BWE1" s="83"/>
      <c r="BWF1" s="261" t="s">
        <v>33</v>
      </c>
      <c r="BWG1" s="263">
        <v>43884</v>
      </c>
      <c r="BWH1" s="263"/>
      <c r="BWI1" s="265">
        <v>43884.257897569441</v>
      </c>
      <c r="BWJ1" s="83"/>
      <c r="BWK1" s="261" t="s">
        <v>33</v>
      </c>
      <c r="BWL1" s="263">
        <v>43883</v>
      </c>
      <c r="BWM1" s="263"/>
      <c r="BWN1" s="265">
        <v>43883.263563425928</v>
      </c>
      <c r="BWO1" s="83"/>
      <c r="BWP1" s="261" t="s">
        <v>33</v>
      </c>
      <c r="BWQ1" s="263">
        <v>43882</v>
      </c>
      <c r="BWR1" s="263"/>
      <c r="BWS1" s="265">
        <v>43882.242822685184</v>
      </c>
      <c r="BWT1" s="83"/>
      <c r="BWU1" s="261" t="s">
        <v>33</v>
      </c>
      <c r="BWV1" s="263">
        <v>43881</v>
      </c>
      <c r="BWW1" s="263"/>
      <c r="BWX1" s="265">
        <v>43881.266191666669</v>
      </c>
      <c r="BWY1" s="83"/>
      <c r="BWZ1" s="261" t="s">
        <v>33</v>
      </c>
      <c r="BXA1" s="263">
        <v>43880</v>
      </c>
      <c r="BXB1" s="263"/>
      <c r="BXC1" s="265">
        <v>43880.215845486113</v>
      </c>
      <c r="BXD1" s="83"/>
      <c r="BXE1" s="261" t="s">
        <v>33</v>
      </c>
      <c r="BXF1" s="263">
        <v>43879</v>
      </c>
      <c r="BXG1" s="263"/>
      <c r="BXH1" s="265">
        <v>43879.223231365744</v>
      </c>
      <c r="BXI1" s="83"/>
      <c r="BXJ1" s="261" t="s">
        <v>33</v>
      </c>
      <c r="BXK1" s="263">
        <v>43878</v>
      </c>
      <c r="BXL1" s="263"/>
      <c r="BXM1" s="265">
        <v>43878.216887731483</v>
      </c>
      <c r="BXN1" s="83"/>
      <c r="BXO1" s="261" t="s">
        <v>33</v>
      </c>
      <c r="BXP1" s="263">
        <v>43877</v>
      </c>
      <c r="BXQ1" s="263"/>
      <c r="BXR1" s="265">
        <v>43877.264755324075</v>
      </c>
      <c r="BXS1" s="83"/>
      <c r="BXT1" s="261" t="s">
        <v>33</v>
      </c>
      <c r="BXU1" s="263">
        <v>43876</v>
      </c>
      <c r="BXV1" s="263"/>
      <c r="BXW1" s="265">
        <v>43876.251553935188</v>
      </c>
      <c r="BXX1" s="83"/>
      <c r="BXY1" s="261" t="s">
        <v>33</v>
      </c>
      <c r="BXZ1" s="263">
        <v>43876</v>
      </c>
      <c r="BYA1" s="263"/>
      <c r="BYB1" s="265">
        <v>43876.251406134259</v>
      </c>
      <c r="BYC1" s="83"/>
      <c r="BYD1" s="261" t="s">
        <v>33</v>
      </c>
      <c r="BYE1" s="263">
        <v>43876</v>
      </c>
      <c r="BYF1" s="263"/>
      <c r="BYG1" s="265">
        <v>43876.249664351853</v>
      </c>
      <c r="BYH1" s="83"/>
      <c r="BYI1" s="261" t="s">
        <v>33</v>
      </c>
      <c r="BYJ1" s="263">
        <v>43875</v>
      </c>
      <c r="BYK1" s="263"/>
      <c r="BYL1" s="265">
        <v>43875.226786342595</v>
      </c>
      <c r="BYM1" s="83"/>
      <c r="BYN1" s="261" t="s">
        <v>33</v>
      </c>
      <c r="BYO1" s="263">
        <v>43874</v>
      </c>
      <c r="BYP1" s="263"/>
      <c r="BYQ1" s="265">
        <v>43874.252833796294</v>
      </c>
      <c r="BYR1" s="83"/>
      <c r="BYS1" s="261" t="s">
        <v>33</v>
      </c>
      <c r="BYT1" s="263">
        <v>43873</v>
      </c>
      <c r="BYU1" s="263"/>
      <c r="BYV1" s="265">
        <v>43873.229352083334</v>
      </c>
      <c r="BYW1" s="83"/>
      <c r="BYX1" s="261" t="s">
        <v>33</v>
      </c>
      <c r="BYY1" s="263">
        <v>43872</v>
      </c>
      <c r="BYZ1" s="263"/>
      <c r="BZA1" s="265">
        <v>43872.248529398152</v>
      </c>
      <c r="BZB1" s="83"/>
      <c r="BZC1" s="261" t="s">
        <v>33</v>
      </c>
      <c r="BZD1" s="263">
        <v>43871</v>
      </c>
      <c r="BZE1" s="263"/>
      <c r="BZF1" s="265">
        <v>43871.233956944445</v>
      </c>
      <c r="BZG1" s="83"/>
      <c r="BZH1" s="261" t="s">
        <v>33</v>
      </c>
      <c r="BZI1" s="263">
        <v>43870</v>
      </c>
      <c r="BZJ1" s="263"/>
      <c r="BZK1" s="265">
        <v>43870.245030787039</v>
      </c>
      <c r="BZL1" s="83"/>
      <c r="BZM1" s="261" t="s">
        <v>33</v>
      </c>
      <c r="BZN1" s="263">
        <v>43869</v>
      </c>
      <c r="BZO1" s="263"/>
      <c r="BZP1" s="265">
        <v>43869.275618287036</v>
      </c>
      <c r="BZQ1" s="83"/>
      <c r="BZR1" s="261" t="s">
        <v>33</v>
      </c>
      <c r="BZS1" s="263">
        <v>43868</v>
      </c>
      <c r="BZT1" s="263"/>
      <c r="BZU1" s="265">
        <v>43868.267771990744</v>
      </c>
      <c r="BZV1" s="83"/>
      <c r="BZW1" s="261" t="s">
        <v>33</v>
      </c>
      <c r="BZX1" s="263">
        <v>43867</v>
      </c>
      <c r="BZY1" s="263"/>
      <c r="BZZ1" s="265">
        <v>43867.237324305555</v>
      </c>
      <c r="CAA1" s="83"/>
      <c r="CAB1" s="261" t="s">
        <v>33</v>
      </c>
      <c r="CAC1" s="263">
        <v>43866</v>
      </c>
      <c r="CAD1" s="263"/>
      <c r="CAE1" s="265">
        <v>43866.23715439815</v>
      </c>
      <c r="CAF1" s="83"/>
      <c r="CAG1" s="261" t="s">
        <v>33</v>
      </c>
      <c r="CAH1" s="263">
        <v>43863</v>
      </c>
      <c r="CAI1" s="263"/>
      <c r="CAJ1" s="265">
        <v>43863.260475462965</v>
      </c>
      <c r="CAK1" s="83"/>
      <c r="CAL1" s="261" t="s">
        <v>33</v>
      </c>
      <c r="CAM1" s="263">
        <v>43862</v>
      </c>
      <c r="CAN1" s="263"/>
      <c r="CAO1" s="265">
        <v>43862.255422453702</v>
      </c>
      <c r="CAP1" s="83"/>
      <c r="CAQ1" s="261" t="s">
        <v>33</v>
      </c>
      <c r="CAR1" s="263">
        <v>43861</v>
      </c>
      <c r="CAS1" s="263"/>
      <c r="CAT1" s="265">
        <v>43861.236825462962</v>
      </c>
      <c r="CAU1" s="83"/>
      <c r="CAV1" s="261" t="s">
        <v>33</v>
      </c>
      <c r="CAW1" s="263">
        <v>43860</v>
      </c>
      <c r="CAX1" s="263"/>
      <c r="CAY1" s="265">
        <v>43860.21511203704</v>
      </c>
      <c r="CAZ1" s="83"/>
      <c r="CBA1" s="261" t="s">
        <v>33</v>
      </c>
      <c r="CBB1" s="263">
        <v>43859</v>
      </c>
      <c r="CBC1" s="263"/>
      <c r="CBD1" s="265">
        <v>43859.244564583336</v>
      </c>
      <c r="CBE1" s="83"/>
      <c r="CBF1" s="261" t="s">
        <v>33</v>
      </c>
      <c r="CBG1" s="263">
        <v>43858</v>
      </c>
      <c r="CBH1" s="263"/>
      <c r="CBI1" s="265">
        <v>43858.212817939813</v>
      </c>
      <c r="CBJ1" s="83"/>
      <c r="CBK1" s="261" t="s">
        <v>33</v>
      </c>
      <c r="CBL1" s="263">
        <v>43857</v>
      </c>
      <c r="CBM1" s="263"/>
      <c r="CBN1" s="265">
        <v>43857.244709027778</v>
      </c>
      <c r="CBO1" s="83"/>
      <c r="CBP1" s="261" t="s">
        <v>33</v>
      </c>
      <c r="CBQ1" s="263">
        <v>43856</v>
      </c>
      <c r="CBR1" s="263"/>
      <c r="CBS1" s="265">
        <v>43856.1362568287</v>
      </c>
      <c r="CBT1" s="83"/>
      <c r="CBU1" s="261" t="s">
        <v>33</v>
      </c>
      <c r="CBV1" s="263">
        <v>43855</v>
      </c>
      <c r="CBW1" s="263"/>
      <c r="CBX1" s="265">
        <v>43855.242024652776</v>
      </c>
      <c r="CBY1" s="83"/>
      <c r="CBZ1" s="261" t="s">
        <v>33</v>
      </c>
      <c r="CCA1" s="263">
        <v>43854</v>
      </c>
      <c r="CCB1" s="263"/>
      <c r="CCC1" s="265">
        <v>43854.247072337967</v>
      </c>
      <c r="CCD1" s="83"/>
      <c r="CCE1" s="261" t="s">
        <v>33</v>
      </c>
      <c r="CCF1" s="263">
        <v>43853</v>
      </c>
      <c r="CCG1" s="263"/>
      <c r="CCH1" s="265">
        <v>43853.263652893518</v>
      </c>
      <c r="CCI1" s="83"/>
      <c r="CCJ1" s="261" t="s">
        <v>33</v>
      </c>
      <c r="CCK1" s="263">
        <v>43852</v>
      </c>
      <c r="CCL1" s="263"/>
      <c r="CCM1" s="265">
        <v>43852.234845833336</v>
      </c>
      <c r="CCN1" s="83"/>
      <c r="CCO1" s="261" t="s">
        <v>33</v>
      </c>
      <c r="CCP1" s="263">
        <v>43851</v>
      </c>
      <c r="CCQ1" s="263"/>
      <c r="CCR1" s="265">
        <v>43851.251528703702</v>
      </c>
      <c r="CCS1" s="83"/>
      <c r="CCT1" s="261" t="s">
        <v>33</v>
      </c>
      <c r="CCU1" s="263">
        <v>43850</v>
      </c>
      <c r="CCV1" s="263"/>
      <c r="CCW1" s="265">
        <v>43850.227544791669</v>
      </c>
      <c r="CCX1" s="83"/>
      <c r="CCY1" s="261" t="s">
        <v>33</v>
      </c>
      <c r="CCZ1" s="263">
        <v>43848</v>
      </c>
      <c r="CDA1" s="263"/>
      <c r="CDB1" s="265">
        <v>43848.291490740739</v>
      </c>
      <c r="CDC1" s="83"/>
      <c r="CDD1" s="261" t="s">
        <v>33</v>
      </c>
      <c r="CDE1" s="263">
        <v>43847</v>
      </c>
      <c r="CDF1" s="263"/>
      <c r="CDG1" s="265">
        <v>43847.282607407411</v>
      </c>
      <c r="CDH1" s="83"/>
      <c r="CDI1" s="261" t="s">
        <v>33</v>
      </c>
      <c r="CDJ1" s="263">
        <v>43846</v>
      </c>
      <c r="CDK1" s="263"/>
      <c r="CDL1" s="265">
        <v>43846.213659953704</v>
      </c>
      <c r="CDM1" s="83"/>
      <c r="CDN1" s="261" t="s">
        <v>33</v>
      </c>
      <c r="CDO1" s="263">
        <v>43845</v>
      </c>
      <c r="CDP1" s="263"/>
      <c r="CDQ1" s="265">
        <v>43845.224256134257</v>
      </c>
      <c r="CDR1" s="83"/>
      <c r="CDS1" s="261" t="s">
        <v>33</v>
      </c>
      <c r="CDT1" s="263">
        <v>43844</v>
      </c>
      <c r="CDU1" s="263"/>
      <c r="CDV1" s="265">
        <v>43844.251037152775</v>
      </c>
      <c r="CDW1" s="83"/>
      <c r="CDX1" s="261" t="s">
        <v>33</v>
      </c>
      <c r="CDY1" s="263">
        <v>43843</v>
      </c>
      <c r="CDZ1" s="263"/>
      <c r="CEA1" s="265">
        <v>43843.317684490743</v>
      </c>
      <c r="CEB1" s="83"/>
      <c r="CEC1" s="261" t="s">
        <v>33</v>
      </c>
      <c r="CED1" s="263">
        <v>43842</v>
      </c>
      <c r="CEE1" s="263"/>
      <c r="CEF1" s="265">
        <v>43842.253894328707</v>
      </c>
      <c r="CEG1" s="83"/>
      <c r="CEH1" s="261" t="s">
        <v>33</v>
      </c>
      <c r="CEI1" s="263">
        <v>43841</v>
      </c>
      <c r="CEJ1" s="263"/>
      <c r="CEK1" s="265">
        <v>43841.252665509259</v>
      </c>
      <c r="CEL1" s="83"/>
      <c r="CEM1" s="261" t="s">
        <v>33</v>
      </c>
      <c r="CEN1" s="263">
        <v>43840</v>
      </c>
      <c r="CEO1" s="263"/>
      <c r="CEP1" s="265">
        <v>43840.440679976855</v>
      </c>
      <c r="CEQ1" s="83"/>
      <c r="CER1" s="261" t="s">
        <v>33</v>
      </c>
      <c r="CES1" s="263">
        <v>43840</v>
      </c>
      <c r="CET1" s="263"/>
      <c r="CEU1" s="265">
        <v>43840.268803356485</v>
      </c>
      <c r="CEV1" s="83"/>
      <c r="CEW1" s="261" t="s">
        <v>33</v>
      </c>
      <c r="CEX1" s="263">
        <v>43839</v>
      </c>
      <c r="CEY1" s="263"/>
      <c r="CEZ1" s="265">
        <v>43839.2790193287</v>
      </c>
      <c r="CFA1" s="83"/>
      <c r="CFB1" s="261" t="s">
        <v>33</v>
      </c>
      <c r="CFC1" s="263">
        <v>43838</v>
      </c>
      <c r="CFD1" s="263"/>
      <c r="CFE1" s="265">
        <v>43838.264316782406</v>
      </c>
      <c r="CFF1" s="83"/>
      <c r="CFG1" s="261" t="s">
        <v>33</v>
      </c>
      <c r="CFH1" s="263">
        <v>43837</v>
      </c>
      <c r="CFI1" s="263"/>
      <c r="CFJ1" s="265">
        <v>43837.268008101855</v>
      </c>
      <c r="CFK1" s="83"/>
      <c r="CFL1" s="261" t="s">
        <v>33</v>
      </c>
      <c r="CFM1" s="263">
        <v>43836</v>
      </c>
      <c r="CFN1" s="263"/>
      <c r="CFO1" s="265">
        <v>43836.224917824075</v>
      </c>
      <c r="CFP1" s="83"/>
      <c r="CFQ1" s="261" t="s">
        <v>33</v>
      </c>
      <c r="CFR1" s="263">
        <v>43834</v>
      </c>
      <c r="CFS1" s="263"/>
      <c r="CFT1" s="265">
        <v>43834.219216666665</v>
      </c>
      <c r="CFU1" s="83"/>
      <c r="CFV1" s="261" t="s">
        <v>33</v>
      </c>
      <c r="CFW1" s="263">
        <v>43833</v>
      </c>
      <c r="CFX1" s="263"/>
      <c r="CFY1" s="265">
        <v>43833.253305787039</v>
      </c>
      <c r="CFZ1" s="83"/>
      <c r="CGA1" s="261" t="s">
        <v>33</v>
      </c>
      <c r="CGB1" s="263">
        <v>43832</v>
      </c>
      <c r="CGC1" s="263"/>
      <c r="CGD1" s="265">
        <v>43832.232635069442</v>
      </c>
      <c r="CGE1" s="83"/>
      <c r="CGF1" s="261" t="s">
        <v>33</v>
      </c>
      <c r="CGG1" s="263">
        <v>43831</v>
      </c>
      <c r="CGH1" s="263"/>
      <c r="CGI1" s="265">
        <v>43831.187464120369</v>
      </c>
      <c r="CGJ1" s="83"/>
      <c r="CGK1" s="261" t="s">
        <v>33</v>
      </c>
      <c r="CGL1" s="263">
        <v>43830</v>
      </c>
      <c r="CGM1" s="263"/>
      <c r="CGN1" s="265">
        <v>43830.25219363426</v>
      </c>
      <c r="CGO1" s="83"/>
      <c r="CGP1" s="261" t="s">
        <v>33</v>
      </c>
      <c r="CGQ1" s="263">
        <v>43829</v>
      </c>
      <c r="CGR1" s="263"/>
      <c r="CGS1" s="265">
        <v>43829.24014652778</v>
      </c>
      <c r="CGT1" s="83"/>
      <c r="CGU1" s="261" t="s">
        <v>33</v>
      </c>
      <c r="CGV1" s="263">
        <v>43827</v>
      </c>
      <c r="CGW1" s="263"/>
      <c r="CGX1" s="265">
        <v>43827.219962037037</v>
      </c>
      <c r="CGY1" s="83"/>
      <c r="CGZ1" s="261" t="s">
        <v>33</v>
      </c>
      <c r="CHA1" s="263">
        <v>43826</v>
      </c>
      <c r="CHB1" s="263"/>
      <c r="CHC1" s="265">
        <v>43826.225993865737</v>
      </c>
      <c r="CHD1" s="83"/>
      <c r="CHE1" s="261" t="s">
        <v>33</v>
      </c>
      <c r="CHF1" s="263">
        <v>43825</v>
      </c>
      <c r="CHG1" s="263"/>
      <c r="CHH1" s="265">
        <v>43825.242749421297</v>
      </c>
      <c r="CHI1" s="83"/>
      <c r="CHJ1" s="261" t="s">
        <v>33</v>
      </c>
      <c r="CHK1" s="263">
        <v>43823</v>
      </c>
      <c r="CHL1" s="263"/>
      <c r="CHM1" s="265">
        <v>43823.220347916664</v>
      </c>
      <c r="CHN1" s="83"/>
      <c r="CHO1" s="261" t="s">
        <v>33</v>
      </c>
      <c r="CHP1" s="263">
        <v>43822</v>
      </c>
      <c r="CHQ1" s="263"/>
      <c r="CHR1" s="265">
        <v>43822.296554282409</v>
      </c>
      <c r="CHS1" s="83"/>
      <c r="CHT1" s="261" t="s">
        <v>33</v>
      </c>
      <c r="CHU1" s="263">
        <v>43821</v>
      </c>
      <c r="CHV1" s="263"/>
      <c r="CHW1" s="265">
        <v>43821.25171423611</v>
      </c>
      <c r="CHX1" s="83"/>
      <c r="CHY1" s="261" t="s">
        <v>33</v>
      </c>
      <c r="CHZ1" s="263">
        <v>43820</v>
      </c>
      <c r="CIA1" s="263"/>
      <c r="CIB1" s="265">
        <v>43820.276993518521</v>
      </c>
      <c r="CIC1" s="83"/>
      <c r="CID1" s="261" t="s">
        <v>33</v>
      </c>
      <c r="CIE1" s="263">
        <v>43819</v>
      </c>
      <c r="CIF1" s="263"/>
      <c r="CIG1" s="265">
        <v>43819.257912152774</v>
      </c>
      <c r="CIH1" s="83"/>
      <c r="CII1" s="261" t="s">
        <v>33</v>
      </c>
      <c r="CIJ1" s="263">
        <v>43818</v>
      </c>
      <c r="CIK1" s="263"/>
      <c r="CIL1" s="265">
        <v>43818.288147569445</v>
      </c>
      <c r="CIM1" s="83"/>
      <c r="CIN1" s="261" t="s">
        <v>33</v>
      </c>
      <c r="CIO1" s="263">
        <v>43817</v>
      </c>
      <c r="CIP1" s="263"/>
      <c r="CIQ1" s="265">
        <v>43817.25159201389</v>
      </c>
      <c r="CIR1" s="83"/>
      <c r="CIS1" s="261" t="s">
        <v>33</v>
      </c>
      <c r="CIT1" s="263">
        <v>43816</v>
      </c>
      <c r="CIU1" s="263"/>
      <c r="CIV1" s="265">
        <v>43816.255096759262</v>
      </c>
      <c r="CIW1" s="83"/>
      <c r="CIX1" s="261" t="s">
        <v>33</v>
      </c>
      <c r="CIY1" s="263">
        <v>43815</v>
      </c>
      <c r="CIZ1" s="263"/>
      <c r="CJA1" s="265">
        <v>43815.255860879632</v>
      </c>
      <c r="CJB1" s="83"/>
      <c r="CJC1" s="261" t="s">
        <v>33</v>
      </c>
      <c r="CJD1" s="263">
        <v>43813</v>
      </c>
      <c r="CJE1" s="263"/>
      <c r="CJF1" s="265">
        <v>43813.279325810188</v>
      </c>
      <c r="CJG1" s="83"/>
      <c r="CJH1" s="261" t="s">
        <v>33</v>
      </c>
      <c r="CJI1" s="263">
        <v>43812</v>
      </c>
      <c r="CJJ1" s="263"/>
      <c r="CJK1" s="265">
        <v>43812.27451909722</v>
      </c>
      <c r="CJL1" s="83"/>
      <c r="CJM1" s="261" t="s">
        <v>33</v>
      </c>
      <c r="CJN1" s="263">
        <v>43811</v>
      </c>
      <c r="CJO1" s="263"/>
      <c r="CJP1" s="265">
        <v>43811.248778009256</v>
      </c>
      <c r="CJQ1" s="83"/>
      <c r="CJR1" s="261" t="s">
        <v>33</v>
      </c>
      <c r="CJS1" s="263">
        <v>43810</v>
      </c>
      <c r="CJT1" s="263"/>
      <c r="CJU1" s="265">
        <v>43810.296469791669</v>
      </c>
      <c r="CJV1" s="83"/>
      <c r="CJW1" s="261" t="s">
        <v>33</v>
      </c>
      <c r="CJX1" s="263">
        <v>43809</v>
      </c>
      <c r="CJY1" s="263"/>
      <c r="CJZ1" s="265">
        <v>43809.279698495367</v>
      </c>
      <c r="CKA1" s="83"/>
      <c r="CKB1" s="261" t="s">
        <v>33</v>
      </c>
      <c r="CKC1" s="263">
        <v>43808</v>
      </c>
      <c r="CKD1" s="263"/>
      <c r="CKE1" s="265">
        <v>43808.266052314815</v>
      </c>
      <c r="CKF1" s="83"/>
      <c r="CKG1" s="261" t="s">
        <v>33</v>
      </c>
      <c r="CKH1" s="263">
        <v>43807</v>
      </c>
      <c r="CKI1" s="263"/>
      <c r="CKJ1" s="265">
        <v>43807.274851504633</v>
      </c>
      <c r="CKK1" s="83"/>
      <c r="CKL1" s="261" t="s">
        <v>33</v>
      </c>
      <c r="CKM1" s="263">
        <v>43806</v>
      </c>
      <c r="CKN1" s="263"/>
      <c r="CKO1" s="265">
        <v>43806.302798495373</v>
      </c>
      <c r="CKP1" s="83"/>
      <c r="CKQ1" s="261" t="s">
        <v>33</v>
      </c>
      <c r="CKR1" s="263">
        <v>43805</v>
      </c>
      <c r="CKS1" s="263"/>
      <c r="CKT1" s="265">
        <v>43805.336458912039</v>
      </c>
      <c r="CKU1" s="83"/>
      <c r="CKV1" s="261" t="s">
        <v>33</v>
      </c>
      <c r="CKW1" s="263">
        <v>43804</v>
      </c>
      <c r="CKX1" s="263"/>
      <c r="CKY1" s="265">
        <v>43804.22244675926</v>
      </c>
      <c r="CKZ1" s="83"/>
      <c r="CLA1" s="261" t="s">
        <v>33</v>
      </c>
      <c r="CLB1" s="263">
        <v>43803</v>
      </c>
      <c r="CLC1" s="263"/>
      <c r="CLD1" s="265">
        <v>43803.302085995369</v>
      </c>
      <c r="CLE1" s="83"/>
      <c r="CLF1" s="261" t="s">
        <v>33</v>
      </c>
      <c r="CLG1" s="263">
        <v>43802</v>
      </c>
      <c r="CLH1" s="263"/>
      <c r="CLI1" s="265">
        <v>43802.268505671294</v>
      </c>
      <c r="CLJ1" s="83"/>
      <c r="CLK1" s="261" t="s">
        <v>33</v>
      </c>
      <c r="CLL1" s="263">
        <v>43801</v>
      </c>
      <c r="CLM1" s="263"/>
      <c r="CLN1" s="265">
        <v>43801.258461111109</v>
      </c>
      <c r="CLO1" s="83"/>
      <c r="CLP1" s="261" t="s">
        <v>33</v>
      </c>
      <c r="CLQ1" s="263">
        <v>43800</v>
      </c>
      <c r="CLR1" s="263"/>
      <c r="CLS1" s="265">
        <v>43800.253528587964</v>
      </c>
      <c r="CLT1" s="83"/>
      <c r="CLU1" s="261" t="s">
        <v>33</v>
      </c>
      <c r="CLV1" s="263">
        <v>43799</v>
      </c>
      <c r="CLW1" s="263"/>
      <c r="CLX1" s="265">
        <v>43799.261917361109</v>
      </c>
      <c r="CLY1" s="83"/>
      <c r="CLZ1" s="261" t="s">
        <v>33</v>
      </c>
      <c r="CMA1" s="263">
        <v>43798</v>
      </c>
      <c r="CMB1" s="263"/>
      <c r="CMC1" s="265">
        <v>43798.265207291668</v>
      </c>
      <c r="CMD1" s="83"/>
      <c r="CME1" s="261" t="s">
        <v>33</v>
      </c>
      <c r="CMF1" s="263">
        <v>43797</v>
      </c>
      <c r="CMG1" s="263"/>
      <c r="CMH1" s="265">
        <v>43797.248233796294</v>
      </c>
      <c r="CMI1" s="83"/>
      <c r="CMJ1" s="261" t="s">
        <v>33</v>
      </c>
      <c r="CMK1" s="263">
        <v>43795</v>
      </c>
      <c r="CML1" s="263"/>
      <c r="CMM1" s="265">
        <v>43795.265732638887</v>
      </c>
      <c r="CMN1" s="83"/>
      <c r="CMO1" s="261" t="s">
        <v>33</v>
      </c>
      <c r="CMP1" s="263">
        <v>43794</v>
      </c>
      <c r="CMQ1" s="263"/>
      <c r="CMR1" s="265">
        <v>43794.255219675928</v>
      </c>
      <c r="CMS1" s="83"/>
      <c r="CMT1" s="261" t="s">
        <v>33</v>
      </c>
      <c r="CMU1" s="263">
        <v>43793</v>
      </c>
      <c r="CMV1" s="263"/>
      <c r="CMW1" s="265">
        <v>43793.27039513889</v>
      </c>
      <c r="CMX1" s="83"/>
      <c r="CMY1" s="261" t="s">
        <v>33</v>
      </c>
      <c r="CMZ1" s="263">
        <v>43792</v>
      </c>
      <c r="CNA1" s="263"/>
      <c r="CNB1" s="265">
        <v>43792.276768171294</v>
      </c>
      <c r="CNC1" s="83"/>
      <c r="CND1" s="261" t="s">
        <v>33</v>
      </c>
      <c r="CNE1" s="263">
        <v>43791</v>
      </c>
      <c r="CNF1" s="263"/>
      <c r="CNG1" s="265">
        <v>43791.27270277778</v>
      </c>
      <c r="CNH1" s="83"/>
      <c r="CNI1" s="261" t="s">
        <v>33</v>
      </c>
      <c r="CNJ1" s="263">
        <v>43790</v>
      </c>
      <c r="CNK1" s="263"/>
      <c r="CNL1" s="265">
        <v>43790.272474999998</v>
      </c>
      <c r="CNM1" s="83"/>
      <c r="CNN1" s="261" t="s">
        <v>33</v>
      </c>
      <c r="CNO1" s="263">
        <v>43789</v>
      </c>
      <c r="CNP1" s="263"/>
      <c r="CNQ1" s="265">
        <v>43789.287434143516</v>
      </c>
      <c r="CNR1" s="83"/>
      <c r="CNS1" s="261" t="s">
        <v>33</v>
      </c>
      <c r="CNT1" s="263">
        <v>43788</v>
      </c>
      <c r="CNU1" s="263"/>
      <c r="CNV1" s="265">
        <v>43788.236091319442</v>
      </c>
      <c r="CNW1" s="83"/>
      <c r="CNX1" s="261" t="s">
        <v>33</v>
      </c>
      <c r="CNY1" s="263">
        <v>43787</v>
      </c>
      <c r="CNZ1" s="263"/>
      <c r="COA1" s="265">
        <v>43787.226191087961</v>
      </c>
      <c r="COB1" s="83"/>
      <c r="COC1" s="261" t="s">
        <v>33</v>
      </c>
      <c r="COD1" s="263">
        <v>43786</v>
      </c>
      <c r="COE1" s="263"/>
      <c r="COF1" s="265">
        <v>43786.239915972219</v>
      </c>
      <c r="COG1" s="83"/>
      <c r="COH1" s="261" t="s">
        <v>33</v>
      </c>
      <c r="COI1" s="263">
        <v>43785</v>
      </c>
      <c r="COJ1" s="263"/>
      <c r="COK1" s="265">
        <v>43785.269749884261</v>
      </c>
      <c r="COL1" s="83"/>
      <c r="COM1" s="261" t="s">
        <v>33</v>
      </c>
      <c r="CON1" s="263">
        <v>43784</v>
      </c>
      <c r="COO1" s="263"/>
      <c r="COP1" s="265">
        <v>43784.237881134257</v>
      </c>
      <c r="COQ1" s="83"/>
      <c r="COR1" s="261" t="s">
        <v>33</v>
      </c>
      <c r="COS1" s="263">
        <v>43784</v>
      </c>
      <c r="COT1" s="263"/>
      <c r="COU1" s="265">
        <v>43784.223058101852</v>
      </c>
      <c r="COV1" s="83"/>
      <c r="COW1" s="261" t="s">
        <v>33</v>
      </c>
      <c r="COX1" s="263">
        <v>43783</v>
      </c>
      <c r="COY1" s="263"/>
      <c r="COZ1" s="265">
        <v>43783.229450694445</v>
      </c>
      <c r="CPA1" s="83"/>
      <c r="CPB1" s="261" t="s">
        <v>33</v>
      </c>
      <c r="CPC1" s="263">
        <v>43782</v>
      </c>
      <c r="CPD1" s="263"/>
      <c r="CPE1" s="265">
        <v>43782.293907060186</v>
      </c>
      <c r="CPF1" s="83"/>
      <c r="CPG1" s="261" t="s">
        <v>33</v>
      </c>
      <c r="CPH1" s="263">
        <v>43775</v>
      </c>
      <c r="CPI1" s="263"/>
      <c r="CPJ1" s="265">
        <v>43775.283042129631</v>
      </c>
      <c r="CPK1" s="83"/>
      <c r="CPL1" s="261" t="s">
        <v>33</v>
      </c>
      <c r="CPM1" s="263">
        <v>43768</v>
      </c>
      <c r="CPN1" s="263"/>
      <c r="CPO1" s="265">
        <v>43768.251260185185</v>
      </c>
      <c r="CPP1" s="83"/>
      <c r="CPQ1" s="261" t="s">
        <v>33</v>
      </c>
      <c r="CPR1" s="263">
        <v>43767</v>
      </c>
      <c r="CPS1" s="263"/>
      <c r="CPT1" s="265">
        <v>43767.293593171293</v>
      </c>
      <c r="CPU1" s="83"/>
      <c r="CPV1" s="261" t="s">
        <v>33</v>
      </c>
      <c r="CPW1" s="263">
        <v>43756</v>
      </c>
      <c r="CPX1" s="263"/>
      <c r="CPY1" s="265">
        <v>43756.260219328702</v>
      </c>
      <c r="CPZ1" s="83"/>
      <c r="CQA1" s="261" t="s">
        <v>33</v>
      </c>
      <c r="CQB1" s="263">
        <v>43755</v>
      </c>
      <c r="CQC1" s="263"/>
      <c r="CQD1" s="265">
        <v>43755.220290046294</v>
      </c>
      <c r="CQE1" s="83"/>
      <c r="CQF1" s="261" t="s">
        <v>33</v>
      </c>
      <c r="CQG1" s="263">
        <v>43754</v>
      </c>
      <c r="CQH1" s="263"/>
      <c r="CQI1" s="265">
        <v>43754.277718981481</v>
      </c>
      <c r="CQJ1" s="83"/>
      <c r="CQK1" s="261" t="s">
        <v>33</v>
      </c>
      <c r="CQL1" s="263">
        <v>43753</v>
      </c>
      <c r="CQM1" s="263"/>
      <c r="CQN1" s="265">
        <v>43753.304294097223</v>
      </c>
      <c r="CQO1" s="83"/>
      <c r="CQP1" s="261" t="s">
        <v>33</v>
      </c>
      <c r="CQQ1" s="263">
        <v>43752</v>
      </c>
      <c r="CQR1" s="263"/>
      <c r="CQS1" s="265">
        <v>43752.290092939817</v>
      </c>
      <c r="CQT1" s="83"/>
      <c r="CQU1" s="261" t="s">
        <v>33</v>
      </c>
      <c r="CQV1" s="263">
        <v>43750</v>
      </c>
      <c r="CQW1" s="263"/>
      <c r="CQX1" s="265">
        <v>43750.259933680558</v>
      </c>
      <c r="CQY1" s="83"/>
      <c r="CQZ1" s="261" t="s">
        <v>33</v>
      </c>
      <c r="CRA1" s="263">
        <v>43746</v>
      </c>
      <c r="CRB1" s="263"/>
      <c r="CRC1" s="265">
        <v>43746.366181597223</v>
      </c>
      <c r="CRD1" s="83"/>
      <c r="CRE1" s="284" t="s">
        <v>33</v>
      </c>
      <c r="CRF1" s="286">
        <v>43738</v>
      </c>
      <c r="CRG1" s="286"/>
      <c r="CRH1" s="288">
        <v>43738.253060532406</v>
      </c>
      <c r="CRI1" s="290"/>
      <c r="CRJ1" s="284" t="s">
        <v>33</v>
      </c>
      <c r="CRK1" s="286">
        <v>43734</v>
      </c>
      <c r="CRL1" s="286"/>
      <c r="CRM1" s="288">
        <v>43734.26221064815</v>
      </c>
      <c r="CRN1" s="290"/>
      <c r="CRO1" s="284" t="s">
        <v>33</v>
      </c>
      <c r="CRP1" s="286">
        <v>43733</v>
      </c>
      <c r="CRQ1" s="286"/>
      <c r="CRR1" s="288">
        <v>43733.246621990744</v>
      </c>
      <c r="CRS1" s="290"/>
      <c r="CRT1" s="284" t="s">
        <v>33</v>
      </c>
      <c r="CRU1" s="286">
        <v>43732</v>
      </c>
      <c r="CRV1" s="286"/>
      <c r="CRW1" s="288">
        <v>43732.282280208332</v>
      </c>
      <c r="CRX1" s="290"/>
      <c r="CRY1" s="284" t="s">
        <v>33</v>
      </c>
      <c r="CRZ1" s="286">
        <v>43731</v>
      </c>
      <c r="CSA1" s="286"/>
      <c r="CSB1" s="333">
        <v>43732.25179884259</v>
      </c>
      <c r="CSC1" s="284" t="s">
        <v>33</v>
      </c>
      <c r="CSD1" s="286">
        <v>43730</v>
      </c>
      <c r="CSE1" s="286"/>
      <c r="CSF1" s="333">
        <v>43731.234590972221</v>
      </c>
      <c r="CSG1" s="284" t="s">
        <v>33</v>
      </c>
      <c r="CSH1" s="286">
        <v>43728</v>
      </c>
      <c r="CSI1" s="286"/>
      <c r="CSJ1" s="333">
        <v>43728.25078101852</v>
      </c>
      <c r="CSK1" s="284" t="s">
        <v>33</v>
      </c>
      <c r="CSL1" s="286">
        <v>43727</v>
      </c>
      <c r="CSM1" s="286"/>
      <c r="CSN1" s="333">
        <v>43728.244182060182</v>
      </c>
      <c r="CSO1" s="284" t="s">
        <v>33</v>
      </c>
      <c r="CSP1" s="286">
        <v>43726</v>
      </c>
      <c r="CSQ1" s="286"/>
      <c r="CSR1" s="333">
        <v>43726.256510648149</v>
      </c>
      <c r="CSS1" s="284" t="s">
        <v>33</v>
      </c>
      <c r="CST1" s="286">
        <v>43726</v>
      </c>
      <c r="CSU1" s="286"/>
      <c r="CSV1" s="333">
        <v>43726.246170949074</v>
      </c>
      <c r="CSW1" s="284" t="s">
        <v>33</v>
      </c>
      <c r="CSX1" s="286">
        <v>43720</v>
      </c>
      <c r="CSY1" s="286"/>
      <c r="CSZ1" s="333">
        <v>43720.252172453707</v>
      </c>
      <c r="CTA1" s="284" t="s">
        <v>33</v>
      </c>
      <c r="CTB1" s="286">
        <v>43719</v>
      </c>
      <c r="CTC1" s="286"/>
      <c r="CTD1" s="333">
        <v>43719.256446874999</v>
      </c>
      <c r="CTE1" s="284" t="s">
        <v>33</v>
      </c>
      <c r="CTF1" s="286">
        <v>43718</v>
      </c>
      <c r="CTG1" s="286"/>
      <c r="CTH1" s="333">
        <v>43718.22267372685</v>
      </c>
      <c r="CTI1" s="284" t="s">
        <v>33</v>
      </c>
      <c r="CTJ1" s="286">
        <v>43715</v>
      </c>
      <c r="CTK1" s="286"/>
      <c r="CTL1" s="333">
        <v>43715.254236111112</v>
      </c>
      <c r="CTM1" s="284" t="s">
        <v>33</v>
      </c>
      <c r="CTN1" s="286">
        <v>43714</v>
      </c>
      <c r="CTO1" s="286"/>
      <c r="CTP1" s="333">
        <v>43714.21372083333</v>
      </c>
      <c r="CTQ1" s="284" t="s">
        <v>33</v>
      </c>
      <c r="CTR1" s="286">
        <v>43713</v>
      </c>
      <c r="CTS1" s="286"/>
      <c r="CTT1" s="333">
        <v>43713.248763888892</v>
      </c>
      <c r="CTU1" s="284" t="s">
        <v>33</v>
      </c>
      <c r="CTV1" s="286">
        <v>43712</v>
      </c>
      <c r="CTW1" s="286"/>
      <c r="CTX1" s="333">
        <v>43712.226269560182</v>
      </c>
      <c r="CTY1" s="284" t="s">
        <v>33</v>
      </c>
      <c r="CTZ1" s="286">
        <v>43711</v>
      </c>
      <c r="CUA1" s="286"/>
      <c r="CUB1" s="333">
        <v>43711.281697569444</v>
      </c>
      <c r="CUC1" s="284" t="s">
        <v>33</v>
      </c>
      <c r="CUD1" s="286">
        <v>43709</v>
      </c>
      <c r="CUE1" s="286"/>
      <c r="CUF1" s="333">
        <v>43711.25276851852</v>
      </c>
      <c r="CUG1" s="284" t="s">
        <v>33</v>
      </c>
      <c r="CUH1" s="286">
        <v>43707</v>
      </c>
      <c r="CUI1" s="286"/>
      <c r="CUJ1" s="333">
        <v>43707.267208217592</v>
      </c>
      <c r="CUK1" s="284" t="s">
        <v>33</v>
      </c>
      <c r="CUL1" s="286">
        <v>43706</v>
      </c>
      <c r="CUM1" s="286"/>
      <c r="CUN1" s="333">
        <v>43706.224289004633</v>
      </c>
      <c r="CUO1" s="284" t="s">
        <v>33</v>
      </c>
      <c r="CUP1" s="286">
        <v>43705</v>
      </c>
      <c r="CUQ1" s="286"/>
      <c r="CUR1" s="333">
        <v>43705.243068981479</v>
      </c>
      <c r="CUS1" s="284" t="s">
        <v>33</v>
      </c>
      <c r="CUT1" s="286">
        <v>43705</v>
      </c>
      <c r="CUU1" s="286"/>
      <c r="CUV1" s="333">
        <v>43705.235042824075</v>
      </c>
      <c r="CUW1" s="284" t="s">
        <v>33</v>
      </c>
      <c r="CUX1" s="286">
        <v>43700</v>
      </c>
      <c r="CUY1" s="286"/>
      <c r="CUZ1" s="333">
        <v>43700.24045474537</v>
      </c>
      <c r="CVA1" s="284" t="s">
        <v>33</v>
      </c>
      <c r="CVB1" s="286">
        <v>43699</v>
      </c>
      <c r="CVC1" s="286"/>
      <c r="CVD1" s="333">
        <v>43699.285345254626</v>
      </c>
      <c r="CVE1" s="284" t="s">
        <v>33</v>
      </c>
      <c r="CVF1" s="286">
        <v>43698</v>
      </c>
      <c r="CVG1" s="286"/>
      <c r="CVH1" s="333">
        <v>43698.938685416666</v>
      </c>
      <c r="CVI1" s="284" t="s">
        <v>33</v>
      </c>
      <c r="CVJ1" s="286">
        <v>43698</v>
      </c>
      <c r="CVK1" s="286"/>
      <c r="CVL1" s="333">
        <v>43698.246494444444</v>
      </c>
      <c r="CVM1" s="284" t="s">
        <v>33</v>
      </c>
      <c r="CVN1" s="286">
        <v>43697</v>
      </c>
      <c r="CVO1" s="286"/>
      <c r="CVP1" s="333">
        <v>43697.218701967591</v>
      </c>
      <c r="CVQ1" s="284" t="s">
        <v>33</v>
      </c>
      <c r="CVR1" s="286">
        <v>43696</v>
      </c>
      <c r="CVS1" s="286"/>
      <c r="CVT1" s="333">
        <v>43696.26821076389</v>
      </c>
      <c r="CVU1" s="284" t="s">
        <v>33</v>
      </c>
      <c r="CVV1" s="286">
        <v>43696</v>
      </c>
      <c r="CVW1" s="286"/>
      <c r="CVX1" s="333">
        <v>43696.263263078705</v>
      </c>
      <c r="CVY1" s="284" t="s">
        <v>33</v>
      </c>
      <c r="CVZ1" s="286">
        <v>43694</v>
      </c>
      <c r="CWA1" s="286"/>
      <c r="CWB1" s="333">
        <v>43696.256815972221</v>
      </c>
      <c r="CWC1" s="284" t="s">
        <v>33</v>
      </c>
      <c r="CWD1" s="286">
        <v>43693</v>
      </c>
      <c r="CWE1" s="286"/>
      <c r="CWF1" s="333">
        <v>43693.243919907407</v>
      </c>
      <c r="CWG1" s="284" t="s">
        <v>33</v>
      </c>
      <c r="CWH1" s="286">
        <v>43692</v>
      </c>
      <c r="CWI1" s="286"/>
      <c r="CWJ1" s="333">
        <v>43692.231097222226</v>
      </c>
      <c r="CWK1" s="284" t="s">
        <v>33</v>
      </c>
      <c r="CWL1" s="286">
        <v>43691</v>
      </c>
      <c r="CWM1" s="286"/>
      <c r="CWN1" s="333">
        <v>43691.233528356483</v>
      </c>
      <c r="CWO1" s="284" t="s">
        <v>33</v>
      </c>
      <c r="CWP1" s="286">
        <v>43690</v>
      </c>
      <c r="CWQ1" s="286"/>
      <c r="CWR1" s="333">
        <v>43690.226526967592</v>
      </c>
      <c r="CWS1" s="284" t="s">
        <v>33</v>
      </c>
      <c r="CWT1" s="286">
        <v>43690</v>
      </c>
      <c r="CWU1" s="286"/>
      <c r="CWV1" s="333">
        <v>43690.037234143521</v>
      </c>
      <c r="CWW1" s="284" t="s">
        <v>33</v>
      </c>
      <c r="CWX1" s="286">
        <v>43689</v>
      </c>
      <c r="CWY1" s="286"/>
      <c r="CWZ1" s="333">
        <v>43689.214944675929</v>
      </c>
      <c r="CXA1" s="355" t="s">
        <v>33</v>
      </c>
      <c r="CXB1" s="357">
        <v>43686</v>
      </c>
      <c r="CXC1" s="357"/>
      <c r="CXD1" s="359">
        <v>43686.233501273149</v>
      </c>
      <c r="CXE1" s="355" t="s">
        <v>33</v>
      </c>
      <c r="CXF1" s="357">
        <v>43685</v>
      </c>
      <c r="CXG1" s="357"/>
      <c r="CXH1" s="359">
        <v>43686.216935416669</v>
      </c>
      <c r="CXI1" s="355" t="s">
        <v>33</v>
      </c>
      <c r="CXJ1" s="357">
        <v>43684</v>
      </c>
      <c r="CXK1" s="357"/>
      <c r="CXL1" s="359">
        <v>43684.272735995371</v>
      </c>
      <c r="CXM1" s="355" t="s">
        <v>33</v>
      </c>
      <c r="CXN1" s="357">
        <v>43683</v>
      </c>
      <c r="CXO1" s="357"/>
      <c r="CXP1" s="359">
        <v>43683.240272800926</v>
      </c>
      <c r="CXQ1" s="355" t="s">
        <v>33</v>
      </c>
      <c r="CXR1" s="357">
        <v>43682</v>
      </c>
      <c r="CXS1" s="357"/>
      <c r="CXT1" s="359">
        <v>43682.205200462966</v>
      </c>
      <c r="CXU1" s="25" t="s">
        <v>33</v>
      </c>
      <c r="CXW1" s="25">
        <v>43677</v>
      </c>
      <c r="CXY1" s="25" t="s">
        <v>33</v>
      </c>
      <c r="CYA1" s="25">
        <v>43676</v>
      </c>
      <c r="CYC1" s="25" t="s">
        <v>33</v>
      </c>
      <c r="CYE1" s="25">
        <v>43674</v>
      </c>
      <c r="CYG1" s="25" t="s">
        <v>33</v>
      </c>
      <c r="CYI1" s="25">
        <v>43673</v>
      </c>
      <c r="CYK1" s="25" t="s">
        <v>33</v>
      </c>
      <c r="CYM1" s="25">
        <v>43670</v>
      </c>
      <c r="CYO1" s="25" t="s">
        <v>33</v>
      </c>
      <c r="CYQ1" s="25">
        <v>43659</v>
      </c>
      <c r="CYS1" s="25" t="s">
        <v>33</v>
      </c>
      <c r="CYU1" s="25">
        <v>43658</v>
      </c>
      <c r="CYW1" s="25" t="s">
        <v>33</v>
      </c>
      <c r="CYY1" s="25">
        <v>43652</v>
      </c>
      <c r="CZA1" s="25" t="s">
        <v>33</v>
      </c>
      <c r="CZC1" s="25">
        <v>43651</v>
      </c>
      <c r="CZE1" s="25" t="s">
        <v>33</v>
      </c>
      <c r="CZG1" s="25">
        <v>43650</v>
      </c>
      <c r="CZI1" s="25" t="s">
        <v>33</v>
      </c>
      <c r="CZK1" s="25">
        <v>43649</v>
      </c>
      <c r="CZM1" s="25" t="s">
        <v>33</v>
      </c>
      <c r="CZO1" s="25">
        <v>43648</v>
      </c>
      <c r="CZQ1" s="25" t="s">
        <v>33</v>
      </c>
      <c r="CZS1" s="25">
        <v>43643</v>
      </c>
      <c r="CZU1" s="25" t="s">
        <v>33</v>
      </c>
      <c r="CZW1" s="25">
        <v>43642</v>
      </c>
      <c r="CZY1" s="25" t="s">
        <v>33</v>
      </c>
      <c r="DAA1" s="25">
        <v>43634</v>
      </c>
      <c r="DAC1" s="25" t="s">
        <v>33</v>
      </c>
      <c r="DAE1" s="25">
        <v>43633</v>
      </c>
      <c r="DAG1" s="25" t="s">
        <v>33</v>
      </c>
      <c r="DAI1" s="25">
        <v>43632</v>
      </c>
      <c r="DAK1" s="25" t="s">
        <v>33</v>
      </c>
      <c r="DAM1" s="25">
        <v>43631</v>
      </c>
      <c r="DAO1" s="25" t="s">
        <v>33</v>
      </c>
      <c r="DAQ1" s="25">
        <v>43630</v>
      </c>
      <c r="DAS1" s="25" t="s">
        <v>33</v>
      </c>
      <c r="DAU1" s="25">
        <v>43627</v>
      </c>
      <c r="DAW1" s="25" t="s">
        <v>33</v>
      </c>
      <c r="DAY1" s="25">
        <v>43626</v>
      </c>
      <c r="DBA1" s="25" t="s">
        <v>33</v>
      </c>
      <c r="DBC1" s="25">
        <v>43625</v>
      </c>
      <c r="DBE1" s="25" t="s">
        <v>33</v>
      </c>
      <c r="DBG1" s="25">
        <v>43624</v>
      </c>
      <c r="DBI1" s="25" t="s">
        <v>33</v>
      </c>
      <c r="DBK1" s="25">
        <v>43623</v>
      </c>
      <c r="DBM1" s="25" t="s">
        <v>33</v>
      </c>
      <c r="DBO1" s="25">
        <v>43620</v>
      </c>
      <c r="DBQ1" s="25" t="s">
        <v>33</v>
      </c>
      <c r="DBS1" s="25">
        <v>43619</v>
      </c>
      <c r="DBU1" s="25" t="s">
        <v>33</v>
      </c>
      <c r="DBW1" s="25">
        <v>43618</v>
      </c>
      <c r="DBY1" s="25" t="s">
        <v>33</v>
      </c>
      <c r="DCA1" s="25">
        <v>43617</v>
      </c>
      <c r="DCC1" s="25" t="s">
        <v>33</v>
      </c>
      <c r="DCE1" s="25">
        <v>43613</v>
      </c>
      <c r="DCG1" s="25" t="s">
        <v>33</v>
      </c>
      <c r="DCI1" s="25">
        <v>43612</v>
      </c>
      <c r="DCK1" s="25" t="s">
        <v>33</v>
      </c>
      <c r="DCM1" s="25">
        <v>43611</v>
      </c>
      <c r="DCO1" s="25" t="s">
        <v>33</v>
      </c>
      <c r="DCQ1" s="25">
        <v>43610</v>
      </c>
      <c r="DCS1" s="25" t="s">
        <v>33</v>
      </c>
      <c r="DCU1" s="25">
        <v>43609</v>
      </c>
      <c r="DCW1" s="25" t="s">
        <v>33</v>
      </c>
      <c r="DCY1" s="25">
        <v>43606</v>
      </c>
      <c r="DDA1" s="25" t="s">
        <v>33</v>
      </c>
      <c r="DDC1" s="25">
        <v>43605</v>
      </c>
      <c r="DDE1" s="25" t="s">
        <v>33</v>
      </c>
      <c r="DDG1" s="25">
        <v>43604</v>
      </c>
      <c r="DDI1" s="25" t="s">
        <v>33</v>
      </c>
      <c r="DDK1" s="25">
        <v>43603</v>
      </c>
      <c r="DDM1" s="25" t="s">
        <v>33</v>
      </c>
      <c r="DDO1" s="25">
        <v>43602</v>
      </c>
      <c r="DDQ1" s="25" t="s">
        <v>33</v>
      </c>
      <c r="DDS1" s="25">
        <v>43598</v>
      </c>
    </row>
    <row r="2" spans="1:2828" ht="15" customHeight="1" thickBot="1" x14ac:dyDescent="0.3">
      <c r="A2" s="262"/>
      <c r="B2" s="264"/>
      <c r="C2" s="264"/>
      <c r="D2" s="266"/>
      <c r="E2" s="84"/>
      <c r="F2" s="262"/>
      <c r="G2" s="264"/>
      <c r="H2" s="264"/>
      <c r="I2" s="266"/>
      <c r="J2" s="84"/>
      <c r="K2" s="262"/>
      <c r="L2" s="264"/>
      <c r="M2" s="264"/>
      <c r="N2" s="266"/>
      <c r="O2" s="84"/>
      <c r="P2" s="262"/>
      <c r="Q2" s="264"/>
      <c r="R2" s="264"/>
      <c r="S2" s="266"/>
      <c r="T2" s="84"/>
      <c r="U2" s="262"/>
      <c r="V2" s="264"/>
      <c r="W2" s="264"/>
      <c r="X2" s="266"/>
      <c r="Y2" s="84"/>
      <c r="Z2" s="262"/>
      <c r="AA2" s="264"/>
      <c r="AB2" s="264"/>
      <c r="AC2" s="266"/>
      <c r="AD2" s="84"/>
      <c r="AE2" s="262"/>
      <c r="AF2" s="264"/>
      <c r="AG2" s="264"/>
      <c r="AH2" s="266"/>
      <c r="AI2" s="84"/>
      <c r="AJ2" s="262"/>
      <c r="AK2" s="264"/>
      <c r="AL2" s="264"/>
      <c r="AM2" s="266"/>
      <c r="AN2" s="84"/>
      <c r="AO2" s="262"/>
      <c r="AP2" s="264"/>
      <c r="AQ2" s="264"/>
      <c r="AR2" s="266"/>
      <c r="AS2" s="84"/>
      <c r="AT2" s="262"/>
      <c r="AU2" s="264"/>
      <c r="AV2" s="264"/>
      <c r="AW2" s="266"/>
      <c r="AX2" s="84"/>
      <c r="AY2" s="262"/>
      <c r="AZ2" s="264"/>
      <c r="BA2" s="264"/>
      <c r="BB2" s="266"/>
      <c r="BC2" s="84"/>
      <c r="BD2" s="262"/>
      <c r="BE2" s="264"/>
      <c r="BF2" s="264"/>
      <c r="BG2" s="266"/>
      <c r="BH2" s="84"/>
      <c r="BI2" s="262"/>
      <c r="BJ2" s="264"/>
      <c r="BK2" s="264"/>
      <c r="BL2" s="266"/>
      <c r="BM2" s="84"/>
      <c r="BN2" s="262"/>
      <c r="BO2" s="264"/>
      <c r="BP2" s="264"/>
      <c r="BQ2" s="266"/>
      <c r="BR2" s="84"/>
      <c r="BS2" s="262"/>
      <c r="BT2" s="264"/>
      <c r="BU2" s="264"/>
      <c r="BV2" s="266"/>
      <c r="BW2" s="84"/>
      <c r="BX2" s="262"/>
      <c r="BY2" s="264"/>
      <c r="BZ2" s="264"/>
      <c r="CA2" s="266"/>
      <c r="CB2" s="84"/>
      <c r="CC2" s="262"/>
      <c r="CD2" s="264"/>
      <c r="CE2" s="264"/>
      <c r="CF2" s="266"/>
      <c r="CG2" s="84"/>
      <c r="CH2" s="262"/>
      <c r="CI2" s="264"/>
      <c r="CJ2" s="264"/>
      <c r="CK2" s="266"/>
      <c r="CL2" s="84"/>
      <c r="CM2" s="262"/>
      <c r="CN2" s="264"/>
      <c r="CO2" s="264"/>
      <c r="CP2" s="266"/>
      <c r="CQ2" s="84"/>
      <c r="CR2" s="262"/>
      <c r="CS2" s="264"/>
      <c r="CT2" s="264"/>
      <c r="CU2" s="266"/>
      <c r="CV2" s="84"/>
      <c r="CW2" s="262"/>
      <c r="CX2" s="264"/>
      <c r="CY2" s="264"/>
      <c r="CZ2" s="266"/>
      <c r="DA2" s="84"/>
      <c r="DB2" s="262"/>
      <c r="DC2" s="264"/>
      <c r="DD2" s="264"/>
      <c r="DE2" s="266"/>
      <c r="DF2" s="84"/>
      <c r="DG2" s="262"/>
      <c r="DH2" s="264"/>
      <c r="DI2" s="264"/>
      <c r="DJ2" s="266"/>
      <c r="DK2" s="84"/>
      <c r="DL2" s="262"/>
      <c r="DM2" s="264"/>
      <c r="DN2" s="264"/>
      <c r="DO2" s="266"/>
      <c r="DP2" s="84"/>
      <c r="DQ2" s="262"/>
      <c r="DR2" s="264"/>
      <c r="DS2" s="264"/>
      <c r="DT2" s="266"/>
      <c r="DU2" s="84"/>
      <c r="DV2" s="262"/>
      <c r="DW2" s="264"/>
      <c r="DX2" s="264"/>
      <c r="DY2" s="266"/>
      <c r="DZ2" s="84"/>
      <c r="EA2" s="262"/>
      <c r="EB2" s="264"/>
      <c r="EC2" s="264"/>
      <c r="ED2" s="266"/>
      <c r="EE2" s="84"/>
      <c r="EF2" s="262"/>
      <c r="EG2" s="264"/>
      <c r="EH2" s="264"/>
      <c r="EI2" s="266"/>
      <c r="EJ2" s="84"/>
      <c r="EK2" s="262"/>
      <c r="EL2" s="264"/>
      <c r="EM2" s="264"/>
      <c r="EN2" s="266"/>
      <c r="EO2" s="84"/>
      <c r="EP2" s="262"/>
      <c r="EQ2" s="264"/>
      <c r="ER2" s="264"/>
      <c r="ES2" s="266"/>
      <c r="ET2" s="84"/>
      <c r="EU2" s="262"/>
      <c r="EV2" s="264"/>
      <c r="EW2" s="264"/>
      <c r="EX2" s="266"/>
      <c r="EY2" s="84"/>
      <c r="EZ2" s="262"/>
      <c r="FA2" s="264"/>
      <c r="FB2" s="264"/>
      <c r="FC2" s="266"/>
      <c r="FD2" s="84"/>
      <c r="FE2" s="262"/>
      <c r="FF2" s="264"/>
      <c r="FG2" s="264"/>
      <c r="FH2" s="266"/>
      <c r="FI2" s="84"/>
      <c r="FJ2" s="262"/>
      <c r="FK2" s="264"/>
      <c r="FL2" s="264"/>
      <c r="FM2" s="266"/>
      <c r="FN2" s="84"/>
      <c r="FO2" s="262"/>
      <c r="FP2" s="264"/>
      <c r="FQ2" s="264"/>
      <c r="FR2" s="266"/>
      <c r="FS2" s="84"/>
      <c r="FT2" s="262"/>
      <c r="FU2" s="264"/>
      <c r="FV2" s="264"/>
      <c r="FW2" s="266"/>
      <c r="FX2" s="84"/>
      <c r="FY2" s="262"/>
      <c r="FZ2" s="264"/>
      <c r="GA2" s="264"/>
      <c r="GB2" s="266"/>
      <c r="GC2" s="84"/>
      <c r="GD2" s="262"/>
      <c r="GE2" s="264"/>
      <c r="GF2" s="264"/>
      <c r="GG2" s="266"/>
      <c r="GH2" s="84"/>
      <c r="GI2" s="262"/>
      <c r="GJ2" s="264"/>
      <c r="GK2" s="264"/>
      <c r="GL2" s="266"/>
      <c r="GM2" s="84"/>
      <c r="GN2" s="262"/>
      <c r="GO2" s="264"/>
      <c r="GP2" s="264"/>
      <c r="GQ2" s="266"/>
      <c r="GR2" s="84"/>
      <c r="GS2" s="262"/>
      <c r="GT2" s="264"/>
      <c r="GU2" s="264"/>
      <c r="GV2" s="266"/>
      <c r="GW2" s="84"/>
      <c r="GX2" s="262"/>
      <c r="GY2" s="264"/>
      <c r="GZ2" s="264"/>
      <c r="HA2" s="266"/>
      <c r="HB2" s="84"/>
      <c r="HC2" s="262"/>
      <c r="HD2" s="264"/>
      <c r="HE2" s="264"/>
      <c r="HF2" s="266"/>
      <c r="HG2" s="84"/>
      <c r="HH2" s="262"/>
      <c r="HI2" s="264"/>
      <c r="HJ2" s="264"/>
      <c r="HK2" s="266"/>
      <c r="HL2" s="84"/>
      <c r="HM2" s="262"/>
      <c r="HN2" s="264"/>
      <c r="HO2" s="264"/>
      <c r="HP2" s="266"/>
      <c r="HQ2" s="84"/>
      <c r="HR2" s="262"/>
      <c r="HS2" s="264"/>
      <c r="HT2" s="264"/>
      <c r="HU2" s="266"/>
      <c r="HV2" s="84"/>
      <c r="HW2" s="262"/>
      <c r="HX2" s="264"/>
      <c r="HY2" s="264"/>
      <c r="HZ2" s="266"/>
      <c r="IA2" s="84"/>
      <c r="IB2" s="262"/>
      <c r="IC2" s="264"/>
      <c r="ID2" s="264"/>
      <c r="IE2" s="266"/>
      <c r="IF2" s="84"/>
      <c r="IG2" s="262"/>
      <c r="IH2" s="264"/>
      <c r="II2" s="264"/>
      <c r="IJ2" s="266"/>
      <c r="IK2" s="84"/>
      <c r="IL2" s="262"/>
      <c r="IM2" s="264"/>
      <c r="IN2" s="264"/>
      <c r="IO2" s="266"/>
      <c r="IP2" s="84"/>
      <c r="IQ2" s="262"/>
      <c r="IR2" s="264"/>
      <c r="IS2" s="264"/>
      <c r="IT2" s="266"/>
      <c r="IU2" s="84"/>
      <c r="IV2" s="262"/>
      <c r="IW2" s="264"/>
      <c r="IX2" s="264"/>
      <c r="IY2" s="266"/>
      <c r="IZ2" s="84"/>
      <c r="JA2" s="262"/>
      <c r="JB2" s="264"/>
      <c r="JC2" s="264"/>
      <c r="JD2" s="266"/>
      <c r="JE2" s="84"/>
      <c r="JF2" s="262"/>
      <c r="JG2" s="264"/>
      <c r="JH2" s="264"/>
      <c r="JI2" s="266"/>
      <c r="JJ2" s="84"/>
      <c r="JK2" s="262"/>
      <c r="JL2" s="264"/>
      <c r="JM2" s="264"/>
      <c r="JN2" s="266"/>
      <c r="JO2" s="84"/>
      <c r="JP2" s="262"/>
      <c r="JQ2" s="264"/>
      <c r="JR2" s="264"/>
      <c r="JS2" s="266"/>
      <c r="JT2" s="84"/>
      <c r="JU2" s="262"/>
      <c r="JV2" s="264"/>
      <c r="JW2" s="264"/>
      <c r="JX2" s="266"/>
      <c r="JY2" s="84"/>
      <c r="JZ2" s="262"/>
      <c r="KA2" s="264"/>
      <c r="KB2" s="264"/>
      <c r="KC2" s="266"/>
      <c r="KD2" s="84"/>
      <c r="KE2" s="262"/>
      <c r="KF2" s="264"/>
      <c r="KG2" s="264"/>
      <c r="KH2" s="266"/>
      <c r="KI2" s="84"/>
      <c r="KJ2" s="262"/>
      <c r="KK2" s="264"/>
      <c r="KL2" s="264"/>
      <c r="KM2" s="266"/>
      <c r="KN2" s="84"/>
      <c r="KO2" s="262"/>
      <c r="KP2" s="264"/>
      <c r="KQ2" s="264"/>
      <c r="KR2" s="266"/>
      <c r="KS2" s="84"/>
      <c r="KT2" s="262"/>
      <c r="KU2" s="264"/>
      <c r="KV2" s="264"/>
      <c r="KW2" s="266"/>
      <c r="KX2" s="84"/>
      <c r="KY2" s="262"/>
      <c r="KZ2" s="264"/>
      <c r="LA2" s="264"/>
      <c r="LB2" s="266"/>
      <c r="LC2" s="84"/>
      <c r="LD2" s="262"/>
      <c r="LE2" s="264"/>
      <c r="LF2" s="264"/>
      <c r="LG2" s="266"/>
      <c r="LH2" s="84"/>
      <c r="LI2" s="262"/>
      <c r="LJ2" s="264"/>
      <c r="LK2" s="264"/>
      <c r="LL2" s="266"/>
      <c r="LM2" s="84"/>
      <c r="LN2" s="262"/>
      <c r="LO2" s="264"/>
      <c r="LP2" s="264"/>
      <c r="LQ2" s="266"/>
      <c r="LR2" s="84"/>
      <c r="LS2" s="262"/>
      <c r="LT2" s="264"/>
      <c r="LU2" s="264"/>
      <c r="LV2" s="266"/>
      <c r="LW2" s="84"/>
      <c r="LX2" s="262"/>
      <c r="LY2" s="264"/>
      <c r="LZ2" s="264"/>
      <c r="MA2" s="266"/>
      <c r="MB2" s="84"/>
      <c r="MC2" s="262"/>
      <c r="MD2" s="264"/>
      <c r="ME2" s="264"/>
      <c r="MF2" s="266"/>
      <c r="MG2" s="84"/>
      <c r="MH2" s="262"/>
      <c r="MI2" s="264"/>
      <c r="MJ2" s="264"/>
      <c r="MK2" s="266"/>
      <c r="ML2" s="84"/>
      <c r="MM2" s="262"/>
      <c r="MN2" s="264"/>
      <c r="MO2" s="264"/>
      <c r="MP2" s="266"/>
      <c r="MQ2" s="84"/>
      <c r="MR2" s="262"/>
      <c r="MS2" s="264"/>
      <c r="MT2" s="264"/>
      <c r="MU2" s="266"/>
      <c r="MV2" s="84"/>
      <c r="MW2" s="262"/>
      <c r="MX2" s="264"/>
      <c r="MY2" s="264"/>
      <c r="MZ2" s="266"/>
      <c r="NA2" s="84"/>
      <c r="NB2" s="262"/>
      <c r="NC2" s="264"/>
      <c r="ND2" s="264"/>
      <c r="NE2" s="266"/>
      <c r="NF2" s="84"/>
      <c r="NG2" s="262"/>
      <c r="NH2" s="264"/>
      <c r="NI2" s="264"/>
      <c r="NJ2" s="266"/>
      <c r="NK2" s="84"/>
      <c r="NL2" s="262"/>
      <c r="NM2" s="264"/>
      <c r="NN2" s="264"/>
      <c r="NO2" s="266"/>
      <c r="NP2" s="84"/>
      <c r="NQ2" s="262"/>
      <c r="NR2" s="264"/>
      <c r="NS2" s="264"/>
      <c r="NT2" s="266"/>
      <c r="NU2" s="84"/>
      <c r="NV2" s="262"/>
      <c r="NW2" s="264"/>
      <c r="NX2" s="264"/>
      <c r="NY2" s="266"/>
      <c r="NZ2" s="84"/>
      <c r="OA2" s="262"/>
      <c r="OB2" s="264"/>
      <c r="OC2" s="264"/>
      <c r="OD2" s="266"/>
      <c r="OE2" s="84"/>
      <c r="OF2" s="262"/>
      <c r="OG2" s="264"/>
      <c r="OH2" s="264"/>
      <c r="OI2" s="266"/>
      <c r="OJ2" s="84"/>
      <c r="OK2" s="262"/>
      <c r="OL2" s="264"/>
      <c r="OM2" s="264"/>
      <c r="ON2" s="266"/>
      <c r="OO2" s="84"/>
      <c r="OP2" s="262"/>
      <c r="OQ2" s="264"/>
      <c r="OR2" s="264"/>
      <c r="OS2" s="266"/>
      <c r="OT2" s="84"/>
      <c r="OU2" s="262"/>
      <c r="OV2" s="264"/>
      <c r="OW2" s="264"/>
      <c r="OX2" s="266"/>
      <c r="OY2" s="84"/>
      <c r="OZ2" s="262"/>
      <c r="PA2" s="264"/>
      <c r="PB2" s="264"/>
      <c r="PC2" s="266"/>
      <c r="PD2" s="84"/>
      <c r="PE2" s="262"/>
      <c r="PF2" s="264"/>
      <c r="PG2" s="264"/>
      <c r="PH2" s="266"/>
      <c r="PI2" s="84"/>
      <c r="PJ2" s="262"/>
      <c r="PK2" s="264"/>
      <c r="PL2" s="264"/>
      <c r="PM2" s="266"/>
      <c r="PN2" s="84"/>
      <c r="PO2" s="262"/>
      <c r="PP2" s="264"/>
      <c r="PQ2" s="264"/>
      <c r="PR2" s="266"/>
      <c r="PS2" s="84"/>
      <c r="PT2" s="262"/>
      <c r="PU2" s="264"/>
      <c r="PV2" s="264"/>
      <c r="PW2" s="266"/>
      <c r="PX2" s="84"/>
      <c r="PY2" s="262"/>
      <c r="PZ2" s="264"/>
      <c r="QA2" s="264"/>
      <c r="QB2" s="266"/>
      <c r="QC2" s="84"/>
      <c r="QD2" s="262"/>
      <c r="QE2" s="264"/>
      <c r="QF2" s="264"/>
      <c r="QG2" s="266"/>
      <c r="QH2" s="84"/>
      <c r="QI2" s="262"/>
      <c r="QJ2" s="264"/>
      <c r="QK2" s="264"/>
      <c r="QL2" s="266"/>
      <c r="QM2" s="84"/>
      <c r="QN2" s="262"/>
      <c r="QO2" s="264"/>
      <c r="QP2" s="264"/>
      <c r="QQ2" s="266"/>
      <c r="QR2" s="84"/>
      <c r="QS2" s="262"/>
      <c r="QT2" s="264"/>
      <c r="QU2" s="264"/>
      <c r="QV2" s="266"/>
      <c r="QW2" s="84"/>
      <c r="QX2" s="262"/>
      <c r="QY2" s="264"/>
      <c r="QZ2" s="264"/>
      <c r="RA2" s="266"/>
      <c r="RB2" s="84"/>
      <c r="RC2" s="262"/>
      <c r="RD2" s="264"/>
      <c r="RE2" s="264"/>
      <c r="RF2" s="266"/>
      <c r="RG2" s="84"/>
      <c r="RH2" s="262"/>
      <c r="RI2" s="264"/>
      <c r="RJ2" s="264"/>
      <c r="RK2" s="266"/>
      <c r="RL2" s="84"/>
      <c r="RM2" s="262"/>
      <c r="RN2" s="264"/>
      <c r="RO2" s="264"/>
      <c r="RP2" s="266"/>
      <c r="RQ2" s="84"/>
      <c r="RR2" s="262"/>
      <c r="RS2" s="264"/>
      <c r="RT2" s="264"/>
      <c r="RU2" s="266"/>
      <c r="RV2" s="84"/>
      <c r="RW2" s="262"/>
      <c r="RX2" s="264"/>
      <c r="RY2" s="264"/>
      <c r="RZ2" s="266"/>
      <c r="SA2" s="84"/>
      <c r="SB2" s="262"/>
      <c r="SC2" s="264"/>
      <c r="SD2" s="264"/>
      <c r="SE2" s="266"/>
      <c r="SF2" s="84"/>
      <c r="SG2" s="262"/>
      <c r="SH2" s="264"/>
      <c r="SI2" s="264"/>
      <c r="SJ2" s="266"/>
      <c r="SK2" s="84"/>
      <c r="SL2" s="262"/>
      <c r="SM2" s="264"/>
      <c r="SN2" s="264"/>
      <c r="SO2" s="266"/>
      <c r="SP2" s="84"/>
      <c r="SQ2" s="262"/>
      <c r="SR2" s="264"/>
      <c r="SS2" s="264"/>
      <c r="ST2" s="266"/>
      <c r="SU2" s="84"/>
      <c r="SV2" s="262"/>
      <c r="SW2" s="264"/>
      <c r="SX2" s="264"/>
      <c r="SY2" s="266"/>
      <c r="SZ2" s="84"/>
      <c r="TA2" s="262"/>
      <c r="TB2" s="264"/>
      <c r="TC2" s="264"/>
      <c r="TD2" s="266"/>
      <c r="TE2" s="84"/>
      <c r="TF2" s="262"/>
      <c r="TG2" s="264"/>
      <c r="TH2" s="264"/>
      <c r="TI2" s="266"/>
      <c r="TJ2" s="84"/>
      <c r="TK2" s="262"/>
      <c r="TL2" s="264"/>
      <c r="TM2" s="264"/>
      <c r="TN2" s="266"/>
      <c r="TO2" s="84"/>
      <c r="TP2" s="262"/>
      <c r="TQ2" s="264"/>
      <c r="TR2" s="264"/>
      <c r="TS2" s="266"/>
      <c r="TT2" s="84"/>
      <c r="TU2" s="262"/>
      <c r="TV2" s="264"/>
      <c r="TW2" s="264"/>
      <c r="TX2" s="266"/>
      <c r="TY2" s="84"/>
      <c r="TZ2" s="262"/>
      <c r="UA2" s="264"/>
      <c r="UB2" s="264"/>
      <c r="UC2" s="266"/>
      <c r="UD2" s="84"/>
      <c r="UE2" s="262"/>
      <c r="UF2" s="264"/>
      <c r="UG2" s="264"/>
      <c r="UH2" s="266"/>
      <c r="UI2" s="84"/>
      <c r="UJ2" s="262"/>
      <c r="UK2" s="264"/>
      <c r="UL2" s="264"/>
      <c r="UM2" s="266"/>
      <c r="UN2" s="84"/>
      <c r="UO2" s="262"/>
      <c r="UP2" s="264"/>
      <c r="UQ2" s="264"/>
      <c r="UR2" s="266"/>
      <c r="US2" s="84"/>
      <c r="UT2" s="262"/>
      <c r="UU2" s="264"/>
      <c r="UV2" s="264"/>
      <c r="UW2" s="266"/>
      <c r="UX2" s="84"/>
      <c r="UY2" s="262"/>
      <c r="UZ2" s="264"/>
      <c r="VA2" s="264"/>
      <c r="VB2" s="266"/>
      <c r="VC2" s="84"/>
      <c r="VD2" s="262"/>
      <c r="VE2" s="264"/>
      <c r="VF2" s="264"/>
      <c r="VG2" s="266"/>
      <c r="VH2" s="84"/>
      <c r="VI2" s="262"/>
      <c r="VJ2" s="264"/>
      <c r="VK2" s="264"/>
      <c r="VL2" s="266"/>
      <c r="VM2" s="84"/>
      <c r="VN2" s="262"/>
      <c r="VO2" s="264"/>
      <c r="VP2" s="264"/>
      <c r="VQ2" s="266"/>
      <c r="VR2" s="84"/>
      <c r="VS2" s="262"/>
      <c r="VT2" s="264"/>
      <c r="VU2" s="264"/>
      <c r="VV2" s="266"/>
      <c r="VW2" s="84"/>
      <c r="VX2" s="262"/>
      <c r="VY2" s="264"/>
      <c r="VZ2" s="264"/>
      <c r="WA2" s="266"/>
      <c r="WB2" s="84"/>
      <c r="WC2" s="262"/>
      <c r="WD2" s="264"/>
      <c r="WE2" s="264"/>
      <c r="WF2" s="266"/>
      <c r="WG2" s="84"/>
      <c r="WH2" s="262"/>
      <c r="WI2" s="264"/>
      <c r="WJ2" s="264"/>
      <c r="WK2" s="266"/>
      <c r="WL2" s="84"/>
      <c r="WM2" s="262"/>
      <c r="WN2" s="264"/>
      <c r="WO2" s="264"/>
      <c r="WP2" s="266"/>
      <c r="WQ2" s="84"/>
      <c r="WR2" s="262"/>
      <c r="WS2" s="264"/>
      <c r="WT2" s="264"/>
      <c r="WU2" s="266"/>
      <c r="WV2" s="84"/>
      <c r="WW2" s="262"/>
      <c r="WX2" s="264"/>
      <c r="WY2" s="264"/>
      <c r="WZ2" s="266"/>
      <c r="XA2" s="84"/>
      <c r="XB2" s="262"/>
      <c r="XC2" s="264"/>
      <c r="XD2" s="264"/>
      <c r="XE2" s="266"/>
      <c r="XF2" s="84"/>
      <c r="XG2" s="262"/>
      <c r="XH2" s="264"/>
      <c r="XI2" s="264"/>
      <c r="XJ2" s="266"/>
      <c r="XK2" s="84"/>
      <c r="XL2" s="262"/>
      <c r="XM2" s="264"/>
      <c r="XN2" s="264"/>
      <c r="XO2" s="266"/>
      <c r="XP2" s="84"/>
      <c r="XQ2" s="262"/>
      <c r="XR2" s="264"/>
      <c r="XS2" s="264"/>
      <c r="XT2" s="266"/>
      <c r="XU2" s="84"/>
      <c r="XV2" s="262"/>
      <c r="XW2" s="264"/>
      <c r="XX2" s="264"/>
      <c r="XY2" s="266"/>
      <c r="XZ2" s="84"/>
      <c r="YA2" s="262"/>
      <c r="YB2" s="264"/>
      <c r="YC2" s="264"/>
      <c r="YD2" s="266"/>
      <c r="YE2" s="84"/>
      <c r="YF2" s="262"/>
      <c r="YG2" s="264"/>
      <c r="YH2" s="264"/>
      <c r="YI2" s="266"/>
      <c r="YJ2" s="84"/>
      <c r="YK2" s="262"/>
      <c r="YL2" s="264"/>
      <c r="YM2" s="264"/>
      <c r="YN2" s="266"/>
      <c r="YO2" s="84"/>
      <c r="YP2" s="262"/>
      <c r="YQ2" s="264"/>
      <c r="YR2" s="264"/>
      <c r="YS2" s="266"/>
      <c r="YT2" s="84"/>
      <c r="YU2" s="262"/>
      <c r="YV2" s="264"/>
      <c r="YW2" s="264"/>
      <c r="YX2" s="266"/>
      <c r="YY2" s="84"/>
      <c r="YZ2" s="262"/>
      <c r="ZA2" s="264"/>
      <c r="ZB2" s="264"/>
      <c r="ZC2" s="266"/>
      <c r="ZD2" s="84"/>
      <c r="ZE2" s="262"/>
      <c r="ZF2" s="264"/>
      <c r="ZG2" s="264"/>
      <c r="ZH2" s="266"/>
      <c r="ZI2" s="84"/>
      <c r="ZJ2" s="262"/>
      <c r="ZK2" s="264"/>
      <c r="ZL2" s="264"/>
      <c r="ZM2" s="266"/>
      <c r="ZN2" s="84"/>
      <c r="ZO2" s="262"/>
      <c r="ZP2" s="264"/>
      <c r="ZQ2" s="264"/>
      <c r="ZR2" s="266"/>
      <c r="ZS2" s="84"/>
      <c r="ZT2" s="262"/>
      <c r="ZU2" s="264"/>
      <c r="ZV2" s="264"/>
      <c r="ZW2" s="266"/>
      <c r="ZX2" s="84"/>
      <c r="ZY2" s="262"/>
      <c r="ZZ2" s="264"/>
      <c r="AAA2" s="264"/>
      <c r="AAB2" s="266"/>
      <c r="AAC2" s="84"/>
      <c r="AAD2" s="262"/>
      <c r="AAE2" s="264"/>
      <c r="AAF2" s="264"/>
      <c r="AAG2" s="266"/>
      <c r="AAH2" s="84"/>
      <c r="AAI2" s="262"/>
      <c r="AAJ2" s="264"/>
      <c r="AAK2" s="264"/>
      <c r="AAL2" s="266"/>
      <c r="AAM2" s="84"/>
      <c r="AAN2" s="262"/>
      <c r="AAO2" s="264"/>
      <c r="AAP2" s="264"/>
      <c r="AAQ2" s="266"/>
      <c r="AAR2" s="84"/>
      <c r="AAS2" s="262"/>
      <c r="AAT2" s="264"/>
      <c r="AAU2" s="264"/>
      <c r="AAV2" s="266"/>
      <c r="AAW2" s="84"/>
      <c r="AAX2" s="262"/>
      <c r="AAY2" s="264"/>
      <c r="AAZ2" s="264"/>
      <c r="ABA2" s="266"/>
      <c r="ABB2" s="84"/>
      <c r="ABC2" s="262"/>
      <c r="ABD2" s="264"/>
      <c r="ABE2" s="264"/>
      <c r="ABF2" s="266"/>
      <c r="ABG2" s="84"/>
      <c r="ABH2" s="262"/>
      <c r="ABI2" s="264"/>
      <c r="ABJ2" s="264"/>
      <c r="ABK2" s="266"/>
      <c r="ABL2" s="84"/>
      <c r="ABM2" s="262"/>
      <c r="ABN2" s="264"/>
      <c r="ABO2" s="264"/>
      <c r="ABP2" s="266"/>
      <c r="ABQ2" s="84"/>
      <c r="ABR2" s="262"/>
      <c r="ABS2" s="264"/>
      <c r="ABT2" s="264"/>
      <c r="ABU2" s="266"/>
      <c r="ABV2" s="84"/>
      <c r="ABW2" s="262"/>
      <c r="ABX2" s="264"/>
      <c r="ABY2" s="264"/>
      <c r="ABZ2" s="266"/>
      <c r="ACA2" s="84"/>
      <c r="ACB2" s="262"/>
      <c r="ACC2" s="264"/>
      <c r="ACD2" s="264"/>
      <c r="ACE2" s="266"/>
      <c r="ACF2" s="84"/>
      <c r="ACG2" s="262"/>
      <c r="ACH2" s="264"/>
      <c r="ACI2" s="264"/>
      <c r="ACJ2" s="266"/>
      <c r="ACK2" s="84"/>
      <c r="ACL2" s="262"/>
      <c r="ACM2" s="264"/>
      <c r="ACN2" s="264"/>
      <c r="ACO2" s="266"/>
      <c r="ACP2" s="84"/>
      <c r="ACQ2" s="262"/>
      <c r="ACR2" s="264"/>
      <c r="ACS2" s="264"/>
      <c r="ACT2" s="266"/>
      <c r="ACU2" s="84"/>
      <c r="ACV2" s="262"/>
      <c r="ACW2" s="264"/>
      <c r="ACX2" s="264"/>
      <c r="ACY2" s="266"/>
      <c r="ACZ2" s="84"/>
      <c r="ADA2" s="262"/>
      <c r="ADB2" s="264"/>
      <c r="ADC2" s="264"/>
      <c r="ADD2" s="266"/>
      <c r="ADE2" s="84"/>
      <c r="ADF2" s="262"/>
      <c r="ADG2" s="264"/>
      <c r="ADH2" s="264"/>
      <c r="ADI2" s="266"/>
      <c r="ADJ2" s="84"/>
      <c r="ADK2" s="262"/>
      <c r="ADL2" s="264"/>
      <c r="ADM2" s="264"/>
      <c r="ADN2" s="266"/>
      <c r="ADO2" s="84"/>
      <c r="ADP2" s="262"/>
      <c r="ADQ2" s="264"/>
      <c r="ADR2" s="264"/>
      <c r="ADS2" s="266"/>
      <c r="ADT2" s="84"/>
      <c r="ADU2" s="262"/>
      <c r="ADV2" s="264"/>
      <c r="ADW2" s="264"/>
      <c r="ADX2" s="266"/>
      <c r="ADY2" s="84"/>
      <c r="ADZ2" s="262"/>
      <c r="AEA2" s="264"/>
      <c r="AEB2" s="264"/>
      <c r="AEC2" s="266"/>
      <c r="AED2" s="84"/>
      <c r="AEE2" s="262"/>
      <c r="AEF2" s="264"/>
      <c r="AEG2" s="264"/>
      <c r="AEH2" s="266"/>
      <c r="AEI2" s="84"/>
      <c r="AEJ2" s="262"/>
      <c r="AEK2" s="264"/>
      <c r="AEL2" s="264"/>
      <c r="AEM2" s="266"/>
      <c r="AEN2" s="84"/>
      <c r="AEO2" s="262"/>
      <c r="AEP2" s="264"/>
      <c r="AEQ2" s="264"/>
      <c r="AER2" s="266"/>
      <c r="AES2" s="84"/>
      <c r="AET2" s="262"/>
      <c r="AEU2" s="264"/>
      <c r="AEV2" s="264"/>
      <c r="AEW2" s="266"/>
      <c r="AEX2" s="84"/>
      <c r="AEY2" s="262"/>
      <c r="AEZ2" s="264"/>
      <c r="AFA2" s="264"/>
      <c r="AFB2" s="266"/>
      <c r="AFC2" s="84"/>
      <c r="AFD2" s="262"/>
      <c r="AFE2" s="264"/>
      <c r="AFF2" s="264"/>
      <c r="AFG2" s="266"/>
      <c r="AFH2" s="84"/>
      <c r="AFI2" s="262"/>
      <c r="AFJ2" s="264"/>
      <c r="AFK2" s="264"/>
      <c r="AFL2" s="266"/>
      <c r="AFM2" s="84"/>
      <c r="AFN2" s="262"/>
      <c r="AFO2" s="264"/>
      <c r="AFP2" s="264"/>
      <c r="AFQ2" s="266"/>
      <c r="AFR2" s="84"/>
      <c r="AFS2" s="262"/>
      <c r="AFT2" s="264"/>
      <c r="AFU2" s="264"/>
      <c r="AFV2" s="266"/>
      <c r="AFW2" s="84"/>
      <c r="AFX2" s="262"/>
      <c r="AFY2" s="264"/>
      <c r="AFZ2" s="264"/>
      <c r="AGA2" s="266"/>
      <c r="AGB2" s="84"/>
      <c r="AGC2" s="262"/>
      <c r="AGD2" s="264"/>
      <c r="AGE2" s="264"/>
      <c r="AGF2" s="266"/>
      <c r="AGG2" s="84"/>
      <c r="AGH2" s="262"/>
      <c r="AGI2" s="264"/>
      <c r="AGJ2" s="264"/>
      <c r="AGK2" s="266"/>
      <c r="AGL2" s="84"/>
      <c r="AGM2" s="262"/>
      <c r="AGN2" s="264"/>
      <c r="AGO2" s="264"/>
      <c r="AGP2" s="266"/>
      <c r="AGQ2" s="84"/>
      <c r="AGR2" s="262"/>
      <c r="AGS2" s="264"/>
      <c r="AGT2" s="264"/>
      <c r="AGU2" s="266"/>
      <c r="AGV2" s="84"/>
      <c r="AGW2" s="262"/>
      <c r="AGX2" s="264"/>
      <c r="AGY2" s="264"/>
      <c r="AGZ2" s="266"/>
      <c r="AHA2" s="84"/>
      <c r="AHB2" s="262"/>
      <c r="AHC2" s="264"/>
      <c r="AHD2" s="264"/>
      <c r="AHE2" s="266"/>
      <c r="AHF2" s="84"/>
      <c r="AHG2" s="262"/>
      <c r="AHH2" s="264"/>
      <c r="AHI2" s="264"/>
      <c r="AHJ2" s="266"/>
      <c r="AHK2" s="84"/>
      <c r="AHL2" s="262"/>
      <c r="AHM2" s="264"/>
      <c r="AHN2" s="264"/>
      <c r="AHO2" s="266"/>
      <c r="AHP2" s="84"/>
      <c r="AHQ2" s="262"/>
      <c r="AHR2" s="264"/>
      <c r="AHS2" s="264"/>
      <c r="AHT2" s="266"/>
      <c r="AHU2" s="84"/>
      <c r="AHV2" s="262"/>
      <c r="AHW2" s="264"/>
      <c r="AHX2" s="264"/>
      <c r="AHY2" s="266"/>
      <c r="AHZ2" s="84"/>
      <c r="AIA2" s="262"/>
      <c r="AIB2" s="264"/>
      <c r="AIC2" s="264"/>
      <c r="AID2" s="266"/>
      <c r="AIE2" s="84"/>
      <c r="AIF2" s="262"/>
      <c r="AIG2" s="264"/>
      <c r="AIH2" s="264"/>
      <c r="AII2" s="266"/>
      <c r="AIJ2" s="84"/>
      <c r="AIK2" s="262"/>
      <c r="AIL2" s="264"/>
      <c r="AIM2" s="264"/>
      <c r="AIN2" s="266"/>
      <c r="AIO2" s="84"/>
      <c r="AIP2" s="262"/>
      <c r="AIQ2" s="264"/>
      <c r="AIR2" s="264"/>
      <c r="AIS2" s="266"/>
      <c r="AIT2" s="84"/>
      <c r="AIU2" s="262"/>
      <c r="AIV2" s="264"/>
      <c r="AIW2" s="264"/>
      <c r="AIX2" s="266"/>
      <c r="AIY2" s="84"/>
      <c r="AIZ2" s="262"/>
      <c r="AJA2" s="264"/>
      <c r="AJB2" s="264"/>
      <c r="AJC2" s="266"/>
      <c r="AJD2" s="84"/>
      <c r="AJE2" s="262"/>
      <c r="AJF2" s="264"/>
      <c r="AJG2" s="264"/>
      <c r="AJH2" s="266"/>
      <c r="AJI2" s="84"/>
      <c r="AJJ2" s="262"/>
      <c r="AJK2" s="264"/>
      <c r="AJL2" s="264"/>
      <c r="AJM2" s="266"/>
      <c r="AJN2" s="84"/>
      <c r="AJO2" s="262"/>
      <c r="AJP2" s="264"/>
      <c r="AJQ2" s="264"/>
      <c r="AJR2" s="266"/>
      <c r="AJS2" s="84"/>
      <c r="AJT2" s="262"/>
      <c r="AJU2" s="264"/>
      <c r="AJV2" s="264"/>
      <c r="AJW2" s="266"/>
      <c r="AJX2" s="84"/>
      <c r="AJY2" s="262"/>
      <c r="AJZ2" s="264"/>
      <c r="AKA2" s="264"/>
      <c r="AKB2" s="266"/>
      <c r="AKC2" s="84"/>
      <c r="AKD2" s="262"/>
      <c r="AKE2" s="264"/>
      <c r="AKF2" s="264"/>
      <c r="AKG2" s="266"/>
      <c r="AKH2" s="84"/>
      <c r="AKI2" s="262"/>
      <c r="AKJ2" s="264"/>
      <c r="AKK2" s="264"/>
      <c r="AKL2" s="266"/>
      <c r="AKM2" s="84"/>
      <c r="AKN2" s="262"/>
      <c r="AKO2" s="264"/>
      <c r="AKP2" s="264"/>
      <c r="AKQ2" s="266"/>
      <c r="AKR2" s="84"/>
      <c r="AKS2" s="262"/>
      <c r="AKT2" s="264"/>
      <c r="AKU2" s="264"/>
      <c r="AKV2" s="266"/>
      <c r="AKW2" s="84"/>
      <c r="AKX2" s="262"/>
      <c r="AKY2" s="264"/>
      <c r="AKZ2" s="264"/>
      <c r="ALA2" s="266"/>
      <c r="ALB2" s="84"/>
      <c r="ALC2" s="262"/>
      <c r="ALD2" s="264"/>
      <c r="ALE2" s="264"/>
      <c r="ALF2" s="266"/>
      <c r="ALG2" s="84"/>
      <c r="ALH2" s="262"/>
      <c r="ALI2" s="264"/>
      <c r="ALJ2" s="264"/>
      <c r="ALK2" s="266"/>
      <c r="ALL2" s="84"/>
      <c r="ALM2" s="262"/>
      <c r="ALN2" s="264"/>
      <c r="ALO2" s="264"/>
      <c r="ALP2" s="266"/>
      <c r="ALQ2" s="84"/>
      <c r="ALR2" s="262"/>
      <c r="ALS2" s="264"/>
      <c r="ALT2" s="264"/>
      <c r="ALU2" s="266"/>
      <c r="ALV2" s="84"/>
      <c r="ALW2" s="262"/>
      <c r="ALX2" s="264"/>
      <c r="ALY2" s="264"/>
      <c r="ALZ2" s="266"/>
      <c r="AMA2" s="84"/>
      <c r="AMB2" s="262"/>
      <c r="AMC2" s="264"/>
      <c r="AMD2" s="264"/>
      <c r="AME2" s="266"/>
      <c r="AMF2" s="84"/>
      <c r="AMG2" s="262"/>
      <c r="AMH2" s="264"/>
      <c r="AMI2" s="264"/>
      <c r="AMJ2" s="266"/>
      <c r="AMK2" s="84"/>
      <c r="AML2" s="262"/>
      <c r="AMM2" s="264"/>
      <c r="AMN2" s="264"/>
      <c r="AMO2" s="266"/>
      <c r="AMP2" s="84"/>
      <c r="AMQ2" s="262"/>
      <c r="AMR2" s="264"/>
      <c r="AMS2" s="264"/>
      <c r="AMT2" s="266"/>
      <c r="AMU2" s="84"/>
      <c r="AMV2" s="262"/>
      <c r="AMW2" s="264"/>
      <c r="AMX2" s="264"/>
      <c r="AMY2" s="266"/>
      <c r="AMZ2" s="84"/>
      <c r="ANA2" s="262"/>
      <c r="ANB2" s="264"/>
      <c r="ANC2" s="264"/>
      <c r="AND2" s="266"/>
      <c r="ANE2" s="84"/>
      <c r="ANF2" s="262"/>
      <c r="ANG2" s="264"/>
      <c r="ANH2" s="264"/>
      <c r="ANI2" s="266"/>
      <c r="ANJ2" s="84"/>
      <c r="ANK2" s="262"/>
      <c r="ANL2" s="264"/>
      <c r="ANM2" s="264"/>
      <c r="ANN2" s="266"/>
      <c r="ANO2" s="84"/>
      <c r="ANP2" s="262"/>
      <c r="ANQ2" s="264"/>
      <c r="ANR2" s="264"/>
      <c r="ANS2" s="266"/>
      <c r="ANT2" s="84"/>
      <c r="ANU2" s="262"/>
      <c r="ANV2" s="264"/>
      <c r="ANW2" s="264"/>
      <c r="ANX2" s="266"/>
      <c r="ANY2" s="84"/>
      <c r="ANZ2" s="262"/>
      <c r="AOA2" s="264"/>
      <c r="AOB2" s="264"/>
      <c r="AOC2" s="266"/>
      <c r="AOD2" s="84"/>
      <c r="AOE2" s="262"/>
      <c r="AOF2" s="264"/>
      <c r="AOG2" s="264"/>
      <c r="AOH2" s="266"/>
      <c r="AOI2" s="84"/>
      <c r="AOJ2" s="262"/>
      <c r="AOK2" s="264"/>
      <c r="AOL2" s="264"/>
      <c r="AOM2" s="266"/>
      <c r="AON2" s="84"/>
      <c r="AOO2" s="262"/>
      <c r="AOP2" s="264"/>
      <c r="AOQ2" s="264"/>
      <c r="AOR2" s="266"/>
      <c r="AOS2" s="84"/>
      <c r="AOT2" s="262"/>
      <c r="AOU2" s="264"/>
      <c r="AOV2" s="264"/>
      <c r="AOW2" s="266"/>
      <c r="AOX2" s="84"/>
      <c r="AOY2" s="262"/>
      <c r="AOZ2" s="264"/>
      <c r="APA2" s="264"/>
      <c r="APB2" s="266"/>
      <c r="APC2" s="84"/>
      <c r="APD2" s="262"/>
      <c r="APE2" s="264"/>
      <c r="APF2" s="264"/>
      <c r="APG2" s="266"/>
      <c r="APH2" s="84"/>
      <c r="API2" s="262"/>
      <c r="APJ2" s="264"/>
      <c r="APK2" s="264"/>
      <c r="APL2" s="266"/>
      <c r="APM2" s="84"/>
      <c r="APN2" s="262"/>
      <c r="APO2" s="264"/>
      <c r="APP2" s="264"/>
      <c r="APQ2" s="266"/>
      <c r="APR2" s="84"/>
      <c r="APS2" s="262"/>
      <c r="APT2" s="264"/>
      <c r="APU2" s="264"/>
      <c r="APV2" s="266"/>
      <c r="APW2" s="84"/>
      <c r="APX2" s="262"/>
      <c r="APY2" s="264"/>
      <c r="APZ2" s="264"/>
      <c r="AQA2" s="266"/>
      <c r="AQB2" s="84"/>
      <c r="AQC2" s="262"/>
      <c r="AQD2" s="264"/>
      <c r="AQE2" s="264"/>
      <c r="AQF2" s="266"/>
      <c r="AQG2" s="84"/>
      <c r="AQH2" s="262"/>
      <c r="AQI2" s="264"/>
      <c r="AQJ2" s="264"/>
      <c r="AQK2" s="266"/>
      <c r="AQL2" s="84"/>
      <c r="AQM2" s="262"/>
      <c r="AQN2" s="264"/>
      <c r="AQO2" s="264"/>
      <c r="AQP2" s="266"/>
      <c r="AQQ2" s="84"/>
      <c r="AQR2" s="262"/>
      <c r="AQS2" s="264"/>
      <c r="AQT2" s="264"/>
      <c r="AQU2" s="266"/>
      <c r="AQV2" s="84"/>
      <c r="AQW2" s="262"/>
      <c r="AQX2" s="264"/>
      <c r="AQY2" s="264"/>
      <c r="AQZ2" s="266"/>
      <c r="ARA2" s="84"/>
      <c r="ARB2" s="262"/>
      <c r="ARC2" s="264"/>
      <c r="ARD2" s="264"/>
      <c r="ARE2" s="266"/>
      <c r="ARF2" s="84"/>
      <c r="ARG2" s="262"/>
      <c r="ARH2" s="264"/>
      <c r="ARI2" s="264"/>
      <c r="ARJ2" s="266"/>
      <c r="ARK2" s="84"/>
      <c r="ARL2" s="262"/>
      <c r="ARM2" s="264"/>
      <c r="ARN2" s="264"/>
      <c r="ARO2" s="266"/>
      <c r="ARP2" s="84"/>
      <c r="ARQ2" s="262"/>
      <c r="ARR2" s="264"/>
      <c r="ARS2" s="264"/>
      <c r="ART2" s="266"/>
      <c r="ARU2" s="84"/>
      <c r="ARV2" s="262"/>
      <c r="ARW2" s="264"/>
      <c r="ARX2" s="264"/>
      <c r="ARY2" s="266"/>
      <c r="ARZ2" s="84"/>
      <c r="ASA2" s="262"/>
      <c r="ASB2" s="264"/>
      <c r="ASC2" s="264"/>
      <c r="ASD2" s="266"/>
      <c r="ASE2" s="84"/>
      <c r="ASF2" s="262"/>
      <c r="ASG2" s="264"/>
      <c r="ASH2" s="264"/>
      <c r="ASI2" s="266"/>
      <c r="ASJ2" s="84"/>
      <c r="ASK2" s="262"/>
      <c r="ASL2" s="264"/>
      <c r="ASM2" s="264"/>
      <c r="ASN2" s="266"/>
      <c r="ASO2" s="84"/>
      <c r="ASP2" s="262"/>
      <c r="ASQ2" s="264"/>
      <c r="ASR2" s="264"/>
      <c r="ASS2" s="266"/>
      <c r="AST2" s="84"/>
      <c r="ASU2" s="262"/>
      <c r="ASV2" s="264"/>
      <c r="ASW2" s="264"/>
      <c r="ASX2" s="266"/>
      <c r="ASY2" s="84"/>
      <c r="ASZ2" s="262"/>
      <c r="ATA2" s="264"/>
      <c r="ATB2" s="264"/>
      <c r="ATC2" s="266"/>
      <c r="ATD2" s="84"/>
      <c r="ATE2" s="262"/>
      <c r="ATF2" s="264"/>
      <c r="ATG2" s="264"/>
      <c r="ATH2" s="266"/>
      <c r="ATI2" s="84"/>
      <c r="ATJ2" s="262"/>
      <c r="ATK2" s="264"/>
      <c r="ATL2" s="264"/>
      <c r="ATM2" s="266"/>
      <c r="ATN2" s="84"/>
      <c r="ATO2" s="262"/>
      <c r="ATP2" s="264"/>
      <c r="ATQ2" s="264"/>
      <c r="ATR2" s="266"/>
      <c r="ATS2" s="84"/>
      <c r="ATT2" s="262"/>
      <c r="ATU2" s="264"/>
      <c r="ATV2" s="264"/>
      <c r="ATW2" s="266"/>
      <c r="ATX2" s="84"/>
      <c r="ATY2" s="262"/>
      <c r="ATZ2" s="264"/>
      <c r="AUA2" s="264"/>
      <c r="AUB2" s="266"/>
      <c r="AUC2" s="84"/>
      <c r="AUD2" s="262"/>
      <c r="AUE2" s="264"/>
      <c r="AUF2" s="264"/>
      <c r="AUG2" s="266"/>
      <c r="AUH2" s="84"/>
      <c r="AUI2" s="262"/>
      <c r="AUJ2" s="264"/>
      <c r="AUK2" s="264"/>
      <c r="AUL2" s="266"/>
      <c r="AUM2" s="84"/>
      <c r="AUN2" s="262"/>
      <c r="AUO2" s="264"/>
      <c r="AUP2" s="264"/>
      <c r="AUQ2" s="266"/>
      <c r="AUR2" s="84"/>
      <c r="AUS2" s="262"/>
      <c r="AUT2" s="264"/>
      <c r="AUU2" s="264"/>
      <c r="AUV2" s="266"/>
      <c r="AUW2" s="84"/>
      <c r="AUX2" s="262"/>
      <c r="AUY2" s="264"/>
      <c r="AUZ2" s="264"/>
      <c r="AVA2" s="266"/>
      <c r="AVB2" s="84"/>
      <c r="AVC2" s="262"/>
      <c r="AVD2" s="264"/>
      <c r="AVE2" s="264"/>
      <c r="AVF2" s="266"/>
      <c r="AVG2" s="84"/>
      <c r="AVH2" s="262"/>
      <c r="AVI2" s="264"/>
      <c r="AVJ2" s="264"/>
      <c r="AVK2" s="266"/>
      <c r="AVL2" s="84"/>
      <c r="AVM2" s="262"/>
      <c r="AVN2" s="264"/>
      <c r="AVO2" s="264"/>
      <c r="AVP2" s="266"/>
      <c r="AVQ2" s="84"/>
      <c r="AVR2" s="262"/>
      <c r="AVS2" s="264"/>
      <c r="AVT2" s="264"/>
      <c r="AVU2" s="266"/>
      <c r="AVV2" s="84"/>
      <c r="AVW2" s="262"/>
      <c r="AVX2" s="264"/>
      <c r="AVY2" s="264"/>
      <c r="AVZ2" s="266"/>
      <c r="AWA2" s="84"/>
      <c r="AWB2" s="262"/>
      <c r="AWC2" s="264"/>
      <c r="AWD2" s="264"/>
      <c r="AWE2" s="266"/>
      <c r="AWF2" s="84"/>
      <c r="AWG2" s="262"/>
      <c r="AWH2" s="264"/>
      <c r="AWI2" s="264"/>
      <c r="AWJ2" s="266"/>
      <c r="AWK2" s="84"/>
      <c r="AWL2" s="262"/>
      <c r="AWM2" s="264"/>
      <c r="AWN2" s="264"/>
      <c r="AWO2" s="266"/>
      <c r="AWP2" s="84"/>
      <c r="AWQ2" s="262"/>
      <c r="AWR2" s="264"/>
      <c r="AWS2" s="264"/>
      <c r="AWT2" s="266"/>
      <c r="AWU2" s="84"/>
      <c r="AWV2" s="262"/>
      <c r="AWW2" s="264"/>
      <c r="AWX2" s="264"/>
      <c r="AWY2" s="266"/>
      <c r="AWZ2" s="84"/>
      <c r="AXA2" s="262"/>
      <c r="AXB2" s="264"/>
      <c r="AXC2" s="264"/>
      <c r="AXD2" s="266"/>
      <c r="AXE2" s="84"/>
      <c r="AXF2" s="262"/>
      <c r="AXG2" s="264"/>
      <c r="AXH2" s="264"/>
      <c r="AXI2" s="266"/>
      <c r="AXJ2" s="84"/>
      <c r="AXK2" s="262"/>
      <c r="AXL2" s="264"/>
      <c r="AXM2" s="264"/>
      <c r="AXN2" s="266"/>
      <c r="AXO2" s="84"/>
      <c r="AXP2" s="262"/>
      <c r="AXQ2" s="264"/>
      <c r="AXR2" s="264"/>
      <c r="AXS2" s="266"/>
      <c r="AXT2" s="84"/>
      <c r="AXU2" s="262"/>
      <c r="AXV2" s="264"/>
      <c r="AXW2" s="264"/>
      <c r="AXX2" s="266"/>
      <c r="AXY2" s="84"/>
      <c r="AXZ2" s="262"/>
      <c r="AYA2" s="264"/>
      <c r="AYB2" s="264"/>
      <c r="AYC2" s="266"/>
      <c r="AYD2" s="84"/>
      <c r="AYE2" s="262"/>
      <c r="AYF2" s="264"/>
      <c r="AYG2" s="264"/>
      <c r="AYH2" s="266"/>
      <c r="AYI2" s="84"/>
      <c r="AYJ2" s="262"/>
      <c r="AYK2" s="264"/>
      <c r="AYL2" s="264"/>
      <c r="AYM2" s="266"/>
      <c r="AYN2" s="84"/>
      <c r="AYO2" s="262"/>
      <c r="AYP2" s="264"/>
      <c r="AYQ2" s="264"/>
      <c r="AYR2" s="266"/>
      <c r="AYS2" s="84"/>
      <c r="AYT2" s="262"/>
      <c r="AYU2" s="264"/>
      <c r="AYV2" s="264"/>
      <c r="AYW2" s="266"/>
      <c r="AYX2" s="84"/>
      <c r="AYY2" s="262"/>
      <c r="AYZ2" s="264"/>
      <c r="AZA2" s="264"/>
      <c r="AZB2" s="266"/>
      <c r="AZC2" s="84"/>
      <c r="AZD2" s="262"/>
      <c r="AZE2" s="264"/>
      <c r="AZF2" s="264"/>
      <c r="AZG2" s="266"/>
      <c r="AZH2" s="84"/>
      <c r="AZI2" s="262"/>
      <c r="AZJ2" s="264"/>
      <c r="AZK2" s="264"/>
      <c r="AZL2" s="266"/>
      <c r="AZM2" s="84"/>
      <c r="AZN2" s="262"/>
      <c r="AZO2" s="264"/>
      <c r="AZP2" s="264"/>
      <c r="AZQ2" s="266"/>
      <c r="AZR2" s="84"/>
      <c r="AZS2" s="262"/>
      <c r="AZT2" s="264"/>
      <c r="AZU2" s="264"/>
      <c r="AZV2" s="266"/>
      <c r="AZW2" s="84"/>
      <c r="AZX2" s="262"/>
      <c r="AZY2" s="264"/>
      <c r="AZZ2" s="264"/>
      <c r="BAA2" s="266"/>
      <c r="BAB2" s="84"/>
      <c r="BAC2" s="262"/>
      <c r="BAD2" s="264"/>
      <c r="BAE2" s="264"/>
      <c r="BAF2" s="266"/>
      <c r="BAG2" s="84"/>
      <c r="BAH2" s="262"/>
      <c r="BAI2" s="264"/>
      <c r="BAJ2" s="264"/>
      <c r="BAK2" s="266"/>
      <c r="BAL2" s="84"/>
      <c r="BAM2" s="262"/>
      <c r="BAN2" s="264"/>
      <c r="BAO2" s="264"/>
      <c r="BAP2" s="266"/>
      <c r="BAQ2" s="84"/>
      <c r="BAR2" s="262"/>
      <c r="BAS2" s="264"/>
      <c r="BAT2" s="264"/>
      <c r="BAU2" s="266"/>
      <c r="BAV2" s="84"/>
      <c r="BAW2" s="262"/>
      <c r="BAX2" s="264"/>
      <c r="BAY2" s="264"/>
      <c r="BAZ2" s="266"/>
      <c r="BBA2" s="84"/>
      <c r="BBB2" s="262"/>
      <c r="BBC2" s="264"/>
      <c r="BBD2" s="264"/>
      <c r="BBE2" s="266"/>
      <c r="BBF2" s="84"/>
      <c r="BBG2" s="262"/>
      <c r="BBH2" s="264"/>
      <c r="BBI2" s="264"/>
      <c r="BBJ2" s="266"/>
      <c r="BBK2" s="84"/>
      <c r="BBL2" s="262"/>
      <c r="BBM2" s="264"/>
      <c r="BBN2" s="264"/>
      <c r="BBO2" s="266"/>
      <c r="BBP2" s="84"/>
      <c r="BBQ2" s="262"/>
      <c r="BBR2" s="264"/>
      <c r="BBS2" s="264"/>
      <c r="BBT2" s="266"/>
      <c r="BBU2" s="84"/>
      <c r="BBV2" s="262"/>
      <c r="BBW2" s="264"/>
      <c r="BBX2" s="264"/>
      <c r="BBY2" s="266"/>
      <c r="BBZ2" s="84"/>
      <c r="BCA2" s="262"/>
      <c r="BCB2" s="264"/>
      <c r="BCC2" s="264"/>
      <c r="BCD2" s="266"/>
      <c r="BCE2" s="84"/>
      <c r="BCF2" s="262"/>
      <c r="BCG2" s="264"/>
      <c r="BCH2" s="264"/>
      <c r="BCI2" s="266"/>
      <c r="BCJ2" s="84"/>
      <c r="BCK2" s="262"/>
      <c r="BCL2" s="264"/>
      <c r="BCM2" s="264"/>
      <c r="BCN2" s="266"/>
      <c r="BCO2" s="84"/>
      <c r="BCP2" s="262"/>
      <c r="BCQ2" s="264"/>
      <c r="BCR2" s="264"/>
      <c r="BCS2" s="266"/>
      <c r="BCT2" s="84"/>
      <c r="BCU2" s="262"/>
      <c r="BCV2" s="264"/>
      <c r="BCW2" s="264"/>
      <c r="BCX2" s="266"/>
      <c r="BCY2" s="84"/>
      <c r="BCZ2" s="262"/>
      <c r="BDA2" s="264"/>
      <c r="BDB2" s="264"/>
      <c r="BDC2" s="266"/>
      <c r="BDD2" s="84"/>
      <c r="BDE2" s="262"/>
      <c r="BDF2" s="264"/>
      <c r="BDG2" s="264"/>
      <c r="BDH2" s="266"/>
      <c r="BDI2" s="84"/>
      <c r="BDJ2" s="262"/>
      <c r="BDK2" s="264"/>
      <c r="BDL2" s="264"/>
      <c r="BDM2" s="266"/>
      <c r="BDN2" s="84"/>
      <c r="BDO2" s="262"/>
      <c r="BDP2" s="264"/>
      <c r="BDQ2" s="264"/>
      <c r="BDR2" s="266"/>
      <c r="BDS2" s="84"/>
      <c r="BDT2" s="262"/>
      <c r="BDU2" s="264"/>
      <c r="BDV2" s="264"/>
      <c r="BDW2" s="266"/>
      <c r="BDX2" s="84"/>
      <c r="BDY2" s="262"/>
      <c r="BDZ2" s="264"/>
      <c r="BEA2" s="264"/>
      <c r="BEB2" s="266"/>
      <c r="BEC2" s="84"/>
      <c r="BED2" s="262"/>
      <c r="BEE2" s="264"/>
      <c r="BEF2" s="264"/>
      <c r="BEG2" s="266"/>
      <c r="BEH2" s="84"/>
      <c r="BEI2" s="262"/>
      <c r="BEJ2" s="264"/>
      <c r="BEK2" s="264"/>
      <c r="BEL2" s="266"/>
      <c r="BEM2" s="84"/>
      <c r="BEN2" s="262"/>
      <c r="BEO2" s="264"/>
      <c r="BEP2" s="264"/>
      <c r="BEQ2" s="266"/>
      <c r="BER2" s="84"/>
      <c r="BES2" s="262"/>
      <c r="BET2" s="264"/>
      <c r="BEU2" s="264"/>
      <c r="BEV2" s="266"/>
      <c r="BEW2" s="84"/>
      <c r="BEX2" s="262"/>
      <c r="BEY2" s="264"/>
      <c r="BEZ2" s="264"/>
      <c r="BFA2" s="266"/>
      <c r="BFB2" s="84"/>
      <c r="BFC2" s="262"/>
      <c r="BFD2" s="264"/>
      <c r="BFE2" s="264"/>
      <c r="BFF2" s="266"/>
      <c r="BFG2" s="84"/>
      <c r="BFH2" s="262"/>
      <c r="BFI2" s="264"/>
      <c r="BFJ2" s="264"/>
      <c r="BFK2" s="266"/>
      <c r="BFL2" s="84"/>
      <c r="BFM2" s="262"/>
      <c r="BFN2" s="264"/>
      <c r="BFO2" s="264"/>
      <c r="BFP2" s="266"/>
      <c r="BFQ2" s="84"/>
      <c r="BFR2" s="262"/>
      <c r="BFS2" s="264"/>
      <c r="BFT2" s="264"/>
      <c r="BFU2" s="266"/>
      <c r="BFV2" s="84"/>
      <c r="BFW2" s="262"/>
      <c r="BFX2" s="264"/>
      <c r="BFY2" s="264"/>
      <c r="BFZ2" s="266"/>
      <c r="BGA2" s="84"/>
      <c r="BGB2" s="262"/>
      <c r="BGC2" s="264"/>
      <c r="BGD2" s="264"/>
      <c r="BGE2" s="266"/>
      <c r="BGF2" s="84"/>
      <c r="BGG2" s="262"/>
      <c r="BGH2" s="264"/>
      <c r="BGI2" s="264"/>
      <c r="BGJ2" s="266"/>
      <c r="BGK2" s="84"/>
      <c r="BGL2" s="262"/>
      <c r="BGM2" s="264"/>
      <c r="BGN2" s="264"/>
      <c r="BGO2" s="266"/>
      <c r="BGP2" s="84"/>
      <c r="BGQ2" s="262"/>
      <c r="BGR2" s="264"/>
      <c r="BGS2" s="264"/>
      <c r="BGT2" s="266"/>
      <c r="BGU2" s="84"/>
      <c r="BGV2" s="262"/>
      <c r="BGW2" s="264"/>
      <c r="BGX2" s="264"/>
      <c r="BGY2" s="266"/>
      <c r="BGZ2" s="84"/>
      <c r="BHA2" s="262"/>
      <c r="BHB2" s="264"/>
      <c r="BHC2" s="264"/>
      <c r="BHD2" s="266"/>
      <c r="BHE2" s="84"/>
      <c r="BHF2" s="262"/>
      <c r="BHG2" s="264"/>
      <c r="BHH2" s="264"/>
      <c r="BHI2" s="266"/>
      <c r="BHJ2" s="84"/>
      <c r="BHK2" s="262"/>
      <c r="BHL2" s="264"/>
      <c r="BHM2" s="264"/>
      <c r="BHN2" s="266"/>
      <c r="BHO2" s="84"/>
      <c r="BHP2" s="262"/>
      <c r="BHQ2" s="264"/>
      <c r="BHR2" s="264"/>
      <c r="BHS2" s="266"/>
      <c r="BHT2" s="84"/>
      <c r="BHU2" s="262"/>
      <c r="BHV2" s="264"/>
      <c r="BHW2" s="264"/>
      <c r="BHX2" s="266"/>
      <c r="BHY2" s="84"/>
      <c r="BHZ2" s="262"/>
      <c r="BIA2" s="264"/>
      <c r="BIB2" s="264"/>
      <c r="BIC2" s="266"/>
      <c r="BID2" s="84"/>
      <c r="BIE2" s="262"/>
      <c r="BIF2" s="264"/>
      <c r="BIG2" s="264"/>
      <c r="BIH2" s="266"/>
      <c r="BII2" s="84"/>
      <c r="BIJ2" s="262"/>
      <c r="BIK2" s="264"/>
      <c r="BIL2" s="264"/>
      <c r="BIM2" s="266"/>
      <c r="BIN2" s="84"/>
      <c r="BIO2" s="262"/>
      <c r="BIP2" s="264"/>
      <c r="BIQ2" s="264"/>
      <c r="BIR2" s="266"/>
      <c r="BIS2" s="84"/>
      <c r="BIT2" s="262"/>
      <c r="BIU2" s="264"/>
      <c r="BIV2" s="264"/>
      <c r="BIW2" s="266"/>
      <c r="BIX2" s="84"/>
      <c r="BIY2" s="262"/>
      <c r="BIZ2" s="264"/>
      <c r="BJA2" s="264"/>
      <c r="BJB2" s="266"/>
      <c r="BJC2" s="84"/>
      <c r="BJD2" s="262"/>
      <c r="BJE2" s="264"/>
      <c r="BJF2" s="264"/>
      <c r="BJG2" s="266"/>
      <c r="BJH2" s="84"/>
      <c r="BJI2" s="262"/>
      <c r="BJJ2" s="264"/>
      <c r="BJK2" s="264"/>
      <c r="BJL2" s="266"/>
      <c r="BJM2" s="84"/>
      <c r="BJN2" s="262"/>
      <c r="BJO2" s="264"/>
      <c r="BJP2" s="264"/>
      <c r="BJQ2" s="266"/>
      <c r="BJR2" s="84"/>
      <c r="BJS2" s="262"/>
      <c r="BJT2" s="264"/>
      <c r="BJU2" s="264"/>
      <c r="BJV2" s="266"/>
      <c r="BJW2" s="84"/>
      <c r="BJX2" s="262"/>
      <c r="BJY2" s="264"/>
      <c r="BJZ2" s="264"/>
      <c r="BKA2" s="266"/>
      <c r="BKB2" s="84"/>
      <c r="BKC2" s="262"/>
      <c r="BKD2" s="264"/>
      <c r="BKE2" s="264"/>
      <c r="BKF2" s="266"/>
      <c r="BKG2" s="84"/>
      <c r="BKH2" s="262"/>
      <c r="BKI2" s="264"/>
      <c r="BKJ2" s="264"/>
      <c r="BKK2" s="266"/>
      <c r="BKL2" s="84"/>
      <c r="BKM2" s="262"/>
      <c r="BKN2" s="264"/>
      <c r="BKO2" s="264"/>
      <c r="BKP2" s="266"/>
      <c r="BKQ2" s="84"/>
      <c r="BKR2" s="262"/>
      <c r="BKS2" s="264"/>
      <c r="BKT2" s="264"/>
      <c r="BKU2" s="266"/>
      <c r="BKV2" s="84"/>
      <c r="BKW2" s="262"/>
      <c r="BKX2" s="264"/>
      <c r="BKY2" s="264"/>
      <c r="BKZ2" s="266"/>
      <c r="BLA2" s="84"/>
      <c r="BLB2" s="262"/>
      <c r="BLC2" s="264"/>
      <c r="BLD2" s="264"/>
      <c r="BLE2" s="266"/>
      <c r="BLF2" s="84"/>
      <c r="BLG2" s="262"/>
      <c r="BLH2" s="264"/>
      <c r="BLI2" s="264"/>
      <c r="BLJ2" s="266"/>
      <c r="BLK2" s="84"/>
      <c r="BLL2" s="262"/>
      <c r="BLM2" s="264"/>
      <c r="BLN2" s="264"/>
      <c r="BLO2" s="266"/>
      <c r="BLP2" s="84"/>
      <c r="BLQ2" s="262"/>
      <c r="BLR2" s="264"/>
      <c r="BLS2" s="264"/>
      <c r="BLT2" s="266"/>
      <c r="BLU2" s="84"/>
      <c r="BLV2" s="262"/>
      <c r="BLW2" s="264"/>
      <c r="BLX2" s="264"/>
      <c r="BLY2" s="266"/>
      <c r="BLZ2" s="84"/>
      <c r="BMA2" s="262"/>
      <c r="BMB2" s="264"/>
      <c r="BMC2" s="264"/>
      <c r="BMD2" s="266"/>
      <c r="BME2" s="84"/>
      <c r="BMF2" s="262"/>
      <c r="BMG2" s="264"/>
      <c r="BMH2" s="264"/>
      <c r="BMI2" s="266"/>
      <c r="BMJ2" s="84"/>
      <c r="BMK2" s="262"/>
      <c r="BML2" s="264"/>
      <c r="BMM2" s="264"/>
      <c r="BMN2" s="266"/>
      <c r="BMO2" s="84"/>
      <c r="BMP2" s="262"/>
      <c r="BMQ2" s="264"/>
      <c r="BMR2" s="264"/>
      <c r="BMS2" s="266"/>
      <c r="BMT2" s="84"/>
      <c r="BMU2" s="262"/>
      <c r="BMV2" s="264"/>
      <c r="BMW2" s="264"/>
      <c r="BMX2" s="266"/>
      <c r="BMY2" s="84"/>
      <c r="BMZ2" s="262"/>
      <c r="BNA2" s="264"/>
      <c r="BNB2" s="264"/>
      <c r="BNC2" s="266"/>
      <c r="BND2" s="84"/>
      <c r="BNE2" s="262"/>
      <c r="BNF2" s="264"/>
      <c r="BNG2" s="264"/>
      <c r="BNH2" s="266"/>
      <c r="BNI2" s="84"/>
      <c r="BNJ2" s="262"/>
      <c r="BNK2" s="264"/>
      <c r="BNL2" s="264"/>
      <c r="BNM2" s="266"/>
      <c r="BNN2" s="84"/>
      <c r="BNO2" s="262"/>
      <c r="BNP2" s="264"/>
      <c r="BNQ2" s="264"/>
      <c r="BNR2" s="266"/>
      <c r="BNS2" s="84"/>
      <c r="BNT2" s="262"/>
      <c r="BNU2" s="264"/>
      <c r="BNV2" s="264"/>
      <c r="BNW2" s="266"/>
      <c r="BNX2" s="84"/>
      <c r="BNY2" s="262"/>
      <c r="BNZ2" s="264"/>
      <c r="BOA2" s="264"/>
      <c r="BOB2" s="266"/>
      <c r="BOC2" s="84"/>
      <c r="BOD2" s="262"/>
      <c r="BOE2" s="264"/>
      <c r="BOF2" s="264"/>
      <c r="BOG2" s="266"/>
      <c r="BOH2" s="84"/>
      <c r="BOI2" s="262"/>
      <c r="BOJ2" s="264"/>
      <c r="BOK2" s="264"/>
      <c r="BOL2" s="266"/>
      <c r="BOM2" s="84"/>
      <c r="BON2" s="262"/>
      <c r="BOO2" s="264"/>
      <c r="BOP2" s="264"/>
      <c r="BOQ2" s="266"/>
      <c r="BOR2" s="84"/>
      <c r="BOS2" s="262"/>
      <c r="BOT2" s="264"/>
      <c r="BOU2" s="264"/>
      <c r="BOV2" s="266"/>
      <c r="BOW2" s="84"/>
      <c r="BOX2" s="262"/>
      <c r="BOY2" s="264"/>
      <c r="BOZ2" s="264"/>
      <c r="BPA2" s="266"/>
      <c r="BPB2" s="84"/>
      <c r="BPC2" s="262"/>
      <c r="BPD2" s="264"/>
      <c r="BPE2" s="264"/>
      <c r="BPF2" s="266"/>
      <c r="BPG2" s="84"/>
      <c r="BPH2" s="262"/>
      <c r="BPI2" s="264"/>
      <c r="BPJ2" s="264"/>
      <c r="BPK2" s="266"/>
      <c r="BPL2" s="84"/>
      <c r="BPM2" s="262"/>
      <c r="BPN2" s="264"/>
      <c r="BPO2" s="264"/>
      <c r="BPP2" s="266"/>
      <c r="BPQ2" s="84"/>
      <c r="BPR2" s="262"/>
      <c r="BPS2" s="264"/>
      <c r="BPT2" s="264"/>
      <c r="BPU2" s="266"/>
      <c r="BPV2" s="84"/>
      <c r="BPW2" s="262"/>
      <c r="BPX2" s="264"/>
      <c r="BPY2" s="264"/>
      <c r="BPZ2" s="266"/>
      <c r="BQA2" s="84"/>
      <c r="BQB2" s="262"/>
      <c r="BQC2" s="264"/>
      <c r="BQD2" s="264"/>
      <c r="BQE2" s="266"/>
      <c r="BQF2" s="84"/>
      <c r="BQG2" s="262"/>
      <c r="BQH2" s="264"/>
      <c r="BQI2" s="264"/>
      <c r="BQJ2" s="266"/>
      <c r="BQK2" s="84"/>
      <c r="BQL2" s="262"/>
      <c r="BQM2" s="264"/>
      <c r="BQN2" s="264"/>
      <c r="BQO2" s="266"/>
      <c r="BQP2" s="84"/>
      <c r="BQQ2" s="262"/>
      <c r="BQR2" s="264"/>
      <c r="BQS2" s="264"/>
      <c r="BQT2" s="266"/>
      <c r="BQU2" s="84"/>
      <c r="BQV2" s="262"/>
      <c r="BQW2" s="264"/>
      <c r="BQX2" s="264"/>
      <c r="BQY2" s="266"/>
      <c r="BQZ2" s="84"/>
      <c r="BRA2" s="262"/>
      <c r="BRB2" s="264"/>
      <c r="BRC2" s="264"/>
      <c r="BRD2" s="266"/>
      <c r="BRE2" s="84"/>
      <c r="BRF2" s="262"/>
      <c r="BRG2" s="264"/>
      <c r="BRH2" s="264"/>
      <c r="BRI2" s="266"/>
      <c r="BRJ2" s="84"/>
      <c r="BRK2" s="262"/>
      <c r="BRL2" s="264"/>
      <c r="BRM2" s="264"/>
      <c r="BRN2" s="266"/>
      <c r="BRO2" s="84"/>
      <c r="BRP2" s="262"/>
      <c r="BRQ2" s="264"/>
      <c r="BRR2" s="264"/>
      <c r="BRS2" s="266"/>
      <c r="BRT2" s="84"/>
      <c r="BRU2" s="262"/>
      <c r="BRV2" s="264"/>
      <c r="BRW2" s="264"/>
      <c r="BRX2" s="266"/>
      <c r="BRY2" s="84"/>
      <c r="BRZ2" s="262"/>
      <c r="BSA2" s="264"/>
      <c r="BSB2" s="264"/>
      <c r="BSC2" s="266"/>
      <c r="BSD2" s="84"/>
      <c r="BSE2" s="262"/>
      <c r="BSF2" s="264"/>
      <c r="BSG2" s="264"/>
      <c r="BSH2" s="266"/>
      <c r="BSI2" s="84"/>
      <c r="BSJ2" s="262"/>
      <c r="BSK2" s="264"/>
      <c r="BSL2" s="264"/>
      <c r="BSM2" s="266"/>
      <c r="BSN2" s="84"/>
      <c r="BSO2" s="262"/>
      <c r="BSP2" s="264"/>
      <c r="BSQ2" s="264"/>
      <c r="BSR2" s="266"/>
      <c r="BSS2" s="84"/>
      <c r="BST2" s="262"/>
      <c r="BSU2" s="264"/>
      <c r="BSV2" s="264"/>
      <c r="BSW2" s="266"/>
      <c r="BSX2" s="84"/>
      <c r="BSY2" s="262"/>
      <c r="BSZ2" s="264"/>
      <c r="BTA2" s="264"/>
      <c r="BTB2" s="266"/>
      <c r="BTC2" s="84"/>
      <c r="BTD2" s="262"/>
      <c r="BTE2" s="264"/>
      <c r="BTF2" s="264"/>
      <c r="BTG2" s="266"/>
      <c r="BTH2" s="84"/>
      <c r="BTI2" s="262"/>
      <c r="BTJ2" s="264"/>
      <c r="BTK2" s="264"/>
      <c r="BTL2" s="266"/>
      <c r="BTM2" s="84"/>
      <c r="BTN2" s="262"/>
      <c r="BTO2" s="264"/>
      <c r="BTP2" s="264"/>
      <c r="BTQ2" s="266"/>
      <c r="BTR2" s="84"/>
      <c r="BTS2" s="262"/>
      <c r="BTT2" s="264"/>
      <c r="BTU2" s="264"/>
      <c r="BTV2" s="266"/>
      <c r="BTW2" s="84"/>
      <c r="BTX2" s="262"/>
      <c r="BTY2" s="264"/>
      <c r="BTZ2" s="264"/>
      <c r="BUA2" s="266"/>
      <c r="BUB2" s="84"/>
      <c r="BUC2" s="262"/>
      <c r="BUD2" s="264"/>
      <c r="BUE2" s="264"/>
      <c r="BUF2" s="266"/>
      <c r="BUG2" s="84"/>
      <c r="BUH2" s="262"/>
      <c r="BUI2" s="264"/>
      <c r="BUJ2" s="264"/>
      <c r="BUK2" s="266"/>
      <c r="BUL2" s="84"/>
      <c r="BUM2" s="262"/>
      <c r="BUN2" s="264"/>
      <c r="BUO2" s="264"/>
      <c r="BUP2" s="266"/>
      <c r="BUQ2" s="84"/>
      <c r="BUR2" s="262"/>
      <c r="BUS2" s="264"/>
      <c r="BUT2" s="264"/>
      <c r="BUU2" s="266"/>
      <c r="BUV2" s="84"/>
      <c r="BUW2" s="262"/>
      <c r="BUX2" s="264"/>
      <c r="BUY2" s="264"/>
      <c r="BUZ2" s="266"/>
      <c r="BVA2" s="84"/>
      <c r="BVB2" s="262"/>
      <c r="BVC2" s="264"/>
      <c r="BVD2" s="264"/>
      <c r="BVE2" s="266"/>
      <c r="BVF2" s="84"/>
      <c r="BVG2" s="262"/>
      <c r="BVH2" s="264"/>
      <c r="BVI2" s="264"/>
      <c r="BVJ2" s="266"/>
      <c r="BVK2" s="84"/>
      <c r="BVL2" s="262"/>
      <c r="BVM2" s="264"/>
      <c r="BVN2" s="264"/>
      <c r="BVO2" s="266"/>
      <c r="BVP2" s="84"/>
      <c r="BVQ2" s="262"/>
      <c r="BVR2" s="264"/>
      <c r="BVS2" s="264"/>
      <c r="BVT2" s="266"/>
      <c r="BVU2" s="84"/>
      <c r="BVV2" s="262"/>
      <c r="BVW2" s="264"/>
      <c r="BVX2" s="264"/>
      <c r="BVY2" s="266"/>
      <c r="BVZ2" s="84"/>
      <c r="BWA2" s="262"/>
      <c r="BWB2" s="264"/>
      <c r="BWC2" s="264"/>
      <c r="BWD2" s="266"/>
      <c r="BWE2" s="84"/>
      <c r="BWF2" s="262"/>
      <c r="BWG2" s="264"/>
      <c r="BWH2" s="264"/>
      <c r="BWI2" s="266"/>
      <c r="BWJ2" s="84"/>
      <c r="BWK2" s="262"/>
      <c r="BWL2" s="264"/>
      <c r="BWM2" s="264"/>
      <c r="BWN2" s="266"/>
      <c r="BWO2" s="84"/>
      <c r="BWP2" s="262"/>
      <c r="BWQ2" s="264"/>
      <c r="BWR2" s="264"/>
      <c r="BWS2" s="266"/>
      <c r="BWT2" s="84"/>
      <c r="BWU2" s="262"/>
      <c r="BWV2" s="264"/>
      <c r="BWW2" s="264"/>
      <c r="BWX2" s="266"/>
      <c r="BWY2" s="84"/>
      <c r="BWZ2" s="262"/>
      <c r="BXA2" s="264"/>
      <c r="BXB2" s="264"/>
      <c r="BXC2" s="266"/>
      <c r="BXD2" s="84"/>
      <c r="BXE2" s="262"/>
      <c r="BXF2" s="264"/>
      <c r="BXG2" s="264"/>
      <c r="BXH2" s="266"/>
      <c r="BXI2" s="84"/>
      <c r="BXJ2" s="262"/>
      <c r="BXK2" s="264"/>
      <c r="BXL2" s="264"/>
      <c r="BXM2" s="266"/>
      <c r="BXN2" s="84"/>
      <c r="BXO2" s="262"/>
      <c r="BXP2" s="264"/>
      <c r="BXQ2" s="264"/>
      <c r="BXR2" s="266"/>
      <c r="BXS2" s="84"/>
      <c r="BXT2" s="262"/>
      <c r="BXU2" s="264"/>
      <c r="BXV2" s="264"/>
      <c r="BXW2" s="266"/>
      <c r="BXX2" s="84"/>
      <c r="BXY2" s="262"/>
      <c r="BXZ2" s="264"/>
      <c r="BYA2" s="264"/>
      <c r="BYB2" s="266"/>
      <c r="BYC2" s="84"/>
      <c r="BYD2" s="262"/>
      <c r="BYE2" s="264"/>
      <c r="BYF2" s="264"/>
      <c r="BYG2" s="266"/>
      <c r="BYH2" s="84"/>
      <c r="BYI2" s="262"/>
      <c r="BYJ2" s="264"/>
      <c r="BYK2" s="264"/>
      <c r="BYL2" s="266"/>
      <c r="BYM2" s="84"/>
      <c r="BYN2" s="262"/>
      <c r="BYO2" s="264"/>
      <c r="BYP2" s="264"/>
      <c r="BYQ2" s="266"/>
      <c r="BYR2" s="84"/>
      <c r="BYS2" s="262"/>
      <c r="BYT2" s="264"/>
      <c r="BYU2" s="264"/>
      <c r="BYV2" s="266"/>
      <c r="BYW2" s="84"/>
      <c r="BYX2" s="262"/>
      <c r="BYY2" s="264"/>
      <c r="BYZ2" s="264"/>
      <c r="BZA2" s="266"/>
      <c r="BZB2" s="84"/>
      <c r="BZC2" s="262"/>
      <c r="BZD2" s="264"/>
      <c r="BZE2" s="264"/>
      <c r="BZF2" s="266"/>
      <c r="BZG2" s="84"/>
      <c r="BZH2" s="262"/>
      <c r="BZI2" s="264"/>
      <c r="BZJ2" s="264"/>
      <c r="BZK2" s="266"/>
      <c r="BZL2" s="84"/>
      <c r="BZM2" s="262"/>
      <c r="BZN2" s="264"/>
      <c r="BZO2" s="264"/>
      <c r="BZP2" s="266"/>
      <c r="BZQ2" s="84"/>
      <c r="BZR2" s="262"/>
      <c r="BZS2" s="264"/>
      <c r="BZT2" s="264"/>
      <c r="BZU2" s="266"/>
      <c r="BZV2" s="84"/>
      <c r="BZW2" s="262"/>
      <c r="BZX2" s="264"/>
      <c r="BZY2" s="264"/>
      <c r="BZZ2" s="266"/>
      <c r="CAA2" s="84"/>
      <c r="CAB2" s="262"/>
      <c r="CAC2" s="264"/>
      <c r="CAD2" s="264"/>
      <c r="CAE2" s="266"/>
      <c r="CAF2" s="84"/>
      <c r="CAG2" s="262"/>
      <c r="CAH2" s="264"/>
      <c r="CAI2" s="264"/>
      <c r="CAJ2" s="266"/>
      <c r="CAK2" s="84"/>
      <c r="CAL2" s="262"/>
      <c r="CAM2" s="264"/>
      <c r="CAN2" s="264"/>
      <c r="CAO2" s="266"/>
      <c r="CAP2" s="84"/>
      <c r="CAQ2" s="262"/>
      <c r="CAR2" s="264"/>
      <c r="CAS2" s="264"/>
      <c r="CAT2" s="266"/>
      <c r="CAU2" s="84"/>
      <c r="CAV2" s="262"/>
      <c r="CAW2" s="264"/>
      <c r="CAX2" s="264"/>
      <c r="CAY2" s="266"/>
      <c r="CAZ2" s="84"/>
      <c r="CBA2" s="262"/>
      <c r="CBB2" s="264"/>
      <c r="CBC2" s="264"/>
      <c r="CBD2" s="266"/>
      <c r="CBE2" s="84"/>
      <c r="CBF2" s="262"/>
      <c r="CBG2" s="264"/>
      <c r="CBH2" s="264"/>
      <c r="CBI2" s="266"/>
      <c r="CBJ2" s="84"/>
      <c r="CBK2" s="262"/>
      <c r="CBL2" s="264"/>
      <c r="CBM2" s="264"/>
      <c r="CBN2" s="266"/>
      <c r="CBO2" s="84"/>
      <c r="CBP2" s="262"/>
      <c r="CBQ2" s="264"/>
      <c r="CBR2" s="264"/>
      <c r="CBS2" s="266"/>
      <c r="CBT2" s="84"/>
      <c r="CBU2" s="262"/>
      <c r="CBV2" s="264"/>
      <c r="CBW2" s="264"/>
      <c r="CBX2" s="266"/>
      <c r="CBY2" s="84"/>
      <c r="CBZ2" s="262"/>
      <c r="CCA2" s="264"/>
      <c r="CCB2" s="264"/>
      <c r="CCC2" s="266"/>
      <c r="CCD2" s="84"/>
      <c r="CCE2" s="262"/>
      <c r="CCF2" s="264"/>
      <c r="CCG2" s="264"/>
      <c r="CCH2" s="266"/>
      <c r="CCI2" s="84"/>
      <c r="CCJ2" s="262"/>
      <c r="CCK2" s="264"/>
      <c r="CCL2" s="264"/>
      <c r="CCM2" s="266"/>
      <c r="CCN2" s="84"/>
      <c r="CCO2" s="262"/>
      <c r="CCP2" s="264"/>
      <c r="CCQ2" s="264"/>
      <c r="CCR2" s="266"/>
      <c r="CCS2" s="84"/>
      <c r="CCT2" s="262"/>
      <c r="CCU2" s="264"/>
      <c r="CCV2" s="264"/>
      <c r="CCW2" s="266"/>
      <c r="CCX2" s="84"/>
      <c r="CCY2" s="262"/>
      <c r="CCZ2" s="264"/>
      <c r="CDA2" s="264"/>
      <c r="CDB2" s="266"/>
      <c r="CDC2" s="84"/>
      <c r="CDD2" s="262"/>
      <c r="CDE2" s="264"/>
      <c r="CDF2" s="264"/>
      <c r="CDG2" s="266"/>
      <c r="CDH2" s="84"/>
      <c r="CDI2" s="262"/>
      <c r="CDJ2" s="264"/>
      <c r="CDK2" s="264"/>
      <c r="CDL2" s="266"/>
      <c r="CDM2" s="84"/>
      <c r="CDN2" s="262"/>
      <c r="CDO2" s="264"/>
      <c r="CDP2" s="264"/>
      <c r="CDQ2" s="266"/>
      <c r="CDR2" s="84"/>
      <c r="CDS2" s="262"/>
      <c r="CDT2" s="264"/>
      <c r="CDU2" s="264"/>
      <c r="CDV2" s="266"/>
      <c r="CDW2" s="84"/>
      <c r="CDX2" s="262"/>
      <c r="CDY2" s="264"/>
      <c r="CDZ2" s="264"/>
      <c r="CEA2" s="266"/>
      <c r="CEB2" s="84"/>
      <c r="CEC2" s="262"/>
      <c r="CED2" s="264"/>
      <c r="CEE2" s="264"/>
      <c r="CEF2" s="266"/>
      <c r="CEG2" s="84"/>
      <c r="CEH2" s="262"/>
      <c r="CEI2" s="264"/>
      <c r="CEJ2" s="264"/>
      <c r="CEK2" s="266"/>
      <c r="CEL2" s="84"/>
      <c r="CEM2" s="262"/>
      <c r="CEN2" s="264"/>
      <c r="CEO2" s="264"/>
      <c r="CEP2" s="266"/>
      <c r="CEQ2" s="84"/>
      <c r="CER2" s="262"/>
      <c r="CES2" s="264"/>
      <c r="CET2" s="264"/>
      <c r="CEU2" s="266"/>
      <c r="CEV2" s="84"/>
      <c r="CEW2" s="262"/>
      <c r="CEX2" s="264"/>
      <c r="CEY2" s="264"/>
      <c r="CEZ2" s="266"/>
      <c r="CFA2" s="84"/>
      <c r="CFB2" s="262"/>
      <c r="CFC2" s="264"/>
      <c r="CFD2" s="264"/>
      <c r="CFE2" s="266"/>
      <c r="CFF2" s="84"/>
      <c r="CFG2" s="262"/>
      <c r="CFH2" s="264"/>
      <c r="CFI2" s="264"/>
      <c r="CFJ2" s="266"/>
      <c r="CFK2" s="84"/>
      <c r="CFL2" s="262"/>
      <c r="CFM2" s="264"/>
      <c r="CFN2" s="264"/>
      <c r="CFO2" s="266"/>
      <c r="CFP2" s="84"/>
      <c r="CFQ2" s="262"/>
      <c r="CFR2" s="264"/>
      <c r="CFS2" s="264"/>
      <c r="CFT2" s="266"/>
      <c r="CFU2" s="84"/>
      <c r="CFV2" s="262"/>
      <c r="CFW2" s="264"/>
      <c r="CFX2" s="264"/>
      <c r="CFY2" s="266"/>
      <c r="CFZ2" s="84"/>
      <c r="CGA2" s="262"/>
      <c r="CGB2" s="264"/>
      <c r="CGC2" s="264"/>
      <c r="CGD2" s="266"/>
      <c r="CGE2" s="84"/>
      <c r="CGF2" s="262"/>
      <c r="CGG2" s="264"/>
      <c r="CGH2" s="264"/>
      <c r="CGI2" s="266"/>
      <c r="CGJ2" s="84"/>
      <c r="CGK2" s="262"/>
      <c r="CGL2" s="264"/>
      <c r="CGM2" s="264"/>
      <c r="CGN2" s="266"/>
      <c r="CGO2" s="84"/>
      <c r="CGP2" s="262"/>
      <c r="CGQ2" s="264"/>
      <c r="CGR2" s="264"/>
      <c r="CGS2" s="266"/>
      <c r="CGT2" s="84"/>
      <c r="CGU2" s="262"/>
      <c r="CGV2" s="264"/>
      <c r="CGW2" s="264"/>
      <c r="CGX2" s="266"/>
      <c r="CGY2" s="84"/>
      <c r="CGZ2" s="262"/>
      <c r="CHA2" s="264"/>
      <c r="CHB2" s="264"/>
      <c r="CHC2" s="266"/>
      <c r="CHD2" s="84"/>
      <c r="CHE2" s="262"/>
      <c r="CHF2" s="264"/>
      <c r="CHG2" s="264"/>
      <c r="CHH2" s="266"/>
      <c r="CHI2" s="84"/>
      <c r="CHJ2" s="262"/>
      <c r="CHK2" s="264"/>
      <c r="CHL2" s="264"/>
      <c r="CHM2" s="266"/>
      <c r="CHN2" s="84"/>
      <c r="CHO2" s="262"/>
      <c r="CHP2" s="264"/>
      <c r="CHQ2" s="264"/>
      <c r="CHR2" s="266"/>
      <c r="CHS2" s="84"/>
      <c r="CHT2" s="262"/>
      <c r="CHU2" s="264"/>
      <c r="CHV2" s="264"/>
      <c r="CHW2" s="266"/>
      <c r="CHX2" s="84"/>
      <c r="CHY2" s="262"/>
      <c r="CHZ2" s="264"/>
      <c r="CIA2" s="264"/>
      <c r="CIB2" s="266"/>
      <c r="CIC2" s="84"/>
      <c r="CID2" s="262"/>
      <c r="CIE2" s="264"/>
      <c r="CIF2" s="264"/>
      <c r="CIG2" s="266"/>
      <c r="CIH2" s="84"/>
      <c r="CII2" s="262"/>
      <c r="CIJ2" s="264"/>
      <c r="CIK2" s="264"/>
      <c r="CIL2" s="266"/>
      <c r="CIM2" s="84"/>
      <c r="CIN2" s="262"/>
      <c r="CIO2" s="264"/>
      <c r="CIP2" s="264"/>
      <c r="CIQ2" s="266"/>
      <c r="CIR2" s="84"/>
      <c r="CIS2" s="262"/>
      <c r="CIT2" s="264"/>
      <c r="CIU2" s="264"/>
      <c r="CIV2" s="266"/>
      <c r="CIW2" s="84"/>
      <c r="CIX2" s="262"/>
      <c r="CIY2" s="264"/>
      <c r="CIZ2" s="264"/>
      <c r="CJA2" s="266"/>
      <c r="CJB2" s="84"/>
      <c r="CJC2" s="262"/>
      <c r="CJD2" s="264"/>
      <c r="CJE2" s="264"/>
      <c r="CJF2" s="266"/>
      <c r="CJG2" s="84"/>
      <c r="CJH2" s="262"/>
      <c r="CJI2" s="264"/>
      <c r="CJJ2" s="264"/>
      <c r="CJK2" s="266"/>
      <c r="CJL2" s="84"/>
      <c r="CJM2" s="262"/>
      <c r="CJN2" s="264"/>
      <c r="CJO2" s="264"/>
      <c r="CJP2" s="266"/>
      <c r="CJQ2" s="84"/>
      <c r="CJR2" s="262"/>
      <c r="CJS2" s="264"/>
      <c r="CJT2" s="264"/>
      <c r="CJU2" s="266"/>
      <c r="CJV2" s="84"/>
      <c r="CJW2" s="262"/>
      <c r="CJX2" s="264"/>
      <c r="CJY2" s="264"/>
      <c r="CJZ2" s="266"/>
      <c r="CKA2" s="84"/>
      <c r="CKB2" s="262"/>
      <c r="CKC2" s="264"/>
      <c r="CKD2" s="264"/>
      <c r="CKE2" s="266"/>
      <c r="CKF2" s="84"/>
      <c r="CKG2" s="262"/>
      <c r="CKH2" s="264"/>
      <c r="CKI2" s="264"/>
      <c r="CKJ2" s="266"/>
      <c r="CKK2" s="84"/>
      <c r="CKL2" s="262"/>
      <c r="CKM2" s="264"/>
      <c r="CKN2" s="264"/>
      <c r="CKO2" s="266"/>
      <c r="CKP2" s="84"/>
      <c r="CKQ2" s="262"/>
      <c r="CKR2" s="264"/>
      <c r="CKS2" s="264"/>
      <c r="CKT2" s="266"/>
      <c r="CKU2" s="84"/>
      <c r="CKV2" s="262"/>
      <c r="CKW2" s="264"/>
      <c r="CKX2" s="264"/>
      <c r="CKY2" s="266"/>
      <c r="CKZ2" s="84"/>
      <c r="CLA2" s="262"/>
      <c r="CLB2" s="264"/>
      <c r="CLC2" s="264"/>
      <c r="CLD2" s="266"/>
      <c r="CLE2" s="84"/>
      <c r="CLF2" s="262"/>
      <c r="CLG2" s="264"/>
      <c r="CLH2" s="264"/>
      <c r="CLI2" s="266"/>
      <c r="CLJ2" s="84"/>
      <c r="CLK2" s="262"/>
      <c r="CLL2" s="264"/>
      <c r="CLM2" s="264"/>
      <c r="CLN2" s="266"/>
      <c r="CLO2" s="84"/>
      <c r="CLP2" s="262"/>
      <c r="CLQ2" s="264"/>
      <c r="CLR2" s="264"/>
      <c r="CLS2" s="266"/>
      <c r="CLT2" s="84"/>
      <c r="CLU2" s="262"/>
      <c r="CLV2" s="264"/>
      <c r="CLW2" s="264"/>
      <c r="CLX2" s="266"/>
      <c r="CLY2" s="84"/>
      <c r="CLZ2" s="262"/>
      <c r="CMA2" s="264"/>
      <c r="CMB2" s="264"/>
      <c r="CMC2" s="266"/>
      <c r="CMD2" s="84"/>
      <c r="CME2" s="262"/>
      <c r="CMF2" s="264"/>
      <c r="CMG2" s="264"/>
      <c r="CMH2" s="266"/>
      <c r="CMI2" s="84"/>
      <c r="CMJ2" s="262"/>
      <c r="CMK2" s="264"/>
      <c r="CML2" s="264"/>
      <c r="CMM2" s="266"/>
      <c r="CMN2" s="84"/>
      <c r="CMO2" s="262"/>
      <c r="CMP2" s="264"/>
      <c r="CMQ2" s="264"/>
      <c r="CMR2" s="266"/>
      <c r="CMS2" s="84"/>
      <c r="CMT2" s="262"/>
      <c r="CMU2" s="264"/>
      <c r="CMV2" s="264"/>
      <c r="CMW2" s="266"/>
      <c r="CMX2" s="84"/>
      <c r="CMY2" s="262"/>
      <c r="CMZ2" s="264"/>
      <c r="CNA2" s="264"/>
      <c r="CNB2" s="266"/>
      <c r="CNC2" s="84"/>
      <c r="CND2" s="262"/>
      <c r="CNE2" s="264"/>
      <c r="CNF2" s="264"/>
      <c r="CNG2" s="266"/>
      <c r="CNH2" s="84"/>
      <c r="CNI2" s="262"/>
      <c r="CNJ2" s="264"/>
      <c r="CNK2" s="264"/>
      <c r="CNL2" s="266"/>
      <c r="CNM2" s="84"/>
      <c r="CNN2" s="262"/>
      <c r="CNO2" s="264"/>
      <c r="CNP2" s="264"/>
      <c r="CNQ2" s="266"/>
      <c r="CNR2" s="84"/>
      <c r="CNS2" s="262"/>
      <c r="CNT2" s="264"/>
      <c r="CNU2" s="264"/>
      <c r="CNV2" s="266"/>
      <c r="CNW2" s="84"/>
      <c r="CNX2" s="262"/>
      <c r="CNY2" s="264"/>
      <c r="CNZ2" s="264"/>
      <c r="COA2" s="266"/>
      <c r="COB2" s="84"/>
      <c r="COC2" s="262"/>
      <c r="COD2" s="264"/>
      <c r="COE2" s="264"/>
      <c r="COF2" s="266"/>
      <c r="COG2" s="84"/>
      <c r="COH2" s="262"/>
      <c r="COI2" s="264"/>
      <c r="COJ2" s="264"/>
      <c r="COK2" s="266"/>
      <c r="COL2" s="84"/>
      <c r="COM2" s="262"/>
      <c r="CON2" s="264"/>
      <c r="COO2" s="264"/>
      <c r="COP2" s="266"/>
      <c r="COQ2" s="84"/>
      <c r="COR2" s="262"/>
      <c r="COS2" s="264"/>
      <c r="COT2" s="264"/>
      <c r="COU2" s="266"/>
      <c r="COV2" s="84"/>
      <c r="COW2" s="262"/>
      <c r="COX2" s="264"/>
      <c r="COY2" s="264"/>
      <c r="COZ2" s="266"/>
      <c r="CPA2" s="84"/>
      <c r="CPB2" s="262"/>
      <c r="CPC2" s="264"/>
      <c r="CPD2" s="264"/>
      <c r="CPE2" s="266"/>
      <c r="CPF2" s="84"/>
      <c r="CPG2" s="262"/>
      <c r="CPH2" s="264"/>
      <c r="CPI2" s="264"/>
      <c r="CPJ2" s="266"/>
      <c r="CPK2" s="84"/>
      <c r="CPL2" s="262"/>
      <c r="CPM2" s="264"/>
      <c r="CPN2" s="264"/>
      <c r="CPO2" s="266"/>
      <c r="CPP2" s="84"/>
      <c r="CPQ2" s="262"/>
      <c r="CPR2" s="264"/>
      <c r="CPS2" s="264"/>
      <c r="CPT2" s="266"/>
      <c r="CPU2" s="84"/>
      <c r="CPV2" s="262"/>
      <c r="CPW2" s="264"/>
      <c r="CPX2" s="264"/>
      <c r="CPY2" s="266"/>
      <c r="CPZ2" s="84"/>
      <c r="CQA2" s="262"/>
      <c r="CQB2" s="264"/>
      <c r="CQC2" s="264"/>
      <c r="CQD2" s="266"/>
      <c r="CQE2" s="84"/>
      <c r="CQF2" s="262"/>
      <c r="CQG2" s="264"/>
      <c r="CQH2" s="264"/>
      <c r="CQI2" s="266"/>
      <c r="CQJ2" s="84"/>
      <c r="CQK2" s="262"/>
      <c r="CQL2" s="264"/>
      <c r="CQM2" s="264"/>
      <c r="CQN2" s="266"/>
      <c r="CQO2" s="84"/>
      <c r="CQP2" s="262"/>
      <c r="CQQ2" s="264"/>
      <c r="CQR2" s="264"/>
      <c r="CQS2" s="266"/>
      <c r="CQT2" s="84"/>
      <c r="CQU2" s="262"/>
      <c r="CQV2" s="264"/>
      <c r="CQW2" s="264"/>
      <c r="CQX2" s="266"/>
      <c r="CQY2" s="84"/>
      <c r="CQZ2" s="262"/>
      <c r="CRA2" s="264"/>
      <c r="CRB2" s="264"/>
      <c r="CRC2" s="266"/>
      <c r="CRD2" s="84"/>
      <c r="CRE2" s="285"/>
      <c r="CRF2" s="287"/>
      <c r="CRG2" s="287"/>
      <c r="CRH2" s="289"/>
      <c r="CRI2" s="291"/>
      <c r="CRJ2" s="285"/>
      <c r="CRK2" s="287"/>
      <c r="CRL2" s="287"/>
      <c r="CRM2" s="289"/>
      <c r="CRN2" s="291"/>
      <c r="CRO2" s="285"/>
      <c r="CRP2" s="287"/>
      <c r="CRQ2" s="287"/>
      <c r="CRR2" s="289"/>
      <c r="CRS2" s="291"/>
      <c r="CRT2" s="285"/>
      <c r="CRU2" s="287"/>
      <c r="CRV2" s="287"/>
      <c r="CRW2" s="289"/>
      <c r="CRX2" s="291"/>
      <c r="CRY2" s="285"/>
      <c r="CRZ2" s="287"/>
      <c r="CSA2" s="287"/>
      <c r="CSB2" s="334"/>
      <c r="CSC2" s="285"/>
      <c r="CSD2" s="287"/>
      <c r="CSE2" s="287"/>
      <c r="CSF2" s="334"/>
      <c r="CSG2" s="285"/>
      <c r="CSH2" s="287"/>
      <c r="CSI2" s="287"/>
      <c r="CSJ2" s="334"/>
      <c r="CSK2" s="285"/>
      <c r="CSL2" s="287"/>
      <c r="CSM2" s="287"/>
      <c r="CSN2" s="334"/>
      <c r="CSO2" s="285"/>
      <c r="CSP2" s="287"/>
      <c r="CSQ2" s="287"/>
      <c r="CSR2" s="334"/>
      <c r="CSS2" s="285"/>
      <c r="CST2" s="287"/>
      <c r="CSU2" s="287"/>
      <c r="CSV2" s="334"/>
      <c r="CSW2" s="285"/>
      <c r="CSX2" s="287"/>
      <c r="CSY2" s="287"/>
      <c r="CSZ2" s="334"/>
      <c r="CTA2" s="285"/>
      <c r="CTB2" s="287"/>
      <c r="CTC2" s="287"/>
      <c r="CTD2" s="334"/>
      <c r="CTE2" s="285"/>
      <c r="CTF2" s="287"/>
      <c r="CTG2" s="287"/>
      <c r="CTH2" s="334"/>
      <c r="CTI2" s="285"/>
      <c r="CTJ2" s="287"/>
      <c r="CTK2" s="287"/>
      <c r="CTL2" s="334"/>
      <c r="CTM2" s="285"/>
      <c r="CTN2" s="287"/>
      <c r="CTO2" s="287"/>
      <c r="CTP2" s="334"/>
      <c r="CTQ2" s="285"/>
      <c r="CTR2" s="287"/>
      <c r="CTS2" s="287"/>
      <c r="CTT2" s="334"/>
      <c r="CTU2" s="285"/>
      <c r="CTV2" s="287"/>
      <c r="CTW2" s="287"/>
      <c r="CTX2" s="334"/>
      <c r="CTY2" s="285"/>
      <c r="CTZ2" s="287"/>
      <c r="CUA2" s="287"/>
      <c r="CUB2" s="334"/>
      <c r="CUC2" s="285"/>
      <c r="CUD2" s="287"/>
      <c r="CUE2" s="287"/>
      <c r="CUF2" s="334"/>
      <c r="CUG2" s="285"/>
      <c r="CUH2" s="287"/>
      <c r="CUI2" s="287"/>
      <c r="CUJ2" s="334"/>
      <c r="CUK2" s="285"/>
      <c r="CUL2" s="287"/>
      <c r="CUM2" s="287"/>
      <c r="CUN2" s="334"/>
      <c r="CUO2" s="285"/>
      <c r="CUP2" s="287"/>
      <c r="CUQ2" s="287"/>
      <c r="CUR2" s="334"/>
      <c r="CUS2" s="285"/>
      <c r="CUT2" s="287"/>
      <c r="CUU2" s="287"/>
      <c r="CUV2" s="334"/>
      <c r="CUW2" s="285"/>
      <c r="CUX2" s="287"/>
      <c r="CUY2" s="287"/>
      <c r="CUZ2" s="334"/>
      <c r="CVA2" s="285"/>
      <c r="CVB2" s="287"/>
      <c r="CVC2" s="287"/>
      <c r="CVD2" s="334"/>
      <c r="CVE2" s="285"/>
      <c r="CVF2" s="287"/>
      <c r="CVG2" s="287"/>
      <c r="CVH2" s="334"/>
      <c r="CVI2" s="285"/>
      <c r="CVJ2" s="287"/>
      <c r="CVK2" s="287"/>
      <c r="CVL2" s="334"/>
      <c r="CVM2" s="285"/>
      <c r="CVN2" s="287"/>
      <c r="CVO2" s="287"/>
      <c r="CVP2" s="334"/>
      <c r="CVQ2" s="285"/>
      <c r="CVR2" s="287"/>
      <c r="CVS2" s="287"/>
      <c r="CVT2" s="334"/>
      <c r="CVU2" s="285"/>
      <c r="CVV2" s="287"/>
      <c r="CVW2" s="287"/>
      <c r="CVX2" s="334"/>
      <c r="CVY2" s="285"/>
      <c r="CVZ2" s="287"/>
      <c r="CWA2" s="287"/>
      <c r="CWB2" s="334"/>
      <c r="CWC2" s="285"/>
      <c r="CWD2" s="287"/>
      <c r="CWE2" s="287"/>
      <c r="CWF2" s="334"/>
      <c r="CWG2" s="285"/>
      <c r="CWH2" s="287"/>
      <c r="CWI2" s="287"/>
      <c r="CWJ2" s="334"/>
      <c r="CWK2" s="285"/>
      <c r="CWL2" s="287"/>
      <c r="CWM2" s="287"/>
      <c r="CWN2" s="334"/>
      <c r="CWO2" s="285"/>
      <c r="CWP2" s="287"/>
      <c r="CWQ2" s="287"/>
      <c r="CWR2" s="334"/>
      <c r="CWS2" s="285"/>
      <c r="CWT2" s="287"/>
      <c r="CWU2" s="287"/>
      <c r="CWV2" s="334"/>
      <c r="CWW2" s="285"/>
      <c r="CWX2" s="287"/>
      <c r="CWY2" s="287"/>
      <c r="CWZ2" s="334"/>
      <c r="CXA2" s="356"/>
      <c r="CXB2" s="358"/>
      <c r="CXC2" s="358"/>
      <c r="CXD2" s="360"/>
      <c r="CXE2" s="356"/>
      <c r="CXF2" s="358"/>
      <c r="CXG2" s="358"/>
      <c r="CXH2" s="360"/>
      <c r="CXI2" s="356"/>
      <c r="CXJ2" s="358"/>
      <c r="CXK2" s="358"/>
      <c r="CXL2" s="360"/>
      <c r="CXM2" s="356"/>
      <c r="CXN2" s="358"/>
      <c r="CXO2" s="358"/>
      <c r="CXP2" s="360"/>
      <c r="CXQ2" s="356"/>
      <c r="CXR2" s="358"/>
      <c r="CXS2" s="358"/>
      <c r="CXT2" s="360"/>
    </row>
    <row r="3" spans="1:2828" ht="16.2" thickBot="1" x14ac:dyDescent="0.3">
      <c r="A3" s="58" t="s">
        <v>0</v>
      </c>
      <c r="B3" s="59"/>
      <c r="C3" s="60"/>
      <c r="D3" s="213" t="s">
        <v>31</v>
      </c>
      <c r="E3" s="214"/>
      <c r="F3" s="58" t="s">
        <v>0</v>
      </c>
      <c r="G3" s="59"/>
      <c r="H3" s="60"/>
      <c r="I3" s="213" t="s">
        <v>31</v>
      </c>
      <c r="J3" s="214"/>
      <c r="K3" s="58" t="s">
        <v>0</v>
      </c>
      <c r="L3" s="59"/>
      <c r="M3" s="60"/>
      <c r="N3" s="213" t="s">
        <v>31</v>
      </c>
      <c r="O3" s="214"/>
      <c r="P3" s="58" t="s">
        <v>0</v>
      </c>
      <c r="Q3" s="59"/>
      <c r="R3" s="60"/>
      <c r="S3" s="213" t="s">
        <v>31</v>
      </c>
      <c r="T3" s="214"/>
      <c r="U3" s="58" t="s">
        <v>0</v>
      </c>
      <c r="V3" s="59"/>
      <c r="W3" s="60"/>
      <c r="X3" s="213" t="s">
        <v>31</v>
      </c>
      <c r="Y3" s="214"/>
      <c r="Z3" s="58" t="s">
        <v>0</v>
      </c>
      <c r="AA3" s="59"/>
      <c r="AB3" s="60"/>
      <c r="AC3" s="213" t="s">
        <v>31</v>
      </c>
      <c r="AD3" s="214"/>
      <c r="AE3" s="58" t="s">
        <v>0</v>
      </c>
      <c r="AF3" s="59"/>
      <c r="AG3" s="60"/>
      <c r="AH3" s="213" t="s">
        <v>52</v>
      </c>
      <c r="AI3" s="214"/>
      <c r="AJ3" s="58" t="s">
        <v>0</v>
      </c>
      <c r="AK3" s="59"/>
      <c r="AL3" s="60"/>
      <c r="AM3" s="213" t="s">
        <v>52</v>
      </c>
      <c r="AN3" s="214"/>
      <c r="AO3" s="58" t="s">
        <v>0</v>
      </c>
      <c r="AP3" s="59"/>
      <c r="AQ3" s="60"/>
      <c r="AR3" s="213" t="s">
        <v>31</v>
      </c>
      <c r="AS3" s="214"/>
      <c r="AT3" s="58" t="s">
        <v>0</v>
      </c>
      <c r="AU3" s="59"/>
      <c r="AV3" s="60"/>
      <c r="AW3" s="213" t="s">
        <v>31</v>
      </c>
      <c r="AX3" s="214"/>
      <c r="AY3" s="58" t="s">
        <v>0</v>
      </c>
      <c r="AZ3" s="59"/>
      <c r="BA3" s="60"/>
      <c r="BB3" s="213" t="s">
        <v>31</v>
      </c>
      <c r="BC3" s="214"/>
      <c r="BD3" s="58" t="s">
        <v>0</v>
      </c>
      <c r="BE3" s="59"/>
      <c r="BF3" s="60"/>
      <c r="BG3" s="213" t="s">
        <v>31</v>
      </c>
      <c r="BH3" s="214"/>
      <c r="BI3" s="58" t="s">
        <v>0</v>
      </c>
      <c r="BJ3" s="59"/>
      <c r="BK3" s="60"/>
      <c r="BL3" s="213" t="s">
        <v>31</v>
      </c>
      <c r="BM3" s="214"/>
      <c r="BN3" s="58" t="s">
        <v>0</v>
      </c>
      <c r="BO3" s="59"/>
      <c r="BP3" s="60"/>
      <c r="BQ3" s="213" t="s">
        <v>52</v>
      </c>
      <c r="BR3" s="214"/>
      <c r="BS3" s="58" t="s">
        <v>0</v>
      </c>
      <c r="BT3" s="59"/>
      <c r="BU3" s="60"/>
      <c r="BV3" s="213" t="s">
        <v>31</v>
      </c>
      <c r="BW3" s="214"/>
      <c r="BX3" s="58" t="s">
        <v>0</v>
      </c>
      <c r="BY3" s="59"/>
      <c r="BZ3" s="60"/>
      <c r="CA3" s="213" t="s">
        <v>31</v>
      </c>
      <c r="CB3" s="214"/>
      <c r="CC3" s="58" t="s">
        <v>0</v>
      </c>
      <c r="CD3" s="59"/>
      <c r="CE3" s="60"/>
      <c r="CF3" s="213" t="s">
        <v>31</v>
      </c>
      <c r="CG3" s="214"/>
      <c r="CH3" s="58" t="s">
        <v>0</v>
      </c>
      <c r="CI3" s="59"/>
      <c r="CJ3" s="60"/>
      <c r="CK3" s="213" t="s">
        <v>31</v>
      </c>
      <c r="CL3" s="214"/>
      <c r="CM3" s="58" t="s">
        <v>0</v>
      </c>
      <c r="CN3" s="59"/>
      <c r="CO3" s="60"/>
      <c r="CP3" s="213" t="s">
        <v>31</v>
      </c>
      <c r="CQ3" s="214"/>
      <c r="CR3" s="58" t="s">
        <v>0</v>
      </c>
      <c r="CS3" s="59"/>
      <c r="CT3" s="60"/>
      <c r="CU3" s="213" t="s">
        <v>31</v>
      </c>
      <c r="CV3" s="214"/>
      <c r="CW3" s="58" t="s">
        <v>0</v>
      </c>
      <c r="CX3" s="59"/>
      <c r="CY3" s="60"/>
      <c r="CZ3" s="213" t="s">
        <v>31</v>
      </c>
      <c r="DA3" s="214"/>
      <c r="DB3" s="58" t="s">
        <v>0</v>
      </c>
      <c r="DC3" s="59"/>
      <c r="DD3" s="60"/>
      <c r="DE3" s="213" t="s">
        <v>31</v>
      </c>
      <c r="DF3" s="214"/>
      <c r="DG3" s="58" t="s">
        <v>0</v>
      </c>
      <c r="DH3" s="59"/>
      <c r="DI3" s="60"/>
      <c r="DJ3" s="213" t="s">
        <v>31</v>
      </c>
      <c r="DK3" s="214"/>
      <c r="DL3" s="58" t="s">
        <v>0</v>
      </c>
      <c r="DM3" s="59"/>
      <c r="DN3" s="60"/>
      <c r="DO3" s="213" t="s">
        <v>31</v>
      </c>
      <c r="DP3" s="214"/>
      <c r="DQ3" s="58" t="s">
        <v>0</v>
      </c>
      <c r="DR3" s="59"/>
      <c r="DS3" s="60"/>
      <c r="DT3" s="213" t="s">
        <v>31</v>
      </c>
      <c r="DU3" s="214"/>
      <c r="DV3" s="58" t="s">
        <v>0</v>
      </c>
      <c r="DW3" s="59"/>
      <c r="DX3" s="60"/>
      <c r="DY3" s="213" t="s">
        <v>31</v>
      </c>
      <c r="DZ3" s="214"/>
      <c r="EA3" s="58" t="s">
        <v>0</v>
      </c>
      <c r="EB3" s="59"/>
      <c r="EC3" s="60"/>
      <c r="ED3" s="213" t="s">
        <v>31</v>
      </c>
      <c r="EE3" s="214"/>
      <c r="EF3" s="58" t="s">
        <v>0</v>
      </c>
      <c r="EG3" s="59"/>
      <c r="EH3" s="60"/>
      <c r="EI3" s="213" t="s">
        <v>31</v>
      </c>
      <c r="EJ3" s="214"/>
      <c r="EK3" s="58" t="s">
        <v>0</v>
      </c>
      <c r="EL3" s="59"/>
      <c r="EM3" s="60"/>
      <c r="EN3" s="213" t="s">
        <v>31</v>
      </c>
      <c r="EO3" s="214"/>
      <c r="EP3" s="58" t="s">
        <v>0</v>
      </c>
      <c r="EQ3" s="59"/>
      <c r="ER3" s="60"/>
      <c r="ES3" s="213" t="s">
        <v>31</v>
      </c>
      <c r="ET3" s="214"/>
      <c r="EU3" s="58" t="s">
        <v>0</v>
      </c>
      <c r="EV3" s="59"/>
      <c r="EW3" s="60"/>
      <c r="EX3" s="213" t="s">
        <v>31</v>
      </c>
      <c r="EY3" s="214"/>
      <c r="EZ3" s="58" t="s">
        <v>0</v>
      </c>
      <c r="FA3" s="59"/>
      <c r="FB3" s="60"/>
      <c r="FC3" s="213" t="s">
        <v>31</v>
      </c>
      <c r="FD3" s="214"/>
      <c r="FE3" s="58" t="s">
        <v>0</v>
      </c>
      <c r="FF3" s="59"/>
      <c r="FG3" s="60"/>
      <c r="FH3" s="213" t="s">
        <v>31</v>
      </c>
      <c r="FI3" s="214"/>
      <c r="FJ3" s="58" t="s">
        <v>0</v>
      </c>
      <c r="FK3" s="59"/>
      <c r="FL3" s="60"/>
      <c r="FM3" s="213" t="s">
        <v>31</v>
      </c>
      <c r="FN3" s="214"/>
      <c r="FO3" s="58" t="s">
        <v>0</v>
      </c>
      <c r="FP3" s="59"/>
      <c r="FQ3" s="60"/>
      <c r="FR3" s="213" t="s">
        <v>31</v>
      </c>
      <c r="FS3" s="214"/>
      <c r="FT3" s="58" t="s">
        <v>0</v>
      </c>
      <c r="FU3" s="59"/>
      <c r="FV3" s="60"/>
      <c r="FW3" s="213" t="s">
        <v>52</v>
      </c>
      <c r="FX3" s="214"/>
      <c r="FY3" s="58" t="s">
        <v>0</v>
      </c>
      <c r="FZ3" s="59"/>
      <c r="GA3" s="60"/>
      <c r="GB3" s="213" t="s">
        <v>31</v>
      </c>
      <c r="GC3" s="214"/>
      <c r="GD3" s="58" t="s">
        <v>0</v>
      </c>
      <c r="GE3" s="59"/>
      <c r="GF3" s="60"/>
      <c r="GG3" s="213" t="s">
        <v>31</v>
      </c>
      <c r="GH3" s="214"/>
      <c r="GI3" s="58" t="s">
        <v>0</v>
      </c>
      <c r="GJ3" s="59"/>
      <c r="GK3" s="60"/>
      <c r="GL3" s="213" t="s">
        <v>31</v>
      </c>
      <c r="GM3" s="214"/>
      <c r="GN3" s="58" t="s">
        <v>0</v>
      </c>
      <c r="GO3" s="59"/>
      <c r="GP3" s="60"/>
      <c r="GQ3" s="213" t="s">
        <v>31</v>
      </c>
      <c r="GR3" s="214"/>
      <c r="GS3" s="58" t="s">
        <v>0</v>
      </c>
      <c r="GT3" s="59"/>
      <c r="GU3" s="60"/>
      <c r="GV3" s="213" t="s">
        <v>52</v>
      </c>
      <c r="GW3" s="214"/>
      <c r="GX3" s="58" t="s">
        <v>0</v>
      </c>
      <c r="GY3" s="59"/>
      <c r="GZ3" s="60"/>
      <c r="HA3" s="213" t="s">
        <v>31</v>
      </c>
      <c r="HB3" s="214"/>
      <c r="HC3" s="58" t="s">
        <v>0</v>
      </c>
      <c r="HD3" s="59"/>
      <c r="HE3" s="60"/>
      <c r="HF3" s="213" t="s">
        <v>31</v>
      </c>
      <c r="HG3" s="214"/>
      <c r="HH3" s="58" t="s">
        <v>0</v>
      </c>
      <c r="HI3" s="59"/>
      <c r="HJ3" s="60"/>
      <c r="HK3" s="213" t="s">
        <v>31</v>
      </c>
      <c r="HL3" s="214"/>
      <c r="HM3" s="58" t="s">
        <v>0</v>
      </c>
      <c r="HN3" s="59"/>
      <c r="HO3" s="60"/>
      <c r="HP3" s="213" t="s">
        <v>52</v>
      </c>
      <c r="HQ3" s="214"/>
      <c r="HR3" s="58" t="s">
        <v>0</v>
      </c>
      <c r="HS3" s="59"/>
      <c r="HT3" s="60"/>
      <c r="HU3" s="213" t="s">
        <v>31</v>
      </c>
      <c r="HV3" s="214"/>
      <c r="HW3" s="58" t="s">
        <v>0</v>
      </c>
      <c r="HX3" s="59"/>
      <c r="HY3" s="60"/>
      <c r="HZ3" s="213" t="s">
        <v>31</v>
      </c>
      <c r="IA3" s="214"/>
      <c r="IB3" s="58" t="s">
        <v>0</v>
      </c>
      <c r="IC3" s="59"/>
      <c r="ID3" s="60"/>
      <c r="IE3" s="213" t="s">
        <v>31</v>
      </c>
      <c r="IF3" s="214"/>
      <c r="IG3" s="58" t="s">
        <v>0</v>
      </c>
      <c r="IH3" s="59"/>
      <c r="II3" s="60"/>
      <c r="IJ3" s="213" t="s">
        <v>31</v>
      </c>
      <c r="IK3" s="214"/>
      <c r="IL3" s="58" t="s">
        <v>0</v>
      </c>
      <c r="IM3" s="59"/>
      <c r="IN3" s="60"/>
      <c r="IO3" s="213" t="s">
        <v>31</v>
      </c>
      <c r="IP3" s="214"/>
      <c r="IQ3" s="58" t="s">
        <v>0</v>
      </c>
      <c r="IR3" s="59"/>
      <c r="IS3" s="60"/>
      <c r="IT3" s="213" t="s">
        <v>31</v>
      </c>
      <c r="IU3" s="214"/>
      <c r="IV3" s="58" t="s">
        <v>0</v>
      </c>
      <c r="IW3" s="59"/>
      <c r="IX3" s="60"/>
      <c r="IY3" s="213" t="s">
        <v>31</v>
      </c>
      <c r="IZ3" s="214"/>
      <c r="JA3" s="58" t="s">
        <v>0</v>
      </c>
      <c r="JB3" s="59"/>
      <c r="JC3" s="60"/>
      <c r="JD3" s="213" t="s">
        <v>31</v>
      </c>
      <c r="JE3" s="214"/>
      <c r="JF3" s="58" t="s">
        <v>0</v>
      </c>
      <c r="JG3" s="59"/>
      <c r="JH3" s="60"/>
      <c r="JI3" s="213" t="s">
        <v>31</v>
      </c>
      <c r="JJ3" s="214"/>
      <c r="JK3" s="58" t="s">
        <v>0</v>
      </c>
      <c r="JL3" s="59"/>
      <c r="JM3" s="60"/>
      <c r="JN3" s="213" t="s">
        <v>31</v>
      </c>
      <c r="JO3" s="214"/>
      <c r="JP3" s="58" t="s">
        <v>0</v>
      </c>
      <c r="JQ3" s="59"/>
      <c r="JR3" s="60"/>
      <c r="JS3" s="213" t="s">
        <v>52</v>
      </c>
      <c r="JT3" s="214"/>
      <c r="JU3" s="58" t="s">
        <v>0</v>
      </c>
      <c r="JV3" s="59"/>
      <c r="JW3" s="60"/>
      <c r="JX3" s="213" t="s">
        <v>31</v>
      </c>
      <c r="JY3" s="214"/>
      <c r="JZ3" s="58" t="s">
        <v>0</v>
      </c>
      <c r="KA3" s="59"/>
      <c r="KB3" s="60"/>
      <c r="KC3" s="213" t="s">
        <v>31</v>
      </c>
      <c r="KD3" s="214"/>
      <c r="KE3" s="58" t="s">
        <v>0</v>
      </c>
      <c r="KF3" s="59"/>
      <c r="KG3" s="60"/>
      <c r="KH3" s="213" t="s">
        <v>31</v>
      </c>
      <c r="KI3" s="214"/>
      <c r="KJ3" s="58" t="s">
        <v>0</v>
      </c>
      <c r="KK3" s="59"/>
      <c r="KL3" s="60"/>
      <c r="KM3" s="213" t="s">
        <v>31</v>
      </c>
      <c r="KN3" s="214"/>
      <c r="KO3" s="58" t="s">
        <v>0</v>
      </c>
      <c r="KP3" s="59"/>
      <c r="KQ3" s="60"/>
      <c r="KR3" s="213" t="s">
        <v>31</v>
      </c>
      <c r="KS3" s="214"/>
      <c r="KT3" s="58" t="s">
        <v>0</v>
      </c>
      <c r="KU3" s="59"/>
      <c r="KV3" s="60"/>
      <c r="KW3" s="213" t="s">
        <v>31</v>
      </c>
      <c r="KX3" s="214"/>
      <c r="KY3" s="58" t="s">
        <v>0</v>
      </c>
      <c r="KZ3" s="59"/>
      <c r="LA3" s="60"/>
      <c r="LB3" s="213" t="s">
        <v>31</v>
      </c>
      <c r="LC3" s="214"/>
      <c r="LD3" s="58" t="s">
        <v>0</v>
      </c>
      <c r="LE3" s="59"/>
      <c r="LF3" s="60"/>
      <c r="LG3" s="213" t="s">
        <v>52</v>
      </c>
      <c r="LH3" s="214"/>
      <c r="LI3" s="58" t="s">
        <v>0</v>
      </c>
      <c r="LJ3" s="59"/>
      <c r="LK3" s="60"/>
      <c r="LL3" s="213" t="s">
        <v>31</v>
      </c>
      <c r="LM3" s="214"/>
      <c r="LN3" s="58" t="s">
        <v>0</v>
      </c>
      <c r="LO3" s="59"/>
      <c r="LP3" s="60"/>
      <c r="LQ3" s="213" t="s">
        <v>31</v>
      </c>
      <c r="LR3" s="214"/>
      <c r="LS3" s="58" t="s">
        <v>0</v>
      </c>
      <c r="LT3" s="59"/>
      <c r="LU3" s="60"/>
      <c r="LV3" s="213" t="s">
        <v>31</v>
      </c>
      <c r="LW3" s="214"/>
      <c r="LX3" s="58" t="s">
        <v>0</v>
      </c>
      <c r="LY3" s="59"/>
      <c r="LZ3" s="60"/>
      <c r="MA3" s="213" t="s">
        <v>31</v>
      </c>
      <c r="MB3" s="214"/>
      <c r="MC3" s="58" t="s">
        <v>0</v>
      </c>
      <c r="MD3" s="59"/>
      <c r="ME3" s="60"/>
      <c r="MF3" s="213" t="s">
        <v>31</v>
      </c>
      <c r="MG3" s="214"/>
      <c r="MH3" s="58" t="s">
        <v>0</v>
      </c>
      <c r="MI3" s="59"/>
      <c r="MJ3" s="60"/>
      <c r="MK3" s="213" t="s">
        <v>52</v>
      </c>
      <c r="ML3" s="214"/>
      <c r="MM3" s="58" t="s">
        <v>0</v>
      </c>
      <c r="MN3" s="59"/>
      <c r="MO3" s="60"/>
      <c r="MP3" s="213" t="s">
        <v>52</v>
      </c>
      <c r="MQ3" s="214"/>
      <c r="MR3" s="58" t="s">
        <v>0</v>
      </c>
      <c r="MS3" s="59"/>
      <c r="MT3" s="60"/>
      <c r="MU3" s="213" t="s">
        <v>52</v>
      </c>
      <c r="MV3" s="214"/>
      <c r="MW3" s="58" t="s">
        <v>0</v>
      </c>
      <c r="MX3" s="59"/>
      <c r="MY3" s="60"/>
      <c r="MZ3" s="213" t="s">
        <v>52</v>
      </c>
      <c r="NA3" s="214"/>
      <c r="NB3" s="58" t="s">
        <v>0</v>
      </c>
      <c r="NC3" s="59"/>
      <c r="ND3" s="60"/>
      <c r="NE3" s="213" t="s">
        <v>31</v>
      </c>
      <c r="NF3" s="214"/>
      <c r="NG3" s="58" t="s">
        <v>0</v>
      </c>
      <c r="NH3" s="59"/>
      <c r="NI3" s="60"/>
      <c r="NJ3" s="213" t="s">
        <v>31</v>
      </c>
      <c r="NK3" s="214"/>
      <c r="NL3" s="58" t="s">
        <v>0</v>
      </c>
      <c r="NM3" s="59"/>
      <c r="NN3" s="60"/>
      <c r="NO3" s="213" t="s">
        <v>31</v>
      </c>
      <c r="NP3" s="214"/>
      <c r="NQ3" s="58" t="s">
        <v>0</v>
      </c>
      <c r="NR3" s="59"/>
      <c r="NS3" s="60"/>
      <c r="NT3" s="213" t="s">
        <v>31</v>
      </c>
      <c r="NU3" s="214"/>
      <c r="NV3" s="58" t="s">
        <v>0</v>
      </c>
      <c r="NW3" s="59"/>
      <c r="NX3" s="60"/>
      <c r="NY3" s="213" t="s">
        <v>31</v>
      </c>
      <c r="NZ3" s="214"/>
      <c r="OA3" s="58" t="s">
        <v>0</v>
      </c>
      <c r="OB3" s="59"/>
      <c r="OC3" s="60"/>
      <c r="OD3" s="213" t="s">
        <v>52</v>
      </c>
      <c r="OE3" s="214"/>
      <c r="OF3" s="58" t="s">
        <v>0</v>
      </c>
      <c r="OG3" s="59"/>
      <c r="OH3" s="60"/>
      <c r="OI3" s="213" t="s">
        <v>31</v>
      </c>
      <c r="OJ3" s="214"/>
      <c r="OK3" s="58" t="s">
        <v>0</v>
      </c>
      <c r="OL3" s="59"/>
      <c r="OM3" s="60"/>
      <c r="ON3" s="213" t="s">
        <v>31</v>
      </c>
      <c r="OO3" s="214"/>
      <c r="OP3" s="58" t="s">
        <v>0</v>
      </c>
      <c r="OQ3" s="59"/>
      <c r="OR3" s="60"/>
      <c r="OS3" s="213" t="s">
        <v>31</v>
      </c>
      <c r="OT3" s="214"/>
      <c r="OU3" s="58" t="s">
        <v>0</v>
      </c>
      <c r="OV3" s="59"/>
      <c r="OW3" s="60"/>
      <c r="OX3" s="213" t="s">
        <v>31</v>
      </c>
      <c r="OY3" s="214"/>
      <c r="OZ3" s="58" t="s">
        <v>0</v>
      </c>
      <c r="PA3" s="59"/>
      <c r="PB3" s="60"/>
      <c r="PC3" s="213" t="s">
        <v>31</v>
      </c>
      <c r="PD3" s="214"/>
      <c r="PE3" s="58" t="s">
        <v>0</v>
      </c>
      <c r="PF3" s="59"/>
      <c r="PG3" s="60"/>
      <c r="PH3" s="213" t="s">
        <v>31</v>
      </c>
      <c r="PI3" s="214"/>
      <c r="PJ3" s="58" t="s">
        <v>0</v>
      </c>
      <c r="PK3" s="59"/>
      <c r="PL3" s="60"/>
      <c r="PM3" s="213" t="s">
        <v>31</v>
      </c>
      <c r="PN3" s="214"/>
      <c r="PO3" s="58" t="s">
        <v>0</v>
      </c>
      <c r="PP3" s="59"/>
      <c r="PQ3" s="60"/>
      <c r="PR3" s="213" t="s">
        <v>31</v>
      </c>
      <c r="PS3" s="214"/>
      <c r="PT3" s="58" t="s">
        <v>0</v>
      </c>
      <c r="PU3" s="59"/>
      <c r="PV3" s="60"/>
      <c r="PW3" s="213" t="s">
        <v>31</v>
      </c>
      <c r="PX3" s="214"/>
      <c r="PY3" s="58" t="s">
        <v>0</v>
      </c>
      <c r="PZ3" s="59"/>
      <c r="QA3" s="60"/>
      <c r="QB3" s="213" t="s">
        <v>31</v>
      </c>
      <c r="QC3" s="214"/>
      <c r="QD3" s="58" t="s">
        <v>0</v>
      </c>
      <c r="QE3" s="59"/>
      <c r="QF3" s="60"/>
      <c r="QG3" s="213" t="s">
        <v>31</v>
      </c>
      <c r="QH3" s="214"/>
      <c r="QI3" s="58" t="s">
        <v>0</v>
      </c>
      <c r="QJ3" s="59"/>
      <c r="QK3" s="60"/>
      <c r="QL3" s="213" t="s">
        <v>31</v>
      </c>
      <c r="QM3" s="214"/>
      <c r="QN3" s="58" t="s">
        <v>0</v>
      </c>
      <c r="QO3" s="59"/>
      <c r="QP3" s="60"/>
      <c r="QQ3" s="213" t="s">
        <v>31</v>
      </c>
      <c r="QR3" s="214"/>
      <c r="QS3" s="58" t="s">
        <v>0</v>
      </c>
      <c r="QT3" s="59"/>
      <c r="QU3" s="60"/>
      <c r="QV3" s="213" t="s">
        <v>31</v>
      </c>
      <c r="QW3" s="214"/>
      <c r="QX3" s="58" t="s">
        <v>0</v>
      </c>
      <c r="QY3" s="59"/>
      <c r="QZ3" s="60"/>
      <c r="RA3" s="213" t="s">
        <v>31</v>
      </c>
      <c r="RB3" s="214"/>
      <c r="RC3" s="58" t="s">
        <v>0</v>
      </c>
      <c r="RD3" s="59"/>
      <c r="RE3" s="60"/>
      <c r="RF3" s="213" t="s">
        <v>31</v>
      </c>
      <c r="RG3" s="214"/>
      <c r="RH3" s="58" t="s">
        <v>0</v>
      </c>
      <c r="RI3" s="59"/>
      <c r="RJ3" s="60"/>
      <c r="RK3" s="213" t="s">
        <v>52</v>
      </c>
      <c r="RL3" s="214"/>
      <c r="RM3" s="58" t="s">
        <v>0</v>
      </c>
      <c r="RN3" s="59"/>
      <c r="RO3" s="60"/>
      <c r="RP3" s="213" t="s">
        <v>31</v>
      </c>
      <c r="RQ3" s="214"/>
      <c r="RR3" s="58" t="s">
        <v>0</v>
      </c>
      <c r="RS3" s="59"/>
      <c r="RT3" s="60"/>
      <c r="RU3" s="213" t="s">
        <v>31</v>
      </c>
      <c r="RV3" s="214"/>
      <c r="RW3" s="58" t="s">
        <v>0</v>
      </c>
      <c r="RX3" s="59"/>
      <c r="RY3" s="60"/>
      <c r="RZ3" s="213" t="s">
        <v>31</v>
      </c>
      <c r="SA3" s="214"/>
      <c r="SB3" s="58" t="s">
        <v>0</v>
      </c>
      <c r="SC3" s="59"/>
      <c r="SD3" s="60"/>
      <c r="SE3" s="213" t="s">
        <v>31</v>
      </c>
      <c r="SF3" s="214"/>
      <c r="SG3" s="58" t="s">
        <v>0</v>
      </c>
      <c r="SH3" s="59"/>
      <c r="SI3" s="60"/>
      <c r="SJ3" s="213" t="s">
        <v>31</v>
      </c>
      <c r="SK3" s="214"/>
      <c r="SL3" s="58" t="s">
        <v>0</v>
      </c>
      <c r="SM3" s="59"/>
      <c r="SN3" s="60"/>
      <c r="SO3" s="213" t="s">
        <v>52</v>
      </c>
      <c r="SP3" s="214"/>
      <c r="SQ3" s="58" t="s">
        <v>0</v>
      </c>
      <c r="SR3" s="59"/>
      <c r="SS3" s="60"/>
      <c r="ST3" s="213" t="s">
        <v>52</v>
      </c>
      <c r="SU3" s="214"/>
      <c r="SV3" s="58" t="s">
        <v>0</v>
      </c>
      <c r="SW3" s="59"/>
      <c r="SX3" s="60"/>
      <c r="SY3" s="213" t="s">
        <v>31</v>
      </c>
      <c r="SZ3" s="214"/>
      <c r="TA3" s="58" t="s">
        <v>0</v>
      </c>
      <c r="TB3" s="59"/>
      <c r="TC3" s="60"/>
      <c r="TD3" s="213" t="s">
        <v>31</v>
      </c>
      <c r="TE3" s="214"/>
      <c r="TF3" s="58" t="s">
        <v>0</v>
      </c>
      <c r="TG3" s="59"/>
      <c r="TH3" s="60"/>
      <c r="TI3" s="213" t="s">
        <v>31</v>
      </c>
      <c r="TJ3" s="214"/>
      <c r="TK3" s="58" t="s">
        <v>0</v>
      </c>
      <c r="TL3" s="59"/>
      <c r="TM3" s="60"/>
      <c r="TN3" s="213" t="s">
        <v>31</v>
      </c>
      <c r="TO3" s="214"/>
      <c r="TP3" s="58" t="s">
        <v>0</v>
      </c>
      <c r="TQ3" s="59"/>
      <c r="TR3" s="60"/>
      <c r="TS3" s="213" t="s">
        <v>31</v>
      </c>
      <c r="TT3" s="214"/>
      <c r="TU3" s="58" t="s">
        <v>0</v>
      </c>
      <c r="TV3" s="59"/>
      <c r="TW3" s="60"/>
      <c r="TX3" s="213" t="s">
        <v>31</v>
      </c>
      <c r="TY3" s="214"/>
      <c r="TZ3" s="58" t="s">
        <v>0</v>
      </c>
      <c r="UA3" s="59"/>
      <c r="UB3" s="60"/>
      <c r="UC3" s="213" t="s">
        <v>52</v>
      </c>
      <c r="UD3" s="214"/>
      <c r="UE3" s="58" t="s">
        <v>0</v>
      </c>
      <c r="UF3" s="59"/>
      <c r="UG3" s="60"/>
      <c r="UH3" s="213" t="s">
        <v>31</v>
      </c>
      <c r="UI3" s="214"/>
      <c r="UJ3" s="58" t="s">
        <v>0</v>
      </c>
      <c r="UK3" s="59"/>
      <c r="UL3" s="60"/>
      <c r="UM3" s="213" t="s">
        <v>31</v>
      </c>
      <c r="UN3" s="214"/>
      <c r="UO3" s="58" t="s">
        <v>0</v>
      </c>
      <c r="UP3" s="59"/>
      <c r="UQ3" s="60"/>
      <c r="UR3" s="213" t="s">
        <v>31</v>
      </c>
      <c r="US3" s="214"/>
      <c r="UT3" s="58" t="s">
        <v>0</v>
      </c>
      <c r="UU3" s="59"/>
      <c r="UV3" s="60"/>
      <c r="UW3" s="213" t="s">
        <v>31</v>
      </c>
      <c r="UX3" s="214"/>
      <c r="UY3" s="58" t="s">
        <v>0</v>
      </c>
      <c r="UZ3" s="59"/>
      <c r="VA3" s="60"/>
      <c r="VB3" s="213" t="s">
        <v>31</v>
      </c>
      <c r="VC3" s="214"/>
      <c r="VD3" s="58" t="s">
        <v>0</v>
      </c>
      <c r="VE3" s="59"/>
      <c r="VF3" s="60"/>
      <c r="VG3" s="213" t="s">
        <v>31</v>
      </c>
      <c r="VH3" s="214"/>
      <c r="VI3" s="58" t="s">
        <v>0</v>
      </c>
      <c r="VJ3" s="59"/>
      <c r="VK3" s="60"/>
      <c r="VL3" s="213" t="s">
        <v>52</v>
      </c>
      <c r="VM3" s="214"/>
      <c r="VN3" s="58" t="s">
        <v>0</v>
      </c>
      <c r="VO3" s="59"/>
      <c r="VP3" s="60"/>
      <c r="VQ3" s="213" t="s">
        <v>52</v>
      </c>
      <c r="VR3" s="214"/>
      <c r="VS3" s="58" t="s">
        <v>0</v>
      </c>
      <c r="VT3" s="59"/>
      <c r="VU3" s="60"/>
      <c r="VV3" s="213" t="s">
        <v>52</v>
      </c>
      <c r="VW3" s="214"/>
      <c r="VX3" s="58" t="s">
        <v>0</v>
      </c>
      <c r="VY3" s="59"/>
      <c r="VZ3" s="60"/>
      <c r="WA3" s="213" t="s">
        <v>31</v>
      </c>
      <c r="WB3" s="214"/>
      <c r="WC3" s="58" t="s">
        <v>0</v>
      </c>
      <c r="WD3" s="59"/>
      <c r="WE3" s="60"/>
      <c r="WF3" s="213" t="s">
        <v>31</v>
      </c>
      <c r="WG3" s="214"/>
      <c r="WH3" s="58" t="s">
        <v>0</v>
      </c>
      <c r="WI3" s="59"/>
      <c r="WJ3" s="60"/>
      <c r="WK3" s="213" t="s">
        <v>31</v>
      </c>
      <c r="WL3" s="214"/>
      <c r="WM3" s="58" t="s">
        <v>0</v>
      </c>
      <c r="WN3" s="59"/>
      <c r="WO3" s="60"/>
      <c r="WP3" s="213" t="s">
        <v>52</v>
      </c>
      <c r="WQ3" s="214"/>
      <c r="WR3" s="58" t="s">
        <v>0</v>
      </c>
      <c r="WS3" s="59"/>
      <c r="WT3" s="60"/>
      <c r="WU3" s="213" t="s">
        <v>52</v>
      </c>
      <c r="WV3" s="214"/>
      <c r="WW3" s="58" t="s">
        <v>0</v>
      </c>
      <c r="WX3" s="59"/>
      <c r="WY3" s="60"/>
      <c r="WZ3" s="213" t="s">
        <v>31</v>
      </c>
      <c r="XA3" s="214"/>
      <c r="XB3" s="58" t="s">
        <v>0</v>
      </c>
      <c r="XC3" s="59"/>
      <c r="XD3" s="60"/>
      <c r="XE3" s="213" t="s">
        <v>31</v>
      </c>
      <c r="XF3" s="214"/>
      <c r="XG3" s="58" t="s">
        <v>0</v>
      </c>
      <c r="XH3" s="59"/>
      <c r="XI3" s="60"/>
      <c r="XJ3" s="213" t="s">
        <v>31</v>
      </c>
      <c r="XK3" s="214"/>
      <c r="XL3" s="58" t="s">
        <v>0</v>
      </c>
      <c r="XM3" s="59"/>
      <c r="XN3" s="60"/>
      <c r="XO3" s="213" t="s">
        <v>31</v>
      </c>
      <c r="XP3" s="214"/>
      <c r="XQ3" s="58" t="s">
        <v>0</v>
      </c>
      <c r="XR3" s="59"/>
      <c r="XS3" s="60"/>
      <c r="XT3" s="213" t="s">
        <v>52</v>
      </c>
      <c r="XU3" s="214"/>
      <c r="XV3" s="58" t="s">
        <v>0</v>
      </c>
      <c r="XW3" s="59"/>
      <c r="XX3" s="60"/>
      <c r="XY3" s="213" t="s">
        <v>52</v>
      </c>
      <c r="XZ3" s="214"/>
      <c r="YA3" s="58" t="s">
        <v>0</v>
      </c>
      <c r="YB3" s="59"/>
      <c r="YC3" s="60"/>
      <c r="YD3" s="213" t="s">
        <v>31</v>
      </c>
      <c r="YE3" s="214"/>
      <c r="YF3" s="58" t="s">
        <v>0</v>
      </c>
      <c r="YG3" s="59"/>
      <c r="YH3" s="60"/>
      <c r="YI3" s="213" t="s">
        <v>31</v>
      </c>
      <c r="YJ3" s="214"/>
      <c r="YK3" s="58" t="s">
        <v>0</v>
      </c>
      <c r="YL3" s="59"/>
      <c r="YM3" s="60"/>
      <c r="YN3" s="213" t="s">
        <v>31</v>
      </c>
      <c r="YO3" s="214"/>
      <c r="YP3" s="58" t="s">
        <v>0</v>
      </c>
      <c r="YQ3" s="59"/>
      <c r="YR3" s="60"/>
      <c r="YS3" s="213" t="s">
        <v>31</v>
      </c>
      <c r="YT3" s="214"/>
      <c r="YU3" s="58" t="s">
        <v>0</v>
      </c>
      <c r="YV3" s="59"/>
      <c r="YW3" s="60"/>
      <c r="YX3" s="213" t="s">
        <v>31</v>
      </c>
      <c r="YY3" s="214"/>
      <c r="YZ3" s="58" t="s">
        <v>0</v>
      </c>
      <c r="ZA3" s="59"/>
      <c r="ZB3" s="60"/>
      <c r="ZC3" s="213" t="s">
        <v>52</v>
      </c>
      <c r="ZD3" s="214"/>
      <c r="ZE3" s="58" t="s">
        <v>0</v>
      </c>
      <c r="ZF3" s="59"/>
      <c r="ZG3" s="60"/>
      <c r="ZH3" s="213" t="s">
        <v>52</v>
      </c>
      <c r="ZI3" s="214"/>
      <c r="ZJ3" s="58" t="s">
        <v>0</v>
      </c>
      <c r="ZK3" s="59"/>
      <c r="ZL3" s="60"/>
      <c r="ZM3" s="213" t="s">
        <v>31</v>
      </c>
      <c r="ZN3" s="214"/>
      <c r="ZO3" s="58" t="s">
        <v>0</v>
      </c>
      <c r="ZP3" s="59"/>
      <c r="ZQ3" s="60"/>
      <c r="ZR3" s="213" t="s">
        <v>31</v>
      </c>
      <c r="ZS3" s="214"/>
      <c r="ZT3" s="58" t="s">
        <v>0</v>
      </c>
      <c r="ZU3" s="59"/>
      <c r="ZV3" s="60"/>
      <c r="ZW3" s="213" t="s">
        <v>31</v>
      </c>
      <c r="ZX3" s="214"/>
      <c r="ZY3" s="58" t="s">
        <v>0</v>
      </c>
      <c r="ZZ3" s="59"/>
      <c r="AAA3" s="60"/>
      <c r="AAB3" s="213" t="s">
        <v>31</v>
      </c>
      <c r="AAC3" s="214"/>
      <c r="AAD3" s="58" t="s">
        <v>0</v>
      </c>
      <c r="AAE3" s="59"/>
      <c r="AAF3" s="60"/>
      <c r="AAG3" s="213" t="s">
        <v>31</v>
      </c>
      <c r="AAH3" s="214"/>
      <c r="AAI3" s="58" t="s">
        <v>0</v>
      </c>
      <c r="AAJ3" s="59"/>
      <c r="AAK3" s="60"/>
      <c r="AAL3" s="213" t="s">
        <v>52</v>
      </c>
      <c r="AAM3" s="214"/>
      <c r="AAN3" s="58" t="s">
        <v>0</v>
      </c>
      <c r="AAO3" s="59"/>
      <c r="AAP3" s="60"/>
      <c r="AAQ3" s="213" t="s">
        <v>31</v>
      </c>
      <c r="AAR3" s="214"/>
      <c r="AAS3" s="58" t="s">
        <v>0</v>
      </c>
      <c r="AAT3" s="59"/>
      <c r="AAU3" s="60"/>
      <c r="AAV3" s="213" t="s">
        <v>31</v>
      </c>
      <c r="AAW3" s="214"/>
      <c r="AAX3" s="58" t="s">
        <v>0</v>
      </c>
      <c r="AAY3" s="59"/>
      <c r="AAZ3" s="60"/>
      <c r="ABA3" s="213" t="s">
        <v>31</v>
      </c>
      <c r="ABB3" s="214"/>
      <c r="ABC3" s="58" t="s">
        <v>0</v>
      </c>
      <c r="ABD3" s="59"/>
      <c r="ABE3" s="60"/>
      <c r="ABF3" s="213" t="s">
        <v>31</v>
      </c>
      <c r="ABG3" s="214"/>
      <c r="ABH3" s="58" t="s">
        <v>0</v>
      </c>
      <c r="ABI3" s="59"/>
      <c r="ABJ3" s="60"/>
      <c r="ABK3" s="213" t="s">
        <v>31</v>
      </c>
      <c r="ABL3" s="214"/>
      <c r="ABM3" s="58" t="s">
        <v>0</v>
      </c>
      <c r="ABN3" s="59"/>
      <c r="ABO3" s="60"/>
      <c r="ABP3" s="213" t="s">
        <v>31</v>
      </c>
      <c r="ABQ3" s="214"/>
      <c r="ABR3" s="58" t="s">
        <v>0</v>
      </c>
      <c r="ABS3" s="59"/>
      <c r="ABT3" s="60"/>
      <c r="ABU3" s="213" t="s">
        <v>52</v>
      </c>
      <c r="ABV3" s="214"/>
      <c r="ABW3" s="58" t="s">
        <v>0</v>
      </c>
      <c r="ABX3" s="59"/>
      <c r="ABY3" s="60"/>
      <c r="ABZ3" s="213" t="s">
        <v>52</v>
      </c>
      <c r="ACA3" s="214"/>
      <c r="ACB3" s="58" t="s">
        <v>0</v>
      </c>
      <c r="ACC3" s="59"/>
      <c r="ACD3" s="60"/>
      <c r="ACE3" s="213" t="s">
        <v>31</v>
      </c>
      <c r="ACF3" s="214"/>
      <c r="ACG3" s="58" t="s">
        <v>0</v>
      </c>
      <c r="ACH3" s="59"/>
      <c r="ACI3" s="60"/>
      <c r="ACJ3" s="213" t="s">
        <v>31</v>
      </c>
      <c r="ACK3" s="214"/>
      <c r="ACL3" s="58" t="s">
        <v>0</v>
      </c>
      <c r="ACM3" s="59"/>
      <c r="ACN3" s="60"/>
      <c r="ACO3" s="213" t="s">
        <v>31</v>
      </c>
      <c r="ACP3" s="214"/>
      <c r="ACQ3" s="58" t="s">
        <v>0</v>
      </c>
      <c r="ACR3" s="59"/>
      <c r="ACS3" s="60"/>
      <c r="ACT3" s="213" t="s">
        <v>31</v>
      </c>
      <c r="ACU3" s="214"/>
      <c r="ACV3" s="58" t="s">
        <v>0</v>
      </c>
      <c r="ACW3" s="59"/>
      <c r="ACX3" s="60"/>
      <c r="ACY3" s="213" t="s">
        <v>31</v>
      </c>
      <c r="ACZ3" s="214"/>
      <c r="ADA3" s="58" t="s">
        <v>0</v>
      </c>
      <c r="ADB3" s="59"/>
      <c r="ADC3" s="60"/>
      <c r="ADD3" s="213" t="s">
        <v>31</v>
      </c>
      <c r="ADE3" s="214"/>
      <c r="ADF3" s="58" t="s">
        <v>0</v>
      </c>
      <c r="ADG3" s="59"/>
      <c r="ADH3" s="60"/>
      <c r="ADI3" s="213" t="s">
        <v>31</v>
      </c>
      <c r="ADJ3" s="214"/>
      <c r="ADK3" s="58" t="s">
        <v>0</v>
      </c>
      <c r="ADL3" s="59"/>
      <c r="ADM3" s="60"/>
      <c r="ADN3" s="213" t="s">
        <v>31</v>
      </c>
      <c r="ADO3" s="214"/>
      <c r="ADP3" s="58" t="s">
        <v>0</v>
      </c>
      <c r="ADQ3" s="59"/>
      <c r="ADR3" s="60"/>
      <c r="ADS3" s="213" t="s">
        <v>31</v>
      </c>
      <c r="ADT3" s="214"/>
      <c r="ADU3" s="58" t="s">
        <v>0</v>
      </c>
      <c r="ADV3" s="59"/>
      <c r="ADW3" s="60"/>
      <c r="ADX3" s="213" t="s">
        <v>31</v>
      </c>
      <c r="ADY3" s="214"/>
      <c r="ADZ3" s="58" t="s">
        <v>0</v>
      </c>
      <c r="AEA3" s="59"/>
      <c r="AEB3" s="60"/>
      <c r="AEC3" s="213" t="s">
        <v>31</v>
      </c>
      <c r="AED3" s="214"/>
      <c r="AEE3" s="58" t="s">
        <v>0</v>
      </c>
      <c r="AEF3" s="59"/>
      <c r="AEG3" s="60"/>
      <c r="AEH3" s="213" t="s">
        <v>31</v>
      </c>
      <c r="AEI3" s="214"/>
      <c r="AEJ3" s="58" t="s">
        <v>0</v>
      </c>
      <c r="AEK3" s="59"/>
      <c r="AEL3" s="60"/>
      <c r="AEM3" s="213" t="s">
        <v>31</v>
      </c>
      <c r="AEN3" s="214"/>
      <c r="AEO3" s="58" t="s">
        <v>0</v>
      </c>
      <c r="AEP3" s="59"/>
      <c r="AEQ3" s="60"/>
      <c r="AER3" s="213" t="s">
        <v>31</v>
      </c>
      <c r="AES3" s="214"/>
      <c r="AET3" s="58" t="s">
        <v>0</v>
      </c>
      <c r="AEU3" s="59"/>
      <c r="AEV3" s="60"/>
      <c r="AEW3" s="213" t="s">
        <v>31</v>
      </c>
      <c r="AEX3" s="214"/>
      <c r="AEY3" s="58" t="s">
        <v>0</v>
      </c>
      <c r="AEZ3" s="59"/>
      <c r="AFA3" s="60"/>
      <c r="AFB3" s="213" t="s">
        <v>31</v>
      </c>
      <c r="AFC3" s="214"/>
      <c r="AFD3" s="58" t="s">
        <v>0</v>
      </c>
      <c r="AFE3" s="59"/>
      <c r="AFF3" s="60"/>
      <c r="AFG3" s="213" t="s">
        <v>31</v>
      </c>
      <c r="AFH3" s="214"/>
      <c r="AFI3" s="58" t="s">
        <v>0</v>
      </c>
      <c r="AFJ3" s="59"/>
      <c r="AFK3" s="60"/>
      <c r="AFL3" s="213" t="s">
        <v>31</v>
      </c>
      <c r="AFM3" s="214"/>
      <c r="AFN3" s="58" t="s">
        <v>0</v>
      </c>
      <c r="AFO3" s="59"/>
      <c r="AFP3" s="60"/>
      <c r="AFQ3" s="213" t="s">
        <v>31</v>
      </c>
      <c r="AFR3" s="214"/>
      <c r="AFS3" s="58" t="s">
        <v>0</v>
      </c>
      <c r="AFT3" s="59"/>
      <c r="AFU3" s="60"/>
      <c r="AFV3" s="213" t="s">
        <v>31</v>
      </c>
      <c r="AFW3" s="214"/>
      <c r="AFX3" s="58" t="s">
        <v>0</v>
      </c>
      <c r="AFY3" s="59"/>
      <c r="AFZ3" s="60"/>
      <c r="AGA3" s="213" t="s">
        <v>31</v>
      </c>
      <c r="AGB3" s="214"/>
      <c r="AGC3" s="58" t="s">
        <v>0</v>
      </c>
      <c r="AGD3" s="59"/>
      <c r="AGE3" s="60"/>
      <c r="AGF3" s="213" t="s">
        <v>31</v>
      </c>
      <c r="AGG3" s="214"/>
      <c r="AGH3" s="58" t="s">
        <v>0</v>
      </c>
      <c r="AGI3" s="59"/>
      <c r="AGJ3" s="60"/>
      <c r="AGK3" s="213" t="s">
        <v>31</v>
      </c>
      <c r="AGL3" s="214"/>
      <c r="AGM3" s="58" t="s">
        <v>0</v>
      </c>
      <c r="AGN3" s="59"/>
      <c r="AGO3" s="60"/>
      <c r="AGP3" s="213" t="s">
        <v>31</v>
      </c>
      <c r="AGQ3" s="214"/>
      <c r="AGR3" s="58" t="s">
        <v>0</v>
      </c>
      <c r="AGS3" s="59"/>
      <c r="AGT3" s="60"/>
      <c r="AGU3" s="213" t="s">
        <v>31</v>
      </c>
      <c r="AGV3" s="214"/>
      <c r="AGW3" s="58" t="s">
        <v>0</v>
      </c>
      <c r="AGX3" s="59"/>
      <c r="AGY3" s="60"/>
      <c r="AGZ3" s="213" t="s">
        <v>31</v>
      </c>
      <c r="AHA3" s="214"/>
      <c r="AHB3" s="58" t="s">
        <v>0</v>
      </c>
      <c r="AHC3" s="59"/>
      <c r="AHD3" s="60"/>
      <c r="AHE3" s="213" t="s">
        <v>31</v>
      </c>
      <c r="AHF3" s="214"/>
      <c r="AHG3" s="58" t="s">
        <v>0</v>
      </c>
      <c r="AHH3" s="59"/>
      <c r="AHI3" s="60"/>
      <c r="AHJ3" s="213" t="s">
        <v>31</v>
      </c>
      <c r="AHK3" s="214"/>
      <c r="AHL3" s="58" t="s">
        <v>0</v>
      </c>
      <c r="AHM3" s="59"/>
      <c r="AHN3" s="60"/>
      <c r="AHO3" s="213" t="s">
        <v>31</v>
      </c>
      <c r="AHP3" s="214"/>
      <c r="AHQ3" s="58" t="s">
        <v>0</v>
      </c>
      <c r="AHR3" s="59"/>
      <c r="AHS3" s="60"/>
      <c r="AHT3" s="213" t="s">
        <v>31</v>
      </c>
      <c r="AHU3" s="214"/>
      <c r="AHV3" s="58" t="s">
        <v>0</v>
      </c>
      <c r="AHW3" s="59"/>
      <c r="AHX3" s="60"/>
      <c r="AHY3" s="213" t="s">
        <v>31</v>
      </c>
      <c r="AHZ3" s="214"/>
      <c r="AIA3" s="58" t="s">
        <v>0</v>
      </c>
      <c r="AIB3" s="59"/>
      <c r="AIC3" s="60"/>
      <c r="AID3" s="213" t="s">
        <v>31</v>
      </c>
      <c r="AIE3" s="214"/>
      <c r="AIF3" s="58" t="s">
        <v>0</v>
      </c>
      <c r="AIG3" s="59"/>
      <c r="AIH3" s="60"/>
      <c r="AII3" s="213" t="s">
        <v>31</v>
      </c>
      <c r="AIJ3" s="214"/>
      <c r="AIK3" s="58" t="s">
        <v>0</v>
      </c>
      <c r="AIL3" s="59"/>
      <c r="AIM3" s="60"/>
      <c r="AIN3" s="213" t="s">
        <v>31</v>
      </c>
      <c r="AIO3" s="214"/>
      <c r="AIP3" s="58" t="s">
        <v>0</v>
      </c>
      <c r="AIQ3" s="59"/>
      <c r="AIR3" s="60"/>
      <c r="AIS3" s="213" t="s">
        <v>31</v>
      </c>
      <c r="AIT3" s="214"/>
      <c r="AIU3" s="58" t="s">
        <v>0</v>
      </c>
      <c r="AIV3" s="59"/>
      <c r="AIW3" s="60"/>
      <c r="AIX3" s="213" t="s">
        <v>31</v>
      </c>
      <c r="AIY3" s="214"/>
      <c r="AIZ3" s="58" t="s">
        <v>0</v>
      </c>
      <c r="AJA3" s="59"/>
      <c r="AJB3" s="60"/>
      <c r="AJC3" s="213" t="s">
        <v>31</v>
      </c>
      <c r="AJD3" s="214"/>
      <c r="AJE3" s="58" t="s">
        <v>0</v>
      </c>
      <c r="AJF3" s="59"/>
      <c r="AJG3" s="60"/>
      <c r="AJH3" s="213" t="s">
        <v>31</v>
      </c>
      <c r="AJI3" s="214"/>
      <c r="AJJ3" s="58" t="s">
        <v>0</v>
      </c>
      <c r="AJK3" s="59"/>
      <c r="AJL3" s="60"/>
      <c r="AJM3" s="213" t="s">
        <v>31</v>
      </c>
      <c r="AJN3" s="214"/>
      <c r="AJO3" s="58" t="s">
        <v>0</v>
      </c>
      <c r="AJP3" s="59"/>
      <c r="AJQ3" s="60"/>
      <c r="AJR3" s="213" t="s">
        <v>31</v>
      </c>
      <c r="AJS3" s="214"/>
      <c r="AJT3" s="58" t="s">
        <v>0</v>
      </c>
      <c r="AJU3" s="59"/>
      <c r="AJV3" s="60"/>
      <c r="AJW3" s="213" t="s">
        <v>52</v>
      </c>
      <c r="AJX3" s="214"/>
      <c r="AJY3" s="58" t="s">
        <v>0</v>
      </c>
      <c r="AJZ3" s="59"/>
      <c r="AKA3" s="60"/>
      <c r="AKB3" s="213" t="s">
        <v>31</v>
      </c>
      <c r="AKC3" s="214"/>
      <c r="AKD3" s="58" t="s">
        <v>0</v>
      </c>
      <c r="AKE3" s="59"/>
      <c r="AKF3" s="60"/>
      <c r="AKG3" s="213" t="s">
        <v>52</v>
      </c>
      <c r="AKH3" s="214"/>
      <c r="AKI3" s="58" t="s">
        <v>0</v>
      </c>
      <c r="AKJ3" s="59"/>
      <c r="AKK3" s="60"/>
      <c r="AKL3" s="213" t="s">
        <v>31</v>
      </c>
      <c r="AKM3" s="214"/>
      <c r="AKN3" s="58" t="s">
        <v>0</v>
      </c>
      <c r="AKO3" s="59"/>
      <c r="AKP3" s="60"/>
      <c r="AKQ3" s="213" t="s">
        <v>31</v>
      </c>
      <c r="AKR3" s="214"/>
      <c r="AKS3" s="58" t="s">
        <v>0</v>
      </c>
      <c r="AKT3" s="59"/>
      <c r="AKU3" s="60"/>
      <c r="AKV3" s="213" t="s">
        <v>31</v>
      </c>
      <c r="AKW3" s="214"/>
      <c r="AKX3" s="58" t="s">
        <v>0</v>
      </c>
      <c r="AKY3" s="59"/>
      <c r="AKZ3" s="60"/>
      <c r="ALA3" s="213" t="s">
        <v>31</v>
      </c>
      <c r="ALB3" s="214"/>
      <c r="ALC3" s="58" t="s">
        <v>0</v>
      </c>
      <c r="ALD3" s="59"/>
      <c r="ALE3" s="60"/>
      <c r="ALF3" s="213" t="s">
        <v>31</v>
      </c>
      <c r="ALG3" s="214"/>
      <c r="ALH3" s="58" t="s">
        <v>0</v>
      </c>
      <c r="ALI3" s="59"/>
      <c r="ALJ3" s="60"/>
      <c r="ALK3" s="213" t="s">
        <v>31</v>
      </c>
      <c r="ALL3" s="214"/>
      <c r="ALM3" s="58" t="s">
        <v>0</v>
      </c>
      <c r="ALN3" s="59"/>
      <c r="ALO3" s="60"/>
      <c r="ALP3" s="213" t="s">
        <v>31</v>
      </c>
      <c r="ALQ3" s="214"/>
      <c r="ALR3" s="58" t="s">
        <v>0</v>
      </c>
      <c r="ALS3" s="59"/>
      <c r="ALT3" s="60"/>
      <c r="ALU3" s="213" t="s">
        <v>31</v>
      </c>
      <c r="ALV3" s="214"/>
      <c r="ALW3" s="58" t="s">
        <v>0</v>
      </c>
      <c r="ALX3" s="59"/>
      <c r="ALY3" s="60"/>
      <c r="ALZ3" s="213" t="s">
        <v>31</v>
      </c>
      <c r="AMA3" s="214"/>
      <c r="AMB3" s="58" t="s">
        <v>0</v>
      </c>
      <c r="AMC3" s="59"/>
      <c r="AMD3" s="60"/>
      <c r="AME3" s="213" t="s">
        <v>52</v>
      </c>
      <c r="AMF3" s="214"/>
      <c r="AMG3" s="58" t="s">
        <v>0</v>
      </c>
      <c r="AMH3" s="59"/>
      <c r="AMI3" s="60"/>
      <c r="AMJ3" s="213" t="s">
        <v>31</v>
      </c>
      <c r="AMK3" s="214"/>
      <c r="AML3" s="58" t="s">
        <v>0</v>
      </c>
      <c r="AMM3" s="59"/>
      <c r="AMN3" s="60"/>
      <c r="AMO3" s="213" t="s">
        <v>52</v>
      </c>
      <c r="AMP3" s="214"/>
      <c r="AMQ3" s="58" t="s">
        <v>0</v>
      </c>
      <c r="AMR3" s="59"/>
      <c r="AMS3" s="60"/>
      <c r="AMT3" s="213" t="s">
        <v>31</v>
      </c>
      <c r="AMU3" s="214"/>
      <c r="AMV3" s="58" t="s">
        <v>0</v>
      </c>
      <c r="AMW3" s="59"/>
      <c r="AMX3" s="60"/>
      <c r="AMY3" s="213" t="s">
        <v>31</v>
      </c>
      <c r="AMZ3" s="214"/>
      <c r="ANA3" s="58" t="s">
        <v>0</v>
      </c>
      <c r="ANB3" s="59"/>
      <c r="ANC3" s="60"/>
      <c r="AND3" s="213" t="s">
        <v>52</v>
      </c>
      <c r="ANE3" s="214"/>
      <c r="ANF3" s="58" t="s">
        <v>0</v>
      </c>
      <c r="ANG3" s="59"/>
      <c r="ANH3" s="60"/>
      <c r="ANI3" s="213" t="s">
        <v>31</v>
      </c>
      <c r="ANJ3" s="214"/>
      <c r="ANK3" s="58" t="s">
        <v>0</v>
      </c>
      <c r="ANL3" s="59"/>
      <c r="ANM3" s="60"/>
      <c r="ANN3" s="213" t="s">
        <v>31</v>
      </c>
      <c r="ANO3" s="214"/>
      <c r="ANP3" s="58" t="s">
        <v>0</v>
      </c>
      <c r="ANQ3" s="59"/>
      <c r="ANR3" s="60"/>
      <c r="ANS3" s="213" t="s">
        <v>31</v>
      </c>
      <c r="ANT3" s="214"/>
      <c r="ANU3" s="58" t="s">
        <v>0</v>
      </c>
      <c r="ANV3" s="59"/>
      <c r="ANW3" s="60"/>
      <c r="ANX3" s="213" t="s">
        <v>31</v>
      </c>
      <c r="ANY3" s="214"/>
      <c r="ANZ3" s="58" t="s">
        <v>0</v>
      </c>
      <c r="AOA3" s="59"/>
      <c r="AOB3" s="60"/>
      <c r="AOC3" s="213" t="s">
        <v>52</v>
      </c>
      <c r="AOD3" s="214"/>
      <c r="AOE3" s="58" t="s">
        <v>0</v>
      </c>
      <c r="AOF3" s="59"/>
      <c r="AOG3" s="60"/>
      <c r="AOH3" s="213" t="s">
        <v>31</v>
      </c>
      <c r="AOI3" s="214"/>
      <c r="AOJ3" s="58" t="s">
        <v>0</v>
      </c>
      <c r="AOK3" s="59"/>
      <c r="AOL3" s="60"/>
      <c r="AOM3" s="213" t="s">
        <v>31</v>
      </c>
      <c r="AON3" s="214"/>
      <c r="AOO3" s="58" t="s">
        <v>0</v>
      </c>
      <c r="AOP3" s="59"/>
      <c r="AOQ3" s="60"/>
      <c r="AOR3" s="213" t="s">
        <v>31</v>
      </c>
      <c r="AOS3" s="214"/>
      <c r="AOT3" s="58" t="s">
        <v>0</v>
      </c>
      <c r="AOU3" s="59"/>
      <c r="AOV3" s="60"/>
      <c r="AOW3" s="213" t="s">
        <v>31</v>
      </c>
      <c r="AOX3" s="214"/>
      <c r="AOY3" s="58" t="s">
        <v>0</v>
      </c>
      <c r="AOZ3" s="59"/>
      <c r="APA3" s="60"/>
      <c r="APB3" s="213" t="s">
        <v>31</v>
      </c>
      <c r="APC3" s="214"/>
      <c r="APD3" s="58" t="s">
        <v>0</v>
      </c>
      <c r="APE3" s="59"/>
      <c r="APF3" s="60"/>
      <c r="APG3" s="213" t="s">
        <v>31</v>
      </c>
      <c r="APH3" s="214"/>
      <c r="API3" s="58" t="s">
        <v>0</v>
      </c>
      <c r="APJ3" s="59"/>
      <c r="APK3" s="60"/>
      <c r="APL3" s="213" t="s">
        <v>52</v>
      </c>
      <c r="APM3" s="214"/>
      <c r="APN3" s="58" t="s">
        <v>0</v>
      </c>
      <c r="APO3" s="59"/>
      <c r="APP3" s="60"/>
      <c r="APQ3" s="213" t="s">
        <v>31</v>
      </c>
      <c r="APR3" s="214"/>
      <c r="APS3" s="58" t="s">
        <v>0</v>
      </c>
      <c r="APT3" s="59"/>
      <c r="APU3" s="60"/>
      <c r="APV3" s="213" t="s">
        <v>31</v>
      </c>
      <c r="APW3" s="214"/>
      <c r="APX3" s="58" t="s">
        <v>0</v>
      </c>
      <c r="APY3" s="59"/>
      <c r="APZ3" s="60"/>
      <c r="AQA3" s="213" t="s">
        <v>31</v>
      </c>
      <c r="AQB3" s="214"/>
      <c r="AQC3" s="58" t="s">
        <v>0</v>
      </c>
      <c r="AQD3" s="59"/>
      <c r="AQE3" s="60"/>
      <c r="AQF3" s="213" t="s">
        <v>31</v>
      </c>
      <c r="AQG3" s="214"/>
      <c r="AQH3" s="58" t="s">
        <v>0</v>
      </c>
      <c r="AQI3" s="59"/>
      <c r="AQJ3" s="60"/>
      <c r="AQK3" s="213" t="s">
        <v>31</v>
      </c>
      <c r="AQL3" s="214"/>
      <c r="AQM3" s="58" t="s">
        <v>0</v>
      </c>
      <c r="AQN3" s="59"/>
      <c r="AQO3" s="60"/>
      <c r="AQP3" s="213" t="s">
        <v>31</v>
      </c>
      <c r="AQQ3" s="214"/>
      <c r="AQR3" s="58" t="s">
        <v>0</v>
      </c>
      <c r="AQS3" s="59"/>
      <c r="AQT3" s="60"/>
      <c r="AQU3" s="213" t="s">
        <v>52</v>
      </c>
      <c r="AQV3" s="214"/>
      <c r="AQW3" s="58" t="s">
        <v>0</v>
      </c>
      <c r="AQX3" s="59"/>
      <c r="AQY3" s="60"/>
      <c r="AQZ3" s="213" t="s">
        <v>31</v>
      </c>
      <c r="ARA3" s="214"/>
      <c r="ARB3" s="58" t="s">
        <v>0</v>
      </c>
      <c r="ARC3" s="59"/>
      <c r="ARD3" s="60"/>
      <c r="ARE3" s="213" t="s">
        <v>31</v>
      </c>
      <c r="ARF3" s="214"/>
      <c r="ARG3" s="58" t="s">
        <v>0</v>
      </c>
      <c r="ARH3" s="59"/>
      <c r="ARI3" s="60"/>
      <c r="ARJ3" s="213" t="s">
        <v>31</v>
      </c>
      <c r="ARK3" s="214"/>
      <c r="ARL3" s="58" t="s">
        <v>0</v>
      </c>
      <c r="ARM3" s="59"/>
      <c r="ARN3" s="60"/>
      <c r="ARO3" s="213" t="s">
        <v>31</v>
      </c>
      <c r="ARP3" s="214"/>
      <c r="ARQ3" s="58" t="s">
        <v>0</v>
      </c>
      <c r="ARR3" s="59"/>
      <c r="ARS3" s="60"/>
      <c r="ART3" s="213" t="s">
        <v>31</v>
      </c>
      <c r="ARU3" s="214"/>
      <c r="ARV3" s="58" t="s">
        <v>0</v>
      </c>
      <c r="ARW3" s="59"/>
      <c r="ARX3" s="60"/>
      <c r="ARY3" s="213" t="s">
        <v>31</v>
      </c>
      <c r="ARZ3" s="214"/>
      <c r="ASA3" s="58" t="s">
        <v>0</v>
      </c>
      <c r="ASB3" s="59"/>
      <c r="ASC3" s="60"/>
      <c r="ASD3" s="213" t="s">
        <v>31</v>
      </c>
      <c r="ASE3" s="214"/>
      <c r="ASF3" s="58" t="s">
        <v>0</v>
      </c>
      <c r="ASG3" s="59"/>
      <c r="ASH3" s="60"/>
      <c r="ASI3" s="213" t="s">
        <v>31</v>
      </c>
      <c r="ASJ3" s="214"/>
      <c r="ASK3" s="58" t="s">
        <v>0</v>
      </c>
      <c r="ASL3" s="59"/>
      <c r="ASM3" s="60"/>
      <c r="ASN3" s="213" t="s">
        <v>31</v>
      </c>
      <c r="ASO3" s="214"/>
      <c r="ASP3" s="58" t="s">
        <v>0</v>
      </c>
      <c r="ASQ3" s="59"/>
      <c r="ASR3" s="60"/>
      <c r="ASS3" s="213" t="s">
        <v>31</v>
      </c>
      <c r="AST3" s="214"/>
      <c r="ASU3" s="58" t="s">
        <v>0</v>
      </c>
      <c r="ASV3" s="59"/>
      <c r="ASW3" s="60"/>
      <c r="ASX3" s="213" t="s">
        <v>52</v>
      </c>
      <c r="ASY3" s="214"/>
      <c r="ASZ3" s="58" t="s">
        <v>0</v>
      </c>
      <c r="ATA3" s="59"/>
      <c r="ATB3" s="60"/>
      <c r="ATC3" s="213" t="s">
        <v>31</v>
      </c>
      <c r="ATD3" s="214"/>
      <c r="ATE3" s="58" t="s">
        <v>0</v>
      </c>
      <c r="ATF3" s="59"/>
      <c r="ATG3" s="60"/>
      <c r="ATH3" s="213" t="s">
        <v>31</v>
      </c>
      <c r="ATI3" s="214"/>
      <c r="ATJ3" s="58" t="s">
        <v>0</v>
      </c>
      <c r="ATK3" s="59"/>
      <c r="ATL3" s="60"/>
      <c r="ATM3" s="213" t="s">
        <v>31</v>
      </c>
      <c r="ATN3" s="214"/>
      <c r="ATO3" s="58" t="s">
        <v>0</v>
      </c>
      <c r="ATP3" s="59"/>
      <c r="ATQ3" s="60"/>
      <c r="ATR3" s="213" t="s">
        <v>52</v>
      </c>
      <c r="ATS3" s="214"/>
      <c r="ATT3" s="58" t="s">
        <v>0</v>
      </c>
      <c r="ATU3" s="59"/>
      <c r="ATV3" s="60"/>
      <c r="ATW3" s="213" t="s">
        <v>31</v>
      </c>
      <c r="ATX3" s="214"/>
      <c r="ATY3" s="58" t="s">
        <v>0</v>
      </c>
      <c r="ATZ3" s="59"/>
      <c r="AUA3" s="60"/>
      <c r="AUB3" s="213" t="s">
        <v>31</v>
      </c>
      <c r="AUC3" s="214"/>
      <c r="AUD3" s="58" t="s">
        <v>0</v>
      </c>
      <c r="AUE3" s="59"/>
      <c r="AUF3" s="60"/>
      <c r="AUG3" s="213" t="s">
        <v>31</v>
      </c>
      <c r="AUH3" s="214"/>
      <c r="AUI3" s="58" t="s">
        <v>0</v>
      </c>
      <c r="AUJ3" s="59"/>
      <c r="AUK3" s="60"/>
      <c r="AUL3" s="213" t="s">
        <v>31</v>
      </c>
      <c r="AUM3" s="214"/>
      <c r="AUN3" s="58" t="s">
        <v>0</v>
      </c>
      <c r="AUO3" s="59"/>
      <c r="AUP3" s="60"/>
      <c r="AUQ3" s="213" t="s">
        <v>31</v>
      </c>
      <c r="AUR3" s="214"/>
      <c r="AUS3" s="58" t="s">
        <v>0</v>
      </c>
      <c r="AUT3" s="59"/>
      <c r="AUU3" s="60"/>
      <c r="AUV3" s="213" t="s">
        <v>52</v>
      </c>
      <c r="AUW3" s="214"/>
      <c r="AUX3" s="58" t="s">
        <v>0</v>
      </c>
      <c r="AUY3" s="59"/>
      <c r="AUZ3" s="60"/>
      <c r="AVA3" s="213" t="s">
        <v>31</v>
      </c>
      <c r="AVB3" s="214"/>
      <c r="AVC3" s="58" t="s">
        <v>0</v>
      </c>
      <c r="AVD3" s="59"/>
      <c r="AVE3" s="60"/>
      <c r="AVF3" s="213" t="s">
        <v>52</v>
      </c>
      <c r="AVG3" s="214"/>
      <c r="AVH3" s="58" t="s">
        <v>0</v>
      </c>
      <c r="AVI3" s="59"/>
      <c r="AVJ3" s="60"/>
      <c r="AVK3" s="213" t="s">
        <v>52</v>
      </c>
      <c r="AVL3" s="214"/>
      <c r="AVM3" s="58" t="s">
        <v>0</v>
      </c>
      <c r="AVN3" s="59"/>
      <c r="AVO3" s="60"/>
      <c r="AVP3" s="213" t="s">
        <v>31</v>
      </c>
      <c r="AVQ3" s="214"/>
      <c r="AVR3" s="58" t="s">
        <v>0</v>
      </c>
      <c r="AVS3" s="59"/>
      <c r="AVT3" s="60"/>
      <c r="AVU3" s="213" t="s">
        <v>31</v>
      </c>
      <c r="AVV3" s="214"/>
      <c r="AVW3" s="58" t="s">
        <v>0</v>
      </c>
      <c r="AVX3" s="59"/>
      <c r="AVY3" s="60"/>
      <c r="AVZ3" s="213" t="s">
        <v>31</v>
      </c>
      <c r="AWA3" s="214"/>
      <c r="AWB3" s="58" t="s">
        <v>0</v>
      </c>
      <c r="AWC3" s="59"/>
      <c r="AWD3" s="60"/>
      <c r="AWE3" s="213" t="s">
        <v>31</v>
      </c>
      <c r="AWF3" s="214"/>
      <c r="AWG3" s="58" t="s">
        <v>0</v>
      </c>
      <c r="AWH3" s="59"/>
      <c r="AWI3" s="60"/>
      <c r="AWJ3" s="213" t="s">
        <v>31</v>
      </c>
      <c r="AWK3" s="214"/>
      <c r="AWL3" s="58" t="s">
        <v>0</v>
      </c>
      <c r="AWM3" s="59"/>
      <c r="AWN3" s="60"/>
      <c r="AWO3" s="213" t="s">
        <v>31</v>
      </c>
      <c r="AWP3" s="214"/>
      <c r="AWQ3" s="58" t="s">
        <v>0</v>
      </c>
      <c r="AWR3" s="59"/>
      <c r="AWS3" s="60"/>
      <c r="AWT3" s="213" t="s">
        <v>31</v>
      </c>
      <c r="AWU3" s="214"/>
      <c r="AWV3" s="58" t="s">
        <v>0</v>
      </c>
      <c r="AWW3" s="59"/>
      <c r="AWX3" s="60"/>
      <c r="AWY3" s="213" t="s">
        <v>31</v>
      </c>
      <c r="AWZ3" s="214"/>
      <c r="AXA3" s="58" t="s">
        <v>0</v>
      </c>
      <c r="AXB3" s="59"/>
      <c r="AXC3" s="60"/>
      <c r="AXD3" s="213" t="s">
        <v>31</v>
      </c>
      <c r="AXE3" s="214"/>
      <c r="AXF3" s="58" t="s">
        <v>0</v>
      </c>
      <c r="AXG3" s="59"/>
      <c r="AXH3" s="60"/>
      <c r="AXI3" s="213" t="s">
        <v>31</v>
      </c>
      <c r="AXJ3" s="214"/>
      <c r="AXK3" s="58" t="s">
        <v>0</v>
      </c>
      <c r="AXL3" s="59"/>
      <c r="AXM3" s="60"/>
      <c r="AXN3" s="213" t="s">
        <v>31</v>
      </c>
      <c r="AXO3" s="214"/>
      <c r="AXP3" s="58" t="s">
        <v>0</v>
      </c>
      <c r="AXQ3" s="59"/>
      <c r="AXR3" s="60"/>
      <c r="AXS3" s="213" t="s">
        <v>52</v>
      </c>
      <c r="AXT3" s="214"/>
      <c r="AXU3" s="58" t="s">
        <v>0</v>
      </c>
      <c r="AXV3" s="59"/>
      <c r="AXW3" s="60"/>
      <c r="AXX3" s="213" t="s">
        <v>31</v>
      </c>
      <c r="AXY3" s="214"/>
      <c r="AXZ3" s="58" t="s">
        <v>0</v>
      </c>
      <c r="AYA3" s="59"/>
      <c r="AYB3" s="60"/>
      <c r="AYC3" s="213" t="s">
        <v>31</v>
      </c>
      <c r="AYD3" s="214"/>
      <c r="AYE3" s="58" t="s">
        <v>0</v>
      </c>
      <c r="AYF3" s="59"/>
      <c r="AYG3" s="60"/>
      <c r="AYH3" s="213" t="s">
        <v>31</v>
      </c>
      <c r="AYI3" s="214"/>
      <c r="AYJ3" s="58" t="s">
        <v>0</v>
      </c>
      <c r="AYK3" s="59"/>
      <c r="AYL3" s="60"/>
      <c r="AYM3" s="213" t="s">
        <v>31</v>
      </c>
      <c r="AYN3" s="214"/>
      <c r="AYO3" s="58" t="s">
        <v>0</v>
      </c>
      <c r="AYP3" s="59"/>
      <c r="AYQ3" s="60"/>
      <c r="AYR3" s="213" t="s">
        <v>31</v>
      </c>
      <c r="AYS3" s="214"/>
      <c r="AYT3" s="58" t="s">
        <v>0</v>
      </c>
      <c r="AYU3" s="59"/>
      <c r="AYV3" s="60"/>
      <c r="AYW3" s="213" t="s">
        <v>31</v>
      </c>
      <c r="AYX3" s="214"/>
      <c r="AYY3" s="58" t="s">
        <v>0</v>
      </c>
      <c r="AYZ3" s="59"/>
      <c r="AZA3" s="60"/>
      <c r="AZB3" s="213" t="s">
        <v>52</v>
      </c>
      <c r="AZC3" s="214"/>
      <c r="AZD3" s="58" t="s">
        <v>0</v>
      </c>
      <c r="AZE3" s="59"/>
      <c r="AZF3" s="60"/>
      <c r="AZG3" s="213" t="s">
        <v>52</v>
      </c>
      <c r="AZH3" s="214"/>
      <c r="AZI3" s="58" t="s">
        <v>0</v>
      </c>
      <c r="AZJ3" s="59"/>
      <c r="AZK3" s="60"/>
      <c r="AZL3" s="213" t="s">
        <v>52</v>
      </c>
      <c r="AZM3" s="214"/>
      <c r="AZN3" s="58" t="s">
        <v>0</v>
      </c>
      <c r="AZO3" s="59"/>
      <c r="AZP3" s="60"/>
      <c r="AZQ3" s="213" t="s">
        <v>31</v>
      </c>
      <c r="AZR3" s="214"/>
      <c r="AZS3" s="58" t="s">
        <v>0</v>
      </c>
      <c r="AZT3" s="59"/>
      <c r="AZU3" s="60"/>
      <c r="AZV3" s="213" t="s">
        <v>52</v>
      </c>
      <c r="AZW3" s="214"/>
      <c r="AZX3" s="58" t="s">
        <v>0</v>
      </c>
      <c r="AZY3" s="59"/>
      <c r="AZZ3" s="60"/>
      <c r="BAA3" s="213" t="s">
        <v>31</v>
      </c>
      <c r="BAB3" s="214"/>
      <c r="BAC3" s="58" t="s">
        <v>0</v>
      </c>
      <c r="BAD3" s="59"/>
      <c r="BAE3" s="60"/>
      <c r="BAF3" s="213" t="s">
        <v>31</v>
      </c>
      <c r="BAG3" s="214"/>
      <c r="BAH3" s="58" t="s">
        <v>0</v>
      </c>
      <c r="BAI3" s="59"/>
      <c r="BAJ3" s="60"/>
      <c r="BAK3" s="213" t="s">
        <v>31</v>
      </c>
      <c r="BAL3" s="214"/>
      <c r="BAM3" s="58" t="s">
        <v>0</v>
      </c>
      <c r="BAN3" s="59"/>
      <c r="BAO3" s="60"/>
      <c r="BAP3" s="213" t="s">
        <v>52</v>
      </c>
      <c r="BAQ3" s="214"/>
      <c r="BAR3" s="58" t="s">
        <v>0</v>
      </c>
      <c r="BAS3" s="59"/>
      <c r="BAT3" s="60"/>
      <c r="BAU3" s="213" t="s">
        <v>31</v>
      </c>
      <c r="BAV3" s="214"/>
      <c r="BAW3" s="58" t="s">
        <v>0</v>
      </c>
      <c r="BAX3" s="59"/>
      <c r="BAY3" s="60"/>
      <c r="BAZ3" s="213" t="s">
        <v>52</v>
      </c>
      <c r="BBA3" s="214"/>
      <c r="BBB3" s="58" t="s">
        <v>0</v>
      </c>
      <c r="BBC3" s="59"/>
      <c r="BBD3" s="60"/>
      <c r="BBE3" s="213" t="s">
        <v>31</v>
      </c>
      <c r="BBF3" s="214"/>
      <c r="BBG3" s="58" t="s">
        <v>0</v>
      </c>
      <c r="BBH3" s="59"/>
      <c r="BBI3" s="60"/>
      <c r="BBJ3" s="213" t="s">
        <v>31</v>
      </c>
      <c r="BBK3" s="214"/>
      <c r="BBL3" s="58" t="s">
        <v>0</v>
      </c>
      <c r="BBM3" s="59"/>
      <c r="BBN3" s="60"/>
      <c r="BBO3" s="213" t="s">
        <v>31</v>
      </c>
      <c r="BBP3" s="214"/>
      <c r="BBQ3" s="58" t="s">
        <v>0</v>
      </c>
      <c r="BBR3" s="59"/>
      <c r="BBS3" s="60"/>
      <c r="BBT3" s="213" t="s">
        <v>31</v>
      </c>
      <c r="BBU3" s="214"/>
      <c r="BBV3" s="58" t="s">
        <v>0</v>
      </c>
      <c r="BBW3" s="59"/>
      <c r="BBX3" s="60"/>
      <c r="BBY3" s="213" t="s">
        <v>31</v>
      </c>
      <c r="BBZ3" s="214"/>
      <c r="BCA3" s="58" t="s">
        <v>0</v>
      </c>
      <c r="BCB3" s="59"/>
      <c r="BCC3" s="60"/>
      <c r="BCD3" s="213" t="s">
        <v>31</v>
      </c>
      <c r="BCE3" s="214"/>
      <c r="BCF3" s="58" t="s">
        <v>0</v>
      </c>
      <c r="BCG3" s="59"/>
      <c r="BCH3" s="60"/>
      <c r="BCI3" s="213" t="s">
        <v>31</v>
      </c>
      <c r="BCJ3" s="214"/>
      <c r="BCK3" s="58" t="s">
        <v>0</v>
      </c>
      <c r="BCL3" s="59"/>
      <c r="BCM3" s="60"/>
      <c r="BCN3" s="213" t="s">
        <v>31</v>
      </c>
      <c r="BCO3" s="214"/>
      <c r="BCP3" s="58" t="s">
        <v>0</v>
      </c>
      <c r="BCQ3" s="59"/>
      <c r="BCR3" s="60"/>
      <c r="BCS3" s="213" t="s">
        <v>31</v>
      </c>
      <c r="BCT3" s="214"/>
      <c r="BCU3" s="58" t="s">
        <v>0</v>
      </c>
      <c r="BCV3" s="59"/>
      <c r="BCW3" s="60"/>
      <c r="BCX3" s="213" t="s">
        <v>52</v>
      </c>
      <c r="BCY3" s="214"/>
      <c r="BCZ3" s="58" t="s">
        <v>0</v>
      </c>
      <c r="BDA3" s="59"/>
      <c r="BDB3" s="60"/>
      <c r="BDC3" s="213" t="s">
        <v>31</v>
      </c>
      <c r="BDD3" s="214"/>
      <c r="BDE3" s="58" t="s">
        <v>0</v>
      </c>
      <c r="BDF3" s="59"/>
      <c r="BDG3" s="60"/>
      <c r="BDH3" s="213" t="s">
        <v>31</v>
      </c>
      <c r="BDI3" s="214"/>
      <c r="BDJ3" s="58" t="s">
        <v>0</v>
      </c>
      <c r="BDK3" s="59"/>
      <c r="BDL3" s="60"/>
      <c r="BDM3" s="213" t="s">
        <v>31</v>
      </c>
      <c r="BDN3" s="214"/>
      <c r="BDO3" s="58" t="s">
        <v>0</v>
      </c>
      <c r="BDP3" s="59"/>
      <c r="BDQ3" s="60"/>
      <c r="BDR3" s="213" t="s">
        <v>31</v>
      </c>
      <c r="BDS3" s="214"/>
      <c r="BDT3" s="58" t="s">
        <v>0</v>
      </c>
      <c r="BDU3" s="59"/>
      <c r="BDV3" s="60"/>
      <c r="BDW3" s="213" t="s">
        <v>31</v>
      </c>
      <c r="BDX3" s="214"/>
      <c r="BDY3" s="58" t="s">
        <v>0</v>
      </c>
      <c r="BDZ3" s="59"/>
      <c r="BEA3" s="60"/>
      <c r="BEB3" s="213" t="s">
        <v>31</v>
      </c>
      <c r="BEC3" s="214"/>
      <c r="BED3" s="58" t="s">
        <v>0</v>
      </c>
      <c r="BEE3" s="59"/>
      <c r="BEF3" s="60"/>
      <c r="BEG3" s="213" t="s">
        <v>31</v>
      </c>
      <c r="BEH3" s="214"/>
      <c r="BEI3" s="58" t="s">
        <v>0</v>
      </c>
      <c r="BEJ3" s="59"/>
      <c r="BEK3" s="60"/>
      <c r="BEL3" s="213" t="s">
        <v>31</v>
      </c>
      <c r="BEM3" s="214"/>
      <c r="BEN3" s="58" t="s">
        <v>0</v>
      </c>
      <c r="BEO3" s="59"/>
      <c r="BEP3" s="60"/>
      <c r="BEQ3" s="213" t="s">
        <v>31</v>
      </c>
      <c r="BER3" s="214"/>
      <c r="BES3" s="58" t="s">
        <v>0</v>
      </c>
      <c r="BET3" s="59"/>
      <c r="BEU3" s="60"/>
      <c r="BEV3" s="213" t="s">
        <v>31</v>
      </c>
      <c r="BEW3" s="214"/>
      <c r="BEX3" s="58" t="s">
        <v>0</v>
      </c>
      <c r="BEY3" s="59"/>
      <c r="BEZ3" s="60"/>
      <c r="BFA3" s="213" t="s">
        <v>31</v>
      </c>
      <c r="BFB3" s="214"/>
      <c r="BFC3" s="58" t="s">
        <v>0</v>
      </c>
      <c r="BFD3" s="59"/>
      <c r="BFE3" s="60"/>
      <c r="BFF3" s="213" t="s">
        <v>31</v>
      </c>
      <c r="BFG3" s="214"/>
      <c r="BFH3" s="58" t="s">
        <v>0</v>
      </c>
      <c r="BFI3" s="59"/>
      <c r="BFJ3" s="60"/>
      <c r="BFK3" s="213" t="s">
        <v>31</v>
      </c>
      <c r="BFL3" s="214"/>
      <c r="BFM3" s="58" t="s">
        <v>0</v>
      </c>
      <c r="BFN3" s="59"/>
      <c r="BFO3" s="60"/>
      <c r="BFP3" s="213" t="s">
        <v>31</v>
      </c>
      <c r="BFQ3" s="214"/>
      <c r="BFR3" s="58" t="s">
        <v>0</v>
      </c>
      <c r="BFS3" s="59"/>
      <c r="BFT3" s="60"/>
      <c r="BFU3" s="213" t="s">
        <v>31</v>
      </c>
      <c r="BFV3" s="214"/>
      <c r="BFW3" s="58" t="s">
        <v>0</v>
      </c>
      <c r="BFX3" s="59"/>
      <c r="BFY3" s="60"/>
      <c r="BFZ3" s="213" t="s">
        <v>31</v>
      </c>
      <c r="BGA3" s="214"/>
      <c r="BGB3" s="58" t="s">
        <v>0</v>
      </c>
      <c r="BGC3" s="59"/>
      <c r="BGD3" s="60"/>
      <c r="BGE3" s="213" t="s">
        <v>31</v>
      </c>
      <c r="BGF3" s="214"/>
      <c r="BGG3" s="58" t="s">
        <v>0</v>
      </c>
      <c r="BGH3" s="59"/>
      <c r="BGI3" s="60"/>
      <c r="BGJ3" s="213" t="s">
        <v>52</v>
      </c>
      <c r="BGK3" s="214"/>
      <c r="BGL3" s="58" t="s">
        <v>0</v>
      </c>
      <c r="BGM3" s="59"/>
      <c r="BGN3" s="60"/>
      <c r="BGO3" s="213" t="s">
        <v>31</v>
      </c>
      <c r="BGP3" s="214"/>
      <c r="BGQ3" s="58" t="s">
        <v>0</v>
      </c>
      <c r="BGR3" s="59"/>
      <c r="BGS3" s="60"/>
      <c r="BGT3" s="213" t="s">
        <v>31</v>
      </c>
      <c r="BGU3" s="214"/>
      <c r="BGV3" s="58" t="s">
        <v>0</v>
      </c>
      <c r="BGW3" s="59"/>
      <c r="BGX3" s="60"/>
      <c r="BGY3" s="213" t="s">
        <v>31</v>
      </c>
      <c r="BGZ3" s="214"/>
      <c r="BHA3" s="58" t="s">
        <v>0</v>
      </c>
      <c r="BHB3" s="59"/>
      <c r="BHC3" s="60"/>
      <c r="BHD3" s="213" t="s">
        <v>31</v>
      </c>
      <c r="BHE3" s="214"/>
      <c r="BHF3" s="58" t="s">
        <v>0</v>
      </c>
      <c r="BHG3" s="59"/>
      <c r="BHH3" s="60"/>
      <c r="BHI3" s="213" t="s">
        <v>31</v>
      </c>
      <c r="BHJ3" s="214"/>
      <c r="BHK3" s="58" t="s">
        <v>0</v>
      </c>
      <c r="BHL3" s="59"/>
      <c r="BHM3" s="60"/>
      <c r="BHN3" s="213" t="s">
        <v>31</v>
      </c>
      <c r="BHO3" s="214"/>
      <c r="BHP3" s="58" t="s">
        <v>0</v>
      </c>
      <c r="BHQ3" s="59"/>
      <c r="BHR3" s="60"/>
      <c r="BHS3" s="213" t="s">
        <v>31</v>
      </c>
      <c r="BHT3" s="214"/>
      <c r="BHU3" s="58" t="s">
        <v>0</v>
      </c>
      <c r="BHV3" s="59"/>
      <c r="BHW3" s="60"/>
      <c r="BHX3" s="213" t="s">
        <v>31</v>
      </c>
      <c r="BHY3" s="214"/>
      <c r="BHZ3" s="58" t="s">
        <v>0</v>
      </c>
      <c r="BIA3" s="59"/>
      <c r="BIB3" s="60"/>
      <c r="BIC3" s="213" t="s">
        <v>31</v>
      </c>
      <c r="BID3" s="214"/>
      <c r="BIE3" s="58" t="s">
        <v>0</v>
      </c>
      <c r="BIF3" s="59"/>
      <c r="BIG3" s="60"/>
      <c r="BIH3" s="213" t="s">
        <v>31</v>
      </c>
      <c r="BII3" s="214"/>
      <c r="BIJ3" s="58" t="s">
        <v>0</v>
      </c>
      <c r="BIK3" s="59"/>
      <c r="BIL3" s="60"/>
      <c r="BIM3" s="213" t="s">
        <v>31</v>
      </c>
      <c r="BIN3" s="214"/>
      <c r="BIO3" s="58" t="s">
        <v>0</v>
      </c>
      <c r="BIP3" s="59"/>
      <c r="BIQ3" s="60"/>
      <c r="BIR3" s="213" t="s">
        <v>31</v>
      </c>
      <c r="BIS3" s="214"/>
      <c r="BIT3" s="58" t="s">
        <v>0</v>
      </c>
      <c r="BIU3" s="59"/>
      <c r="BIV3" s="60"/>
      <c r="BIW3" s="213" t="s">
        <v>31</v>
      </c>
      <c r="BIX3" s="214"/>
      <c r="BIY3" s="58" t="s">
        <v>0</v>
      </c>
      <c r="BIZ3" s="59"/>
      <c r="BJA3" s="60"/>
      <c r="BJB3" s="213" t="s">
        <v>31</v>
      </c>
      <c r="BJC3" s="214"/>
      <c r="BJD3" s="58" t="s">
        <v>0</v>
      </c>
      <c r="BJE3" s="59"/>
      <c r="BJF3" s="60"/>
      <c r="BJG3" s="213" t="s">
        <v>52</v>
      </c>
      <c r="BJH3" s="214"/>
      <c r="BJI3" s="58" t="s">
        <v>0</v>
      </c>
      <c r="BJJ3" s="59"/>
      <c r="BJK3" s="60"/>
      <c r="BJL3" s="213" t="s">
        <v>31</v>
      </c>
      <c r="BJM3" s="214"/>
      <c r="BJN3" s="58" t="s">
        <v>0</v>
      </c>
      <c r="BJO3" s="59"/>
      <c r="BJP3" s="60"/>
      <c r="BJQ3" s="213" t="s">
        <v>31</v>
      </c>
      <c r="BJR3" s="214"/>
      <c r="BJS3" s="58" t="s">
        <v>0</v>
      </c>
      <c r="BJT3" s="59"/>
      <c r="BJU3" s="60"/>
      <c r="BJV3" s="213" t="s">
        <v>31</v>
      </c>
      <c r="BJW3" s="214"/>
      <c r="BJX3" s="58" t="s">
        <v>0</v>
      </c>
      <c r="BJY3" s="59"/>
      <c r="BJZ3" s="60"/>
      <c r="BKA3" s="213" t="s">
        <v>31</v>
      </c>
      <c r="BKB3" s="214"/>
      <c r="BKC3" s="58" t="s">
        <v>0</v>
      </c>
      <c r="BKD3" s="59"/>
      <c r="BKE3" s="60"/>
      <c r="BKF3" s="213" t="s">
        <v>31</v>
      </c>
      <c r="BKG3" s="214"/>
      <c r="BKH3" s="58" t="s">
        <v>0</v>
      </c>
      <c r="BKI3" s="59"/>
      <c r="BKJ3" s="60"/>
      <c r="BKK3" s="213" t="s">
        <v>31</v>
      </c>
      <c r="BKL3" s="214"/>
      <c r="BKM3" s="58" t="s">
        <v>0</v>
      </c>
      <c r="BKN3" s="59"/>
      <c r="BKO3" s="60"/>
      <c r="BKP3" s="213" t="s">
        <v>31</v>
      </c>
      <c r="BKQ3" s="214"/>
      <c r="BKR3" s="58" t="s">
        <v>0</v>
      </c>
      <c r="BKS3" s="59"/>
      <c r="BKT3" s="60"/>
      <c r="BKU3" s="213" t="s">
        <v>31</v>
      </c>
      <c r="BKV3" s="214"/>
      <c r="BKW3" s="58" t="s">
        <v>0</v>
      </c>
      <c r="BKX3" s="59"/>
      <c r="BKY3" s="60"/>
      <c r="BKZ3" s="213" t="s">
        <v>31</v>
      </c>
      <c r="BLA3" s="214"/>
      <c r="BLB3" s="58" t="s">
        <v>0</v>
      </c>
      <c r="BLC3" s="59"/>
      <c r="BLD3" s="60"/>
      <c r="BLE3" s="213" t="s">
        <v>31</v>
      </c>
      <c r="BLF3" s="214"/>
      <c r="BLG3" s="58" t="s">
        <v>0</v>
      </c>
      <c r="BLH3" s="59"/>
      <c r="BLI3" s="60"/>
      <c r="BLJ3" s="213" t="s">
        <v>31</v>
      </c>
      <c r="BLK3" s="214"/>
      <c r="BLL3" s="58" t="s">
        <v>0</v>
      </c>
      <c r="BLM3" s="59"/>
      <c r="BLN3" s="60"/>
      <c r="BLO3" s="213" t="s">
        <v>31</v>
      </c>
      <c r="BLP3" s="214"/>
      <c r="BLQ3" s="58" t="s">
        <v>0</v>
      </c>
      <c r="BLR3" s="59"/>
      <c r="BLS3" s="60"/>
      <c r="BLT3" s="213" t="s">
        <v>31</v>
      </c>
      <c r="BLU3" s="214"/>
      <c r="BLV3" s="58" t="s">
        <v>0</v>
      </c>
      <c r="BLW3" s="59"/>
      <c r="BLX3" s="60"/>
      <c r="BLY3" s="213" t="s">
        <v>31</v>
      </c>
      <c r="BLZ3" s="214"/>
      <c r="BMA3" s="58" t="s">
        <v>0</v>
      </c>
      <c r="BMB3" s="59"/>
      <c r="BMC3" s="60"/>
      <c r="BMD3" s="213" t="s">
        <v>31</v>
      </c>
      <c r="BME3" s="214"/>
      <c r="BMF3" s="58" t="s">
        <v>0</v>
      </c>
      <c r="BMG3" s="59"/>
      <c r="BMH3" s="60"/>
      <c r="BMI3" s="213" t="s">
        <v>31</v>
      </c>
      <c r="BMJ3" s="214"/>
      <c r="BMK3" s="58" t="s">
        <v>0</v>
      </c>
      <c r="BML3" s="59"/>
      <c r="BMM3" s="60"/>
      <c r="BMN3" s="213" t="s">
        <v>31</v>
      </c>
      <c r="BMO3" s="214"/>
      <c r="BMP3" s="58" t="s">
        <v>0</v>
      </c>
      <c r="BMQ3" s="59"/>
      <c r="BMR3" s="60"/>
      <c r="BMS3" s="213" t="s">
        <v>31</v>
      </c>
      <c r="BMT3" s="214"/>
      <c r="BMU3" s="58" t="s">
        <v>0</v>
      </c>
      <c r="BMV3" s="59"/>
      <c r="BMW3" s="60"/>
      <c r="BMX3" s="213" t="s">
        <v>52</v>
      </c>
      <c r="BMY3" s="214"/>
      <c r="BMZ3" s="58" t="s">
        <v>0</v>
      </c>
      <c r="BNA3" s="59"/>
      <c r="BNB3" s="60"/>
      <c r="BNC3" s="213" t="s">
        <v>31</v>
      </c>
      <c r="BND3" s="214"/>
      <c r="BNE3" s="58" t="s">
        <v>0</v>
      </c>
      <c r="BNF3" s="59"/>
      <c r="BNG3" s="60"/>
      <c r="BNH3" s="213" t="s">
        <v>31</v>
      </c>
      <c r="BNI3" s="214"/>
      <c r="BNJ3" s="58" t="s">
        <v>0</v>
      </c>
      <c r="BNK3" s="59"/>
      <c r="BNL3" s="60"/>
      <c r="BNM3" s="213" t="s">
        <v>31</v>
      </c>
      <c r="BNN3" s="214"/>
      <c r="BNO3" s="58" t="s">
        <v>0</v>
      </c>
      <c r="BNP3" s="59"/>
      <c r="BNQ3" s="60"/>
      <c r="BNR3" s="213" t="s">
        <v>31</v>
      </c>
      <c r="BNS3" s="214"/>
      <c r="BNT3" s="58" t="s">
        <v>0</v>
      </c>
      <c r="BNU3" s="59"/>
      <c r="BNV3" s="60"/>
      <c r="BNW3" s="213" t="s">
        <v>31</v>
      </c>
      <c r="BNX3" s="214"/>
      <c r="BNY3" s="58" t="s">
        <v>0</v>
      </c>
      <c r="BNZ3" s="59"/>
      <c r="BOA3" s="60"/>
      <c r="BOB3" s="213" t="s">
        <v>31</v>
      </c>
      <c r="BOC3" s="214"/>
      <c r="BOD3" s="58" t="s">
        <v>0</v>
      </c>
      <c r="BOE3" s="59"/>
      <c r="BOF3" s="60"/>
      <c r="BOG3" s="213" t="s">
        <v>31</v>
      </c>
      <c r="BOH3" s="214"/>
      <c r="BOI3" s="58" t="s">
        <v>0</v>
      </c>
      <c r="BOJ3" s="59"/>
      <c r="BOK3" s="60"/>
      <c r="BOL3" s="213" t="s">
        <v>31</v>
      </c>
      <c r="BOM3" s="214"/>
      <c r="BON3" s="58" t="s">
        <v>0</v>
      </c>
      <c r="BOO3" s="59"/>
      <c r="BOP3" s="60"/>
      <c r="BOQ3" s="213" t="s">
        <v>31</v>
      </c>
      <c r="BOR3" s="214"/>
      <c r="BOS3" s="58" t="s">
        <v>0</v>
      </c>
      <c r="BOT3" s="59"/>
      <c r="BOU3" s="60"/>
      <c r="BOV3" s="213" t="s">
        <v>52</v>
      </c>
      <c r="BOW3" s="214"/>
      <c r="BOX3" s="58" t="s">
        <v>0</v>
      </c>
      <c r="BOY3" s="59"/>
      <c r="BOZ3" s="60"/>
      <c r="BPA3" s="213" t="s">
        <v>31</v>
      </c>
      <c r="BPB3" s="214"/>
      <c r="BPC3" s="58" t="s">
        <v>0</v>
      </c>
      <c r="BPD3" s="59"/>
      <c r="BPE3" s="60"/>
      <c r="BPF3" s="213" t="s">
        <v>31</v>
      </c>
      <c r="BPG3" s="214"/>
      <c r="BPH3" s="58" t="s">
        <v>0</v>
      </c>
      <c r="BPI3" s="59"/>
      <c r="BPJ3" s="60"/>
      <c r="BPK3" s="213" t="s">
        <v>31</v>
      </c>
      <c r="BPL3" s="214"/>
      <c r="BPM3" s="58" t="s">
        <v>0</v>
      </c>
      <c r="BPN3" s="59"/>
      <c r="BPO3" s="60"/>
      <c r="BPP3" s="213" t="s">
        <v>31</v>
      </c>
      <c r="BPQ3" s="214"/>
      <c r="BPR3" s="58" t="s">
        <v>0</v>
      </c>
      <c r="BPS3" s="59"/>
      <c r="BPT3" s="60"/>
      <c r="BPU3" s="213" t="s">
        <v>31</v>
      </c>
      <c r="BPV3" s="214"/>
      <c r="BPW3" s="58" t="s">
        <v>0</v>
      </c>
      <c r="BPX3" s="59"/>
      <c r="BPY3" s="60"/>
      <c r="BPZ3" s="213" t="s">
        <v>31</v>
      </c>
      <c r="BQA3" s="214"/>
      <c r="BQB3" s="58" t="s">
        <v>0</v>
      </c>
      <c r="BQC3" s="59"/>
      <c r="BQD3" s="60"/>
      <c r="BQE3" s="213" t="s">
        <v>31</v>
      </c>
      <c r="BQF3" s="214"/>
      <c r="BQG3" s="58" t="s">
        <v>0</v>
      </c>
      <c r="BQH3" s="59"/>
      <c r="BQI3" s="60"/>
      <c r="BQJ3" s="213" t="s">
        <v>31</v>
      </c>
      <c r="BQK3" s="214"/>
      <c r="BQL3" s="58" t="s">
        <v>0</v>
      </c>
      <c r="BQM3" s="59"/>
      <c r="BQN3" s="60"/>
      <c r="BQO3" s="213" t="s">
        <v>31</v>
      </c>
      <c r="BQP3" s="214"/>
      <c r="BQQ3" s="58" t="s">
        <v>0</v>
      </c>
      <c r="BQR3" s="59"/>
      <c r="BQS3" s="60"/>
      <c r="BQT3" s="213" t="s">
        <v>31</v>
      </c>
      <c r="BQU3" s="214"/>
      <c r="BQV3" s="58" t="s">
        <v>0</v>
      </c>
      <c r="BQW3" s="59"/>
      <c r="BQX3" s="60"/>
      <c r="BQY3" s="213" t="s">
        <v>31</v>
      </c>
      <c r="BQZ3" s="214"/>
      <c r="BRA3" s="58" t="s">
        <v>0</v>
      </c>
      <c r="BRB3" s="59"/>
      <c r="BRC3" s="60"/>
      <c r="BRD3" s="213" t="s">
        <v>61</v>
      </c>
      <c r="BRE3" s="214"/>
      <c r="BRF3" s="58" t="s">
        <v>0</v>
      </c>
      <c r="BRG3" s="59"/>
      <c r="BRH3" s="60"/>
      <c r="BRI3" s="213" t="s">
        <v>31</v>
      </c>
      <c r="BRJ3" s="214"/>
      <c r="BRK3" s="58" t="s">
        <v>0</v>
      </c>
      <c r="BRL3" s="59"/>
      <c r="BRM3" s="60"/>
      <c r="BRN3" s="213" t="s">
        <v>31</v>
      </c>
      <c r="BRO3" s="214"/>
      <c r="BRP3" s="58" t="s">
        <v>0</v>
      </c>
      <c r="BRQ3" s="59"/>
      <c r="BRR3" s="60"/>
      <c r="BRS3" s="213" t="s">
        <v>61</v>
      </c>
      <c r="BRT3" s="214"/>
      <c r="BRU3" s="58" t="s">
        <v>0</v>
      </c>
      <c r="BRV3" s="59"/>
      <c r="BRW3" s="60"/>
      <c r="BRX3" s="213" t="s">
        <v>61</v>
      </c>
      <c r="BRY3" s="214"/>
      <c r="BRZ3" s="58" t="s">
        <v>0</v>
      </c>
      <c r="BSA3" s="59"/>
      <c r="BSB3" s="60"/>
      <c r="BSC3" s="213" t="s">
        <v>61</v>
      </c>
      <c r="BSD3" s="214"/>
      <c r="BSE3" s="58" t="s">
        <v>0</v>
      </c>
      <c r="BSF3" s="59"/>
      <c r="BSG3" s="60"/>
      <c r="BSH3" s="213" t="s">
        <v>61</v>
      </c>
      <c r="BSI3" s="214"/>
      <c r="BSJ3" s="58" t="s">
        <v>0</v>
      </c>
      <c r="BSK3" s="59"/>
      <c r="BSL3" s="60"/>
      <c r="BSM3" s="213" t="s">
        <v>61</v>
      </c>
      <c r="BSN3" s="214"/>
      <c r="BSO3" s="58" t="s">
        <v>0</v>
      </c>
      <c r="BSP3" s="59"/>
      <c r="BSQ3" s="60"/>
      <c r="BSR3" s="213" t="s">
        <v>31</v>
      </c>
      <c r="BSS3" s="214"/>
      <c r="BST3" s="58" t="s">
        <v>0</v>
      </c>
      <c r="BSU3" s="59"/>
      <c r="BSV3" s="60"/>
      <c r="BSW3" s="213" t="s">
        <v>31</v>
      </c>
      <c r="BSX3" s="214"/>
      <c r="BSY3" s="58" t="s">
        <v>0</v>
      </c>
      <c r="BSZ3" s="59"/>
      <c r="BTA3" s="60"/>
      <c r="BTB3" s="213" t="s">
        <v>61</v>
      </c>
      <c r="BTC3" s="214"/>
      <c r="BTD3" s="58" t="s">
        <v>0</v>
      </c>
      <c r="BTE3" s="59"/>
      <c r="BTF3" s="60"/>
      <c r="BTG3" s="213" t="s">
        <v>61</v>
      </c>
      <c r="BTH3" s="214"/>
      <c r="BTI3" s="58" t="s">
        <v>0</v>
      </c>
      <c r="BTJ3" s="59"/>
      <c r="BTK3" s="60"/>
      <c r="BTL3" s="213" t="s">
        <v>61</v>
      </c>
      <c r="BTM3" s="214"/>
      <c r="BTN3" s="58" t="s">
        <v>0</v>
      </c>
      <c r="BTO3" s="59"/>
      <c r="BTP3" s="60"/>
      <c r="BTQ3" s="213" t="s">
        <v>61</v>
      </c>
      <c r="BTR3" s="214"/>
      <c r="BTS3" s="58" t="s">
        <v>0</v>
      </c>
      <c r="BTT3" s="59"/>
      <c r="BTU3" s="60"/>
      <c r="BTV3" s="213" t="s">
        <v>68</v>
      </c>
      <c r="BTW3" s="214"/>
      <c r="BTX3" s="58" t="s">
        <v>0</v>
      </c>
      <c r="BTY3" s="59"/>
      <c r="BTZ3" s="60"/>
      <c r="BUA3" s="213" t="s">
        <v>31</v>
      </c>
      <c r="BUB3" s="214"/>
      <c r="BUC3" s="58" t="s">
        <v>0</v>
      </c>
      <c r="BUD3" s="59"/>
      <c r="BUE3" s="60"/>
      <c r="BUF3" s="213" t="s">
        <v>31</v>
      </c>
      <c r="BUG3" s="214"/>
      <c r="BUH3" s="58" t="s">
        <v>0</v>
      </c>
      <c r="BUI3" s="59"/>
      <c r="BUJ3" s="60"/>
      <c r="BUK3" s="213" t="s">
        <v>31</v>
      </c>
      <c r="BUL3" s="214"/>
      <c r="BUM3" s="58" t="s">
        <v>0</v>
      </c>
      <c r="BUN3" s="59"/>
      <c r="BUO3" s="60"/>
      <c r="BUP3" s="213" t="s">
        <v>31</v>
      </c>
      <c r="BUQ3" s="214"/>
      <c r="BUR3" s="58" t="s">
        <v>0</v>
      </c>
      <c r="BUS3" s="59"/>
      <c r="BUT3" s="60"/>
      <c r="BUU3" s="213" t="s">
        <v>61</v>
      </c>
      <c r="BUV3" s="214"/>
      <c r="BUW3" s="58" t="s">
        <v>0</v>
      </c>
      <c r="BUX3" s="59"/>
      <c r="BUY3" s="60"/>
      <c r="BUZ3" s="213" t="s">
        <v>61</v>
      </c>
      <c r="BVA3" s="214"/>
      <c r="BVB3" s="58" t="s">
        <v>0</v>
      </c>
      <c r="BVC3" s="59"/>
      <c r="BVD3" s="60"/>
      <c r="BVE3" s="213" t="s">
        <v>61</v>
      </c>
      <c r="BVF3" s="214"/>
      <c r="BVG3" s="58" t="s">
        <v>0</v>
      </c>
      <c r="BVH3" s="59"/>
      <c r="BVI3" s="60"/>
      <c r="BVJ3" s="213" t="s">
        <v>41</v>
      </c>
      <c r="BVK3" s="214"/>
      <c r="BVL3" s="58" t="s">
        <v>0</v>
      </c>
      <c r="BVM3" s="59"/>
      <c r="BVN3" s="60"/>
      <c r="BVO3" s="213" t="s">
        <v>61</v>
      </c>
      <c r="BVP3" s="214"/>
      <c r="BVQ3" s="58" t="s">
        <v>0</v>
      </c>
      <c r="BVR3" s="59"/>
      <c r="BVS3" s="60"/>
      <c r="BVT3" s="213" t="s">
        <v>61</v>
      </c>
      <c r="BVU3" s="214"/>
      <c r="BVV3" s="58" t="s">
        <v>0</v>
      </c>
      <c r="BVW3" s="59"/>
      <c r="BVX3" s="60"/>
      <c r="BVY3" s="213" t="s">
        <v>31</v>
      </c>
      <c r="BVZ3" s="214"/>
      <c r="BWA3" s="58" t="s">
        <v>0</v>
      </c>
      <c r="BWB3" s="59"/>
      <c r="BWC3" s="60"/>
      <c r="BWD3" s="213" t="s">
        <v>52</v>
      </c>
      <c r="BWE3" s="214"/>
      <c r="BWF3" s="58" t="s">
        <v>0</v>
      </c>
      <c r="BWG3" s="59"/>
      <c r="BWH3" s="60"/>
      <c r="BWI3" s="213" t="s">
        <v>61</v>
      </c>
      <c r="BWJ3" s="214"/>
      <c r="BWK3" s="58" t="s">
        <v>0</v>
      </c>
      <c r="BWL3" s="59"/>
      <c r="BWM3" s="60"/>
      <c r="BWN3" s="213" t="s">
        <v>61</v>
      </c>
      <c r="BWO3" s="214"/>
      <c r="BWP3" s="58" t="s">
        <v>0</v>
      </c>
      <c r="BWQ3" s="59"/>
      <c r="BWR3" s="60"/>
      <c r="BWS3" s="213" t="s">
        <v>61</v>
      </c>
      <c r="BWT3" s="214"/>
      <c r="BWU3" s="58" t="s">
        <v>0</v>
      </c>
      <c r="BWV3" s="59"/>
      <c r="BWW3" s="60"/>
      <c r="BWX3" s="213" t="s">
        <v>61</v>
      </c>
      <c r="BWY3" s="214"/>
      <c r="BWZ3" s="58" t="s">
        <v>0</v>
      </c>
      <c r="BXA3" s="59"/>
      <c r="BXB3" s="60"/>
      <c r="BXC3" s="213" t="s">
        <v>31</v>
      </c>
      <c r="BXD3" s="214"/>
      <c r="BXE3" s="58" t="s">
        <v>0</v>
      </c>
      <c r="BXF3" s="59"/>
      <c r="BXG3" s="60"/>
      <c r="BXH3" s="213" t="s">
        <v>31</v>
      </c>
      <c r="BXI3" s="214"/>
      <c r="BXJ3" s="58" t="s">
        <v>0</v>
      </c>
      <c r="BXK3" s="59"/>
      <c r="BXL3" s="60"/>
      <c r="BXM3" s="213" t="s">
        <v>31</v>
      </c>
      <c r="BXN3" s="214"/>
      <c r="BXO3" s="58" t="s">
        <v>0</v>
      </c>
      <c r="BXP3" s="59"/>
      <c r="BXQ3" s="60"/>
      <c r="BXR3" s="213" t="s">
        <v>61</v>
      </c>
      <c r="BXS3" s="214"/>
      <c r="BXT3" s="58" t="s">
        <v>0</v>
      </c>
      <c r="BXU3" s="59"/>
      <c r="BXV3" s="60"/>
      <c r="BXW3" s="213" t="s">
        <v>41</v>
      </c>
      <c r="BXX3" s="214"/>
      <c r="BXY3" s="58" t="s">
        <v>0</v>
      </c>
      <c r="BXZ3" s="59"/>
      <c r="BYA3" s="60"/>
      <c r="BYB3" s="213" t="s">
        <v>61</v>
      </c>
      <c r="BYC3" s="214"/>
      <c r="BYD3" s="58" t="s">
        <v>0</v>
      </c>
      <c r="BYE3" s="59"/>
      <c r="BYF3" s="60"/>
      <c r="BYG3" s="213" t="s">
        <v>61</v>
      </c>
      <c r="BYH3" s="214"/>
      <c r="BYI3" s="58" t="s">
        <v>0</v>
      </c>
      <c r="BYJ3" s="59"/>
      <c r="BYK3" s="60"/>
      <c r="BYL3" s="213" t="s">
        <v>61</v>
      </c>
      <c r="BYM3" s="214"/>
      <c r="BYN3" s="58" t="s">
        <v>0</v>
      </c>
      <c r="BYO3" s="59"/>
      <c r="BYP3" s="60"/>
      <c r="BYQ3" s="213" t="s">
        <v>61</v>
      </c>
      <c r="BYR3" s="214"/>
      <c r="BYS3" s="58" t="s">
        <v>0</v>
      </c>
      <c r="BYT3" s="59"/>
      <c r="BYU3" s="60"/>
      <c r="BYV3" s="213" t="s">
        <v>61</v>
      </c>
      <c r="BYW3" s="214"/>
      <c r="BYX3" s="58" t="s">
        <v>0</v>
      </c>
      <c r="BYY3" s="59"/>
      <c r="BYZ3" s="60"/>
      <c r="BZA3" s="213" t="s">
        <v>31</v>
      </c>
      <c r="BZB3" s="214"/>
      <c r="BZC3" s="58" t="s">
        <v>0</v>
      </c>
      <c r="BZD3" s="59"/>
      <c r="BZE3" s="60"/>
      <c r="BZF3" s="213" t="s">
        <v>31</v>
      </c>
      <c r="BZG3" s="214"/>
      <c r="BZH3" s="58" t="s">
        <v>0</v>
      </c>
      <c r="BZI3" s="59"/>
      <c r="BZJ3" s="60"/>
      <c r="BZK3" s="213" t="s">
        <v>61</v>
      </c>
      <c r="BZL3" s="214"/>
      <c r="BZM3" s="58" t="s">
        <v>0</v>
      </c>
      <c r="BZN3" s="59"/>
      <c r="BZO3" s="60"/>
      <c r="BZP3" s="213" t="s">
        <v>61</v>
      </c>
      <c r="BZQ3" s="214"/>
      <c r="BZR3" s="58" t="s">
        <v>0</v>
      </c>
      <c r="BZS3" s="59"/>
      <c r="BZT3" s="60"/>
      <c r="BZU3" s="213" t="s">
        <v>61</v>
      </c>
      <c r="BZV3" s="214"/>
      <c r="BZW3" s="58" t="s">
        <v>0</v>
      </c>
      <c r="BZX3" s="59"/>
      <c r="BZY3" s="60"/>
      <c r="BZZ3" s="213" t="s">
        <v>61</v>
      </c>
      <c r="CAA3" s="214"/>
      <c r="CAB3" s="58" t="s">
        <v>0</v>
      </c>
      <c r="CAC3" s="59"/>
      <c r="CAD3" s="60"/>
      <c r="CAE3" s="213" t="s">
        <v>61</v>
      </c>
      <c r="CAF3" s="214"/>
      <c r="CAG3" s="58" t="s">
        <v>0</v>
      </c>
      <c r="CAH3" s="59"/>
      <c r="CAI3" s="60"/>
      <c r="CAJ3" s="213" t="s">
        <v>61</v>
      </c>
      <c r="CAK3" s="214"/>
      <c r="CAL3" s="58" t="s">
        <v>0</v>
      </c>
      <c r="CAM3" s="59"/>
      <c r="CAN3" s="60"/>
      <c r="CAO3" s="213" t="s">
        <v>61</v>
      </c>
      <c r="CAP3" s="214"/>
      <c r="CAQ3" s="58" t="s">
        <v>0</v>
      </c>
      <c r="CAR3" s="59"/>
      <c r="CAS3" s="60"/>
      <c r="CAT3" s="213" t="s">
        <v>61</v>
      </c>
      <c r="CAU3" s="214"/>
      <c r="CAV3" s="58" t="s">
        <v>0</v>
      </c>
      <c r="CAW3" s="59"/>
      <c r="CAX3" s="60"/>
      <c r="CAY3" s="213" t="s">
        <v>61</v>
      </c>
      <c r="CAZ3" s="214"/>
      <c r="CBA3" s="58" t="s">
        <v>0</v>
      </c>
      <c r="CBB3" s="59"/>
      <c r="CBC3" s="60"/>
      <c r="CBD3" s="213" t="s">
        <v>61</v>
      </c>
      <c r="CBE3" s="214"/>
      <c r="CBF3" s="58" t="s">
        <v>0</v>
      </c>
      <c r="CBG3" s="59"/>
      <c r="CBH3" s="60"/>
      <c r="CBI3" s="213" t="s">
        <v>61</v>
      </c>
      <c r="CBJ3" s="214"/>
      <c r="CBK3" s="58" t="s">
        <v>0</v>
      </c>
      <c r="CBL3" s="59"/>
      <c r="CBM3" s="60"/>
      <c r="CBN3" s="213" t="s">
        <v>31</v>
      </c>
      <c r="CBO3" s="214"/>
      <c r="CBP3" s="58" t="s">
        <v>0</v>
      </c>
      <c r="CBQ3" s="59"/>
      <c r="CBR3" s="60"/>
      <c r="CBS3" s="213" t="s">
        <v>31</v>
      </c>
      <c r="CBT3" s="214"/>
      <c r="CBU3" s="58" t="s">
        <v>0</v>
      </c>
      <c r="CBV3" s="59"/>
      <c r="CBW3" s="60"/>
      <c r="CBX3" s="213" t="s">
        <v>61</v>
      </c>
      <c r="CBY3" s="214"/>
      <c r="CBZ3" s="58" t="s">
        <v>0</v>
      </c>
      <c r="CCA3" s="59"/>
      <c r="CCB3" s="60"/>
      <c r="CCC3" s="213" t="s">
        <v>61</v>
      </c>
      <c r="CCD3" s="214"/>
      <c r="CCE3" s="58" t="s">
        <v>0</v>
      </c>
      <c r="CCF3" s="59"/>
      <c r="CCG3" s="60"/>
      <c r="CCH3" s="213" t="s">
        <v>61</v>
      </c>
      <c r="CCI3" s="214"/>
      <c r="CCJ3" s="58" t="s">
        <v>0</v>
      </c>
      <c r="CCK3" s="59"/>
      <c r="CCL3" s="60"/>
      <c r="CCM3" s="213" t="s">
        <v>31</v>
      </c>
      <c r="CCN3" s="214"/>
      <c r="CCO3" s="58" t="s">
        <v>0</v>
      </c>
      <c r="CCP3" s="59"/>
      <c r="CCQ3" s="60"/>
      <c r="CCR3" s="213" t="s">
        <v>31</v>
      </c>
      <c r="CCS3" s="214"/>
      <c r="CCT3" s="58" t="s">
        <v>0</v>
      </c>
      <c r="CCU3" s="59"/>
      <c r="CCV3" s="60"/>
      <c r="CCW3" s="213" t="s">
        <v>31</v>
      </c>
      <c r="CCX3" s="214"/>
      <c r="CCY3" s="58" t="s">
        <v>0</v>
      </c>
      <c r="CCZ3" s="59"/>
      <c r="CDA3" s="60"/>
      <c r="CDB3" s="213" t="s">
        <v>61</v>
      </c>
      <c r="CDC3" s="214"/>
      <c r="CDD3" s="58" t="s">
        <v>0</v>
      </c>
      <c r="CDE3" s="59"/>
      <c r="CDF3" s="60"/>
      <c r="CDG3" s="213" t="s">
        <v>61</v>
      </c>
      <c r="CDH3" s="214"/>
      <c r="CDI3" s="58" t="s">
        <v>0</v>
      </c>
      <c r="CDJ3" s="59"/>
      <c r="CDK3" s="60"/>
      <c r="CDL3" s="213" t="s">
        <v>61</v>
      </c>
      <c r="CDM3" s="214"/>
      <c r="CDN3" s="58" t="s">
        <v>0</v>
      </c>
      <c r="CDO3" s="59"/>
      <c r="CDP3" s="60"/>
      <c r="CDQ3" s="213" t="s">
        <v>61</v>
      </c>
      <c r="CDR3" s="214"/>
      <c r="CDS3" s="58" t="s">
        <v>0</v>
      </c>
      <c r="CDT3" s="59"/>
      <c r="CDU3" s="60"/>
      <c r="CDV3" s="213" t="s">
        <v>31</v>
      </c>
      <c r="CDW3" s="214"/>
      <c r="CDX3" s="58" t="s">
        <v>0</v>
      </c>
      <c r="CDY3" s="59"/>
      <c r="CDZ3" s="60"/>
      <c r="CEA3" s="213" t="s">
        <v>31</v>
      </c>
      <c r="CEB3" s="214"/>
      <c r="CEC3" s="58" t="s">
        <v>0</v>
      </c>
      <c r="CED3" s="59"/>
      <c r="CEE3" s="60"/>
      <c r="CEF3" s="213" t="s">
        <v>61</v>
      </c>
      <c r="CEG3" s="214"/>
      <c r="CEH3" s="58" t="s">
        <v>0</v>
      </c>
      <c r="CEI3" s="59"/>
      <c r="CEJ3" s="60"/>
      <c r="CEK3" s="213" t="s">
        <v>61</v>
      </c>
      <c r="CEL3" s="214"/>
      <c r="CEM3" s="58" t="s">
        <v>0</v>
      </c>
      <c r="CEN3" s="59"/>
      <c r="CEO3" s="60"/>
      <c r="CEP3" s="213" t="s">
        <v>41</v>
      </c>
      <c r="CEQ3" s="214"/>
      <c r="CER3" s="58" t="s">
        <v>0</v>
      </c>
      <c r="CES3" s="59"/>
      <c r="CET3" s="60"/>
      <c r="CEU3" s="213" t="s">
        <v>61</v>
      </c>
      <c r="CEV3" s="214"/>
      <c r="CEW3" s="58" t="s">
        <v>0</v>
      </c>
      <c r="CEX3" s="59"/>
      <c r="CEY3" s="60"/>
      <c r="CEZ3" s="213" t="s">
        <v>61</v>
      </c>
      <c r="CFA3" s="214"/>
      <c r="CFB3" s="58" t="s">
        <v>0</v>
      </c>
      <c r="CFC3" s="59"/>
      <c r="CFD3" s="60"/>
      <c r="CFE3" s="213" t="s">
        <v>61</v>
      </c>
      <c r="CFF3" s="214"/>
      <c r="CFG3" s="58" t="s">
        <v>0</v>
      </c>
      <c r="CFH3" s="59"/>
      <c r="CFI3" s="60"/>
      <c r="CFJ3" s="213" t="s">
        <v>61</v>
      </c>
      <c r="CFK3" s="214"/>
      <c r="CFL3" s="58" t="s">
        <v>0</v>
      </c>
      <c r="CFM3" s="59"/>
      <c r="CFN3" s="60"/>
      <c r="CFO3" s="213" t="s">
        <v>31</v>
      </c>
      <c r="CFP3" s="214"/>
      <c r="CFQ3" s="58" t="s">
        <v>0</v>
      </c>
      <c r="CFR3" s="59"/>
      <c r="CFS3" s="60"/>
      <c r="CFT3" s="213" t="s">
        <v>61</v>
      </c>
      <c r="CFU3" s="214"/>
      <c r="CFV3" s="58" t="s">
        <v>0</v>
      </c>
      <c r="CFW3" s="59"/>
      <c r="CFX3" s="60"/>
      <c r="CFY3" s="213" t="s">
        <v>116</v>
      </c>
      <c r="CFZ3" s="214"/>
      <c r="CGA3" s="58" t="s">
        <v>0</v>
      </c>
      <c r="CGB3" s="59"/>
      <c r="CGC3" s="60"/>
      <c r="CGD3" s="213" t="s">
        <v>61</v>
      </c>
      <c r="CGE3" s="214"/>
      <c r="CGF3" s="58" t="s">
        <v>0</v>
      </c>
      <c r="CGG3" s="59"/>
      <c r="CGH3" s="60"/>
      <c r="CGI3" s="213" t="s">
        <v>31</v>
      </c>
      <c r="CGJ3" s="214"/>
      <c r="CGK3" s="58" t="s">
        <v>0</v>
      </c>
      <c r="CGL3" s="59"/>
      <c r="CGM3" s="60"/>
      <c r="CGN3" s="213" t="s">
        <v>61</v>
      </c>
      <c r="CGO3" s="214"/>
      <c r="CGP3" s="58" t="s">
        <v>0</v>
      </c>
      <c r="CGQ3" s="59"/>
      <c r="CGR3" s="60"/>
      <c r="CGS3" s="213" t="s">
        <v>31</v>
      </c>
      <c r="CGT3" s="214"/>
      <c r="CGU3" s="58" t="s">
        <v>0</v>
      </c>
      <c r="CGV3" s="59"/>
      <c r="CGW3" s="60"/>
      <c r="CGX3" s="213" t="s">
        <v>61</v>
      </c>
      <c r="CGY3" s="214"/>
      <c r="CGZ3" s="58" t="s">
        <v>0</v>
      </c>
      <c r="CHA3" s="59"/>
      <c r="CHB3" s="60"/>
      <c r="CHC3" s="213" t="s">
        <v>61</v>
      </c>
      <c r="CHD3" s="214"/>
      <c r="CHE3" s="58" t="s">
        <v>0</v>
      </c>
      <c r="CHF3" s="59"/>
      <c r="CHG3" s="60"/>
      <c r="CHH3" s="213" t="s">
        <v>61</v>
      </c>
      <c r="CHI3" s="214"/>
      <c r="CHJ3" s="58" t="s">
        <v>0</v>
      </c>
      <c r="CHK3" s="59"/>
      <c r="CHL3" s="60"/>
      <c r="CHM3" s="213" t="s">
        <v>61</v>
      </c>
      <c r="CHN3" s="214"/>
      <c r="CHO3" s="58" t="s">
        <v>0</v>
      </c>
      <c r="CHP3" s="59"/>
      <c r="CHQ3" s="60"/>
      <c r="CHR3" s="213" t="s">
        <v>31</v>
      </c>
      <c r="CHS3" s="214"/>
      <c r="CHT3" s="58" t="s">
        <v>0</v>
      </c>
      <c r="CHU3" s="59"/>
      <c r="CHV3" s="60"/>
      <c r="CHW3" s="213" t="s">
        <v>31</v>
      </c>
      <c r="CHX3" s="214"/>
      <c r="CHY3" s="58" t="s">
        <v>0</v>
      </c>
      <c r="CHZ3" s="59"/>
      <c r="CIA3" s="60"/>
      <c r="CIB3" s="213" t="s">
        <v>61</v>
      </c>
      <c r="CIC3" s="214"/>
      <c r="CID3" s="58" t="s">
        <v>0</v>
      </c>
      <c r="CIE3" s="59"/>
      <c r="CIF3" s="60"/>
      <c r="CIG3" s="213" t="s">
        <v>61</v>
      </c>
      <c r="CIH3" s="214"/>
      <c r="CII3" s="58" t="s">
        <v>0</v>
      </c>
      <c r="CIJ3" s="59"/>
      <c r="CIK3" s="60"/>
      <c r="CIL3" s="213" t="s">
        <v>61</v>
      </c>
      <c r="CIM3" s="214"/>
      <c r="CIN3" s="58" t="s">
        <v>0</v>
      </c>
      <c r="CIO3" s="59"/>
      <c r="CIP3" s="60"/>
      <c r="CIQ3" s="213" t="s">
        <v>61</v>
      </c>
      <c r="CIR3" s="214"/>
      <c r="CIS3" s="58" t="s">
        <v>0</v>
      </c>
      <c r="CIT3" s="59"/>
      <c r="CIU3" s="60"/>
      <c r="CIV3" s="213" t="s">
        <v>61</v>
      </c>
      <c r="CIW3" s="214"/>
      <c r="CIX3" s="58" t="s">
        <v>0</v>
      </c>
      <c r="CIY3" s="59"/>
      <c r="CIZ3" s="60"/>
      <c r="CJA3" s="213" t="s">
        <v>31</v>
      </c>
      <c r="CJB3" s="214"/>
      <c r="CJC3" s="58" t="s">
        <v>0</v>
      </c>
      <c r="CJD3" s="59"/>
      <c r="CJE3" s="60"/>
      <c r="CJF3" s="213" t="s">
        <v>61</v>
      </c>
      <c r="CJG3" s="214"/>
      <c r="CJH3" s="58" t="s">
        <v>0</v>
      </c>
      <c r="CJI3" s="59"/>
      <c r="CJJ3" s="60"/>
      <c r="CJK3" s="213" t="s">
        <v>61</v>
      </c>
      <c r="CJL3" s="214"/>
      <c r="CJM3" s="58" t="s">
        <v>0</v>
      </c>
      <c r="CJN3" s="59"/>
      <c r="CJO3" s="60"/>
      <c r="CJP3" s="213" t="s">
        <v>31</v>
      </c>
      <c r="CJQ3" s="214"/>
      <c r="CJR3" s="58" t="s">
        <v>0</v>
      </c>
      <c r="CJS3" s="59"/>
      <c r="CJT3" s="60"/>
      <c r="CJU3" s="213" t="s">
        <v>52</v>
      </c>
      <c r="CJV3" s="214"/>
      <c r="CJW3" s="58" t="s">
        <v>0</v>
      </c>
      <c r="CJX3" s="59"/>
      <c r="CJY3" s="60"/>
      <c r="CJZ3" s="213" t="s">
        <v>61</v>
      </c>
      <c r="CKA3" s="214"/>
      <c r="CKB3" s="58" t="s">
        <v>0</v>
      </c>
      <c r="CKC3" s="59"/>
      <c r="CKD3" s="60"/>
      <c r="CKE3" s="213" t="s">
        <v>68</v>
      </c>
      <c r="CKF3" s="214"/>
      <c r="CKG3" s="58" t="s">
        <v>0</v>
      </c>
      <c r="CKH3" s="59"/>
      <c r="CKI3" s="60"/>
      <c r="CKJ3" s="213" t="s">
        <v>123</v>
      </c>
      <c r="CKK3" s="214"/>
      <c r="CKL3" s="58" t="s">
        <v>0</v>
      </c>
      <c r="CKM3" s="59"/>
      <c r="CKN3" s="60"/>
      <c r="CKO3" s="213" t="s">
        <v>61</v>
      </c>
      <c r="CKP3" s="214"/>
      <c r="CKQ3" s="58" t="s">
        <v>0</v>
      </c>
      <c r="CKR3" s="59"/>
      <c r="CKS3" s="60"/>
      <c r="CKT3" s="213" t="s">
        <v>68</v>
      </c>
      <c r="CKU3" s="214"/>
      <c r="CKV3" s="58" t="s">
        <v>0</v>
      </c>
      <c r="CKW3" s="59"/>
      <c r="CKX3" s="60"/>
      <c r="CKY3" s="213" t="s">
        <v>31</v>
      </c>
      <c r="CKZ3" s="214"/>
      <c r="CLA3" s="58" t="s">
        <v>0</v>
      </c>
      <c r="CLB3" s="59"/>
      <c r="CLC3" s="60"/>
      <c r="CLD3" s="213" t="s">
        <v>31</v>
      </c>
      <c r="CLE3" s="214"/>
      <c r="CLF3" s="58" t="s">
        <v>0</v>
      </c>
      <c r="CLG3" s="59"/>
      <c r="CLH3" s="60"/>
      <c r="CLI3" s="213" t="s">
        <v>61</v>
      </c>
      <c r="CLJ3" s="214"/>
      <c r="CLK3" s="58" t="s">
        <v>0</v>
      </c>
      <c r="CLL3" s="59"/>
      <c r="CLM3" s="60"/>
      <c r="CLN3" s="213" t="s">
        <v>61</v>
      </c>
      <c r="CLO3" s="214"/>
      <c r="CLP3" s="58" t="s">
        <v>0</v>
      </c>
      <c r="CLQ3" s="59"/>
      <c r="CLR3" s="60"/>
      <c r="CLS3" s="213" t="s">
        <v>68</v>
      </c>
      <c r="CLT3" s="214"/>
      <c r="CLU3" s="58" t="s">
        <v>0</v>
      </c>
      <c r="CLV3" s="59"/>
      <c r="CLW3" s="60"/>
      <c r="CLX3" s="213" t="s">
        <v>61</v>
      </c>
      <c r="CLY3" s="214"/>
      <c r="CLZ3" s="58" t="s">
        <v>0</v>
      </c>
      <c r="CMA3" s="59"/>
      <c r="CMB3" s="60"/>
      <c r="CMC3" s="213" t="s">
        <v>61</v>
      </c>
      <c r="CMD3" s="214"/>
      <c r="CME3" s="58" t="s">
        <v>0</v>
      </c>
      <c r="CMF3" s="59"/>
      <c r="CMG3" s="60"/>
      <c r="CMH3" s="213" t="s">
        <v>31</v>
      </c>
      <c r="CMI3" s="214"/>
      <c r="CMJ3" s="58" t="s">
        <v>0</v>
      </c>
      <c r="CMK3" s="59"/>
      <c r="CML3" s="60"/>
      <c r="CMM3" s="213" t="s">
        <v>31</v>
      </c>
      <c r="CMN3" s="214"/>
      <c r="CMO3" s="58" t="s">
        <v>0</v>
      </c>
      <c r="CMP3" s="59"/>
      <c r="CMQ3" s="60"/>
      <c r="CMR3" s="213" t="s">
        <v>31</v>
      </c>
      <c r="CMS3" s="214"/>
      <c r="CMT3" s="58" t="s">
        <v>0</v>
      </c>
      <c r="CMU3" s="59"/>
      <c r="CMV3" s="60"/>
      <c r="CMW3" s="213" t="s">
        <v>61</v>
      </c>
      <c r="CMX3" s="214"/>
      <c r="CMY3" s="58" t="s">
        <v>0</v>
      </c>
      <c r="CMZ3" s="59"/>
      <c r="CNA3" s="60"/>
      <c r="CNB3" s="213" t="s">
        <v>61</v>
      </c>
      <c r="CNC3" s="214"/>
      <c r="CND3" s="58" t="s">
        <v>0</v>
      </c>
      <c r="CNE3" s="59"/>
      <c r="CNF3" s="60"/>
      <c r="CNG3" s="213" t="s">
        <v>61</v>
      </c>
      <c r="CNH3" s="214"/>
      <c r="CNI3" s="58" t="s">
        <v>0</v>
      </c>
      <c r="CNJ3" s="59"/>
      <c r="CNK3" s="60"/>
      <c r="CNL3" s="213" t="s">
        <v>31</v>
      </c>
      <c r="CNM3" s="214"/>
      <c r="CNN3" s="58" t="s">
        <v>0</v>
      </c>
      <c r="CNO3" s="59"/>
      <c r="CNP3" s="60"/>
      <c r="CNQ3" s="213" t="s">
        <v>31</v>
      </c>
      <c r="CNR3" s="214"/>
      <c r="CNS3" s="58" t="s">
        <v>0</v>
      </c>
      <c r="CNT3" s="59"/>
      <c r="CNU3" s="60"/>
      <c r="CNV3" s="213" t="s">
        <v>31</v>
      </c>
      <c r="CNW3" s="214"/>
      <c r="CNX3" s="58" t="s">
        <v>0</v>
      </c>
      <c r="CNY3" s="59"/>
      <c r="CNZ3" s="60"/>
      <c r="COA3" s="213" t="s">
        <v>31</v>
      </c>
      <c r="COB3" s="214"/>
      <c r="COC3" s="58" t="s">
        <v>0</v>
      </c>
      <c r="COD3" s="59"/>
      <c r="COE3" s="60"/>
      <c r="COF3" s="213" t="s">
        <v>31</v>
      </c>
      <c r="COG3" s="214"/>
      <c r="COH3" s="58" t="s">
        <v>0</v>
      </c>
      <c r="COI3" s="59"/>
      <c r="COJ3" s="60"/>
      <c r="COK3" s="213" t="s">
        <v>41</v>
      </c>
      <c r="COL3" s="214"/>
      <c r="COM3" s="58" t="s">
        <v>0</v>
      </c>
      <c r="CON3" s="59"/>
      <c r="COO3" s="60"/>
      <c r="COP3" s="213" t="s">
        <v>31</v>
      </c>
      <c r="COQ3" s="214"/>
      <c r="COR3" s="58" t="s">
        <v>0</v>
      </c>
      <c r="COS3" s="59"/>
      <c r="COT3" s="60"/>
      <c r="COU3" s="213" t="s">
        <v>41</v>
      </c>
      <c r="COV3" s="214"/>
      <c r="COW3" s="58" t="s">
        <v>0</v>
      </c>
      <c r="COX3" s="59"/>
      <c r="COY3" s="60"/>
      <c r="COZ3" s="213" t="s">
        <v>31</v>
      </c>
      <c r="CPA3" s="214"/>
      <c r="CPB3" s="58" t="s">
        <v>0</v>
      </c>
      <c r="CPC3" s="59"/>
      <c r="CPD3" s="60"/>
      <c r="CPE3" s="213" t="s">
        <v>31</v>
      </c>
      <c r="CPF3" s="214"/>
      <c r="CPG3" s="58" t="s">
        <v>0</v>
      </c>
      <c r="CPH3" s="59"/>
      <c r="CPI3" s="60"/>
      <c r="CPJ3" s="213" t="s">
        <v>31</v>
      </c>
      <c r="CPK3" s="214"/>
      <c r="CPL3" s="58" t="s">
        <v>0</v>
      </c>
      <c r="CPM3" s="59"/>
      <c r="CPN3" s="60"/>
      <c r="CPO3" s="213" t="s">
        <v>31</v>
      </c>
      <c r="CPP3" s="214"/>
      <c r="CPQ3" s="58" t="s">
        <v>0</v>
      </c>
      <c r="CPR3" s="59"/>
      <c r="CPS3" s="60"/>
      <c r="CPT3" s="213" t="s">
        <v>31</v>
      </c>
      <c r="CPU3" s="214"/>
      <c r="CPV3" s="58" t="s">
        <v>0</v>
      </c>
      <c r="CPW3" s="59"/>
      <c r="CPX3" s="60"/>
      <c r="CPY3" s="213" t="s">
        <v>31</v>
      </c>
      <c r="CPZ3" s="214"/>
      <c r="CQA3" s="58" t="s">
        <v>0</v>
      </c>
      <c r="CQB3" s="59"/>
      <c r="CQC3" s="60"/>
      <c r="CQD3" s="213" t="s">
        <v>41</v>
      </c>
      <c r="CQE3" s="214"/>
      <c r="CQF3" s="58" t="s">
        <v>0</v>
      </c>
      <c r="CQG3" s="59"/>
      <c r="CQH3" s="60"/>
      <c r="CQI3" s="213" t="s">
        <v>31</v>
      </c>
      <c r="CQJ3" s="214"/>
      <c r="CQK3" s="58" t="s">
        <v>0</v>
      </c>
      <c r="CQL3" s="59"/>
      <c r="CQM3" s="60"/>
      <c r="CQN3" s="213" t="s">
        <v>31</v>
      </c>
      <c r="CQO3" s="214"/>
      <c r="CQP3" s="58" t="s">
        <v>0</v>
      </c>
      <c r="CQQ3" s="59"/>
      <c r="CQR3" s="60"/>
      <c r="CQS3" s="213" t="s">
        <v>31</v>
      </c>
      <c r="CQT3" s="214"/>
      <c r="CQU3" s="58" t="s">
        <v>0</v>
      </c>
      <c r="CQV3" s="59"/>
      <c r="CQW3" s="60"/>
      <c r="CQX3" s="213" t="s">
        <v>31</v>
      </c>
      <c r="CQY3" s="214"/>
      <c r="CQZ3" s="58" t="s">
        <v>0</v>
      </c>
      <c r="CRA3" s="59"/>
      <c r="CRB3" s="60"/>
      <c r="CRC3" s="213" t="s">
        <v>31</v>
      </c>
      <c r="CRD3" s="214"/>
      <c r="CRE3" s="14" t="s">
        <v>0</v>
      </c>
      <c r="CRF3" s="13"/>
      <c r="CRG3" s="3"/>
      <c r="CRH3" s="292" t="s">
        <v>31</v>
      </c>
      <c r="CRI3" s="293"/>
      <c r="CRJ3" s="14" t="s">
        <v>0</v>
      </c>
      <c r="CRK3" s="13"/>
      <c r="CRL3" s="3"/>
      <c r="CRM3" s="292" t="s">
        <v>31</v>
      </c>
      <c r="CRN3" s="293"/>
      <c r="CRO3" s="14" t="s">
        <v>0</v>
      </c>
      <c r="CRP3" s="13"/>
      <c r="CRQ3" s="3"/>
      <c r="CRR3" s="292" t="s">
        <v>31</v>
      </c>
      <c r="CRS3" s="293"/>
      <c r="CRT3" s="14" t="s">
        <v>0</v>
      </c>
      <c r="CRU3" s="13"/>
      <c r="CRV3" s="3"/>
      <c r="CRW3" s="292" t="s">
        <v>31</v>
      </c>
      <c r="CRX3" s="293"/>
      <c r="CRY3" s="14" t="s">
        <v>0</v>
      </c>
      <c r="CRZ3" s="13"/>
      <c r="CSA3" s="3"/>
      <c r="CSB3" s="15" t="s">
        <v>31</v>
      </c>
      <c r="CSC3" s="14" t="s">
        <v>0</v>
      </c>
      <c r="CSD3" s="13"/>
      <c r="CSE3" s="3"/>
      <c r="CSF3" s="15" t="s">
        <v>61</v>
      </c>
      <c r="CSG3" s="14" t="s">
        <v>0</v>
      </c>
      <c r="CSH3" s="13"/>
      <c r="CSI3" s="3"/>
      <c r="CSJ3" s="15" t="s">
        <v>31</v>
      </c>
      <c r="CSK3" s="14" t="s">
        <v>0</v>
      </c>
      <c r="CSL3" s="13"/>
      <c r="CSM3" s="3"/>
      <c r="CSN3" s="15" t="s">
        <v>31</v>
      </c>
      <c r="CSO3" s="14" t="s">
        <v>0</v>
      </c>
      <c r="CSP3" s="13"/>
      <c r="CSQ3" s="3"/>
      <c r="CSR3" s="15" t="s">
        <v>31</v>
      </c>
      <c r="CSS3" s="14" t="s">
        <v>0</v>
      </c>
      <c r="CST3" s="13"/>
      <c r="CSU3" s="3"/>
      <c r="CSV3" s="15" t="s">
        <v>68</v>
      </c>
      <c r="CSW3" s="14" t="s">
        <v>0</v>
      </c>
      <c r="CSX3" s="13"/>
      <c r="CSY3" s="3"/>
      <c r="CSZ3" s="15" t="s">
        <v>31</v>
      </c>
      <c r="CTA3" s="14" t="s">
        <v>0</v>
      </c>
      <c r="CTB3" s="13"/>
      <c r="CTC3" s="3"/>
      <c r="CTD3" s="15" t="s">
        <v>31</v>
      </c>
      <c r="CTE3" s="14" t="s">
        <v>0</v>
      </c>
      <c r="CTF3" s="13"/>
      <c r="CTG3" s="3"/>
      <c r="CTH3" s="15" t="s">
        <v>31</v>
      </c>
      <c r="CTI3" s="14" t="s">
        <v>0</v>
      </c>
      <c r="CTJ3" s="13"/>
      <c r="CTK3" s="3"/>
      <c r="CTL3" s="15" t="s">
        <v>68</v>
      </c>
      <c r="CTM3" s="14" t="s">
        <v>0</v>
      </c>
      <c r="CTN3" s="13"/>
      <c r="CTO3" s="3"/>
      <c r="CTP3" s="15" t="s">
        <v>31</v>
      </c>
      <c r="CTQ3" s="14" t="s">
        <v>0</v>
      </c>
      <c r="CTR3" s="13"/>
      <c r="CTS3" s="3"/>
      <c r="CTT3" s="15" t="s">
        <v>52</v>
      </c>
      <c r="CTU3" s="14" t="s">
        <v>0</v>
      </c>
      <c r="CTV3" s="13"/>
      <c r="CTW3" s="3"/>
      <c r="CTX3" s="15" t="s">
        <v>31</v>
      </c>
      <c r="CTY3" s="14" t="s">
        <v>0</v>
      </c>
      <c r="CTZ3" s="13"/>
      <c r="CUA3" s="3"/>
      <c r="CUB3" s="15" t="s">
        <v>52</v>
      </c>
      <c r="CUC3" s="14" t="s">
        <v>0</v>
      </c>
      <c r="CUD3" s="13"/>
      <c r="CUE3" s="3"/>
      <c r="CUF3" s="15" t="s">
        <v>61</v>
      </c>
      <c r="CUG3" s="14" t="s">
        <v>0</v>
      </c>
      <c r="CUH3" s="13"/>
      <c r="CUI3" s="3"/>
      <c r="CUJ3" s="15" t="s">
        <v>52</v>
      </c>
      <c r="CUK3" s="14" t="s">
        <v>0</v>
      </c>
      <c r="CUL3" s="13"/>
      <c r="CUM3" s="3"/>
      <c r="CUN3" s="15" t="s">
        <v>31</v>
      </c>
      <c r="CUO3" s="14" t="s">
        <v>0</v>
      </c>
      <c r="CUP3" s="13"/>
      <c r="CUQ3" s="3"/>
      <c r="CUR3" s="15" t="s">
        <v>52</v>
      </c>
      <c r="CUS3" s="14" t="s">
        <v>0</v>
      </c>
      <c r="CUT3" s="13"/>
      <c r="CUU3" s="3"/>
      <c r="CUV3" s="15" t="s">
        <v>31</v>
      </c>
      <c r="CUW3" s="14" t="s">
        <v>0</v>
      </c>
      <c r="CUX3" s="13"/>
      <c r="CUY3" s="3"/>
      <c r="CUZ3" s="15" t="s">
        <v>31</v>
      </c>
      <c r="CVA3" s="14" t="s">
        <v>0</v>
      </c>
      <c r="CVB3" s="13"/>
      <c r="CVC3" s="3"/>
      <c r="CVD3" s="15" t="s">
        <v>52</v>
      </c>
      <c r="CVE3" s="14" t="s">
        <v>0</v>
      </c>
      <c r="CVF3" s="13"/>
      <c r="CVG3" s="3"/>
      <c r="CVH3" s="15"/>
      <c r="CVI3" s="14" t="s">
        <v>0</v>
      </c>
      <c r="CVJ3" s="13"/>
      <c r="CVK3" s="3"/>
      <c r="CVL3" s="15" t="s">
        <v>31</v>
      </c>
      <c r="CVM3" s="14" t="s">
        <v>0</v>
      </c>
      <c r="CVN3" s="13"/>
      <c r="CVO3" s="3"/>
      <c r="CVP3" s="15" t="s">
        <v>31</v>
      </c>
      <c r="CVQ3" s="14" t="s">
        <v>0</v>
      </c>
      <c r="CVR3" s="13"/>
      <c r="CVS3" s="3"/>
      <c r="CVT3" s="15" t="s">
        <v>31</v>
      </c>
      <c r="CVU3" s="14" t="s">
        <v>0</v>
      </c>
      <c r="CVV3" s="13"/>
      <c r="CVW3" s="3"/>
      <c r="CVX3" s="15"/>
      <c r="CVY3" s="14" t="s">
        <v>0</v>
      </c>
      <c r="CVZ3" s="13"/>
      <c r="CWA3" s="3"/>
      <c r="CWB3" s="15" t="s">
        <v>31</v>
      </c>
      <c r="CWC3" s="14" t="s">
        <v>0</v>
      </c>
      <c r="CWD3" s="13"/>
      <c r="CWE3" s="3"/>
      <c r="CWF3" s="15" t="s">
        <v>52</v>
      </c>
      <c r="CWG3" s="14" t="s">
        <v>0</v>
      </c>
      <c r="CWH3" s="13"/>
      <c r="CWI3" s="3"/>
      <c r="CWJ3" s="15" t="s">
        <v>31</v>
      </c>
      <c r="CWK3" s="14" t="s">
        <v>0</v>
      </c>
      <c r="CWL3" s="13"/>
      <c r="CWM3" s="3"/>
      <c r="CWN3" s="15" t="s">
        <v>31</v>
      </c>
      <c r="CWO3" s="14" t="s">
        <v>0</v>
      </c>
      <c r="CWP3" s="13"/>
      <c r="CWQ3" s="3"/>
      <c r="CWR3" s="15" t="s">
        <v>31</v>
      </c>
      <c r="CWS3" s="14" t="s">
        <v>0</v>
      </c>
      <c r="CWT3" s="13"/>
      <c r="CWU3" s="3"/>
      <c r="CWV3" s="15"/>
      <c r="CWW3" s="14" t="s">
        <v>0</v>
      </c>
      <c r="CWX3" s="13"/>
      <c r="CWY3" s="3"/>
      <c r="CWZ3" s="15" t="s">
        <v>31</v>
      </c>
      <c r="CXA3" s="27" t="s">
        <v>0</v>
      </c>
      <c r="CXB3" s="28"/>
      <c r="CXC3" s="29"/>
      <c r="CXD3" s="30" t="s">
        <v>52</v>
      </c>
      <c r="CXE3" s="27" t="s">
        <v>0</v>
      </c>
      <c r="CXF3" s="28"/>
      <c r="CXG3" s="29"/>
      <c r="CXH3" s="30" t="s">
        <v>52</v>
      </c>
      <c r="CXI3" s="27" t="s">
        <v>0</v>
      </c>
      <c r="CXJ3" s="28"/>
      <c r="CXK3" s="29"/>
      <c r="CXL3" s="30" t="s">
        <v>31</v>
      </c>
      <c r="CXM3" s="27" t="s">
        <v>0</v>
      </c>
      <c r="CXN3" s="28"/>
      <c r="CXO3" s="29"/>
      <c r="CXP3" s="30" t="s">
        <v>31</v>
      </c>
      <c r="CXQ3" s="27" t="s">
        <v>0</v>
      </c>
      <c r="CXR3" s="28"/>
      <c r="CXS3" s="29"/>
      <c r="CXT3" s="30" t="s">
        <v>31</v>
      </c>
      <c r="CXU3" s="26" t="s">
        <v>0</v>
      </c>
      <c r="CXX3" s="26" t="s">
        <v>31</v>
      </c>
      <c r="CXY3" s="26" t="s">
        <v>0</v>
      </c>
      <c r="CYB3" s="26" t="s">
        <v>31</v>
      </c>
      <c r="CYC3" s="26" t="s">
        <v>0</v>
      </c>
      <c r="CYF3" s="26" t="s">
        <v>52</v>
      </c>
      <c r="CYG3" s="26" t="s">
        <v>0</v>
      </c>
      <c r="CYJ3" s="26" t="s">
        <v>53</v>
      </c>
      <c r="CYK3" s="26" t="s">
        <v>0</v>
      </c>
      <c r="CYN3" s="26" t="s">
        <v>31</v>
      </c>
      <c r="CYO3" s="26" t="s">
        <v>0</v>
      </c>
      <c r="CYR3" s="26" t="s">
        <v>31</v>
      </c>
      <c r="CYS3" s="26" t="s">
        <v>0</v>
      </c>
      <c r="CYV3" s="26" t="s">
        <v>31</v>
      </c>
      <c r="CYW3" s="26" t="s">
        <v>0</v>
      </c>
      <c r="CYZ3" s="26" t="s">
        <v>49</v>
      </c>
      <c r="CZA3" s="26" t="s">
        <v>0</v>
      </c>
      <c r="CZD3" s="26" t="s">
        <v>47</v>
      </c>
      <c r="CZE3" s="26" t="s">
        <v>0</v>
      </c>
      <c r="CZH3" s="26" t="s">
        <v>31</v>
      </c>
      <c r="CZI3" s="26" t="s">
        <v>0</v>
      </c>
      <c r="CZL3" s="26" t="s">
        <v>31</v>
      </c>
      <c r="CZM3" s="26" t="s">
        <v>0</v>
      </c>
      <c r="CZP3" s="26" t="s">
        <v>31</v>
      </c>
      <c r="CZQ3" s="26" t="s">
        <v>0</v>
      </c>
      <c r="CZT3" s="26" t="s">
        <v>31</v>
      </c>
      <c r="CZU3" s="26" t="s">
        <v>0</v>
      </c>
      <c r="CZX3" s="26" t="s">
        <v>31</v>
      </c>
      <c r="CZY3" s="26" t="s">
        <v>0</v>
      </c>
      <c r="DAB3" s="26" t="s">
        <v>46</v>
      </c>
      <c r="DAC3" s="26" t="s">
        <v>0</v>
      </c>
      <c r="DAF3" s="26" t="s">
        <v>31</v>
      </c>
      <c r="DAG3" s="26" t="s">
        <v>0</v>
      </c>
      <c r="DAJ3" s="26" t="s">
        <v>31</v>
      </c>
      <c r="DAK3" s="26" t="s">
        <v>0</v>
      </c>
      <c r="DAN3" s="26" t="s">
        <v>46</v>
      </c>
      <c r="DAO3" s="26" t="s">
        <v>0</v>
      </c>
      <c r="DAR3" s="26" t="s">
        <v>31</v>
      </c>
      <c r="DAS3" s="26" t="s">
        <v>0</v>
      </c>
      <c r="DAV3" s="26" t="s">
        <v>31</v>
      </c>
      <c r="DAW3" s="26" t="s">
        <v>0</v>
      </c>
      <c r="DAZ3" s="26" t="s">
        <v>31</v>
      </c>
      <c r="DBA3" s="26" t="s">
        <v>0</v>
      </c>
      <c r="DBD3" s="26" t="s">
        <v>31</v>
      </c>
      <c r="DBE3" s="26" t="s">
        <v>0</v>
      </c>
      <c r="DBH3" s="26" t="s">
        <v>31</v>
      </c>
      <c r="DBI3" s="26" t="s">
        <v>0</v>
      </c>
      <c r="DBL3" s="26" t="s">
        <v>31</v>
      </c>
      <c r="DBM3" s="26" t="s">
        <v>0</v>
      </c>
      <c r="DBP3" s="26" t="s">
        <v>31</v>
      </c>
      <c r="DBQ3" s="26" t="s">
        <v>0</v>
      </c>
      <c r="DBT3" s="26" t="s">
        <v>31</v>
      </c>
      <c r="DBU3" s="26" t="s">
        <v>0</v>
      </c>
      <c r="DBX3" s="26" t="s">
        <v>31</v>
      </c>
      <c r="DBY3" s="26" t="s">
        <v>0</v>
      </c>
      <c r="DCB3" s="26" t="s">
        <v>31</v>
      </c>
      <c r="DCC3" s="26" t="s">
        <v>0</v>
      </c>
      <c r="DCF3" s="26" t="s">
        <v>31</v>
      </c>
      <c r="DCG3" s="26" t="s">
        <v>0</v>
      </c>
      <c r="DCJ3" s="26" t="s">
        <v>31</v>
      </c>
      <c r="DCK3" s="26" t="s">
        <v>0</v>
      </c>
      <c r="DCN3" s="26" t="s">
        <v>31</v>
      </c>
      <c r="DCO3" s="26" t="s">
        <v>0</v>
      </c>
      <c r="DCR3" s="26" t="s">
        <v>31</v>
      </c>
      <c r="DCS3" s="26" t="s">
        <v>0</v>
      </c>
      <c r="DCV3" s="26" t="s">
        <v>31</v>
      </c>
      <c r="DCW3" s="26" t="s">
        <v>0</v>
      </c>
      <c r="DCZ3" s="26" t="s">
        <v>31</v>
      </c>
      <c r="DDA3" s="26" t="s">
        <v>0</v>
      </c>
      <c r="DDD3" s="26" t="s">
        <v>31</v>
      </c>
      <c r="DDE3" s="26" t="s">
        <v>0</v>
      </c>
      <c r="DDH3" s="26" t="s">
        <v>31</v>
      </c>
      <c r="DDI3" s="26" t="s">
        <v>0</v>
      </c>
      <c r="DDL3" s="26" t="s">
        <v>31</v>
      </c>
      <c r="DDM3" s="26" t="s">
        <v>0</v>
      </c>
      <c r="DDP3" s="26" t="s">
        <v>31</v>
      </c>
      <c r="DDQ3" s="26" t="s">
        <v>0</v>
      </c>
      <c r="DDT3" s="26" t="s">
        <v>31</v>
      </c>
    </row>
    <row r="4" spans="1:2828" ht="16.2" thickBot="1" x14ac:dyDescent="0.35">
      <c r="A4" s="61" t="s">
        <v>56</v>
      </c>
      <c r="B4" s="62"/>
      <c r="C4" s="62"/>
      <c r="D4" s="233">
        <v>106862</v>
      </c>
      <c r="E4" s="234"/>
      <c r="F4" s="61" t="s">
        <v>56</v>
      </c>
      <c r="G4" s="62"/>
      <c r="H4" s="62"/>
      <c r="I4" s="233">
        <v>101412</v>
      </c>
      <c r="J4" s="234"/>
      <c r="K4" s="61" t="s">
        <v>56</v>
      </c>
      <c r="L4" s="62"/>
      <c r="M4" s="62"/>
      <c r="N4" s="233">
        <v>52362</v>
      </c>
      <c r="O4" s="234"/>
      <c r="P4" s="61" t="s">
        <v>56</v>
      </c>
      <c r="Q4" s="62"/>
      <c r="R4" s="62"/>
      <c r="S4" s="233">
        <v>73058</v>
      </c>
      <c r="T4" s="234"/>
      <c r="U4" s="61" t="s">
        <v>56</v>
      </c>
      <c r="V4" s="62"/>
      <c r="W4" s="62"/>
      <c r="X4" s="233">
        <v>15316</v>
      </c>
      <c r="Y4" s="234"/>
      <c r="Z4" s="61" t="s">
        <v>56</v>
      </c>
      <c r="AA4" s="62"/>
      <c r="AB4" s="62"/>
      <c r="AC4" s="233">
        <v>89408</v>
      </c>
      <c r="AD4" s="234"/>
      <c r="AE4" s="61" t="s">
        <v>56</v>
      </c>
      <c r="AF4" s="62"/>
      <c r="AG4" s="62"/>
      <c r="AH4" s="233">
        <v>78508</v>
      </c>
      <c r="AI4" s="234"/>
      <c r="AJ4" s="61" t="s">
        <v>56</v>
      </c>
      <c r="AK4" s="62"/>
      <c r="AL4" s="62"/>
      <c r="AM4" s="233">
        <v>112312</v>
      </c>
      <c r="AN4" s="234"/>
      <c r="AO4" s="61" t="s">
        <v>56</v>
      </c>
      <c r="AP4" s="62"/>
      <c r="AQ4" s="62"/>
      <c r="AR4" s="233">
        <v>80716</v>
      </c>
      <c r="AS4" s="234"/>
      <c r="AT4" s="61" t="s">
        <v>56</v>
      </c>
      <c r="AU4" s="62"/>
      <c r="AV4" s="62"/>
      <c r="AW4" s="233">
        <v>89408</v>
      </c>
      <c r="AX4" s="234"/>
      <c r="AY4" s="61" t="s">
        <v>56</v>
      </c>
      <c r="AZ4" s="62"/>
      <c r="BA4" s="62"/>
      <c r="BB4" s="233">
        <v>94858</v>
      </c>
      <c r="BC4" s="234"/>
      <c r="BD4" s="61" t="s">
        <v>56</v>
      </c>
      <c r="BE4" s="62"/>
      <c r="BF4" s="62"/>
      <c r="BG4" s="233">
        <v>48086</v>
      </c>
      <c r="BH4" s="234"/>
      <c r="BI4" s="61" t="s">
        <v>56</v>
      </c>
      <c r="BJ4" s="62"/>
      <c r="BK4" s="62"/>
      <c r="BL4" s="233">
        <v>135216</v>
      </c>
      <c r="BM4" s="234"/>
      <c r="BN4" s="61" t="s">
        <v>56</v>
      </c>
      <c r="BO4" s="62"/>
      <c r="BP4" s="62"/>
      <c r="BQ4" s="233">
        <v>148324</v>
      </c>
      <c r="BR4" s="234"/>
      <c r="BS4" s="61" t="s">
        <v>56</v>
      </c>
      <c r="BT4" s="62"/>
      <c r="BU4" s="62"/>
      <c r="BV4" s="233">
        <v>123212</v>
      </c>
      <c r="BW4" s="234"/>
      <c r="BX4" s="61" t="s">
        <v>56</v>
      </c>
      <c r="BY4" s="62"/>
      <c r="BZ4" s="62"/>
      <c r="CA4" s="233">
        <v>105758</v>
      </c>
      <c r="CB4" s="234"/>
      <c r="CC4" s="61" t="s">
        <v>56</v>
      </c>
      <c r="CD4" s="62"/>
      <c r="CE4" s="62"/>
      <c r="CF4" s="233">
        <v>80716</v>
      </c>
      <c r="CG4" s="234"/>
      <c r="CH4" s="61" t="s">
        <v>56</v>
      </c>
      <c r="CI4" s="62"/>
      <c r="CJ4" s="62"/>
      <c r="CK4" s="233">
        <v>106862</v>
      </c>
      <c r="CL4" s="234"/>
      <c r="CM4" s="61" t="s">
        <v>56</v>
      </c>
      <c r="CN4" s="62"/>
      <c r="CO4" s="62"/>
      <c r="CP4" s="233">
        <v>28424</v>
      </c>
      <c r="CQ4" s="234"/>
      <c r="CR4" s="61" t="s">
        <v>56</v>
      </c>
      <c r="CS4" s="62"/>
      <c r="CT4" s="62"/>
      <c r="CU4" s="233">
        <v>28424</v>
      </c>
      <c r="CV4" s="234"/>
      <c r="CW4" s="61" t="s">
        <v>56</v>
      </c>
      <c r="CX4" s="62"/>
      <c r="CY4" s="62"/>
      <c r="CZ4" s="233">
        <v>128662</v>
      </c>
      <c r="DA4" s="234"/>
      <c r="DB4" s="61" t="s">
        <v>56</v>
      </c>
      <c r="DC4" s="62"/>
      <c r="DD4" s="62"/>
      <c r="DE4" s="233">
        <v>143908</v>
      </c>
      <c r="DF4" s="234"/>
      <c r="DG4" s="61" t="s">
        <v>56</v>
      </c>
      <c r="DH4" s="62"/>
      <c r="DI4" s="62"/>
      <c r="DJ4" s="233">
        <v>158120</v>
      </c>
      <c r="DK4" s="234"/>
      <c r="DL4" s="61" t="s">
        <v>56</v>
      </c>
      <c r="DM4" s="62"/>
      <c r="DN4" s="62"/>
      <c r="DO4" s="233">
        <v>109070</v>
      </c>
      <c r="DP4" s="234"/>
      <c r="DQ4" s="61" t="s">
        <v>56</v>
      </c>
      <c r="DR4" s="62"/>
      <c r="DS4" s="62"/>
      <c r="DT4" s="233">
        <v>60020</v>
      </c>
      <c r="DU4" s="234"/>
      <c r="DV4" s="61" t="s">
        <v>56</v>
      </c>
      <c r="DW4" s="62"/>
      <c r="DX4" s="62"/>
      <c r="DY4" s="233">
        <v>64366</v>
      </c>
      <c r="DZ4" s="234"/>
      <c r="EA4" s="61" t="s">
        <v>56</v>
      </c>
      <c r="EB4" s="62"/>
      <c r="EC4" s="62"/>
      <c r="ED4" s="233">
        <v>43740</v>
      </c>
      <c r="EE4" s="234"/>
      <c r="EF4" s="61" t="s">
        <v>56</v>
      </c>
      <c r="EG4" s="62"/>
      <c r="EH4" s="62"/>
      <c r="EI4" s="233">
        <v>135216</v>
      </c>
      <c r="EJ4" s="234"/>
      <c r="EK4" s="61" t="s">
        <v>56</v>
      </c>
      <c r="EL4" s="62"/>
      <c r="EM4" s="62"/>
      <c r="EN4" s="233">
        <v>102516</v>
      </c>
      <c r="EO4" s="234"/>
      <c r="EP4" s="61" t="s">
        <v>56</v>
      </c>
      <c r="EQ4" s="62"/>
      <c r="ER4" s="62"/>
      <c r="ES4" s="233">
        <v>79612</v>
      </c>
      <c r="ET4" s="234"/>
      <c r="EU4" s="61" t="s">
        <v>56</v>
      </c>
      <c r="EV4" s="62"/>
      <c r="EW4" s="62"/>
      <c r="EX4" s="233">
        <v>80716</v>
      </c>
      <c r="EY4" s="234"/>
      <c r="EZ4" s="61" t="s">
        <v>56</v>
      </c>
      <c r="FA4" s="62"/>
      <c r="FB4" s="62"/>
      <c r="FC4" s="233">
        <v>62158</v>
      </c>
      <c r="FD4" s="234"/>
      <c r="FE4" s="61" t="s">
        <v>56</v>
      </c>
      <c r="FF4" s="62"/>
      <c r="FG4" s="62"/>
      <c r="FH4" s="233">
        <v>101412</v>
      </c>
      <c r="FI4" s="234"/>
      <c r="FJ4" s="61" t="s">
        <v>56</v>
      </c>
      <c r="FK4" s="62"/>
      <c r="FL4" s="62"/>
      <c r="FM4" s="233">
        <v>61124</v>
      </c>
      <c r="FN4" s="234"/>
      <c r="FO4" s="61" t="s">
        <v>56</v>
      </c>
      <c r="FP4" s="62"/>
      <c r="FQ4" s="62"/>
      <c r="FR4" s="233">
        <v>107966</v>
      </c>
      <c r="FS4" s="234"/>
      <c r="FT4" s="61" t="s">
        <v>56</v>
      </c>
      <c r="FU4" s="62"/>
      <c r="FV4" s="62"/>
      <c r="FW4" s="233">
        <v>94858</v>
      </c>
      <c r="FX4" s="234"/>
      <c r="FY4" s="61" t="s">
        <v>56</v>
      </c>
      <c r="FZ4" s="62"/>
      <c r="GA4" s="62"/>
      <c r="GB4" s="233">
        <v>111208</v>
      </c>
      <c r="GC4" s="234"/>
      <c r="GD4" s="61" t="s">
        <v>56</v>
      </c>
      <c r="GE4" s="62"/>
      <c r="GF4" s="62"/>
      <c r="GG4" s="233">
        <v>64366</v>
      </c>
      <c r="GH4" s="234"/>
      <c r="GI4" s="61" t="s">
        <v>56</v>
      </c>
      <c r="GJ4" s="62"/>
      <c r="GK4" s="62"/>
      <c r="GL4" s="233">
        <v>68712</v>
      </c>
      <c r="GM4" s="234"/>
      <c r="GN4" s="61" t="s">
        <v>56</v>
      </c>
      <c r="GO4" s="62"/>
      <c r="GP4" s="62"/>
      <c r="GQ4" s="233">
        <v>78508</v>
      </c>
      <c r="GR4" s="234"/>
      <c r="GS4" s="61" t="s">
        <v>56</v>
      </c>
      <c r="GT4" s="62"/>
      <c r="GU4" s="62"/>
      <c r="GV4" s="233">
        <v>66574</v>
      </c>
      <c r="GW4" s="234"/>
      <c r="GX4" s="61" t="s">
        <v>56</v>
      </c>
      <c r="GY4" s="62"/>
      <c r="GZ4" s="62"/>
      <c r="HA4" s="233">
        <v>123212</v>
      </c>
      <c r="HB4" s="234"/>
      <c r="HC4" s="61" t="s">
        <v>56</v>
      </c>
      <c r="HD4" s="62"/>
      <c r="HE4" s="62"/>
      <c r="HF4" s="233">
        <v>97066</v>
      </c>
      <c r="HG4" s="234"/>
      <c r="HH4" s="61" t="s">
        <v>56</v>
      </c>
      <c r="HI4" s="62"/>
      <c r="HJ4" s="62"/>
      <c r="HK4" s="233">
        <v>85062</v>
      </c>
      <c r="HL4" s="234"/>
      <c r="HM4" s="61" t="s">
        <v>56</v>
      </c>
      <c r="HN4" s="62"/>
      <c r="HO4" s="62"/>
      <c r="HP4" s="233">
        <v>56708</v>
      </c>
      <c r="HQ4" s="234"/>
      <c r="HR4" s="61" t="s">
        <v>56</v>
      </c>
      <c r="HS4" s="62"/>
      <c r="HT4" s="62"/>
      <c r="HU4" s="233">
        <v>80716</v>
      </c>
      <c r="HV4" s="234"/>
      <c r="HW4" s="61" t="s">
        <v>56</v>
      </c>
      <c r="HX4" s="62"/>
      <c r="HY4" s="62"/>
      <c r="HZ4" s="233">
        <v>118866</v>
      </c>
      <c r="IA4" s="234"/>
      <c r="IB4" s="61" t="s">
        <v>56</v>
      </c>
      <c r="IC4" s="62"/>
      <c r="ID4" s="62"/>
      <c r="IE4" s="233">
        <v>25182</v>
      </c>
      <c r="IF4" s="234"/>
      <c r="IG4" s="61" t="s">
        <v>56</v>
      </c>
      <c r="IH4" s="62"/>
      <c r="II4" s="62"/>
      <c r="IJ4" s="233">
        <v>141700</v>
      </c>
      <c r="IK4" s="234"/>
      <c r="IL4" s="61" t="s">
        <v>56</v>
      </c>
      <c r="IM4" s="62"/>
      <c r="IN4" s="62"/>
      <c r="IO4" s="233">
        <v>109000</v>
      </c>
      <c r="IP4" s="234"/>
      <c r="IQ4" s="61" t="s">
        <v>56</v>
      </c>
      <c r="IR4" s="62"/>
      <c r="IS4" s="62"/>
      <c r="IT4" s="233">
        <v>157016</v>
      </c>
      <c r="IU4" s="234"/>
      <c r="IV4" s="61" t="s">
        <v>56</v>
      </c>
      <c r="IW4" s="62"/>
      <c r="IX4" s="62"/>
      <c r="IY4" s="233">
        <v>91616</v>
      </c>
      <c r="IZ4" s="234"/>
      <c r="JA4" s="61" t="s">
        <v>56</v>
      </c>
      <c r="JB4" s="62"/>
      <c r="JC4" s="62"/>
      <c r="JD4" s="233">
        <v>85062</v>
      </c>
      <c r="JE4" s="234"/>
      <c r="JF4" s="61" t="s">
        <v>56</v>
      </c>
      <c r="JG4" s="62"/>
      <c r="JH4" s="62"/>
      <c r="JI4" s="233">
        <v>59437</v>
      </c>
      <c r="JJ4" s="234"/>
      <c r="JK4" s="61" t="s">
        <v>56</v>
      </c>
      <c r="JL4" s="62"/>
      <c r="JM4" s="62"/>
      <c r="JN4" s="233">
        <v>4416</v>
      </c>
      <c r="JO4" s="234"/>
      <c r="JP4" s="61" t="s">
        <v>56</v>
      </c>
      <c r="JQ4" s="62"/>
      <c r="JR4" s="62"/>
      <c r="JS4" s="233">
        <v>102516</v>
      </c>
      <c r="JT4" s="234"/>
      <c r="JU4" s="61" t="s">
        <v>56</v>
      </c>
      <c r="JV4" s="62"/>
      <c r="JW4" s="62"/>
      <c r="JX4" s="233">
        <v>83958</v>
      </c>
      <c r="JY4" s="234"/>
      <c r="JZ4" s="61" t="s">
        <v>56</v>
      </c>
      <c r="KA4" s="62"/>
      <c r="KB4" s="62"/>
      <c r="KC4" s="233">
        <v>117762</v>
      </c>
      <c r="KD4" s="234"/>
      <c r="KE4" s="61" t="s">
        <v>56</v>
      </c>
      <c r="KF4" s="62"/>
      <c r="KG4" s="62"/>
      <c r="KH4" s="233">
        <v>78508</v>
      </c>
      <c r="KI4" s="234"/>
      <c r="KJ4" s="61" t="s">
        <v>56</v>
      </c>
      <c r="KK4" s="62"/>
      <c r="KL4" s="62"/>
      <c r="KM4" s="233">
        <v>46912</v>
      </c>
      <c r="KN4" s="234"/>
      <c r="KO4" s="61" t="s">
        <v>56</v>
      </c>
      <c r="KP4" s="62"/>
      <c r="KQ4" s="62"/>
      <c r="KR4" s="233">
        <v>78508</v>
      </c>
      <c r="KS4" s="234"/>
      <c r="KT4" s="61" t="s">
        <v>56</v>
      </c>
      <c r="KU4" s="62"/>
      <c r="KV4" s="62"/>
      <c r="KW4" s="233">
        <v>43740</v>
      </c>
      <c r="KX4" s="234"/>
      <c r="KY4" s="61" t="s">
        <v>56</v>
      </c>
      <c r="KZ4" s="62"/>
      <c r="LA4" s="62"/>
      <c r="LB4" s="233">
        <v>82924</v>
      </c>
      <c r="LC4" s="234"/>
      <c r="LD4" s="61" t="s">
        <v>56</v>
      </c>
      <c r="LE4" s="62"/>
      <c r="LF4" s="62"/>
      <c r="LG4" s="233">
        <v>124316</v>
      </c>
      <c r="LH4" s="234"/>
      <c r="LI4" s="61" t="s">
        <v>56</v>
      </c>
      <c r="LJ4" s="62"/>
      <c r="LK4" s="62"/>
      <c r="LL4" s="233">
        <v>131974</v>
      </c>
      <c r="LM4" s="234"/>
      <c r="LN4" s="61" t="s">
        <v>56</v>
      </c>
      <c r="LO4" s="62"/>
      <c r="LP4" s="62"/>
      <c r="LQ4" s="233">
        <v>53466</v>
      </c>
      <c r="LR4" s="234"/>
      <c r="LS4" s="61" t="s">
        <v>56</v>
      </c>
      <c r="LT4" s="62"/>
      <c r="LU4" s="62"/>
      <c r="LV4" s="233">
        <v>56708</v>
      </c>
      <c r="LW4" s="234"/>
      <c r="LX4" s="61" t="s">
        <v>56</v>
      </c>
      <c r="LY4" s="62"/>
      <c r="LZ4" s="62"/>
      <c r="MA4" s="233">
        <v>44774</v>
      </c>
      <c r="MB4" s="234"/>
      <c r="MC4" s="61" t="s">
        <v>56</v>
      </c>
      <c r="MD4" s="62"/>
      <c r="ME4" s="62"/>
      <c r="MF4" s="233">
        <v>54640</v>
      </c>
      <c r="MG4" s="234"/>
      <c r="MH4" s="61" t="s">
        <v>56</v>
      </c>
      <c r="MI4" s="62"/>
      <c r="MJ4" s="62"/>
      <c r="MK4" s="233">
        <v>94858</v>
      </c>
      <c r="ML4" s="234"/>
      <c r="MM4" s="61" t="s">
        <v>56</v>
      </c>
      <c r="MN4" s="62"/>
      <c r="MO4" s="62"/>
      <c r="MP4" s="233">
        <v>151566</v>
      </c>
      <c r="MQ4" s="234"/>
      <c r="MR4" s="61" t="s">
        <v>56</v>
      </c>
      <c r="MS4" s="62"/>
      <c r="MT4" s="62"/>
      <c r="MU4" s="233">
        <v>91616</v>
      </c>
      <c r="MV4" s="234"/>
      <c r="MW4" s="61" t="s">
        <v>56</v>
      </c>
      <c r="MX4" s="62"/>
      <c r="MY4" s="62"/>
      <c r="MZ4" s="233">
        <v>91616</v>
      </c>
      <c r="NA4" s="234"/>
      <c r="NB4" s="61" t="s">
        <v>56</v>
      </c>
      <c r="NC4" s="62"/>
      <c r="ND4" s="62"/>
      <c r="NE4" s="233">
        <v>113416</v>
      </c>
      <c r="NF4" s="234"/>
      <c r="NG4" s="61" t="s">
        <v>56</v>
      </c>
      <c r="NH4" s="62"/>
      <c r="NI4" s="62"/>
      <c r="NJ4" s="233">
        <v>80716</v>
      </c>
      <c r="NK4" s="234"/>
      <c r="NL4" s="61" t="s">
        <v>56</v>
      </c>
      <c r="NM4" s="62"/>
      <c r="NN4" s="62"/>
      <c r="NO4" s="233">
        <v>91616</v>
      </c>
      <c r="NP4" s="234"/>
      <c r="NQ4" s="61" t="s">
        <v>56</v>
      </c>
      <c r="NR4" s="62"/>
      <c r="NS4" s="62"/>
      <c r="NT4" s="233">
        <v>49190</v>
      </c>
      <c r="NU4" s="234"/>
      <c r="NV4" s="61" t="s">
        <v>56</v>
      </c>
      <c r="NW4" s="62"/>
      <c r="NX4" s="62"/>
      <c r="NY4" s="233">
        <v>181024</v>
      </c>
      <c r="NZ4" s="234"/>
      <c r="OA4" s="61" t="s">
        <v>56</v>
      </c>
      <c r="OB4" s="62"/>
      <c r="OC4" s="62"/>
      <c r="OD4" s="233">
        <v>145082</v>
      </c>
      <c r="OE4" s="234"/>
      <c r="OF4" s="61" t="s">
        <v>56</v>
      </c>
      <c r="OG4" s="62"/>
      <c r="OH4" s="62"/>
      <c r="OI4" s="233">
        <v>136250</v>
      </c>
      <c r="OJ4" s="234"/>
      <c r="OK4" s="61" t="s">
        <v>56</v>
      </c>
      <c r="OL4" s="62"/>
      <c r="OM4" s="62"/>
      <c r="ON4" s="233">
        <v>157016</v>
      </c>
      <c r="OO4" s="234"/>
      <c r="OP4" s="61" t="s">
        <v>56</v>
      </c>
      <c r="OQ4" s="62"/>
      <c r="OR4" s="62"/>
      <c r="OS4" s="233">
        <v>102516</v>
      </c>
      <c r="OT4" s="234"/>
      <c r="OU4" s="61" t="s">
        <v>56</v>
      </c>
      <c r="OV4" s="62"/>
      <c r="OW4" s="62"/>
      <c r="OX4" s="233">
        <v>69816</v>
      </c>
      <c r="OY4" s="234"/>
      <c r="OZ4" s="61" t="s">
        <v>56</v>
      </c>
      <c r="PA4" s="62"/>
      <c r="PB4" s="62"/>
      <c r="PC4" s="233">
        <v>113416</v>
      </c>
      <c r="PD4" s="234"/>
      <c r="PE4" s="61" t="s">
        <v>56</v>
      </c>
      <c r="PF4" s="62"/>
      <c r="PG4" s="62"/>
      <c r="PH4" s="233">
        <v>52432</v>
      </c>
      <c r="PI4" s="234"/>
      <c r="PJ4" s="61" t="s">
        <v>56</v>
      </c>
      <c r="PK4" s="62"/>
      <c r="PL4" s="62"/>
      <c r="PM4" s="233">
        <v>136266</v>
      </c>
      <c r="PN4" s="234"/>
      <c r="PO4" s="61" t="s">
        <v>56</v>
      </c>
      <c r="PP4" s="62"/>
      <c r="PQ4" s="62"/>
      <c r="PR4" s="233">
        <v>138458</v>
      </c>
      <c r="PS4" s="234"/>
      <c r="PT4" s="61" t="s">
        <v>56</v>
      </c>
      <c r="PU4" s="62"/>
      <c r="PV4" s="62"/>
      <c r="PW4" s="233">
        <v>140666</v>
      </c>
      <c r="PX4" s="234"/>
      <c r="PY4" s="61" t="s">
        <v>56</v>
      </c>
      <c r="PZ4" s="62"/>
      <c r="QA4" s="62"/>
      <c r="QB4" s="233">
        <v>104724</v>
      </c>
      <c r="QC4" s="234"/>
      <c r="QD4" s="61" t="s">
        <v>56</v>
      </c>
      <c r="QE4" s="62"/>
      <c r="QF4" s="62"/>
      <c r="QG4" s="233">
        <v>82924</v>
      </c>
      <c r="QH4" s="234"/>
      <c r="QI4" s="61" t="s">
        <v>56</v>
      </c>
      <c r="QJ4" s="62"/>
      <c r="QK4" s="62"/>
      <c r="QL4" s="233">
        <v>114520</v>
      </c>
      <c r="QM4" s="234"/>
      <c r="QN4" s="61" t="s">
        <v>56</v>
      </c>
      <c r="QO4" s="62"/>
      <c r="QP4" s="62"/>
      <c r="QQ4" s="233">
        <v>5520</v>
      </c>
      <c r="QR4" s="234"/>
      <c r="QS4" s="61" t="s">
        <v>56</v>
      </c>
      <c r="QT4" s="62"/>
      <c r="QU4" s="62"/>
      <c r="QV4" s="233">
        <v>65540</v>
      </c>
      <c r="QW4" s="234"/>
      <c r="QX4" s="61" t="s">
        <v>56</v>
      </c>
      <c r="QY4" s="62"/>
      <c r="QZ4" s="62"/>
      <c r="RA4" s="233">
        <v>111208</v>
      </c>
      <c r="RB4" s="234"/>
      <c r="RC4" s="61" t="s">
        <v>56</v>
      </c>
      <c r="RD4" s="62"/>
      <c r="RE4" s="62"/>
      <c r="RF4" s="233">
        <v>151566</v>
      </c>
      <c r="RG4" s="234"/>
      <c r="RH4" s="61" t="s">
        <v>56</v>
      </c>
      <c r="RI4" s="62"/>
      <c r="RJ4" s="62"/>
      <c r="RK4" s="233">
        <v>135216</v>
      </c>
      <c r="RL4" s="234"/>
      <c r="RM4" s="61" t="s">
        <v>56</v>
      </c>
      <c r="RN4" s="62"/>
      <c r="RO4" s="62"/>
      <c r="RP4" s="233">
        <v>104724</v>
      </c>
      <c r="RQ4" s="234"/>
      <c r="RR4" s="61" t="s">
        <v>56</v>
      </c>
      <c r="RS4" s="62"/>
      <c r="RT4" s="62"/>
      <c r="RU4" s="233">
        <v>80716</v>
      </c>
      <c r="RV4" s="234"/>
      <c r="RW4" s="61" t="s">
        <v>56</v>
      </c>
      <c r="RX4" s="62"/>
      <c r="RY4" s="62"/>
      <c r="RZ4" s="233">
        <v>76300</v>
      </c>
      <c r="SA4" s="234"/>
      <c r="SB4" s="61" t="s">
        <v>56</v>
      </c>
      <c r="SC4" s="62"/>
      <c r="SD4" s="62"/>
      <c r="SE4" s="233">
        <v>36669</v>
      </c>
      <c r="SF4" s="234"/>
      <c r="SG4" s="61" t="s">
        <v>56</v>
      </c>
      <c r="SH4" s="62"/>
      <c r="SI4" s="62"/>
      <c r="SJ4" s="233">
        <v>87340</v>
      </c>
      <c r="SK4" s="234"/>
      <c r="SL4" s="61" t="s">
        <v>56</v>
      </c>
      <c r="SM4" s="62"/>
      <c r="SN4" s="62"/>
      <c r="SO4" s="233">
        <v>146116</v>
      </c>
      <c r="SP4" s="234"/>
      <c r="SQ4" s="61" t="s">
        <v>56</v>
      </c>
      <c r="SR4" s="62"/>
      <c r="SS4" s="62"/>
      <c r="ST4" s="233">
        <v>154808</v>
      </c>
      <c r="SU4" s="234"/>
      <c r="SV4" s="61" t="s">
        <v>56</v>
      </c>
      <c r="SW4" s="62"/>
      <c r="SX4" s="62"/>
      <c r="SY4" s="233">
        <v>153774</v>
      </c>
      <c r="SZ4" s="234"/>
      <c r="TA4" s="61" t="s">
        <v>56</v>
      </c>
      <c r="TB4" s="62"/>
      <c r="TC4" s="62"/>
      <c r="TD4" s="233">
        <v>98170</v>
      </c>
      <c r="TE4" s="234"/>
      <c r="TF4" s="61" t="s">
        <v>56</v>
      </c>
      <c r="TG4" s="62"/>
      <c r="TH4" s="62"/>
      <c r="TI4" s="233">
        <v>90512</v>
      </c>
      <c r="TJ4" s="234"/>
      <c r="TK4" s="61" t="s">
        <v>56</v>
      </c>
      <c r="TL4" s="62"/>
      <c r="TM4" s="62"/>
      <c r="TN4" s="233">
        <v>107966</v>
      </c>
      <c r="TO4" s="234"/>
      <c r="TP4" s="61" t="s">
        <v>56</v>
      </c>
      <c r="TQ4" s="62"/>
      <c r="TR4" s="62"/>
      <c r="TS4" s="233">
        <v>71060</v>
      </c>
      <c r="TT4" s="234"/>
      <c r="TU4" s="61" t="s">
        <v>56</v>
      </c>
      <c r="TV4" s="62"/>
      <c r="TW4" s="62"/>
      <c r="TX4" s="233">
        <v>130940</v>
      </c>
      <c r="TY4" s="234"/>
      <c r="TZ4" s="61" t="s">
        <v>56</v>
      </c>
      <c r="UA4" s="62"/>
      <c r="UB4" s="62"/>
      <c r="UC4" s="233">
        <v>154808</v>
      </c>
      <c r="UD4" s="234"/>
      <c r="UE4" s="61" t="s">
        <v>56</v>
      </c>
      <c r="UF4" s="62"/>
      <c r="UG4" s="62"/>
      <c r="UH4" s="233">
        <v>195718</v>
      </c>
      <c r="UI4" s="234"/>
      <c r="UJ4" s="61" t="s">
        <v>56</v>
      </c>
      <c r="UK4" s="62"/>
      <c r="UL4" s="62"/>
      <c r="UM4" s="233">
        <v>135216</v>
      </c>
      <c r="UN4" s="234"/>
      <c r="UO4" s="61" t="s">
        <v>56</v>
      </c>
      <c r="UP4" s="62"/>
      <c r="UQ4" s="62"/>
      <c r="UR4" s="233">
        <v>76440</v>
      </c>
      <c r="US4" s="234"/>
      <c r="UT4" s="61" t="s">
        <v>56</v>
      </c>
      <c r="UU4" s="62"/>
      <c r="UV4" s="62"/>
      <c r="UW4" s="233">
        <v>60020</v>
      </c>
      <c r="UX4" s="234"/>
      <c r="UY4" s="61" t="s">
        <v>56</v>
      </c>
      <c r="UZ4" s="62"/>
      <c r="VA4" s="62"/>
      <c r="VB4" s="233">
        <v>44774</v>
      </c>
      <c r="VC4" s="234"/>
      <c r="VD4" s="61" t="s">
        <v>56</v>
      </c>
      <c r="VE4" s="62"/>
      <c r="VF4" s="62"/>
      <c r="VG4" s="233">
        <v>167916</v>
      </c>
      <c r="VH4" s="234"/>
      <c r="VI4" s="61" t="s">
        <v>56</v>
      </c>
      <c r="VJ4" s="62"/>
      <c r="VK4" s="62"/>
      <c r="VL4" s="233">
        <v>60090</v>
      </c>
      <c r="VM4" s="234"/>
      <c r="VN4" s="61" t="s">
        <v>56</v>
      </c>
      <c r="VO4" s="62"/>
      <c r="VP4" s="62"/>
      <c r="VQ4" s="233">
        <v>134112</v>
      </c>
      <c r="VR4" s="234"/>
      <c r="VS4" s="61" t="s">
        <v>56</v>
      </c>
      <c r="VT4" s="62"/>
      <c r="VU4" s="62"/>
      <c r="VV4" s="233">
        <v>123212</v>
      </c>
      <c r="VW4" s="234"/>
      <c r="VX4" s="61" t="s">
        <v>56</v>
      </c>
      <c r="VY4" s="62"/>
      <c r="VZ4" s="62"/>
      <c r="WA4" s="233">
        <v>113416</v>
      </c>
      <c r="WB4" s="234"/>
      <c r="WC4" s="61" t="s">
        <v>56</v>
      </c>
      <c r="WD4" s="62"/>
      <c r="WE4" s="62"/>
      <c r="WF4" s="233">
        <v>252908</v>
      </c>
      <c r="WG4" s="234"/>
      <c r="WH4" s="61" t="s">
        <v>56</v>
      </c>
      <c r="WI4" s="62"/>
      <c r="WJ4" s="62"/>
      <c r="WK4" s="233">
        <v>90582</v>
      </c>
      <c r="WL4" s="234"/>
      <c r="WM4" s="61" t="s">
        <v>56</v>
      </c>
      <c r="WN4" s="62"/>
      <c r="WO4" s="62"/>
      <c r="WP4" s="233">
        <v>88514</v>
      </c>
      <c r="WQ4" s="234"/>
      <c r="WR4" s="61" t="s">
        <v>56</v>
      </c>
      <c r="WS4" s="62"/>
      <c r="WT4" s="62"/>
      <c r="WU4" s="233">
        <v>77474</v>
      </c>
      <c r="WV4" s="234"/>
      <c r="WW4" s="61" t="s">
        <v>56</v>
      </c>
      <c r="WX4" s="62"/>
      <c r="WY4" s="62"/>
      <c r="WZ4" s="233">
        <v>138458</v>
      </c>
      <c r="XA4" s="234"/>
      <c r="XB4" s="61" t="s">
        <v>56</v>
      </c>
      <c r="XC4" s="62"/>
      <c r="XD4" s="62"/>
      <c r="XE4" s="233">
        <v>122108</v>
      </c>
      <c r="XF4" s="234"/>
      <c r="XG4" s="61" t="s">
        <v>56</v>
      </c>
      <c r="XH4" s="62"/>
      <c r="XI4" s="62"/>
      <c r="XJ4" s="233">
        <v>121074</v>
      </c>
      <c r="XK4" s="234"/>
      <c r="XL4" s="61" t="s">
        <v>56</v>
      </c>
      <c r="XM4" s="62"/>
      <c r="XN4" s="62"/>
      <c r="XO4" s="233">
        <v>80716</v>
      </c>
      <c r="XP4" s="234"/>
      <c r="XQ4" s="61" t="s">
        <v>56</v>
      </c>
      <c r="XR4" s="62"/>
      <c r="XS4" s="62"/>
      <c r="XT4" s="233">
        <v>177712</v>
      </c>
      <c r="XU4" s="234"/>
      <c r="XV4" s="61" t="s">
        <v>56</v>
      </c>
      <c r="XW4" s="62"/>
      <c r="XX4" s="62"/>
      <c r="XY4" s="233">
        <v>123212</v>
      </c>
      <c r="XZ4" s="234"/>
      <c r="YA4" s="61" t="s">
        <v>56</v>
      </c>
      <c r="YB4" s="62"/>
      <c r="YC4" s="62"/>
      <c r="YD4" s="233">
        <v>142874</v>
      </c>
      <c r="YE4" s="234"/>
      <c r="YF4" s="61" t="s">
        <v>56</v>
      </c>
      <c r="YG4" s="62"/>
      <c r="YH4" s="62"/>
      <c r="YI4" s="233">
        <v>146116</v>
      </c>
      <c r="YJ4" s="234"/>
      <c r="YK4" s="61" t="s">
        <v>56</v>
      </c>
      <c r="YL4" s="62"/>
      <c r="YM4" s="62"/>
      <c r="YN4" s="233">
        <v>113416</v>
      </c>
      <c r="YO4" s="234"/>
      <c r="YP4" s="61" t="s">
        <v>56</v>
      </c>
      <c r="YQ4" s="62"/>
      <c r="YR4" s="62"/>
      <c r="YS4" s="233">
        <v>134112</v>
      </c>
      <c r="YT4" s="234"/>
      <c r="YU4" s="61" t="s">
        <v>56</v>
      </c>
      <c r="YV4" s="62"/>
      <c r="YW4" s="62"/>
      <c r="YX4" s="233">
        <v>69816</v>
      </c>
      <c r="YY4" s="234"/>
      <c r="YZ4" s="61" t="s">
        <v>56</v>
      </c>
      <c r="ZA4" s="62"/>
      <c r="ZB4" s="62"/>
      <c r="ZC4" s="233">
        <v>160258</v>
      </c>
      <c r="ZD4" s="234"/>
      <c r="ZE4" s="61" t="s">
        <v>56</v>
      </c>
      <c r="ZF4" s="62"/>
      <c r="ZG4" s="62"/>
      <c r="ZH4" s="233">
        <v>173366</v>
      </c>
      <c r="ZI4" s="234"/>
      <c r="ZJ4" s="61" t="s">
        <v>56</v>
      </c>
      <c r="ZK4" s="62"/>
      <c r="ZL4" s="62"/>
      <c r="ZM4" s="233">
        <v>157016</v>
      </c>
      <c r="ZN4" s="234"/>
      <c r="ZO4" s="61" t="s">
        <v>56</v>
      </c>
      <c r="ZP4" s="62"/>
      <c r="ZQ4" s="62"/>
      <c r="ZR4" s="233">
        <v>116658</v>
      </c>
      <c r="ZS4" s="234"/>
      <c r="ZT4" s="61" t="s">
        <v>56</v>
      </c>
      <c r="ZU4" s="62"/>
      <c r="ZV4" s="62"/>
      <c r="ZW4" s="233">
        <v>113416</v>
      </c>
      <c r="ZX4" s="234"/>
      <c r="ZY4" s="61" t="s">
        <v>56</v>
      </c>
      <c r="ZZ4" s="62"/>
      <c r="AAA4" s="62"/>
      <c r="AAB4" s="233">
        <v>88304</v>
      </c>
      <c r="AAC4" s="234"/>
      <c r="AAD4" s="61" t="s">
        <v>56</v>
      </c>
      <c r="AAE4" s="62"/>
      <c r="AAF4" s="62"/>
      <c r="AAG4" s="233">
        <v>29458</v>
      </c>
      <c r="AAH4" s="234"/>
      <c r="AAI4" s="61" t="s">
        <v>56</v>
      </c>
      <c r="AAJ4" s="62"/>
      <c r="AAK4" s="62"/>
      <c r="AAL4" s="233">
        <v>181024</v>
      </c>
      <c r="AAM4" s="234"/>
      <c r="AAN4" s="61" t="s">
        <v>56</v>
      </c>
      <c r="AAO4" s="62"/>
      <c r="AAP4" s="62"/>
      <c r="AAQ4" s="233">
        <v>162466</v>
      </c>
      <c r="AAR4" s="234"/>
      <c r="AAS4" s="61" t="s">
        <v>56</v>
      </c>
      <c r="AAT4" s="62"/>
      <c r="AAU4" s="62"/>
      <c r="AAV4" s="233">
        <v>105758</v>
      </c>
      <c r="AAW4" s="234"/>
      <c r="AAX4" s="61" t="s">
        <v>56</v>
      </c>
      <c r="AAY4" s="62"/>
      <c r="AAZ4" s="62"/>
      <c r="ABA4" s="233">
        <v>124316</v>
      </c>
      <c r="ABB4" s="234"/>
      <c r="ABC4" s="61" t="s">
        <v>56</v>
      </c>
      <c r="ABD4" s="62"/>
      <c r="ABE4" s="62"/>
      <c r="ABF4" s="233">
        <v>51258</v>
      </c>
      <c r="ABG4" s="234"/>
      <c r="ABH4" s="61" t="s">
        <v>56</v>
      </c>
      <c r="ABI4" s="62"/>
      <c r="ABJ4" s="62"/>
      <c r="ABK4" s="233">
        <v>40428</v>
      </c>
      <c r="ABL4" s="234"/>
      <c r="ABM4" s="61" t="s">
        <v>56</v>
      </c>
      <c r="ABN4" s="62"/>
      <c r="ABO4" s="62"/>
      <c r="ABP4" s="233">
        <v>143908</v>
      </c>
      <c r="ABQ4" s="234"/>
      <c r="ABR4" s="61" t="s">
        <v>56</v>
      </c>
      <c r="ABS4" s="62"/>
      <c r="ABT4" s="62"/>
      <c r="ABU4" s="233">
        <v>165708</v>
      </c>
      <c r="ABV4" s="234"/>
      <c r="ABW4" s="61" t="s">
        <v>56</v>
      </c>
      <c r="ABX4" s="62"/>
      <c r="ABY4" s="62"/>
      <c r="ABZ4" s="233">
        <v>78648</v>
      </c>
      <c r="ACA4" s="234"/>
      <c r="ACB4" s="61" t="s">
        <v>56</v>
      </c>
      <c r="ACC4" s="62"/>
      <c r="ACD4" s="62"/>
      <c r="ACE4" s="233">
        <v>113416</v>
      </c>
      <c r="ACF4" s="234"/>
      <c r="ACG4" s="61" t="s">
        <v>56</v>
      </c>
      <c r="ACH4" s="62"/>
      <c r="ACI4" s="62"/>
      <c r="ACJ4" s="233">
        <v>89408</v>
      </c>
      <c r="ACK4" s="234"/>
      <c r="ACL4" s="61" t="s">
        <v>56</v>
      </c>
      <c r="ACM4" s="62"/>
      <c r="ACN4" s="62"/>
      <c r="ACO4" s="233">
        <v>85062</v>
      </c>
      <c r="ACP4" s="234"/>
      <c r="ACQ4" s="61" t="s">
        <v>56</v>
      </c>
      <c r="ACR4" s="62"/>
      <c r="ACS4" s="62"/>
      <c r="ACT4" s="233">
        <v>81750</v>
      </c>
      <c r="ACU4" s="234"/>
      <c r="ACV4" s="61" t="s">
        <v>56</v>
      </c>
      <c r="ACW4" s="62"/>
      <c r="ACX4" s="62"/>
      <c r="ACY4" s="233">
        <v>19732</v>
      </c>
      <c r="ACZ4" s="234"/>
      <c r="ADA4" s="61" t="s">
        <v>56</v>
      </c>
      <c r="ADB4" s="62"/>
      <c r="ADC4" s="62"/>
      <c r="ADD4" s="233">
        <v>167916</v>
      </c>
      <c r="ADE4" s="234"/>
      <c r="ADF4" s="61" t="s">
        <v>56</v>
      </c>
      <c r="ADG4" s="62"/>
      <c r="ADH4" s="62"/>
      <c r="ADI4" s="233">
        <v>173366</v>
      </c>
      <c r="ADJ4" s="234"/>
      <c r="ADK4" s="61" t="s">
        <v>56</v>
      </c>
      <c r="ADL4" s="62"/>
      <c r="ADM4" s="62"/>
      <c r="ADN4" s="233">
        <v>138849</v>
      </c>
      <c r="ADO4" s="234"/>
      <c r="ADP4" s="61" t="s">
        <v>56</v>
      </c>
      <c r="ADQ4" s="62"/>
      <c r="ADR4" s="62"/>
      <c r="ADS4" s="233">
        <v>67056</v>
      </c>
      <c r="ADT4" s="234"/>
      <c r="ADU4" s="61" t="s">
        <v>56</v>
      </c>
      <c r="ADV4" s="62"/>
      <c r="ADW4" s="62"/>
      <c r="ADX4" s="233">
        <v>78508</v>
      </c>
      <c r="ADY4" s="234"/>
      <c r="ADZ4" s="61" t="s">
        <v>56</v>
      </c>
      <c r="AEA4" s="62"/>
      <c r="AEB4" s="62"/>
      <c r="AEC4" s="233">
        <v>143908</v>
      </c>
      <c r="AED4" s="234"/>
      <c r="AEE4" s="61" t="s">
        <v>56</v>
      </c>
      <c r="AEF4" s="62"/>
      <c r="AEG4" s="62"/>
      <c r="AEH4" s="233">
        <v>141769</v>
      </c>
      <c r="AEI4" s="234"/>
      <c r="AEJ4" s="61" t="s">
        <v>56</v>
      </c>
      <c r="AEK4" s="62"/>
      <c r="AEL4" s="62"/>
      <c r="AEM4" s="233">
        <v>102516</v>
      </c>
      <c r="AEN4" s="234"/>
      <c r="AEO4" s="61" t="s">
        <v>56</v>
      </c>
      <c r="AEP4" s="62"/>
      <c r="AEQ4" s="62"/>
      <c r="AER4" s="233">
        <v>96032</v>
      </c>
      <c r="AES4" s="234"/>
      <c r="AET4" s="61" t="s">
        <v>56</v>
      </c>
      <c r="AEU4" s="62"/>
      <c r="AEV4" s="62"/>
      <c r="AEW4" s="233">
        <v>85062</v>
      </c>
      <c r="AEX4" s="234"/>
      <c r="AEY4" s="61" t="s">
        <v>56</v>
      </c>
      <c r="AEZ4" s="62"/>
      <c r="AFA4" s="62"/>
      <c r="AFB4" s="233">
        <v>80716</v>
      </c>
      <c r="AFC4" s="234"/>
      <c r="AFD4" s="61" t="s">
        <v>56</v>
      </c>
      <c r="AFE4" s="62"/>
      <c r="AFF4" s="62"/>
      <c r="AFG4" s="233">
        <v>150462</v>
      </c>
      <c r="AFH4" s="234"/>
      <c r="AFI4" s="61" t="s">
        <v>56</v>
      </c>
      <c r="AFJ4" s="62"/>
      <c r="AFK4" s="62"/>
      <c r="AFL4" s="233">
        <v>157016</v>
      </c>
      <c r="AFM4" s="234"/>
      <c r="AFN4" s="61" t="s">
        <v>56</v>
      </c>
      <c r="AFO4" s="62"/>
      <c r="AFP4" s="62"/>
      <c r="AFQ4" s="233">
        <v>89408</v>
      </c>
      <c r="AFR4" s="234"/>
      <c r="AFS4" s="61" t="s">
        <v>56</v>
      </c>
      <c r="AFT4" s="62"/>
      <c r="AFU4" s="62"/>
      <c r="AFV4" s="233">
        <v>95962</v>
      </c>
      <c r="AFW4" s="234"/>
      <c r="AFX4" s="61" t="s">
        <v>56</v>
      </c>
      <c r="AFY4" s="62"/>
      <c r="AFZ4" s="62"/>
      <c r="AGA4" s="233">
        <v>69816</v>
      </c>
      <c r="AGB4" s="234"/>
      <c r="AGC4" s="61" t="s">
        <v>56</v>
      </c>
      <c r="AGD4" s="62"/>
      <c r="AGE4" s="62"/>
      <c r="AGF4" s="233">
        <v>111208</v>
      </c>
      <c r="AGG4" s="234"/>
      <c r="AGH4" s="61" t="s">
        <v>56</v>
      </c>
      <c r="AGI4" s="62"/>
      <c r="AGJ4" s="62"/>
      <c r="AGK4" s="233">
        <v>129766</v>
      </c>
      <c r="AGL4" s="234"/>
      <c r="AGM4" s="61" t="s">
        <v>56</v>
      </c>
      <c r="AGN4" s="62"/>
      <c r="AGO4" s="62"/>
      <c r="AGP4" s="233">
        <v>147220</v>
      </c>
      <c r="AGQ4" s="234"/>
      <c r="AGR4" s="61" t="s">
        <v>56</v>
      </c>
      <c r="AGS4" s="62"/>
      <c r="AGT4" s="62"/>
      <c r="AGU4" s="233">
        <v>135216</v>
      </c>
      <c r="AGV4" s="234"/>
      <c r="AGW4" s="61" t="s">
        <v>56</v>
      </c>
      <c r="AGX4" s="62"/>
      <c r="AGY4" s="62"/>
      <c r="AGZ4" s="233">
        <v>0</v>
      </c>
      <c r="AHA4" s="234"/>
      <c r="AHB4" s="61" t="s">
        <v>56</v>
      </c>
      <c r="AHC4" s="62"/>
      <c r="AHD4" s="62"/>
      <c r="AHE4" s="233">
        <v>69816</v>
      </c>
      <c r="AHF4" s="234"/>
      <c r="AHG4" s="61" t="s">
        <v>56</v>
      </c>
      <c r="AHH4" s="62"/>
      <c r="AHI4" s="62"/>
      <c r="AHJ4" s="233">
        <v>93824</v>
      </c>
      <c r="AHK4" s="234"/>
      <c r="AHL4" s="61" t="s">
        <v>56</v>
      </c>
      <c r="AHM4" s="62"/>
      <c r="AHN4" s="62"/>
      <c r="AHO4" s="233">
        <v>159224</v>
      </c>
      <c r="AHP4" s="234"/>
      <c r="AHQ4" s="61" t="s">
        <v>56</v>
      </c>
      <c r="AHR4" s="62"/>
      <c r="AHS4" s="62"/>
      <c r="AHT4" s="233">
        <v>167916</v>
      </c>
      <c r="AHU4" s="234"/>
      <c r="AHV4" s="61" t="s">
        <v>56</v>
      </c>
      <c r="AHW4" s="62"/>
      <c r="AHX4" s="62"/>
      <c r="AHY4" s="233">
        <v>138458</v>
      </c>
      <c r="AHZ4" s="234"/>
      <c r="AIA4" s="61" t="s">
        <v>56</v>
      </c>
      <c r="AIB4" s="62"/>
      <c r="AIC4" s="62"/>
      <c r="AID4" s="233">
        <v>118521</v>
      </c>
      <c r="AIE4" s="234"/>
      <c r="AIF4" s="61" t="s">
        <v>56</v>
      </c>
      <c r="AIG4" s="62"/>
      <c r="AIH4" s="62"/>
      <c r="AII4" s="233">
        <v>113416</v>
      </c>
      <c r="AIJ4" s="234"/>
      <c r="AIK4" s="61" t="s">
        <v>56</v>
      </c>
      <c r="AIL4" s="62"/>
      <c r="AIM4" s="62"/>
      <c r="AIN4" s="233">
        <v>100308</v>
      </c>
      <c r="AIO4" s="234"/>
      <c r="AIP4" s="61" t="s">
        <v>56</v>
      </c>
      <c r="AIQ4" s="62"/>
      <c r="AIR4" s="62"/>
      <c r="AIS4" s="233">
        <v>78508</v>
      </c>
      <c r="AIT4" s="234"/>
      <c r="AIU4" s="61" t="s">
        <v>56</v>
      </c>
      <c r="AIV4" s="62"/>
      <c r="AIW4" s="62"/>
      <c r="AIX4" s="233">
        <v>146116</v>
      </c>
      <c r="AIY4" s="234"/>
      <c r="AIZ4" s="61" t="s">
        <v>56</v>
      </c>
      <c r="AJA4" s="62"/>
      <c r="AJB4" s="62"/>
      <c r="AJC4" s="233">
        <v>100308</v>
      </c>
      <c r="AJD4" s="234"/>
      <c r="AJE4" s="61" t="s">
        <v>56</v>
      </c>
      <c r="AJF4" s="62"/>
      <c r="AJG4" s="62"/>
      <c r="AJH4" s="233">
        <v>90512</v>
      </c>
      <c r="AJI4" s="234"/>
      <c r="AJJ4" s="61" t="s">
        <v>56</v>
      </c>
      <c r="AJK4" s="62"/>
      <c r="AJL4" s="62"/>
      <c r="AJM4" s="233">
        <v>57812</v>
      </c>
      <c r="AJN4" s="234"/>
      <c r="AJO4" s="61" t="s">
        <v>56</v>
      </c>
      <c r="AJP4" s="62"/>
      <c r="AJQ4" s="62"/>
      <c r="AJR4" s="233">
        <v>75406</v>
      </c>
      <c r="AJS4" s="234"/>
      <c r="AJT4" s="61" t="s">
        <v>56</v>
      </c>
      <c r="AJU4" s="62"/>
      <c r="AJV4" s="62"/>
      <c r="AJW4" s="233">
        <v>47052</v>
      </c>
      <c r="AJX4" s="234"/>
      <c r="AJY4" s="61" t="s">
        <v>56</v>
      </c>
      <c r="AJZ4" s="62"/>
      <c r="AKA4" s="62"/>
      <c r="AKB4" s="233">
        <v>124316</v>
      </c>
      <c r="AKC4" s="234"/>
      <c r="AKD4" s="61" t="s">
        <v>56</v>
      </c>
      <c r="AKE4" s="62"/>
      <c r="AKF4" s="62"/>
      <c r="AKG4" s="233">
        <v>157016</v>
      </c>
      <c r="AKH4" s="234"/>
      <c r="AKI4" s="61" t="s">
        <v>56</v>
      </c>
      <c r="AKJ4" s="62"/>
      <c r="AKK4" s="62"/>
      <c r="AKL4" s="233">
        <v>133008</v>
      </c>
      <c r="AKM4" s="234"/>
      <c r="AKN4" s="61" t="s">
        <v>56</v>
      </c>
      <c r="AKO4" s="62"/>
      <c r="AKP4" s="62"/>
      <c r="AKQ4" s="233">
        <v>131974</v>
      </c>
      <c r="AKR4" s="234"/>
      <c r="AKS4" s="61" t="s">
        <v>56</v>
      </c>
      <c r="AKT4" s="62"/>
      <c r="AKU4" s="62"/>
      <c r="AKV4" s="233">
        <v>99274</v>
      </c>
      <c r="AKW4" s="234"/>
      <c r="AKX4" s="61" t="s">
        <v>56</v>
      </c>
      <c r="AKY4" s="62"/>
      <c r="AKZ4" s="62"/>
      <c r="ALA4" s="233">
        <v>127558</v>
      </c>
      <c r="ALB4" s="234"/>
      <c r="ALC4" s="61" t="s">
        <v>56</v>
      </c>
      <c r="ALD4" s="62"/>
      <c r="ALE4" s="62"/>
      <c r="ALF4" s="233">
        <v>62298</v>
      </c>
      <c r="ALG4" s="234"/>
      <c r="ALH4" s="61" t="s">
        <v>56</v>
      </c>
      <c r="ALI4" s="62"/>
      <c r="ALJ4" s="62"/>
      <c r="ALK4" s="233">
        <v>137396</v>
      </c>
      <c r="ALL4" s="234"/>
      <c r="ALM4" s="61" t="s">
        <v>56</v>
      </c>
      <c r="ALN4" s="62"/>
      <c r="ALO4" s="62"/>
      <c r="ALP4" s="233">
        <v>100308</v>
      </c>
      <c r="ALQ4" s="234"/>
      <c r="ALR4" s="61" t="s">
        <v>56</v>
      </c>
      <c r="ALS4" s="62"/>
      <c r="ALT4" s="62"/>
      <c r="ALU4" s="233">
        <v>140666</v>
      </c>
      <c r="ALV4" s="234"/>
      <c r="ALW4" s="61" t="s">
        <v>56</v>
      </c>
      <c r="ALX4" s="62"/>
      <c r="ALY4" s="62"/>
      <c r="ALZ4" s="233">
        <v>64366</v>
      </c>
      <c r="AMA4" s="234"/>
      <c r="AMB4" s="61" t="s">
        <v>56</v>
      </c>
      <c r="AMC4" s="62"/>
      <c r="AMD4" s="62"/>
      <c r="AME4" s="233">
        <v>107966</v>
      </c>
      <c r="AMF4" s="234"/>
      <c r="AMG4" s="61" t="s">
        <v>56</v>
      </c>
      <c r="AMH4" s="62"/>
      <c r="AMI4" s="62"/>
      <c r="AMJ4" s="233">
        <v>91616</v>
      </c>
      <c r="AMK4" s="234"/>
      <c r="AML4" s="61" t="s">
        <v>56</v>
      </c>
      <c r="AMM4" s="62"/>
      <c r="AMN4" s="62"/>
      <c r="AMO4" s="233">
        <v>146116</v>
      </c>
      <c r="AMP4" s="234"/>
      <c r="AMQ4" s="61" t="s">
        <v>56</v>
      </c>
      <c r="AMR4" s="62"/>
      <c r="AMS4" s="62"/>
      <c r="AMT4" s="233">
        <v>135216</v>
      </c>
      <c r="AMU4" s="234"/>
      <c r="AMV4" s="61" t="s">
        <v>56</v>
      </c>
      <c r="AMW4" s="62"/>
      <c r="AMX4" s="62"/>
      <c r="AMY4" s="233">
        <v>127558</v>
      </c>
      <c r="AMZ4" s="234"/>
      <c r="ANA4" s="61" t="s">
        <v>56</v>
      </c>
      <c r="ANB4" s="62"/>
      <c r="ANC4" s="62"/>
      <c r="AND4" s="233">
        <v>122108</v>
      </c>
      <c r="ANE4" s="234"/>
      <c r="ANF4" s="61" t="s">
        <v>56</v>
      </c>
      <c r="ANG4" s="62"/>
      <c r="ANH4" s="62"/>
      <c r="ANI4" s="233">
        <v>78508</v>
      </c>
      <c r="ANJ4" s="234"/>
      <c r="ANK4" s="61" t="s">
        <v>56</v>
      </c>
      <c r="ANL4" s="62"/>
      <c r="ANM4" s="62"/>
      <c r="ANN4" s="233">
        <v>70920</v>
      </c>
      <c r="ANO4" s="234"/>
      <c r="ANP4" s="61" t="s">
        <v>56</v>
      </c>
      <c r="ANQ4" s="62"/>
      <c r="ANR4" s="62"/>
      <c r="ANS4" s="233">
        <v>25182</v>
      </c>
      <c r="ANT4" s="234"/>
      <c r="ANU4" s="61" t="s">
        <v>56</v>
      </c>
      <c r="ANV4" s="62"/>
      <c r="ANW4" s="62"/>
      <c r="ANX4" s="233">
        <v>92650</v>
      </c>
      <c r="ANY4" s="234"/>
      <c r="ANZ4" s="61" t="s">
        <v>56</v>
      </c>
      <c r="AOA4" s="62"/>
      <c r="AOB4" s="62"/>
      <c r="AOC4" s="233">
        <v>157016</v>
      </c>
      <c r="AOD4" s="234"/>
      <c r="AOE4" s="61" t="s">
        <v>56</v>
      </c>
      <c r="AOF4" s="62"/>
      <c r="AOG4" s="62"/>
      <c r="AOH4" s="233">
        <v>129766</v>
      </c>
      <c r="AOI4" s="234"/>
      <c r="AOJ4" s="61" t="s">
        <v>56</v>
      </c>
      <c r="AOK4" s="62"/>
      <c r="AOL4" s="62"/>
      <c r="AOM4" s="233">
        <v>54500</v>
      </c>
      <c r="AON4" s="234"/>
      <c r="AOO4" s="61" t="s">
        <v>56</v>
      </c>
      <c r="AOP4" s="62"/>
      <c r="AOQ4" s="62"/>
      <c r="AOR4" s="233">
        <v>56708</v>
      </c>
      <c r="AOS4" s="234"/>
      <c r="AOT4" s="61" t="s">
        <v>56</v>
      </c>
      <c r="AOU4" s="62"/>
      <c r="AOV4" s="62"/>
      <c r="AOW4" s="233">
        <v>55674</v>
      </c>
      <c r="AOX4" s="234"/>
      <c r="AOY4" s="61" t="s">
        <v>56</v>
      </c>
      <c r="AOZ4" s="62"/>
      <c r="APA4" s="62"/>
      <c r="APB4" s="233">
        <v>33874</v>
      </c>
      <c r="APC4" s="234"/>
      <c r="APD4" s="61" t="s">
        <v>56</v>
      </c>
      <c r="APE4" s="62"/>
      <c r="APF4" s="62"/>
      <c r="APG4" s="233">
        <v>86166</v>
      </c>
      <c r="APH4" s="234"/>
      <c r="API4" s="61" t="s">
        <v>56</v>
      </c>
      <c r="APJ4" s="62"/>
      <c r="APK4" s="62"/>
      <c r="APL4" s="233">
        <v>89408</v>
      </c>
      <c r="APM4" s="234"/>
      <c r="APN4" s="61" t="s">
        <v>56</v>
      </c>
      <c r="APO4" s="62"/>
      <c r="APP4" s="62"/>
      <c r="APQ4" s="233">
        <v>70850</v>
      </c>
      <c r="APR4" s="234"/>
      <c r="APS4" s="61" t="s">
        <v>56</v>
      </c>
      <c r="APT4" s="62"/>
      <c r="APU4" s="62"/>
      <c r="APV4" s="233">
        <v>55674</v>
      </c>
      <c r="APW4" s="234"/>
      <c r="APX4" s="61" t="s">
        <v>56</v>
      </c>
      <c r="APY4" s="62"/>
      <c r="APZ4" s="62"/>
      <c r="AQA4" s="233">
        <v>74232</v>
      </c>
      <c r="AQB4" s="234"/>
      <c r="AQC4" s="61" t="s">
        <v>56</v>
      </c>
      <c r="AQD4" s="62"/>
      <c r="AQE4" s="62"/>
      <c r="AQF4" s="233">
        <v>87480</v>
      </c>
      <c r="AQG4" s="234"/>
      <c r="AQH4" s="61" t="s">
        <v>56</v>
      </c>
      <c r="AQI4" s="62"/>
      <c r="AQJ4" s="62"/>
      <c r="AQK4" s="233">
        <v>213724</v>
      </c>
      <c r="AQL4" s="234"/>
      <c r="AQM4" s="61" t="s">
        <v>56</v>
      </c>
      <c r="AQN4" s="62"/>
      <c r="AQO4" s="62"/>
      <c r="AQP4" s="233">
        <v>92650</v>
      </c>
      <c r="AQQ4" s="234"/>
      <c r="AQR4" s="61" t="s">
        <v>56</v>
      </c>
      <c r="AQS4" s="62"/>
      <c r="AQT4" s="62"/>
      <c r="AQU4" s="233">
        <v>0</v>
      </c>
      <c r="AQV4" s="234"/>
      <c r="AQW4" s="61" t="s">
        <v>56</v>
      </c>
      <c r="AQX4" s="62"/>
      <c r="AQY4" s="62"/>
      <c r="AQZ4" s="233">
        <v>122108</v>
      </c>
      <c r="ARA4" s="234"/>
      <c r="ARB4" s="61" t="s">
        <v>56</v>
      </c>
      <c r="ARC4" s="62"/>
      <c r="ARD4" s="62"/>
      <c r="ARE4" s="233">
        <v>125350</v>
      </c>
      <c r="ARF4" s="234"/>
      <c r="ARG4" s="61" t="s">
        <v>56</v>
      </c>
      <c r="ARH4" s="62"/>
      <c r="ARI4" s="62"/>
      <c r="ARJ4" s="233">
        <v>89408</v>
      </c>
      <c r="ARK4" s="234"/>
      <c r="ARL4" s="61" t="s">
        <v>56</v>
      </c>
      <c r="ARM4" s="62"/>
      <c r="ARN4" s="62"/>
      <c r="ARO4" s="233">
        <v>40358</v>
      </c>
      <c r="ARP4" s="234"/>
      <c r="ARQ4" s="61" t="s">
        <v>56</v>
      </c>
      <c r="ARR4" s="62"/>
      <c r="ARS4" s="62"/>
      <c r="ART4" s="233">
        <v>202824</v>
      </c>
      <c r="ARU4" s="234"/>
      <c r="ARV4" s="61" t="s">
        <v>56</v>
      </c>
      <c r="ARW4" s="62"/>
      <c r="ARX4" s="62"/>
      <c r="ARY4" s="233">
        <v>127558</v>
      </c>
      <c r="ARZ4" s="234"/>
      <c r="ASA4" s="61" t="s">
        <v>56</v>
      </c>
      <c r="ASB4" s="62"/>
      <c r="ASC4" s="62"/>
      <c r="ASD4" s="233">
        <v>76300</v>
      </c>
      <c r="ASE4" s="234"/>
      <c r="ASF4" s="61" t="s">
        <v>56</v>
      </c>
      <c r="ASG4" s="62"/>
      <c r="ASH4" s="62"/>
      <c r="ASI4" s="233">
        <v>88891</v>
      </c>
      <c r="ASJ4" s="234"/>
      <c r="ASK4" s="61" t="s">
        <v>56</v>
      </c>
      <c r="ASL4" s="62"/>
      <c r="ASM4" s="62"/>
      <c r="ASN4" s="233">
        <v>79612</v>
      </c>
      <c r="ASO4" s="234"/>
      <c r="ASP4" s="61" t="s">
        <v>56</v>
      </c>
      <c r="ASQ4" s="62"/>
      <c r="ASR4" s="62"/>
      <c r="ASS4" s="233">
        <v>45808</v>
      </c>
      <c r="AST4" s="234"/>
      <c r="ASU4" s="61" t="s">
        <v>56</v>
      </c>
      <c r="ASV4" s="62"/>
      <c r="ASW4" s="62"/>
      <c r="ASX4" s="233">
        <v>9866</v>
      </c>
      <c r="ASY4" s="234"/>
      <c r="ASZ4" s="61" t="s">
        <v>56</v>
      </c>
      <c r="ATA4" s="62"/>
      <c r="ATB4" s="62"/>
      <c r="ATC4" s="233">
        <v>148324</v>
      </c>
      <c r="ATD4" s="234"/>
      <c r="ATE4" s="61" t="s">
        <v>56</v>
      </c>
      <c r="ATF4" s="62"/>
      <c r="ATG4" s="62"/>
      <c r="ATH4" s="233">
        <v>83958</v>
      </c>
      <c r="ATI4" s="234"/>
      <c r="ATJ4" s="61" t="s">
        <v>56</v>
      </c>
      <c r="ATK4" s="62"/>
      <c r="ATL4" s="62"/>
      <c r="ATM4" s="233">
        <v>89408</v>
      </c>
      <c r="ATN4" s="234"/>
      <c r="ATO4" s="61" t="s">
        <v>56</v>
      </c>
      <c r="ATP4" s="62"/>
      <c r="ATQ4" s="62"/>
      <c r="ATR4" s="233">
        <v>78508</v>
      </c>
      <c r="ATS4" s="234"/>
      <c r="ATT4" s="61" t="s">
        <v>56</v>
      </c>
      <c r="ATU4" s="62"/>
      <c r="ATV4" s="62"/>
      <c r="ATW4" s="233">
        <v>56708</v>
      </c>
      <c r="ATX4" s="234"/>
      <c r="ATY4" s="61" t="s">
        <v>56</v>
      </c>
      <c r="ATZ4" s="62"/>
      <c r="AUA4" s="62"/>
      <c r="AUB4" s="233">
        <v>89408</v>
      </c>
      <c r="AUC4" s="234"/>
      <c r="AUD4" s="61" t="s">
        <v>56</v>
      </c>
      <c r="AUE4" s="62"/>
      <c r="AUF4" s="62"/>
      <c r="AUG4" s="233">
        <v>27320</v>
      </c>
      <c r="AUH4" s="234"/>
      <c r="AUI4" s="61" t="s">
        <v>56</v>
      </c>
      <c r="AUJ4" s="62"/>
      <c r="AUK4" s="62"/>
      <c r="AUL4" s="233">
        <v>130870</v>
      </c>
      <c r="AUM4" s="234"/>
      <c r="AUN4" s="61" t="s">
        <v>56</v>
      </c>
      <c r="AUO4" s="62"/>
      <c r="AUP4" s="62"/>
      <c r="AUQ4" s="233">
        <v>91616</v>
      </c>
      <c r="AUR4" s="234"/>
      <c r="AUS4" s="61" t="s">
        <v>56</v>
      </c>
      <c r="AUT4" s="62"/>
      <c r="AUU4" s="62"/>
      <c r="AUV4" s="233">
        <v>75266</v>
      </c>
      <c r="AUW4" s="234"/>
      <c r="AUX4" s="61" t="s">
        <v>56</v>
      </c>
      <c r="AUY4" s="62"/>
      <c r="AUZ4" s="62"/>
      <c r="AVA4" s="233">
        <v>65400</v>
      </c>
      <c r="AVB4" s="234"/>
      <c r="AVC4" s="61" t="s">
        <v>56</v>
      </c>
      <c r="AVD4" s="62"/>
      <c r="AVE4" s="62"/>
      <c r="AVF4" s="233">
        <v>67608</v>
      </c>
      <c r="AVG4" s="234"/>
      <c r="AVH4" s="61" t="s">
        <v>56</v>
      </c>
      <c r="AVI4" s="62"/>
      <c r="AVJ4" s="62"/>
      <c r="AVK4" s="233">
        <v>56708</v>
      </c>
      <c r="AVL4" s="234"/>
      <c r="AVM4" s="61" t="s">
        <v>56</v>
      </c>
      <c r="AVN4" s="62"/>
      <c r="AVO4" s="62"/>
      <c r="AVP4" s="233">
        <v>37116</v>
      </c>
      <c r="AVQ4" s="234"/>
      <c r="AVR4" s="61" t="s">
        <v>56</v>
      </c>
      <c r="AVS4" s="62"/>
      <c r="AVT4" s="62"/>
      <c r="AVU4" s="233">
        <v>193028</v>
      </c>
      <c r="AVV4" s="234"/>
      <c r="AVW4" s="61" t="s">
        <v>56</v>
      </c>
      <c r="AVX4" s="62"/>
      <c r="AVY4" s="62"/>
      <c r="AVZ4" s="233">
        <v>109000</v>
      </c>
      <c r="AWA4" s="234"/>
      <c r="AWB4" s="61" t="s">
        <v>56</v>
      </c>
      <c r="AWC4" s="62"/>
      <c r="AWD4" s="62"/>
      <c r="AWE4" s="233">
        <v>67608</v>
      </c>
      <c r="AWF4" s="234"/>
      <c r="AWG4" s="61" t="s">
        <v>56</v>
      </c>
      <c r="AWH4" s="62"/>
      <c r="AWI4" s="62"/>
      <c r="AWJ4" s="233">
        <v>111208</v>
      </c>
      <c r="AWK4" s="234"/>
      <c r="AWL4" s="61" t="s">
        <v>56</v>
      </c>
      <c r="AWM4" s="62"/>
      <c r="AWN4" s="62"/>
      <c r="AWO4" s="233">
        <v>105758</v>
      </c>
      <c r="AWP4" s="234"/>
      <c r="AWQ4" s="61" t="s">
        <v>56</v>
      </c>
      <c r="AWR4" s="62"/>
      <c r="AWS4" s="62"/>
      <c r="AWT4" s="233">
        <v>58916</v>
      </c>
      <c r="AWU4" s="234"/>
      <c r="AWV4" s="61" t="s">
        <v>56</v>
      </c>
      <c r="AWW4" s="62"/>
      <c r="AWX4" s="62"/>
      <c r="AWY4" s="233">
        <v>31666</v>
      </c>
      <c r="AWZ4" s="234"/>
      <c r="AXA4" s="61" t="s">
        <v>56</v>
      </c>
      <c r="AXB4" s="62"/>
      <c r="AXC4" s="62"/>
      <c r="AXD4" s="233">
        <v>159224</v>
      </c>
      <c r="AXE4" s="234"/>
      <c r="AXF4" s="61" t="s">
        <v>56</v>
      </c>
      <c r="AXG4" s="62"/>
      <c r="AXH4" s="62"/>
      <c r="AXI4" s="233">
        <v>78508</v>
      </c>
      <c r="AXJ4" s="234"/>
      <c r="AXK4" s="61" t="s">
        <v>56</v>
      </c>
      <c r="AXL4" s="62"/>
      <c r="AXM4" s="62"/>
      <c r="AXN4" s="233">
        <v>116658</v>
      </c>
      <c r="AXO4" s="234"/>
      <c r="AXP4" s="61" t="s">
        <v>56</v>
      </c>
      <c r="AXQ4" s="62"/>
      <c r="AXR4" s="62"/>
      <c r="AXS4" s="233">
        <v>73058</v>
      </c>
      <c r="AXT4" s="234"/>
      <c r="AXU4" s="61" t="s">
        <v>56</v>
      </c>
      <c r="AXV4" s="62"/>
      <c r="AXW4" s="62"/>
      <c r="AXX4" s="233">
        <v>100308</v>
      </c>
      <c r="AXY4" s="234"/>
      <c r="AXZ4" s="61" t="s">
        <v>56</v>
      </c>
      <c r="AYA4" s="62"/>
      <c r="AYB4" s="62"/>
      <c r="AYC4" s="233">
        <v>91616</v>
      </c>
      <c r="AYD4" s="234"/>
      <c r="AYE4" s="61" t="s">
        <v>56</v>
      </c>
      <c r="AYF4" s="62"/>
      <c r="AYG4" s="62"/>
      <c r="AYH4" s="233">
        <v>55674</v>
      </c>
      <c r="AYI4" s="234"/>
      <c r="AYJ4" s="61" t="s">
        <v>56</v>
      </c>
      <c r="AYK4" s="62"/>
      <c r="AYL4" s="62"/>
      <c r="AYM4" s="233">
        <v>203928</v>
      </c>
      <c r="AYN4" s="234"/>
      <c r="AYO4" s="61" t="s">
        <v>56</v>
      </c>
      <c r="AYP4" s="62"/>
      <c r="AYQ4" s="62"/>
      <c r="AYR4" s="233">
        <v>111208</v>
      </c>
      <c r="AYS4" s="234"/>
      <c r="AYT4" s="61" t="s">
        <v>56</v>
      </c>
      <c r="AYU4" s="62"/>
      <c r="AYV4" s="62"/>
      <c r="AYW4" s="233">
        <v>87200</v>
      </c>
      <c r="AYX4" s="234"/>
      <c r="AYY4" s="61" t="s">
        <v>56</v>
      </c>
      <c r="AYZ4" s="62"/>
      <c r="AZA4" s="62"/>
      <c r="AZB4" s="233">
        <v>88304</v>
      </c>
      <c r="AZC4" s="234"/>
      <c r="AZD4" s="61" t="s">
        <v>56</v>
      </c>
      <c r="AZE4" s="62"/>
      <c r="AZF4" s="62"/>
      <c r="AZG4" s="233">
        <v>43083</v>
      </c>
      <c r="AZH4" s="234"/>
      <c r="AZI4" s="61" t="s">
        <v>56</v>
      </c>
      <c r="AZJ4" s="62"/>
      <c r="AZK4" s="62"/>
      <c r="AZL4" s="233">
        <v>160328</v>
      </c>
      <c r="AZM4" s="234"/>
      <c r="AZN4" s="61" t="s">
        <v>56</v>
      </c>
      <c r="AZO4" s="62"/>
      <c r="AZP4" s="62"/>
      <c r="AZQ4" s="233">
        <v>131946</v>
      </c>
      <c r="AZR4" s="234"/>
      <c r="AZS4" s="61" t="s">
        <v>56</v>
      </c>
      <c r="AZT4" s="62"/>
      <c r="AZU4" s="62"/>
      <c r="AZV4" s="233">
        <v>129766</v>
      </c>
      <c r="AZW4" s="234"/>
      <c r="AZX4" s="61" t="s">
        <v>56</v>
      </c>
      <c r="AZY4" s="62"/>
      <c r="AZZ4" s="62"/>
      <c r="BAA4" s="233">
        <v>98100</v>
      </c>
      <c r="BAB4" s="234"/>
      <c r="BAC4" s="61" t="s">
        <v>56</v>
      </c>
      <c r="BAD4" s="62"/>
      <c r="BAE4" s="62"/>
      <c r="BAF4" s="233">
        <v>123212</v>
      </c>
      <c r="BAG4" s="234"/>
      <c r="BAH4" s="61" t="s">
        <v>56</v>
      </c>
      <c r="BAI4" s="62"/>
      <c r="BAJ4" s="62"/>
      <c r="BAK4" s="233">
        <v>69816</v>
      </c>
      <c r="BAL4" s="234"/>
      <c r="BAM4" s="61" t="s">
        <v>56</v>
      </c>
      <c r="BAN4" s="62"/>
      <c r="BAO4" s="62"/>
      <c r="BAP4" s="233">
        <v>26216</v>
      </c>
      <c r="BAQ4" s="234"/>
      <c r="BAR4" s="61" t="s">
        <v>56</v>
      </c>
      <c r="BAS4" s="62"/>
      <c r="BAT4" s="62"/>
      <c r="BAU4" s="233">
        <v>223458</v>
      </c>
      <c r="BAV4" s="234"/>
      <c r="BAW4" s="61" t="s">
        <v>56</v>
      </c>
      <c r="BAX4" s="62"/>
      <c r="BAY4" s="62"/>
      <c r="BAZ4" s="233">
        <v>133008</v>
      </c>
      <c r="BBA4" s="234"/>
      <c r="BBB4" s="61" t="s">
        <v>56</v>
      </c>
      <c r="BBC4" s="62"/>
      <c r="BBD4" s="62"/>
      <c r="BBE4" s="233">
        <v>133008</v>
      </c>
      <c r="BBF4" s="234"/>
      <c r="BBG4" s="61" t="s">
        <v>56</v>
      </c>
      <c r="BBH4" s="62"/>
      <c r="BBI4" s="62"/>
      <c r="BBJ4" s="233">
        <v>109000</v>
      </c>
      <c r="BBK4" s="234"/>
      <c r="BBL4" s="61" t="s">
        <v>56</v>
      </c>
      <c r="BBM4" s="62"/>
      <c r="BBN4" s="62"/>
      <c r="BBO4" s="233">
        <v>102516</v>
      </c>
      <c r="BBP4" s="234"/>
      <c r="BBQ4" s="61" t="s">
        <v>56</v>
      </c>
      <c r="BBR4" s="62"/>
      <c r="BBS4" s="62"/>
      <c r="BBT4" s="233">
        <v>0</v>
      </c>
      <c r="BBU4" s="234"/>
      <c r="BBV4" s="61" t="s">
        <v>56</v>
      </c>
      <c r="BBW4" s="62"/>
      <c r="BBX4" s="62"/>
      <c r="BBY4" s="233">
        <v>67608</v>
      </c>
      <c r="BBZ4" s="234"/>
      <c r="BCA4" s="61" t="s">
        <v>56</v>
      </c>
      <c r="BCB4" s="62"/>
      <c r="BCC4" s="62"/>
      <c r="BCD4" s="233">
        <v>115119</v>
      </c>
      <c r="BCE4" s="234"/>
      <c r="BCF4" s="61" t="s">
        <v>56</v>
      </c>
      <c r="BCG4" s="62"/>
      <c r="BCH4" s="62"/>
      <c r="BCI4" s="233">
        <v>37116</v>
      </c>
      <c r="BCJ4" s="234"/>
      <c r="BCK4" s="61" t="s">
        <v>56</v>
      </c>
      <c r="BCL4" s="62"/>
      <c r="BCM4" s="62"/>
      <c r="BCN4" s="233">
        <v>55814</v>
      </c>
      <c r="BCO4" s="234"/>
      <c r="BCP4" s="61" t="s">
        <v>56</v>
      </c>
      <c r="BCQ4" s="62"/>
      <c r="BCR4" s="62"/>
      <c r="BCS4" s="233">
        <v>102516</v>
      </c>
      <c r="BCT4" s="234"/>
      <c r="BCU4" s="61" t="s">
        <v>56</v>
      </c>
      <c r="BCV4" s="62"/>
      <c r="BCW4" s="62"/>
      <c r="BCX4" s="233">
        <v>100308</v>
      </c>
      <c r="BCY4" s="234"/>
      <c r="BCZ4" s="61" t="s">
        <v>56</v>
      </c>
      <c r="BDA4" s="62"/>
      <c r="BDB4" s="62"/>
      <c r="BDC4" s="233">
        <v>19662</v>
      </c>
      <c r="BDD4" s="234"/>
      <c r="BDE4" s="61" t="s">
        <v>56</v>
      </c>
      <c r="BDF4" s="62"/>
      <c r="BDG4" s="62"/>
      <c r="BDH4" s="233">
        <v>45808</v>
      </c>
      <c r="BDI4" s="234"/>
      <c r="BDJ4" s="61" t="s">
        <v>56</v>
      </c>
      <c r="BDK4" s="62"/>
      <c r="BDL4" s="62"/>
      <c r="BDM4" s="233">
        <v>27802</v>
      </c>
      <c r="BDN4" s="234"/>
      <c r="BDO4" s="61" t="s">
        <v>56</v>
      </c>
      <c r="BDP4" s="62"/>
      <c r="BDQ4" s="62"/>
      <c r="BDR4" s="233">
        <v>57567.5</v>
      </c>
      <c r="BDS4" s="234"/>
      <c r="BDT4" s="61" t="s">
        <v>56</v>
      </c>
      <c r="BDU4" s="62"/>
      <c r="BDV4" s="62"/>
      <c r="BDW4" s="233">
        <v>62158</v>
      </c>
      <c r="BDX4" s="234"/>
      <c r="BDY4" s="61" t="s">
        <v>56</v>
      </c>
      <c r="BDZ4" s="62"/>
      <c r="BEA4" s="62"/>
      <c r="BEB4" s="233">
        <v>89408</v>
      </c>
      <c r="BEC4" s="234"/>
      <c r="BED4" s="61" t="s">
        <v>56</v>
      </c>
      <c r="BEE4" s="62"/>
      <c r="BEF4" s="62"/>
      <c r="BEG4" s="233">
        <v>67608</v>
      </c>
      <c r="BEH4" s="234"/>
      <c r="BEI4" s="61" t="s">
        <v>56</v>
      </c>
      <c r="BEJ4" s="62"/>
      <c r="BEK4" s="62"/>
      <c r="BEL4" s="233">
        <v>45808</v>
      </c>
      <c r="BEM4" s="234"/>
      <c r="BEN4" s="61" t="s">
        <v>56</v>
      </c>
      <c r="BEO4" s="62"/>
      <c r="BEP4" s="62"/>
      <c r="BEQ4" s="233">
        <v>34356</v>
      </c>
      <c r="BER4" s="234"/>
      <c r="BES4" s="61" t="s">
        <v>56</v>
      </c>
      <c r="BET4" s="62"/>
      <c r="BEU4" s="62"/>
      <c r="BEV4" s="233">
        <v>55682</v>
      </c>
      <c r="BEW4" s="234"/>
      <c r="BEX4" s="61" t="s">
        <v>56</v>
      </c>
      <c r="BEY4" s="62"/>
      <c r="BEZ4" s="62"/>
      <c r="BFA4" s="233">
        <v>119900</v>
      </c>
      <c r="BFB4" s="234"/>
      <c r="BFC4" s="61" t="s">
        <v>56</v>
      </c>
      <c r="BFD4" s="62"/>
      <c r="BFE4" s="62"/>
      <c r="BFF4" s="233">
        <v>76300</v>
      </c>
      <c r="BFG4" s="234"/>
      <c r="BFH4" s="61" t="s">
        <v>56</v>
      </c>
      <c r="BFI4" s="62"/>
      <c r="BFJ4" s="62"/>
      <c r="BFK4" s="233">
        <v>62158</v>
      </c>
      <c r="BFL4" s="234"/>
      <c r="BFM4" s="61" t="s">
        <v>56</v>
      </c>
      <c r="BFN4" s="62"/>
      <c r="BFO4" s="62"/>
      <c r="BFP4" s="233">
        <v>73058</v>
      </c>
      <c r="BFQ4" s="234"/>
      <c r="BFR4" s="61" t="s">
        <v>56</v>
      </c>
      <c r="BFS4" s="62"/>
      <c r="BFT4" s="62"/>
      <c r="BFU4" s="233">
        <v>42566</v>
      </c>
      <c r="BFV4" s="234"/>
      <c r="BFW4" s="61" t="s">
        <v>56</v>
      </c>
      <c r="BFX4" s="62"/>
      <c r="BFY4" s="62"/>
      <c r="BFZ4" s="233">
        <v>24008</v>
      </c>
      <c r="BGA4" s="234"/>
      <c r="BGB4" s="61" t="s">
        <v>56</v>
      </c>
      <c r="BGC4" s="62"/>
      <c r="BGD4" s="62"/>
      <c r="BGE4" s="233">
        <v>42119</v>
      </c>
      <c r="BGF4" s="234"/>
      <c r="BGG4" s="61" t="s">
        <v>56</v>
      </c>
      <c r="BGH4" s="62"/>
      <c r="BGI4" s="62"/>
      <c r="BGJ4" s="233">
        <v>91616</v>
      </c>
      <c r="BGK4" s="234"/>
      <c r="BGL4" s="61" t="s">
        <v>56</v>
      </c>
      <c r="BGM4" s="62"/>
      <c r="BGN4" s="62"/>
      <c r="BGO4" s="233">
        <v>89408</v>
      </c>
      <c r="BGP4" s="234"/>
      <c r="BGQ4" s="61" t="s">
        <v>56</v>
      </c>
      <c r="BGR4" s="62"/>
      <c r="BGS4" s="62"/>
      <c r="BGT4" s="233">
        <v>62158</v>
      </c>
      <c r="BGU4" s="234"/>
      <c r="BGV4" s="61" t="s">
        <v>56</v>
      </c>
      <c r="BGW4" s="62"/>
      <c r="BGX4" s="62"/>
      <c r="BGY4" s="233">
        <v>48016</v>
      </c>
      <c r="BGZ4" s="234"/>
      <c r="BHA4" s="61" t="s">
        <v>56</v>
      </c>
      <c r="BHB4" s="62"/>
      <c r="BHC4" s="62"/>
      <c r="BHD4" s="233">
        <v>37116</v>
      </c>
      <c r="BHE4" s="234"/>
      <c r="BHF4" s="61" t="s">
        <v>56</v>
      </c>
      <c r="BHG4" s="62"/>
      <c r="BHH4" s="62"/>
      <c r="BHI4" s="233">
        <v>60834.5</v>
      </c>
      <c r="BHJ4" s="234"/>
      <c r="BHK4" s="61" t="s">
        <v>56</v>
      </c>
      <c r="BHL4" s="62"/>
      <c r="BHM4" s="62"/>
      <c r="BHN4" s="233">
        <v>92650</v>
      </c>
      <c r="BHO4" s="234"/>
      <c r="BHP4" s="61" t="s">
        <v>56</v>
      </c>
      <c r="BHQ4" s="62"/>
      <c r="BHR4" s="62"/>
      <c r="BHS4" s="233">
        <v>107966</v>
      </c>
      <c r="BHT4" s="234"/>
      <c r="BHU4" s="61" t="s">
        <v>56</v>
      </c>
      <c r="BHV4" s="62"/>
      <c r="BHW4" s="62"/>
      <c r="BHX4" s="233">
        <v>94858</v>
      </c>
      <c r="BHY4" s="234"/>
      <c r="BHZ4" s="61" t="s">
        <v>56</v>
      </c>
      <c r="BIA4" s="62"/>
      <c r="BIB4" s="62"/>
      <c r="BIC4" s="233">
        <v>109000</v>
      </c>
      <c r="BID4" s="234"/>
      <c r="BIE4" s="61" t="s">
        <v>56</v>
      </c>
      <c r="BIF4" s="62"/>
      <c r="BIG4" s="62"/>
      <c r="BIH4" s="233">
        <v>78508</v>
      </c>
      <c r="BII4" s="234"/>
      <c r="BIJ4" s="61" t="s">
        <v>56</v>
      </c>
      <c r="BIK4" s="62"/>
      <c r="BIL4" s="62"/>
      <c r="BIM4" s="233">
        <v>49050</v>
      </c>
      <c r="BIN4" s="234"/>
      <c r="BIO4" s="61" t="s">
        <v>56</v>
      </c>
      <c r="BIP4" s="62"/>
      <c r="BIQ4" s="62"/>
      <c r="BIR4" s="233">
        <v>73058</v>
      </c>
      <c r="BIS4" s="234"/>
      <c r="BIT4" s="61" t="s">
        <v>56</v>
      </c>
      <c r="BIU4" s="62"/>
      <c r="BIV4" s="62"/>
      <c r="BIW4" s="233">
        <v>71954</v>
      </c>
      <c r="BIX4" s="234"/>
      <c r="BIY4" s="61" t="s">
        <v>56</v>
      </c>
      <c r="BIZ4" s="62"/>
      <c r="BJA4" s="62"/>
      <c r="BJB4" s="233">
        <v>45808</v>
      </c>
      <c r="BJC4" s="234"/>
      <c r="BJD4" s="61" t="s">
        <v>56</v>
      </c>
      <c r="BJE4" s="62"/>
      <c r="BJF4" s="62"/>
      <c r="BJG4" s="233">
        <v>32700</v>
      </c>
      <c r="BJH4" s="234"/>
      <c r="BJI4" s="61" t="s">
        <v>56</v>
      </c>
      <c r="BJJ4" s="62"/>
      <c r="BJK4" s="62"/>
      <c r="BJL4" s="233">
        <v>52572</v>
      </c>
      <c r="BJM4" s="234"/>
      <c r="BJN4" s="61" t="s">
        <v>56</v>
      </c>
      <c r="BJO4" s="62"/>
      <c r="BJP4" s="62"/>
      <c r="BJQ4" s="233">
        <v>40358</v>
      </c>
      <c r="BJR4" s="234"/>
      <c r="BJS4" s="61" t="s">
        <v>56</v>
      </c>
      <c r="BJT4" s="62"/>
      <c r="BJU4" s="62"/>
      <c r="BJV4" s="233">
        <v>58916</v>
      </c>
      <c r="BJW4" s="234"/>
      <c r="BJX4" s="61" t="s">
        <v>56</v>
      </c>
      <c r="BJY4" s="62"/>
      <c r="BJZ4" s="62"/>
      <c r="BKA4" s="233">
        <v>58916</v>
      </c>
      <c r="BKB4" s="234"/>
      <c r="BKC4" s="61" t="s">
        <v>56</v>
      </c>
      <c r="BKD4" s="62"/>
      <c r="BKE4" s="62"/>
      <c r="BKF4" s="233">
        <v>36082</v>
      </c>
      <c r="BKG4" s="234"/>
      <c r="BKH4" s="61" t="s">
        <v>56</v>
      </c>
      <c r="BKI4" s="62"/>
      <c r="BKJ4" s="62"/>
      <c r="BKK4" s="233">
        <v>78508</v>
      </c>
      <c r="BKL4" s="234"/>
      <c r="BKM4" s="61" t="s">
        <v>56</v>
      </c>
      <c r="BKN4" s="62"/>
      <c r="BKO4" s="62"/>
      <c r="BKP4" s="233">
        <v>73058</v>
      </c>
      <c r="BKQ4" s="234"/>
      <c r="BKR4" s="61" t="s">
        <v>56</v>
      </c>
      <c r="BKS4" s="62"/>
      <c r="BKT4" s="62"/>
      <c r="BKU4" s="233">
        <v>54500</v>
      </c>
      <c r="BKV4" s="234"/>
      <c r="BKW4" s="61" t="s">
        <v>56</v>
      </c>
      <c r="BKX4" s="62"/>
      <c r="BKY4" s="62"/>
      <c r="BKZ4" s="233">
        <v>46990</v>
      </c>
      <c r="BLA4" s="234"/>
      <c r="BLB4" s="61" t="s">
        <v>56</v>
      </c>
      <c r="BLC4" s="62"/>
      <c r="BLD4" s="62"/>
      <c r="BLE4" s="233">
        <v>87200</v>
      </c>
      <c r="BLF4" s="234"/>
      <c r="BLG4" s="61" t="s">
        <v>56</v>
      </c>
      <c r="BLH4" s="62"/>
      <c r="BLI4" s="62"/>
      <c r="BLJ4" s="233">
        <v>80716</v>
      </c>
      <c r="BLK4" s="234"/>
      <c r="BLL4" s="61" t="s">
        <v>56</v>
      </c>
      <c r="BLM4" s="62"/>
      <c r="BLN4" s="62"/>
      <c r="BLO4" s="233">
        <v>119900</v>
      </c>
      <c r="BLP4" s="234"/>
      <c r="BLQ4" s="61" t="s">
        <v>56</v>
      </c>
      <c r="BLR4" s="62"/>
      <c r="BLS4" s="62"/>
      <c r="BLT4" s="233">
        <v>64351.999999999993</v>
      </c>
      <c r="BLU4" s="234"/>
      <c r="BLV4" s="61" t="s">
        <v>56</v>
      </c>
      <c r="BLW4" s="62"/>
      <c r="BLX4" s="62"/>
      <c r="BLY4" s="233">
        <v>26124.75</v>
      </c>
      <c r="BLZ4" s="234"/>
      <c r="BMA4" s="61" t="s">
        <v>56</v>
      </c>
      <c r="BMB4" s="62"/>
      <c r="BMC4" s="62"/>
      <c r="BMD4" s="233">
        <v>107966</v>
      </c>
      <c r="BME4" s="234"/>
      <c r="BMF4" s="61" t="s">
        <v>56</v>
      </c>
      <c r="BMG4" s="62"/>
      <c r="BMH4" s="62"/>
      <c r="BMI4" s="233">
        <v>105758</v>
      </c>
      <c r="BMJ4" s="234"/>
      <c r="BMK4" s="61" t="s">
        <v>56</v>
      </c>
      <c r="BML4" s="62"/>
      <c r="BMM4" s="62"/>
      <c r="BMN4" s="233">
        <v>89408</v>
      </c>
      <c r="BMO4" s="234"/>
      <c r="BMP4" s="61" t="s">
        <v>56</v>
      </c>
      <c r="BMQ4" s="62"/>
      <c r="BMR4" s="62"/>
      <c r="BMS4" s="233">
        <v>66829</v>
      </c>
      <c r="BMT4" s="234"/>
      <c r="BMU4" s="61" t="s">
        <v>56</v>
      </c>
      <c r="BMV4" s="62"/>
      <c r="BMW4" s="62"/>
      <c r="BMX4" s="233">
        <v>102448</v>
      </c>
      <c r="BMY4" s="234"/>
      <c r="BMZ4" s="61" t="s">
        <v>56</v>
      </c>
      <c r="BNA4" s="62"/>
      <c r="BNB4" s="62"/>
      <c r="BNC4" s="233">
        <v>76300</v>
      </c>
      <c r="BND4" s="234"/>
      <c r="BNE4" s="61" t="s">
        <v>56</v>
      </c>
      <c r="BNF4" s="62"/>
      <c r="BNG4" s="62"/>
      <c r="BNH4" s="233">
        <v>59950</v>
      </c>
      <c r="BNI4" s="234"/>
      <c r="BNJ4" s="61" t="s">
        <v>56</v>
      </c>
      <c r="BNK4" s="62"/>
      <c r="BNL4" s="62"/>
      <c r="BNM4" s="233">
        <v>46912</v>
      </c>
      <c r="BNN4" s="234"/>
      <c r="BNO4" s="61" t="s">
        <v>56</v>
      </c>
      <c r="BNP4" s="62"/>
      <c r="BNQ4" s="62"/>
      <c r="BNR4" s="233">
        <v>74162</v>
      </c>
      <c r="BNS4" s="234"/>
      <c r="BNT4" s="61" t="s">
        <v>56</v>
      </c>
      <c r="BNU4" s="62"/>
      <c r="BNV4" s="62"/>
      <c r="BNW4" s="233">
        <v>58916</v>
      </c>
      <c r="BNX4" s="234"/>
      <c r="BNY4" s="61" t="s">
        <v>56</v>
      </c>
      <c r="BNZ4" s="62"/>
      <c r="BOA4" s="62"/>
      <c r="BOB4" s="233">
        <v>29528</v>
      </c>
      <c r="BOC4" s="234"/>
      <c r="BOD4" s="61" t="s">
        <v>56</v>
      </c>
      <c r="BOE4" s="62"/>
      <c r="BOF4" s="62"/>
      <c r="BOG4" s="233">
        <v>89408</v>
      </c>
      <c r="BOH4" s="234"/>
      <c r="BOI4" s="61" t="s">
        <v>56</v>
      </c>
      <c r="BOJ4" s="62"/>
      <c r="BOK4" s="62"/>
      <c r="BOL4" s="233">
        <v>54500</v>
      </c>
      <c r="BOM4" s="234"/>
      <c r="BON4" s="61" t="s">
        <v>56</v>
      </c>
      <c r="BOO4" s="62"/>
      <c r="BOP4" s="62"/>
      <c r="BOQ4" s="233">
        <v>64366</v>
      </c>
      <c r="BOR4" s="234"/>
      <c r="BOS4" s="61" t="s">
        <v>56</v>
      </c>
      <c r="BOT4" s="62"/>
      <c r="BOU4" s="62"/>
      <c r="BOV4" s="233">
        <v>45808</v>
      </c>
      <c r="BOW4" s="234"/>
      <c r="BOX4" s="61" t="s">
        <v>56</v>
      </c>
      <c r="BOY4" s="62"/>
      <c r="BOZ4" s="62"/>
      <c r="BPA4" s="233">
        <v>30632</v>
      </c>
      <c r="BPB4" s="234"/>
      <c r="BPC4" s="61" t="s">
        <v>56</v>
      </c>
      <c r="BPD4" s="62"/>
      <c r="BPE4" s="62"/>
      <c r="BPF4" s="233">
        <v>73058</v>
      </c>
      <c r="BPG4" s="234"/>
      <c r="BPH4" s="61" t="s">
        <v>56</v>
      </c>
      <c r="BPI4" s="62"/>
      <c r="BPJ4" s="62"/>
      <c r="BPK4" s="233">
        <v>71954</v>
      </c>
      <c r="BPL4" s="234"/>
      <c r="BPM4" s="61" t="s">
        <v>56</v>
      </c>
      <c r="BPN4" s="62"/>
      <c r="BPO4" s="62"/>
      <c r="BPP4" s="233">
        <v>64366</v>
      </c>
      <c r="BPQ4" s="234"/>
      <c r="BPR4" s="61" t="s">
        <v>56</v>
      </c>
      <c r="BPS4" s="62"/>
      <c r="BPT4" s="62"/>
      <c r="BPU4" s="233">
        <v>67608</v>
      </c>
      <c r="BPV4" s="234"/>
      <c r="BPW4" s="61" t="s">
        <v>56</v>
      </c>
      <c r="BPX4" s="62"/>
      <c r="BPY4" s="62"/>
      <c r="BPZ4" s="233">
        <v>69816</v>
      </c>
      <c r="BQA4" s="234"/>
      <c r="BQB4" s="61" t="s">
        <v>56</v>
      </c>
      <c r="BQC4" s="62"/>
      <c r="BQD4" s="62"/>
      <c r="BQE4" s="233">
        <v>42566</v>
      </c>
      <c r="BQF4" s="234"/>
      <c r="BQG4" s="61" t="s">
        <v>56</v>
      </c>
      <c r="BQH4" s="62"/>
      <c r="BQI4" s="62"/>
      <c r="BQJ4" s="233">
        <v>33944</v>
      </c>
      <c r="BQK4" s="234"/>
      <c r="BQL4" s="61" t="s">
        <v>56</v>
      </c>
      <c r="BQM4" s="62"/>
      <c r="BQN4" s="62"/>
      <c r="BQO4" s="233">
        <v>64366</v>
      </c>
      <c r="BQP4" s="234"/>
      <c r="BQQ4" s="61" t="s">
        <v>56</v>
      </c>
      <c r="BQR4" s="62"/>
      <c r="BQS4" s="62"/>
      <c r="BQT4" s="233">
        <v>80716</v>
      </c>
      <c r="BQU4" s="234"/>
      <c r="BQV4" s="61" t="s">
        <v>56</v>
      </c>
      <c r="BQW4" s="62"/>
      <c r="BQX4" s="62"/>
      <c r="BQY4" s="233">
        <v>80716</v>
      </c>
      <c r="BQZ4" s="234"/>
      <c r="BRA4" s="61" t="s">
        <v>56</v>
      </c>
      <c r="BRB4" s="62"/>
      <c r="BRC4" s="62"/>
      <c r="BRD4" s="233">
        <v>45808</v>
      </c>
      <c r="BRE4" s="234"/>
      <c r="BRF4" s="61" t="s">
        <v>56</v>
      </c>
      <c r="BRG4" s="62"/>
      <c r="BRH4" s="62"/>
      <c r="BRI4" s="233">
        <v>73058</v>
      </c>
      <c r="BRJ4" s="234"/>
      <c r="BRK4" s="61" t="s">
        <v>56</v>
      </c>
      <c r="BRL4" s="62"/>
      <c r="BRM4" s="62"/>
      <c r="BRN4" s="233">
        <v>37116</v>
      </c>
      <c r="BRO4" s="234"/>
      <c r="BRP4" s="61" t="s">
        <v>56</v>
      </c>
      <c r="BRQ4" s="62"/>
      <c r="BRR4" s="62"/>
      <c r="BRS4" s="233">
        <v>29598</v>
      </c>
      <c r="BRT4" s="234"/>
      <c r="BRU4" s="61" t="s">
        <v>56</v>
      </c>
      <c r="BRV4" s="62"/>
      <c r="BRW4" s="62"/>
      <c r="BRX4" s="233">
        <v>78508</v>
      </c>
      <c r="BRY4" s="234"/>
      <c r="BRZ4" s="61" t="s">
        <v>56</v>
      </c>
      <c r="BSA4" s="62"/>
      <c r="BSB4" s="62"/>
      <c r="BSC4" s="233">
        <v>63262</v>
      </c>
      <c r="BSD4" s="234"/>
      <c r="BSE4" s="61" t="s">
        <v>56</v>
      </c>
      <c r="BSF4" s="62"/>
      <c r="BSG4" s="62"/>
      <c r="BSH4" s="233">
        <v>62158</v>
      </c>
      <c r="BSI4" s="234"/>
      <c r="BSJ4" s="61" t="s">
        <v>56</v>
      </c>
      <c r="BSK4" s="62"/>
      <c r="BSL4" s="62"/>
      <c r="BSM4" s="233">
        <v>85062</v>
      </c>
      <c r="BSN4" s="234"/>
      <c r="BSO4" s="61" t="s">
        <v>56</v>
      </c>
      <c r="BSP4" s="62"/>
      <c r="BSQ4" s="62"/>
      <c r="BSR4" s="233">
        <v>73058</v>
      </c>
      <c r="BSS4" s="234"/>
      <c r="BST4" s="61" t="s">
        <v>56</v>
      </c>
      <c r="BSU4" s="62"/>
      <c r="BSV4" s="62"/>
      <c r="BSW4" s="233">
        <v>48016</v>
      </c>
      <c r="BSX4" s="234"/>
      <c r="BSY4" s="61" t="s">
        <v>56</v>
      </c>
      <c r="BSZ4" s="62"/>
      <c r="BTA4" s="62"/>
      <c r="BTB4" s="233">
        <v>26216</v>
      </c>
      <c r="BTC4" s="234"/>
      <c r="BTD4" s="61" t="s">
        <v>56</v>
      </c>
      <c r="BTE4" s="62"/>
      <c r="BTF4" s="62"/>
      <c r="BTG4" s="233">
        <v>51258</v>
      </c>
      <c r="BTH4" s="234"/>
      <c r="BTI4" s="61" t="s">
        <v>56</v>
      </c>
      <c r="BTJ4" s="62"/>
      <c r="BTK4" s="62"/>
      <c r="BTL4" s="233">
        <v>73058</v>
      </c>
      <c r="BTM4" s="234"/>
      <c r="BTN4" s="61" t="s">
        <v>56</v>
      </c>
      <c r="BTO4" s="62"/>
      <c r="BTP4" s="62"/>
      <c r="BTQ4" s="233">
        <v>73058</v>
      </c>
      <c r="BTR4" s="234"/>
      <c r="BTS4" s="61" t="s">
        <v>56</v>
      </c>
      <c r="BTT4" s="62"/>
      <c r="BTU4" s="62"/>
      <c r="BTV4" s="233">
        <v>65400</v>
      </c>
      <c r="BTW4" s="234"/>
      <c r="BTX4" s="61" t="s">
        <v>56</v>
      </c>
      <c r="BTY4" s="62"/>
      <c r="BTZ4" s="62"/>
      <c r="BUA4" s="233">
        <v>39324</v>
      </c>
      <c r="BUB4" s="234"/>
      <c r="BUC4" s="61" t="s">
        <v>56</v>
      </c>
      <c r="BUD4" s="62"/>
      <c r="BUE4" s="62"/>
      <c r="BUF4" s="233">
        <v>37116</v>
      </c>
      <c r="BUG4" s="234"/>
      <c r="BUH4" s="61" t="s">
        <v>56</v>
      </c>
      <c r="BUI4" s="62"/>
      <c r="BUJ4" s="62"/>
      <c r="BUK4" s="233">
        <v>73058</v>
      </c>
      <c r="BUL4" s="234"/>
      <c r="BUM4" s="61" t="s">
        <v>56</v>
      </c>
      <c r="BUN4" s="62"/>
      <c r="BUO4" s="62"/>
      <c r="BUP4" s="233">
        <v>37116</v>
      </c>
      <c r="BUQ4" s="234"/>
      <c r="BUR4" s="61" t="s">
        <v>56</v>
      </c>
      <c r="BUS4" s="62"/>
      <c r="BUT4" s="62"/>
      <c r="BUU4" s="233">
        <v>32840</v>
      </c>
      <c r="BUV4" s="234"/>
      <c r="BUW4" s="61" t="s">
        <v>56</v>
      </c>
      <c r="BUX4" s="62"/>
      <c r="BUY4" s="62"/>
      <c r="BUZ4" s="233">
        <v>78508</v>
      </c>
      <c r="BVA4" s="234"/>
      <c r="BVB4" s="61" t="s">
        <v>56</v>
      </c>
      <c r="BVC4" s="62"/>
      <c r="BVD4" s="62"/>
      <c r="BVE4" s="233">
        <v>90512</v>
      </c>
      <c r="BVF4" s="234"/>
      <c r="BVG4" s="61" t="s">
        <v>56</v>
      </c>
      <c r="BVH4" s="62"/>
      <c r="BVI4" s="62"/>
      <c r="BVJ4" s="233">
        <v>0</v>
      </c>
      <c r="BVK4" s="234"/>
      <c r="BVL4" s="61" t="s">
        <v>56</v>
      </c>
      <c r="BVM4" s="62"/>
      <c r="BVN4" s="62"/>
      <c r="BVO4" s="233">
        <v>62158</v>
      </c>
      <c r="BVP4" s="234"/>
      <c r="BVQ4" s="61" t="s">
        <v>56</v>
      </c>
      <c r="BVR4" s="62"/>
      <c r="BVS4" s="62"/>
      <c r="BVT4" s="233">
        <v>58916</v>
      </c>
      <c r="BVU4" s="234"/>
      <c r="BVV4" s="61" t="s">
        <v>56</v>
      </c>
      <c r="BVW4" s="62"/>
      <c r="BVX4" s="62"/>
      <c r="BVY4" s="233">
        <v>48016</v>
      </c>
      <c r="BVZ4" s="234"/>
      <c r="BWA4" s="61" t="s">
        <v>56</v>
      </c>
      <c r="BWB4" s="62"/>
      <c r="BWC4" s="62"/>
      <c r="BWD4" s="233">
        <v>37116</v>
      </c>
      <c r="BWE4" s="234"/>
      <c r="BWF4" s="61" t="s">
        <v>56</v>
      </c>
      <c r="BWG4" s="62"/>
      <c r="BWH4" s="62"/>
      <c r="BWI4" s="233">
        <v>63332</v>
      </c>
      <c r="BWJ4" s="234"/>
      <c r="BWK4" s="61" t="s">
        <v>56</v>
      </c>
      <c r="BWL4" s="62"/>
      <c r="BWM4" s="62"/>
      <c r="BWN4" s="233">
        <v>75266</v>
      </c>
      <c r="BWO4" s="234"/>
      <c r="BWP4" s="61" t="s">
        <v>56</v>
      </c>
      <c r="BWQ4" s="62"/>
      <c r="BWR4" s="62"/>
      <c r="BWS4" s="233">
        <v>73058</v>
      </c>
      <c r="BWT4" s="234"/>
      <c r="BWU4" s="61" t="s">
        <v>56</v>
      </c>
      <c r="BWV4" s="62"/>
      <c r="BWW4" s="62"/>
      <c r="BWX4" s="233">
        <v>70850</v>
      </c>
      <c r="BWY4" s="234"/>
      <c r="BWZ4" s="61" t="s">
        <v>56</v>
      </c>
      <c r="BXA4" s="62"/>
      <c r="BXB4" s="62"/>
      <c r="BXC4" s="233">
        <v>55674</v>
      </c>
      <c r="BXD4" s="234"/>
      <c r="BXE4" s="61" t="s">
        <v>56</v>
      </c>
      <c r="BXF4" s="62"/>
      <c r="BXG4" s="62"/>
      <c r="BXH4" s="233">
        <v>28424</v>
      </c>
      <c r="BXI4" s="234"/>
      <c r="BXJ4" s="61" t="s">
        <v>56</v>
      </c>
      <c r="BXK4" s="62"/>
      <c r="BXL4" s="62"/>
      <c r="BXM4" s="233">
        <v>15316</v>
      </c>
      <c r="BXN4" s="234"/>
      <c r="BXO4" s="61" t="s">
        <v>56</v>
      </c>
      <c r="BXP4" s="62"/>
      <c r="BXQ4" s="62"/>
      <c r="BXR4" s="233">
        <v>51398</v>
      </c>
      <c r="BXS4" s="234"/>
      <c r="BXT4" s="61" t="s">
        <v>56</v>
      </c>
      <c r="BXU4" s="62"/>
      <c r="BXV4" s="62"/>
      <c r="BXW4" s="233">
        <v>0</v>
      </c>
      <c r="BXX4" s="234"/>
      <c r="BXY4" s="61" t="s">
        <v>56</v>
      </c>
      <c r="BXZ4" s="62"/>
      <c r="BYA4" s="62"/>
      <c r="BYB4" s="233">
        <v>80716</v>
      </c>
      <c r="BYC4" s="234"/>
      <c r="BYD4" s="61" t="s">
        <v>56</v>
      </c>
      <c r="BYE4" s="62"/>
      <c r="BYF4" s="62"/>
      <c r="BYG4" s="233">
        <v>80716</v>
      </c>
      <c r="BYH4" s="234"/>
      <c r="BYI4" s="61" t="s">
        <v>56</v>
      </c>
      <c r="BYJ4" s="62"/>
      <c r="BYK4" s="62"/>
      <c r="BYL4" s="233">
        <v>69816</v>
      </c>
      <c r="BYM4" s="234"/>
      <c r="BYN4" s="61" t="s">
        <v>56</v>
      </c>
      <c r="BYO4" s="62"/>
      <c r="BYP4" s="62"/>
      <c r="BYQ4" s="233">
        <v>65400</v>
      </c>
      <c r="BYR4" s="234"/>
      <c r="BYS4" s="61" t="s">
        <v>56</v>
      </c>
      <c r="BYT4" s="62"/>
      <c r="BYU4" s="62"/>
      <c r="BYV4" s="233">
        <v>59950</v>
      </c>
      <c r="BYW4" s="234"/>
      <c r="BYX4" s="61" t="s">
        <v>56</v>
      </c>
      <c r="BYY4" s="62"/>
      <c r="BYZ4" s="62"/>
      <c r="BZA4" s="233">
        <v>56708</v>
      </c>
      <c r="BZB4" s="234"/>
      <c r="BZC4" s="61" t="s">
        <v>56</v>
      </c>
      <c r="BZD4" s="62"/>
      <c r="BZE4" s="62"/>
      <c r="BZF4" s="233">
        <v>33804</v>
      </c>
      <c r="BZG4" s="234"/>
      <c r="BZH4" s="61" t="s">
        <v>56</v>
      </c>
      <c r="BZI4" s="62"/>
      <c r="BZJ4" s="62"/>
      <c r="BZK4" s="233">
        <v>15316</v>
      </c>
      <c r="BZL4" s="234"/>
      <c r="BZM4" s="61" t="s">
        <v>56</v>
      </c>
      <c r="BZN4" s="62"/>
      <c r="BZO4" s="62"/>
      <c r="BZP4" s="233">
        <v>117762</v>
      </c>
      <c r="BZQ4" s="234"/>
      <c r="BZR4" s="61" t="s">
        <v>56</v>
      </c>
      <c r="BZS4" s="62"/>
      <c r="BZT4" s="62"/>
      <c r="BZU4" s="233">
        <v>94858</v>
      </c>
      <c r="BZV4" s="234"/>
      <c r="BZW4" s="61" t="s">
        <v>56</v>
      </c>
      <c r="BZX4" s="62"/>
      <c r="BZY4" s="62"/>
      <c r="BZZ4" s="233">
        <v>70850</v>
      </c>
      <c r="CAA4" s="234"/>
      <c r="CAB4" s="61" t="s">
        <v>56</v>
      </c>
      <c r="CAC4" s="62"/>
      <c r="CAD4" s="62"/>
      <c r="CAE4" s="233">
        <v>83958</v>
      </c>
      <c r="CAF4" s="234"/>
      <c r="CAG4" s="61" t="s">
        <v>56</v>
      </c>
      <c r="CAH4" s="62"/>
      <c r="CAI4" s="62"/>
      <c r="CAJ4" s="233">
        <v>50224</v>
      </c>
      <c r="CAK4" s="234"/>
      <c r="CAL4" s="61" t="s">
        <v>56</v>
      </c>
      <c r="CAM4" s="62"/>
      <c r="CAN4" s="62"/>
      <c r="CAO4" s="233">
        <v>111208</v>
      </c>
      <c r="CAP4" s="234"/>
      <c r="CAQ4" s="61" t="s">
        <v>56</v>
      </c>
      <c r="CAR4" s="62"/>
      <c r="CAS4" s="62"/>
      <c r="CAT4" s="233">
        <v>83958</v>
      </c>
      <c r="CAU4" s="234"/>
      <c r="CAV4" s="61" t="s">
        <v>56</v>
      </c>
      <c r="CAW4" s="62"/>
      <c r="CAX4" s="62"/>
      <c r="CAY4" s="233">
        <v>78508</v>
      </c>
      <c r="CAZ4" s="234"/>
      <c r="CBA4" s="61" t="s">
        <v>56</v>
      </c>
      <c r="CBB4" s="62"/>
      <c r="CBC4" s="62"/>
      <c r="CBD4" s="233">
        <v>78508</v>
      </c>
      <c r="CBE4" s="234"/>
      <c r="CBF4" s="61" t="s">
        <v>56</v>
      </c>
      <c r="CBG4" s="62"/>
      <c r="CBH4" s="62"/>
      <c r="CBI4" s="233">
        <v>58916</v>
      </c>
      <c r="CBJ4" s="234"/>
      <c r="CBK4" s="61" t="s">
        <v>56</v>
      </c>
      <c r="CBL4" s="62"/>
      <c r="CBM4" s="62"/>
      <c r="CBN4" s="233">
        <v>44704</v>
      </c>
      <c r="CBO4" s="234"/>
      <c r="CBP4" s="61" t="s">
        <v>56</v>
      </c>
      <c r="CBQ4" s="62"/>
      <c r="CBR4" s="62"/>
      <c r="CBS4" s="233">
        <v>19732</v>
      </c>
      <c r="CBT4" s="234"/>
      <c r="CBU4" s="61" t="s">
        <v>56</v>
      </c>
      <c r="CBV4" s="62"/>
      <c r="CBW4" s="62"/>
      <c r="CBX4" s="233">
        <v>100308</v>
      </c>
      <c r="CBY4" s="234"/>
      <c r="CBZ4" s="61" t="s">
        <v>56</v>
      </c>
      <c r="CCA4" s="62"/>
      <c r="CCB4" s="62"/>
      <c r="CCC4" s="233">
        <v>101412</v>
      </c>
      <c r="CCD4" s="234"/>
      <c r="CCE4" s="61" t="s">
        <v>56</v>
      </c>
      <c r="CCF4" s="62"/>
      <c r="CCG4" s="62"/>
      <c r="CCH4" s="233">
        <v>103550</v>
      </c>
      <c r="CCI4" s="234"/>
      <c r="CCJ4" s="61" t="s">
        <v>56</v>
      </c>
      <c r="CCK4" s="62"/>
      <c r="CCL4" s="62"/>
      <c r="CCM4" s="233">
        <v>69816</v>
      </c>
      <c r="CCN4" s="234"/>
      <c r="CCO4" s="61" t="s">
        <v>56</v>
      </c>
      <c r="CCP4" s="62"/>
      <c r="CCQ4" s="62"/>
      <c r="CCR4" s="233">
        <v>29458</v>
      </c>
      <c r="CCS4" s="234"/>
      <c r="CCT4" s="61" t="s">
        <v>56</v>
      </c>
      <c r="CCU4" s="62"/>
      <c r="CCV4" s="62"/>
      <c r="CCW4" s="233">
        <v>28424</v>
      </c>
      <c r="CCX4" s="234"/>
      <c r="CCY4" s="61" t="s">
        <v>56</v>
      </c>
      <c r="CCZ4" s="62"/>
      <c r="CDA4" s="62"/>
      <c r="CDB4" s="233">
        <v>106862</v>
      </c>
      <c r="CDC4" s="234"/>
      <c r="CDD4" s="61" t="s">
        <v>56</v>
      </c>
      <c r="CDE4" s="62"/>
      <c r="CDF4" s="62"/>
      <c r="CDG4" s="233">
        <v>89408</v>
      </c>
      <c r="CDH4" s="234"/>
      <c r="CDI4" s="61" t="s">
        <v>56</v>
      </c>
      <c r="CDJ4" s="62"/>
      <c r="CDK4" s="62"/>
      <c r="CDL4" s="233">
        <v>80716</v>
      </c>
      <c r="CDM4" s="234"/>
      <c r="CDN4" s="61" t="s">
        <v>56</v>
      </c>
      <c r="CDO4" s="62"/>
      <c r="CDP4" s="62"/>
      <c r="CDQ4" s="233">
        <v>72024</v>
      </c>
      <c r="CDR4" s="234"/>
      <c r="CDS4" s="61" t="s">
        <v>56</v>
      </c>
      <c r="CDT4" s="62"/>
      <c r="CDU4" s="62"/>
      <c r="CDV4" s="233">
        <v>45808</v>
      </c>
      <c r="CDW4" s="234"/>
      <c r="CDX4" s="61" t="s">
        <v>56</v>
      </c>
      <c r="CDY4" s="62"/>
      <c r="CDZ4" s="62"/>
      <c r="CEA4" s="233">
        <v>48016</v>
      </c>
      <c r="CEB4" s="234"/>
      <c r="CEC4" s="61" t="s">
        <v>56</v>
      </c>
      <c r="CED4" s="62"/>
      <c r="CEE4" s="62"/>
      <c r="CEF4" s="233">
        <v>63332</v>
      </c>
      <c r="CEG4" s="234"/>
      <c r="CEH4" s="61" t="s">
        <v>56</v>
      </c>
      <c r="CEI4" s="62"/>
      <c r="CEJ4" s="62"/>
      <c r="CEK4" s="233">
        <v>130800</v>
      </c>
      <c r="CEL4" s="234"/>
      <c r="CEM4" s="61" t="s">
        <v>56</v>
      </c>
      <c r="CEN4" s="62"/>
      <c r="CEO4" s="62"/>
      <c r="CEP4" s="233">
        <v>0</v>
      </c>
      <c r="CEQ4" s="234"/>
      <c r="CER4" s="61" t="s">
        <v>56</v>
      </c>
      <c r="CES4" s="62"/>
      <c r="CET4" s="62"/>
      <c r="CEU4" s="233">
        <v>124316</v>
      </c>
      <c r="CEV4" s="234"/>
      <c r="CEW4" s="61" t="s">
        <v>56</v>
      </c>
      <c r="CEX4" s="62"/>
      <c r="CEY4" s="62"/>
      <c r="CEZ4" s="233">
        <v>98100</v>
      </c>
      <c r="CFA4" s="234"/>
      <c r="CFB4" s="61" t="s">
        <v>56</v>
      </c>
      <c r="CFC4" s="62"/>
      <c r="CFD4" s="62"/>
      <c r="CFE4" s="233">
        <v>117049</v>
      </c>
      <c r="CFF4" s="234"/>
      <c r="CFG4" s="61" t="s">
        <v>56</v>
      </c>
      <c r="CFH4" s="62"/>
      <c r="CFI4" s="62"/>
      <c r="CFJ4" s="233">
        <v>80716</v>
      </c>
      <c r="CFK4" s="234"/>
      <c r="CFL4" s="61" t="s">
        <v>56</v>
      </c>
      <c r="CFM4" s="62"/>
      <c r="CFN4" s="62"/>
      <c r="CFO4" s="233">
        <v>33804</v>
      </c>
      <c r="CFP4" s="234"/>
      <c r="CFQ4" s="61" t="s">
        <v>56</v>
      </c>
      <c r="CFR4" s="62"/>
      <c r="CFS4" s="62"/>
      <c r="CFT4" s="233">
        <v>69816</v>
      </c>
      <c r="CFU4" s="234"/>
      <c r="CFV4" s="61" t="s">
        <v>56</v>
      </c>
      <c r="CFW4" s="62"/>
      <c r="CFX4" s="62"/>
      <c r="CFY4" s="233">
        <v>102516</v>
      </c>
      <c r="CFZ4" s="234"/>
      <c r="CGA4" s="61" t="s">
        <v>56</v>
      </c>
      <c r="CGB4" s="62"/>
      <c r="CGC4" s="62"/>
      <c r="CGD4" s="233">
        <v>34908</v>
      </c>
      <c r="CGE4" s="234"/>
      <c r="CGF4" s="61" t="s">
        <v>56</v>
      </c>
      <c r="CGG4" s="62"/>
      <c r="CGH4" s="62"/>
      <c r="CGI4" s="233">
        <v>51398</v>
      </c>
      <c r="CGJ4" s="234"/>
      <c r="CGK4" s="61" t="s">
        <v>56</v>
      </c>
      <c r="CGL4" s="62"/>
      <c r="CGM4" s="62"/>
      <c r="CGN4" s="233">
        <v>73058</v>
      </c>
      <c r="CGO4" s="234"/>
      <c r="CGP4" s="61" t="s">
        <v>56</v>
      </c>
      <c r="CGQ4" s="62"/>
      <c r="CGR4" s="62"/>
      <c r="CGS4" s="233">
        <v>24008</v>
      </c>
      <c r="CGT4" s="234"/>
      <c r="CGU4" s="61" t="s">
        <v>56</v>
      </c>
      <c r="CGV4" s="62"/>
      <c r="CGW4" s="62"/>
      <c r="CGX4" s="233">
        <v>48016</v>
      </c>
      <c r="CGY4" s="234"/>
      <c r="CGZ4" s="61" t="s">
        <v>56</v>
      </c>
      <c r="CHA4" s="62"/>
      <c r="CHB4" s="62"/>
      <c r="CHC4" s="233">
        <v>86166</v>
      </c>
      <c r="CHD4" s="234"/>
      <c r="CHE4" s="61" t="s">
        <v>56</v>
      </c>
      <c r="CHF4" s="62"/>
      <c r="CHG4" s="62"/>
      <c r="CHH4" s="233">
        <v>50154</v>
      </c>
      <c r="CHI4" s="234"/>
      <c r="CHJ4" s="61" t="s">
        <v>56</v>
      </c>
      <c r="CHK4" s="62"/>
      <c r="CHL4" s="62"/>
      <c r="CHM4" s="233">
        <v>102516</v>
      </c>
      <c r="CHN4" s="234"/>
      <c r="CHO4" s="61" t="s">
        <v>56</v>
      </c>
      <c r="CHP4" s="62"/>
      <c r="CHQ4" s="62"/>
      <c r="CHR4" s="233">
        <v>50154</v>
      </c>
      <c r="CHS4" s="234"/>
      <c r="CHT4" s="61" t="s">
        <v>56</v>
      </c>
      <c r="CHU4" s="62"/>
      <c r="CHV4" s="62"/>
      <c r="CHW4" s="233">
        <v>98761</v>
      </c>
      <c r="CHX4" s="234"/>
      <c r="CHY4" s="61" t="s">
        <v>56</v>
      </c>
      <c r="CHZ4" s="62"/>
      <c r="CIA4" s="62"/>
      <c r="CIB4" s="233">
        <v>167916</v>
      </c>
      <c r="CIC4" s="234"/>
      <c r="CID4" s="61" t="s">
        <v>56</v>
      </c>
      <c r="CIE4" s="62"/>
      <c r="CIF4" s="62"/>
      <c r="CIG4" s="233">
        <v>103550</v>
      </c>
      <c r="CIH4" s="234"/>
      <c r="CII4" s="61" t="s">
        <v>56</v>
      </c>
      <c r="CIJ4" s="62"/>
      <c r="CIK4" s="62"/>
      <c r="CIL4" s="233">
        <v>119900</v>
      </c>
      <c r="CIM4" s="234"/>
      <c r="CIN4" s="61" t="s">
        <v>56</v>
      </c>
      <c r="CIO4" s="62"/>
      <c r="CIP4" s="62"/>
      <c r="CIQ4" s="233">
        <v>157016</v>
      </c>
      <c r="CIR4" s="234"/>
      <c r="CIS4" s="61" t="s">
        <v>56</v>
      </c>
      <c r="CIT4" s="62"/>
      <c r="CIU4" s="62"/>
      <c r="CIV4" s="233">
        <v>80716</v>
      </c>
      <c r="CIW4" s="234"/>
      <c r="CIX4" s="61" t="s">
        <v>56</v>
      </c>
      <c r="CIY4" s="62"/>
      <c r="CIZ4" s="62"/>
      <c r="CJA4" s="233">
        <v>29458</v>
      </c>
      <c r="CJB4" s="234"/>
      <c r="CJC4" s="61" t="s">
        <v>56</v>
      </c>
      <c r="CJD4" s="62"/>
      <c r="CJE4" s="62"/>
      <c r="CJF4" s="233">
        <v>106862</v>
      </c>
      <c r="CJG4" s="234"/>
      <c r="CJH4" s="61" t="s">
        <v>56</v>
      </c>
      <c r="CJI4" s="62"/>
      <c r="CJJ4" s="62"/>
      <c r="CJK4" s="233">
        <v>122108</v>
      </c>
      <c r="CJL4" s="234"/>
      <c r="CJM4" s="61" t="s">
        <v>56</v>
      </c>
      <c r="CJN4" s="62"/>
      <c r="CJO4" s="62"/>
      <c r="CJP4" s="233">
        <v>113416</v>
      </c>
      <c r="CJQ4" s="234"/>
      <c r="CJR4" s="61" t="s">
        <v>56</v>
      </c>
      <c r="CJS4" s="62"/>
      <c r="CJT4" s="62"/>
      <c r="CJU4" s="233">
        <v>76370</v>
      </c>
      <c r="CJV4" s="234"/>
      <c r="CJW4" s="61" t="s">
        <v>56</v>
      </c>
      <c r="CJX4" s="62"/>
      <c r="CJY4" s="62"/>
      <c r="CJZ4" s="233">
        <v>58916</v>
      </c>
      <c r="CKA4" s="234"/>
      <c r="CKB4" s="61" t="s">
        <v>56</v>
      </c>
      <c r="CKC4" s="62"/>
      <c r="CKD4" s="62"/>
      <c r="CKE4" s="233">
        <v>42566</v>
      </c>
      <c r="CKF4" s="234"/>
      <c r="CKG4" s="61" t="s">
        <v>56</v>
      </c>
      <c r="CKH4" s="62"/>
      <c r="CKI4" s="62"/>
      <c r="CKJ4" s="233">
        <v>63332</v>
      </c>
      <c r="CKK4" s="234"/>
      <c r="CKL4" s="61" t="s">
        <v>56</v>
      </c>
      <c r="CKM4" s="62"/>
      <c r="CKN4" s="62"/>
      <c r="CKO4" s="233">
        <v>100308</v>
      </c>
      <c r="CKP4" s="234"/>
      <c r="CKQ4" s="61" t="s">
        <v>56</v>
      </c>
      <c r="CKR4" s="62"/>
      <c r="CKS4" s="62"/>
      <c r="CKT4" s="233">
        <v>122108</v>
      </c>
      <c r="CKU4" s="234"/>
      <c r="CKV4" s="61" t="s">
        <v>56</v>
      </c>
      <c r="CKW4" s="62"/>
      <c r="CKX4" s="62"/>
      <c r="CKY4" s="233">
        <v>124316</v>
      </c>
      <c r="CKZ4" s="234"/>
      <c r="CLA4" s="61" t="s">
        <v>56</v>
      </c>
      <c r="CLB4" s="62"/>
      <c r="CLC4" s="62"/>
      <c r="CLD4" s="233">
        <v>99550</v>
      </c>
      <c r="CLE4" s="234"/>
      <c r="CLF4" s="61" t="s">
        <v>56</v>
      </c>
      <c r="CLG4" s="62"/>
      <c r="CLH4" s="62"/>
      <c r="CLI4" s="233">
        <v>76300</v>
      </c>
      <c r="CLJ4" s="234"/>
      <c r="CLK4" s="61" t="s">
        <v>56</v>
      </c>
      <c r="CLL4" s="62"/>
      <c r="CLM4" s="62"/>
      <c r="CLN4" s="233">
        <v>16350</v>
      </c>
      <c r="CLO4" s="234"/>
      <c r="CLP4" s="61" t="s">
        <v>56</v>
      </c>
      <c r="CLQ4" s="62"/>
      <c r="CLR4" s="62"/>
      <c r="CLS4" s="233">
        <v>36082</v>
      </c>
      <c r="CLT4" s="234"/>
      <c r="CLU4" s="61" t="s">
        <v>56</v>
      </c>
      <c r="CLV4" s="62"/>
      <c r="CLW4" s="62"/>
      <c r="CLX4" s="233">
        <v>89408</v>
      </c>
      <c r="CLY4" s="234"/>
      <c r="CLZ4" s="61" t="s">
        <v>56</v>
      </c>
      <c r="CMA4" s="62"/>
      <c r="CMB4" s="62"/>
      <c r="CMC4" s="233">
        <v>112312</v>
      </c>
      <c r="CMD4" s="234"/>
      <c r="CME4" s="61" t="s">
        <v>56</v>
      </c>
      <c r="CMF4" s="62"/>
      <c r="CMG4" s="62"/>
      <c r="CMH4" s="233">
        <v>21940</v>
      </c>
      <c r="CMI4" s="234"/>
      <c r="CMJ4" s="61" t="s">
        <v>56</v>
      </c>
      <c r="CMK4" s="62"/>
      <c r="CML4" s="62"/>
      <c r="CMM4" s="233">
        <v>58809</v>
      </c>
      <c r="CMN4" s="234"/>
      <c r="CMO4" s="61" t="s">
        <v>56</v>
      </c>
      <c r="CMP4" s="62"/>
      <c r="CMQ4" s="62"/>
      <c r="CMR4" s="233">
        <v>22904</v>
      </c>
      <c r="CMS4" s="234"/>
      <c r="CMT4" s="61" t="s">
        <v>56</v>
      </c>
      <c r="CMU4" s="62"/>
      <c r="CMV4" s="62"/>
      <c r="CMW4" s="233">
        <v>94998</v>
      </c>
      <c r="CMX4" s="234"/>
      <c r="CMY4" s="61" t="s">
        <v>56</v>
      </c>
      <c r="CMZ4" s="62"/>
      <c r="CNA4" s="62"/>
      <c r="CNB4" s="233">
        <v>111208</v>
      </c>
      <c r="CNC4" s="234"/>
      <c r="CND4" s="61" t="s">
        <v>56</v>
      </c>
      <c r="CNE4" s="62"/>
      <c r="CNF4" s="62"/>
      <c r="CNG4" s="233">
        <v>80716</v>
      </c>
      <c r="CNH4" s="234"/>
      <c r="CNI4" s="61" t="s">
        <v>56</v>
      </c>
      <c r="CNJ4" s="62"/>
      <c r="CNK4" s="62"/>
      <c r="CNL4" s="233">
        <v>69816</v>
      </c>
      <c r="CNM4" s="234"/>
      <c r="CNN4" s="61" t="s">
        <v>56</v>
      </c>
      <c r="CNO4" s="62"/>
      <c r="CNP4" s="62"/>
      <c r="CNQ4" s="233">
        <v>80716</v>
      </c>
      <c r="CNR4" s="234"/>
      <c r="CNS4" s="61" t="s">
        <v>56</v>
      </c>
      <c r="CNT4" s="62"/>
      <c r="CNU4" s="62"/>
      <c r="CNV4" s="233">
        <v>88304</v>
      </c>
      <c r="CNW4" s="234"/>
      <c r="CNX4" s="61" t="s">
        <v>56</v>
      </c>
      <c r="CNY4" s="62"/>
      <c r="CNZ4" s="62"/>
      <c r="COA4" s="233">
        <v>34908</v>
      </c>
      <c r="COB4" s="234"/>
      <c r="COC4" s="61" t="s">
        <v>56</v>
      </c>
      <c r="COD4" s="62"/>
      <c r="COE4" s="62"/>
      <c r="COF4" s="233">
        <v>122248</v>
      </c>
      <c r="COG4" s="234"/>
      <c r="COH4" s="61" t="s">
        <v>56</v>
      </c>
      <c r="COI4" s="62"/>
      <c r="COJ4" s="62"/>
      <c r="COK4" s="233">
        <v>158441</v>
      </c>
      <c r="COL4" s="234"/>
      <c r="COM4" s="61" t="s">
        <v>56</v>
      </c>
      <c r="CON4" s="62"/>
      <c r="COO4" s="62"/>
      <c r="COP4" s="233">
        <v>82924</v>
      </c>
      <c r="COQ4" s="234"/>
      <c r="COR4" s="61" t="s">
        <v>56</v>
      </c>
      <c r="COS4" s="62"/>
      <c r="COT4" s="62"/>
      <c r="COU4" s="233">
        <v>0</v>
      </c>
      <c r="COV4" s="234"/>
      <c r="COW4" s="61" t="s">
        <v>56</v>
      </c>
      <c r="COX4" s="62"/>
      <c r="COY4" s="62"/>
      <c r="COZ4" s="233">
        <v>77474</v>
      </c>
      <c r="CPA4" s="234"/>
      <c r="CPB4" s="61" t="s">
        <v>56</v>
      </c>
      <c r="CPC4" s="62"/>
      <c r="CPD4" s="62"/>
      <c r="CPE4" s="233">
        <v>55674</v>
      </c>
      <c r="CPF4" s="234"/>
      <c r="CPG4" s="61" t="s">
        <v>56</v>
      </c>
      <c r="CPH4" s="62"/>
      <c r="CPI4" s="62"/>
      <c r="CPJ4" s="233">
        <v>102516</v>
      </c>
      <c r="CPK4" s="234"/>
      <c r="CPL4" s="61" t="s">
        <v>56</v>
      </c>
      <c r="CPM4" s="62"/>
      <c r="CPN4" s="62"/>
      <c r="CPO4" s="233">
        <v>48016</v>
      </c>
      <c r="CPP4" s="234"/>
      <c r="CPQ4" s="61" t="s">
        <v>56</v>
      </c>
      <c r="CPR4" s="62"/>
      <c r="CPS4" s="62"/>
      <c r="CPT4" s="233">
        <v>66574</v>
      </c>
      <c r="CPU4" s="234"/>
      <c r="CPV4" s="61" t="s">
        <v>56</v>
      </c>
      <c r="CPW4" s="62"/>
      <c r="CPX4" s="62"/>
      <c r="CPY4" s="233">
        <v>69816</v>
      </c>
      <c r="CPZ4" s="234"/>
      <c r="CQA4" s="61" t="s">
        <v>56</v>
      </c>
      <c r="CQB4" s="62"/>
      <c r="CQC4" s="62"/>
      <c r="CQD4" s="233">
        <v>86166</v>
      </c>
      <c r="CQE4" s="234"/>
      <c r="CQF4" s="61" t="s">
        <v>56</v>
      </c>
      <c r="CQG4" s="62"/>
      <c r="CQH4" s="62"/>
      <c r="CQI4" s="233">
        <v>62158</v>
      </c>
      <c r="CQJ4" s="234"/>
      <c r="CQK4" s="61" t="s">
        <v>56</v>
      </c>
      <c r="CQL4" s="62"/>
      <c r="CQM4" s="62"/>
      <c r="CQN4" s="233">
        <v>34908</v>
      </c>
      <c r="CQO4" s="234"/>
      <c r="CQP4" s="61" t="s">
        <v>56</v>
      </c>
      <c r="CQQ4" s="62"/>
      <c r="CQR4" s="62"/>
      <c r="CQS4" s="233">
        <v>26216</v>
      </c>
      <c r="CQT4" s="234"/>
      <c r="CQU4" s="61" t="s">
        <v>56</v>
      </c>
      <c r="CQV4" s="62"/>
      <c r="CQW4" s="62"/>
      <c r="CQX4" s="233">
        <v>128662</v>
      </c>
      <c r="CQY4" s="234"/>
      <c r="CQZ4" s="61" t="s">
        <v>56</v>
      </c>
      <c r="CRA4" s="62"/>
      <c r="CRB4" s="62"/>
      <c r="CRC4" s="233">
        <v>66574</v>
      </c>
      <c r="CRD4" s="234"/>
      <c r="CRE4" s="8" t="s">
        <v>56</v>
      </c>
      <c r="CRF4" s="2"/>
      <c r="CRG4" s="2"/>
      <c r="CRH4" s="294">
        <v>26216</v>
      </c>
      <c r="CRI4" s="295"/>
      <c r="CRJ4" s="8" t="s">
        <v>56</v>
      </c>
      <c r="CRK4" s="2"/>
      <c r="CRL4" s="2"/>
      <c r="CRM4" s="294">
        <v>124316</v>
      </c>
      <c r="CRN4" s="295"/>
      <c r="CRO4" s="8" t="s">
        <v>56</v>
      </c>
      <c r="CRP4" s="2"/>
      <c r="CRQ4" s="2"/>
      <c r="CRR4" s="294">
        <v>53466</v>
      </c>
      <c r="CRS4" s="295"/>
      <c r="CRT4" s="8" t="s">
        <v>56</v>
      </c>
      <c r="CRU4" s="2"/>
      <c r="CRV4" s="2"/>
      <c r="CRW4" s="294">
        <v>53466</v>
      </c>
      <c r="CRX4" s="295"/>
      <c r="CRY4" s="8" t="s">
        <v>56</v>
      </c>
      <c r="CRZ4" s="2"/>
      <c r="CSA4" s="2"/>
      <c r="CSB4" s="22">
        <v>29458</v>
      </c>
      <c r="CSC4" s="8" t="s">
        <v>56</v>
      </c>
      <c r="CSD4" s="2"/>
      <c r="CSE4" s="2"/>
      <c r="CSF4" s="22">
        <v>35048</v>
      </c>
      <c r="CSG4" s="8" t="s">
        <v>56</v>
      </c>
      <c r="CSH4" s="2"/>
      <c r="CSI4" s="2"/>
      <c r="CSJ4" s="22">
        <v>78508</v>
      </c>
      <c r="CSK4" s="8" t="s">
        <v>56</v>
      </c>
      <c r="CSL4" s="2"/>
      <c r="CSM4" s="2"/>
      <c r="CSN4" s="22">
        <v>64366</v>
      </c>
      <c r="CSO4" s="8" t="s">
        <v>56</v>
      </c>
      <c r="CSP4" s="2"/>
      <c r="CSQ4" s="2"/>
      <c r="CSR4" s="22">
        <v>83958</v>
      </c>
      <c r="CSS4" s="8" t="s">
        <v>56</v>
      </c>
      <c r="CST4" s="2"/>
      <c r="CSU4" s="2"/>
      <c r="CSV4" s="22">
        <v>77404</v>
      </c>
      <c r="CSW4" s="8" t="s">
        <v>56</v>
      </c>
      <c r="CSX4" s="2"/>
      <c r="CSY4" s="2"/>
      <c r="CSZ4" s="22">
        <v>65470</v>
      </c>
      <c r="CTA4" s="8" t="s">
        <v>56</v>
      </c>
      <c r="CTB4" s="2"/>
      <c r="CTC4" s="2"/>
      <c r="CTD4" s="22">
        <v>80716</v>
      </c>
      <c r="CTE4" s="8" t="s">
        <v>56</v>
      </c>
      <c r="CTF4" s="2"/>
      <c r="CTG4" s="2"/>
      <c r="CTH4" s="22">
        <v>77474</v>
      </c>
      <c r="CTI4" s="8" t="s">
        <v>56</v>
      </c>
      <c r="CTJ4" s="2"/>
      <c r="CTK4" s="2"/>
      <c r="CTL4" s="22">
        <v>99148</v>
      </c>
      <c r="CTM4" s="8" t="s">
        <v>56</v>
      </c>
      <c r="CTN4" s="2"/>
      <c r="CTO4" s="2"/>
      <c r="CTP4" s="22">
        <v>124316</v>
      </c>
      <c r="CTQ4" s="8" t="s">
        <v>56</v>
      </c>
      <c r="CTR4" s="2"/>
      <c r="CTS4" s="2"/>
      <c r="CTT4" s="22">
        <v>69816</v>
      </c>
      <c r="CTU4" s="8" t="s">
        <v>56</v>
      </c>
      <c r="CTV4" s="2"/>
      <c r="CTW4" s="2"/>
      <c r="CTX4" s="22">
        <v>62158</v>
      </c>
      <c r="CTY4" s="8" t="s">
        <v>56</v>
      </c>
      <c r="CTZ4" s="2"/>
      <c r="CUA4" s="2"/>
      <c r="CUB4" s="22">
        <v>18558</v>
      </c>
      <c r="CUC4" s="8" t="s">
        <v>56</v>
      </c>
      <c r="CUD4" s="2"/>
      <c r="CUE4" s="2"/>
      <c r="CUF4" s="22">
        <v>48156</v>
      </c>
      <c r="CUG4" s="8" t="s">
        <v>56</v>
      </c>
      <c r="CUH4" s="2"/>
      <c r="CUI4" s="2"/>
      <c r="CUJ4" s="22">
        <v>95962</v>
      </c>
      <c r="CUK4" s="8" t="s">
        <v>56</v>
      </c>
      <c r="CUL4" s="2"/>
      <c r="CUM4" s="2"/>
      <c r="CUN4" s="22">
        <v>63262</v>
      </c>
      <c r="CUO4" s="8" t="s">
        <v>56</v>
      </c>
      <c r="CUP4" s="2"/>
      <c r="CUQ4" s="2"/>
      <c r="CUR4" s="22">
        <v>57812</v>
      </c>
      <c r="CUS4" s="8" t="s">
        <v>56</v>
      </c>
      <c r="CUT4" s="2"/>
      <c r="CUU4" s="2"/>
      <c r="CUV4" s="22">
        <v>48016</v>
      </c>
      <c r="CUW4" s="8" t="s">
        <v>56</v>
      </c>
      <c r="CUX4" s="2"/>
      <c r="CUY4" s="2"/>
      <c r="CUZ4" s="22">
        <v>78508</v>
      </c>
      <c r="CVA4" s="8" t="s">
        <v>56</v>
      </c>
      <c r="CVB4" s="2"/>
      <c r="CVC4" s="2"/>
      <c r="CVD4" s="22">
        <v>67608</v>
      </c>
      <c r="CVE4" s="8" t="s">
        <v>56</v>
      </c>
      <c r="CVF4" s="2"/>
      <c r="CVG4" s="2"/>
      <c r="CVH4" s="22">
        <v>0</v>
      </c>
      <c r="CVI4" s="8" t="s">
        <v>56</v>
      </c>
      <c r="CVJ4" s="2"/>
      <c r="CVK4" s="2"/>
      <c r="CVL4" s="22">
        <v>52362</v>
      </c>
      <c r="CVM4" s="8" t="s">
        <v>56</v>
      </c>
      <c r="CVN4" s="2"/>
      <c r="CVO4" s="2"/>
      <c r="CVP4" s="22">
        <v>58916</v>
      </c>
      <c r="CVQ4" s="8" t="s">
        <v>56</v>
      </c>
      <c r="CVR4" s="2"/>
      <c r="CVS4" s="2"/>
      <c r="CVT4" s="22">
        <v>26216</v>
      </c>
      <c r="CVU4" s="8" t="s">
        <v>56</v>
      </c>
      <c r="CVV4" s="2"/>
      <c r="CVW4" s="2"/>
      <c r="CVX4" s="22">
        <v>0</v>
      </c>
      <c r="CVY4" s="8" t="s">
        <v>56</v>
      </c>
      <c r="CVZ4" s="2"/>
      <c r="CWA4" s="2"/>
      <c r="CWB4" s="22">
        <v>29528</v>
      </c>
      <c r="CWC4" s="8" t="s">
        <v>56</v>
      </c>
      <c r="CWD4" s="2"/>
      <c r="CWE4" s="2"/>
      <c r="CWF4" s="22">
        <v>63262</v>
      </c>
      <c r="CWG4" s="8" t="s">
        <v>56</v>
      </c>
      <c r="CWH4" s="2"/>
      <c r="CWI4" s="2"/>
      <c r="CWJ4" s="22">
        <v>105758</v>
      </c>
      <c r="CWK4" s="8" t="s">
        <v>56</v>
      </c>
      <c r="CWL4" s="2"/>
      <c r="CWM4" s="2"/>
      <c r="CWN4" s="22">
        <v>61124</v>
      </c>
      <c r="CWO4" s="8" t="s">
        <v>56</v>
      </c>
      <c r="CWP4" s="2"/>
      <c r="CWQ4" s="2"/>
      <c r="CWR4" s="22">
        <v>62158</v>
      </c>
      <c r="CWS4" s="8" t="s">
        <v>56</v>
      </c>
      <c r="CWT4" s="2"/>
      <c r="CWU4" s="2"/>
      <c r="CWV4" s="22">
        <v>0</v>
      </c>
      <c r="CWW4" s="8" t="s">
        <v>56</v>
      </c>
      <c r="CWX4" s="2"/>
      <c r="CWY4" s="2"/>
      <c r="CWZ4" s="22">
        <v>29458</v>
      </c>
      <c r="CXA4" s="31" t="s">
        <v>56</v>
      </c>
      <c r="CXB4" s="32"/>
      <c r="CXC4" s="32"/>
      <c r="CXD4" s="33">
        <v>58916</v>
      </c>
      <c r="CXE4" s="31" t="s">
        <v>56</v>
      </c>
      <c r="CXF4" s="32"/>
      <c r="CXG4" s="32"/>
      <c r="CXH4" s="33">
        <v>107966</v>
      </c>
      <c r="CXI4" s="31" t="s">
        <v>56</v>
      </c>
      <c r="CXJ4" s="32"/>
      <c r="CXK4" s="32"/>
      <c r="CXL4" s="33">
        <v>69816</v>
      </c>
      <c r="CXM4" s="31" t="s">
        <v>56</v>
      </c>
      <c r="CXN4" s="32"/>
      <c r="CXO4" s="32"/>
      <c r="CXP4" s="33">
        <v>76370</v>
      </c>
      <c r="CXQ4" s="31" t="s">
        <v>56</v>
      </c>
      <c r="CXR4" s="32"/>
      <c r="CXS4" s="32"/>
      <c r="CXT4" s="33">
        <v>51258</v>
      </c>
      <c r="CXU4" s="26" t="s">
        <v>56</v>
      </c>
      <c r="CXX4" s="26">
        <v>67608</v>
      </c>
      <c r="CXY4" s="26" t="s">
        <v>56</v>
      </c>
      <c r="CYB4" s="26">
        <v>55604</v>
      </c>
      <c r="CYC4" s="26" t="s">
        <v>56</v>
      </c>
      <c r="CYF4" s="26">
        <v>42567</v>
      </c>
      <c r="CYG4" s="26" t="s">
        <v>1</v>
      </c>
      <c r="CYJ4" s="26">
        <v>43742</v>
      </c>
      <c r="CYK4" s="26" t="s">
        <v>1</v>
      </c>
      <c r="CYN4" s="26">
        <v>58917</v>
      </c>
      <c r="CYO4" s="26" t="s">
        <v>1</v>
      </c>
      <c r="CYR4" s="26">
        <v>55604</v>
      </c>
      <c r="CYS4" s="26" t="s">
        <v>1</v>
      </c>
      <c r="CYV4" s="26">
        <v>34908</v>
      </c>
      <c r="CYW4" s="26" t="s">
        <v>1</v>
      </c>
      <c r="CYZ4" s="26">
        <v>80324</v>
      </c>
      <c r="CZA4" s="26" t="s">
        <v>1</v>
      </c>
      <c r="CZD4" s="26">
        <v>55604</v>
      </c>
      <c r="CZE4" s="26" t="s">
        <v>1</v>
      </c>
      <c r="CZH4" s="26">
        <v>98763</v>
      </c>
      <c r="CZI4" s="26" t="s">
        <v>1</v>
      </c>
      <c r="CZL4" s="26">
        <v>86167</v>
      </c>
      <c r="CZM4" s="26" t="s">
        <v>1</v>
      </c>
      <c r="CZP4" s="26">
        <v>78508</v>
      </c>
      <c r="CZQ4" s="26" t="s">
        <v>1</v>
      </c>
      <c r="CZT4" s="26">
        <v>67608</v>
      </c>
      <c r="CZU4" s="26" t="s">
        <v>1</v>
      </c>
      <c r="CZX4" s="26">
        <v>53466</v>
      </c>
      <c r="CZY4" s="26" t="s">
        <v>1</v>
      </c>
      <c r="DAB4" s="26">
        <v>67608</v>
      </c>
      <c r="DAC4" s="26" t="s">
        <v>1</v>
      </c>
      <c r="DAF4" s="26">
        <v>34908</v>
      </c>
      <c r="DAG4" s="26" t="s">
        <v>1</v>
      </c>
      <c r="DAJ4" s="26">
        <v>61125</v>
      </c>
      <c r="DAK4" s="26" t="s">
        <v>1</v>
      </c>
      <c r="DAN4" s="26">
        <v>78508</v>
      </c>
      <c r="DAO4" s="26" t="s">
        <v>1</v>
      </c>
      <c r="DAR4" s="26">
        <v>45808</v>
      </c>
      <c r="DAS4" s="26" t="s">
        <v>1</v>
      </c>
      <c r="DAV4" s="26">
        <v>62158</v>
      </c>
      <c r="DAW4" s="26" t="s">
        <v>1</v>
      </c>
      <c r="DAZ4" s="26">
        <v>56708</v>
      </c>
      <c r="DBA4" s="26" t="s">
        <v>1</v>
      </c>
      <c r="DBD4" s="26">
        <v>45897</v>
      </c>
      <c r="DBE4" s="26" t="s">
        <v>1</v>
      </c>
      <c r="DBH4" s="26">
        <v>77717</v>
      </c>
      <c r="DBI4" s="26" t="s">
        <v>1</v>
      </c>
      <c r="DBL4" s="26">
        <v>117909</v>
      </c>
      <c r="DBM4" s="26" t="s">
        <v>1</v>
      </c>
      <c r="DBP4" s="26">
        <v>62158</v>
      </c>
      <c r="DBQ4" s="26" t="s">
        <v>1</v>
      </c>
      <c r="DBT4" s="26">
        <v>45808</v>
      </c>
      <c r="DBU4" s="26" t="s">
        <v>1</v>
      </c>
      <c r="DBX4" s="26">
        <v>74233</v>
      </c>
      <c r="DBY4" s="26" t="s">
        <v>1</v>
      </c>
      <c r="DCB4" s="26">
        <v>68712</v>
      </c>
      <c r="DCC4" s="26" t="s">
        <v>1</v>
      </c>
      <c r="DCF4" s="26">
        <v>3829</v>
      </c>
      <c r="DCG4" s="26" t="s">
        <v>1</v>
      </c>
      <c r="DCJ4" s="26">
        <v>37117</v>
      </c>
      <c r="DCK4" s="26" t="s">
        <v>1</v>
      </c>
      <c r="DCN4" s="26">
        <v>79683</v>
      </c>
      <c r="DCO4" s="26" t="s">
        <v>1</v>
      </c>
      <c r="DCR4" s="26">
        <v>62158</v>
      </c>
      <c r="DCS4" s="26" t="s">
        <v>1</v>
      </c>
      <c r="DCV4" s="26">
        <v>67608</v>
      </c>
      <c r="DCW4" s="26" t="s">
        <v>1</v>
      </c>
      <c r="DCZ4" s="26">
        <v>45808</v>
      </c>
      <c r="DDA4" s="26" t="s">
        <v>1</v>
      </c>
      <c r="DDD4" s="26">
        <v>7658</v>
      </c>
      <c r="DDE4" s="26" t="s">
        <v>1</v>
      </c>
      <c r="DDH4" s="26">
        <v>103299</v>
      </c>
      <c r="DDI4" s="26" t="s">
        <v>1</v>
      </c>
      <c r="DDL4" s="26">
        <v>115892</v>
      </c>
      <c r="DDM4" s="26" t="s">
        <v>1</v>
      </c>
      <c r="DDP4" s="26">
        <v>56708</v>
      </c>
      <c r="DDQ4" s="26" t="s">
        <v>1</v>
      </c>
      <c r="DDT4" s="26" t="s">
        <v>31</v>
      </c>
    </row>
    <row r="5" spans="1:2828" ht="15.6" thickBot="1" x14ac:dyDescent="0.3">
      <c r="A5" s="63" t="s">
        <v>54</v>
      </c>
      <c r="B5" s="62"/>
      <c r="C5" s="62"/>
      <c r="D5" s="237">
        <v>103550</v>
      </c>
      <c r="E5" s="238"/>
      <c r="F5" s="63" t="s">
        <v>54</v>
      </c>
      <c r="G5" s="62"/>
      <c r="H5" s="62"/>
      <c r="I5" s="237">
        <v>98100</v>
      </c>
      <c r="J5" s="238"/>
      <c r="K5" s="63" t="s">
        <v>54</v>
      </c>
      <c r="L5" s="62"/>
      <c r="M5" s="62"/>
      <c r="N5" s="237">
        <v>49050</v>
      </c>
      <c r="O5" s="238"/>
      <c r="P5" s="63" t="s">
        <v>54</v>
      </c>
      <c r="Q5" s="62"/>
      <c r="R5" s="62"/>
      <c r="S5" s="237">
        <v>70850</v>
      </c>
      <c r="T5" s="238"/>
      <c r="U5" s="63" t="s">
        <v>54</v>
      </c>
      <c r="V5" s="62"/>
      <c r="W5" s="62"/>
      <c r="X5" s="237">
        <v>10900</v>
      </c>
      <c r="Y5" s="238"/>
      <c r="Z5" s="63" t="s">
        <v>54</v>
      </c>
      <c r="AA5" s="62"/>
      <c r="AB5" s="62"/>
      <c r="AC5" s="237">
        <v>87200</v>
      </c>
      <c r="AD5" s="238"/>
      <c r="AE5" s="63" t="s">
        <v>54</v>
      </c>
      <c r="AF5" s="62"/>
      <c r="AG5" s="62"/>
      <c r="AH5" s="237">
        <v>76300</v>
      </c>
      <c r="AI5" s="238"/>
      <c r="AJ5" s="63" t="s">
        <v>54</v>
      </c>
      <c r="AK5" s="62"/>
      <c r="AL5" s="62"/>
      <c r="AM5" s="237">
        <v>109000</v>
      </c>
      <c r="AN5" s="238"/>
      <c r="AO5" s="63" t="s">
        <v>54</v>
      </c>
      <c r="AP5" s="62"/>
      <c r="AQ5" s="62"/>
      <c r="AR5" s="237">
        <v>76300</v>
      </c>
      <c r="AS5" s="238"/>
      <c r="AT5" s="63" t="s">
        <v>54</v>
      </c>
      <c r="AU5" s="62"/>
      <c r="AV5" s="62"/>
      <c r="AW5" s="237">
        <v>87200</v>
      </c>
      <c r="AX5" s="238"/>
      <c r="AY5" s="63" t="s">
        <v>54</v>
      </c>
      <c r="AZ5" s="62"/>
      <c r="BA5" s="62"/>
      <c r="BB5" s="237">
        <v>92650</v>
      </c>
      <c r="BC5" s="238"/>
      <c r="BD5" s="63" t="s">
        <v>54</v>
      </c>
      <c r="BE5" s="62"/>
      <c r="BF5" s="62"/>
      <c r="BG5" s="237">
        <v>38150</v>
      </c>
      <c r="BH5" s="238"/>
      <c r="BI5" s="63" t="s">
        <v>54</v>
      </c>
      <c r="BJ5" s="62"/>
      <c r="BK5" s="62"/>
      <c r="BL5" s="237">
        <v>130800</v>
      </c>
      <c r="BM5" s="238"/>
      <c r="BN5" s="63" t="s">
        <v>54</v>
      </c>
      <c r="BO5" s="62"/>
      <c r="BP5" s="62"/>
      <c r="BQ5" s="237">
        <v>141700</v>
      </c>
      <c r="BR5" s="238"/>
      <c r="BS5" s="63" t="s">
        <v>54</v>
      </c>
      <c r="BT5" s="62"/>
      <c r="BU5" s="62"/>
      <c r="BV5" s="237">
        <v>119900</v>
      </c>
      <c r="BW5" s="238"/>
      <c r="BX5" s="63" t="s">
        <v>54</v>
      </c>
      <c r="BY5" s="62"/>
      <c r="BZ5" s="62"/>
      <c r="CA5" s="237">
        <v>103550</v>
      </c>
      <c r="CB5" s="238"/>
      <c r="CC5" s="63" t="s">
        <v>54</v>
      </c>
      <c r="CD5" s="62"/>
      <c r="CE5" s="62"/>
      <c r="CF5" s="237">
        <v>76300</v>
      </c>
      <c r="CG5" s="238"/>
      <c r="CH5" s="63" t="s">
        <v>54</v>
      </c>
      <c r="CI5" s="62"/>
      <c r="CJ5" s="62"/>
      <c r="CK5" s="237">
        <v>103550</v>
      </c>
      <c r="CL5" s="238"/>
      <c r="CM5" s="63" t="s">
        <v>54</v>
      </c>
      <c r="CN5" s="62"/>
      <c r="CO5" s="62"/>
      <c r="CP5" s="237">
        <v>21800</v>
      </c>
      <c r="CQ5" s="238"/>
      <c r="CR5" s="63" t="s">
        <v>54</v>
      </c>
      <c r="CS5" s="62"/>
      <c r="CT5" s="62"/>
      <c r="CU5" s="237">
        <v>21800</v>
      </c>
      <c r="CV5" s="238"/>
      <c r="CW5" s="63" t="s">
        <v>54</v>
      </c>
      <c r="CX5" s="62"/>
      <c r="CY5" s="62"/>
      <c r="CZ5" s="237">
        <v>125350</v>
      </c>
      <c r="DA5" s="238"/>
      <c r="DB5" s="63" t="s">
        <v>54</v>
      </c>
      <c r="DC5" s="62"/>
      <c r="DD5" s="62"/>
      <c r="DE5" s="237">
        <v>141700</v>
      </c>
      <c r="DF5" s="238"/>
      <c r="DG5" s="63" t="s">
        <v>54</v>
      </c>
      <c r="DH5" s="62"/>
      <c r="DI5" s="62"/>
      <c r="DJ5" s="237">
        <v>152600</v>
      </c>
      <c r="DK5" s="238"/>
      <c r="DL5" s="63" t="s">
        <v>54</v>
      </c>
      <c r="DM5" s="62"/>
      <c r="DN5" s="62"/>
      <c r="DO5" s="237">
        <v>103550</v>
      </c>
      <c r="DP5" s="238"/>
      <c r="DQ5" s="63" t="s">
        <v>54</v>
      </c>
      <c r="DR5" s="62"/>
      <c r="DS5" s="62"/>
      <c r="DT5" s="237">
        <v>54500</v>
      </c>
      <c r="DU5" s="238"/>
      <c r="DV5" s="63" t="s">
        <v>54</v>
      </c>
      <c r="DW5" s="62"/>
      <c r="DX5" s="62"/>
      <c r="DY5" s="237">
        <v>59950</v>
      </c>
      <c r="DZ5" s="238"/>
      <c r="EA5" s="63" t="s">
        <v>54</v>
      </c>
      <c r="EB5" s="62"/>
      <c r="EC5" s="62"/>
      <c r="ED5" s="237">
        <v>32700</v>
      </c>
      <c r="EE5" s="238"/>
      <c r="EF5" s="63" t="s">
        <v>54</v>
      </c>
      <c r="EG5" s="62"/>
      <c r="EH5" s="62"/>
      <c r="EI5" s="237">
        <v>130800</v>
      </c>
      <c r="EJ5" s="238"/>
      <c r="EK5" s="63" t="s">
        <v>54</v>
      </c>
      <c r="EL5" s="62"/>
      <c r="EM5" s="62"/>
      <c r="EN5" s="237">
        <v>98100</v>
      </c>
      <c r="EO5" s="238"/>
      <c r="EP5" s="63" t="s">
        <v>54</v>
      </c>
      <c r="EQ5" s="62"/>
      <c r="ER5" s="62"/>
      <c r="ES5" s="237">
        <v>76300</v>
      </c>
      <c r="ET5" s="238"/>
      <c r="EU5" s="63" t="s">
        <v>54</v>
      </c>
      <c r="EV5" s="62"/>
      <c r="EW5" s="62"/>
      <c r="EX5" s="237">
        <v>76300</v>
      </c>
      <c r="EY5" s="238"/>
      <c r="EZ5" s="63" t="s">
        <v>54</v>
      </c>
      <c r="FA5" s="62"/>
      <c r="FB5" s="62"/>
      <c r="FC5" s="237">
        <v>59950</v>
      </c>
      <c r="FD5" s="238"/>
      <c r="FE5" s="63" t="s">
        <v>54</v>
      </c>
      <c r="FF5" s="62"/>
      <c r="FG5" s="62"/>
      <c r="FH5" s="237">
        <v>98100</v>
      </c>
      <c r="FI5" s="238"/>
      <c r="FJ5" s="63" t="s">
        <v>54</v>
      </c>
      <c r="FK5" s="62"/>
      <c r="FL5" s="62"/>
      <c r="FM5" s="237">
        <v>54500</v>
      </c>
      <c r="FN5" s="238"/>
      <c r="FO5" s="63" t="s">
        <v>54</v>
      </c>
      <c r="FP5" s="62"/>
      <c r="FQ5" s="62"/>
      <c r="FR5" s="237">
        <v>103550</v>
      </c>
      <c r="FS5" s="238"/>
      <c r="FT5" s="63" t="s">
        <v>54</v>
      </c>
      <c r="FU5" s="62"/>
      <c r="FV5" s="62"/>
      <c r="FW5" s="237">
        <v>92650</v>
      </c>
      <c r="FX5" s="238"/>
      <c r="FY5" s="63" t="s">
        <v>54</v>
      </c>
      <c r="FZ5" s="62"/>
      <c r="GA5" s="62"/>
      <c r="GB5" s="237">
        <v>109000</v>
      </c>
      <c r="GC5" s="238"/>
      <c r="GD5" s="63" t="s">
        <v>54</v>
      </c>
      <c r="GE5" s="62"/>
      <c r="GF5" s="62"/>
      <c r="GG5" s="237">
        <v>59950</v>
      </c>
      <c r="GH5" s="238"/>
      <c r="GI5" s="63" t="s">
        <v>54</v>
      </c>
      <c r="GJ5" s="62"/>
      <c r="GK5" s="62"/>
      <c r="GL5" s="237">
        <v>65400</v>
      </c>
      <c r="GM5" s="238"/>
      <c r="GN5" s="63" t="s">
        <v>54</v>
      </c>
      <c r="GO5" s="62"/>
      <c r="GP5" s="62"/>
      <c r="GQ5" s="237">
        <v>76300</v>
      </c>
      <c r="GR5" s="238"/>
      <c r="GS5" s="63" t="s">
        <v>54</v>
      </c>
      <c r="GT5" s="62"/>
      <c r="GU5" s="62"/>
      <c r="GV5" s="237">
        <v>59950</v>
      </c>
      <c r="GW5" s="238"/>
      <c r="GX5" s="63" t="s">
        <v>54</v>
      </c>
      <c r="GY5" s="62"/>
      <c r="GZ5" s="62"/>
      <c r="HA5" s="237">
        <v>119900</v>
      </c>
      <c r="HB5" s="238"/>
      <c r="HC5" s="63" t="s">
        <v>54</v>
      </c>
      <c r="HD5" s="62"/>
      <c r="HE5" s="62"/>
      <c r="HF5" s="237">
        <v>92650</v>
      </c>
      <c r="HG5" s="238"/>
      <c r="HH5" s="63" t="s">
        <v>54</v>
      </c>
      <c r="HI5" s="62"/>
      <c r="HJ5" s="62"/>
      <c r="HK5" s="237">
        <v>81750</v>
      </c>
      <c r="HL5" s="238"/>
      <c r="HM5" s="63" t="s">
        <v>54</v>
      </c>
      <c r="HN5" s="62"/>
      <c r="HO5" s="62"/>
      <c r="HP5" s="237">
        <v>54500</v>
      </c>
      <c r="HQ5" s="238"/>
      <c r="HR5" s="63" t="s">
        <v>54</v>
      </c>
      <c r="HS5" s="62"/>
      <c r="HT5" s="62"/>
      <c r="HU5" s="237">
        <v>76300</v>
      </c>
      <c r="HV5" s="238"/>
      <c r="HW5" s="63" t="s">
        <v>54</v>
      </c>
      <c r="HX5" s="62"/>
      <c r="HY5" s="62"/>
      <c r="HZ5" s="237">
        <v>114450</v>
      </c>
      <c r="IA5" s="238"/>
      <c r="IB5" s="63" t="s">
        <v>54</v>
      </c>
      <c r="IC5" s="62"/>
      <c r="ID5" s="62"/>
      <c r="IE5" s="237">
        <v>16350</v>
      </c>
      <c r="IF5" s="238"/>
      <c r="IG5" s="63" t="s">
        <v>54</v>
      </c>
      <c r="IH5" s="62"/>
      <c r="II5" s="62"/>
      <c r="IJ5" s="237">
        <v>141700</v>
      </c>
      <c r="IK5" s="238"/>
      <c r="IL5" s="63" t="s">
        <v>54</v>
      </c>
      <c r="IM5" s="62"/>
      <c r="IN5" s="62"/>
      <c r="IO5" s="237">
        <v>109000</v>
      </c>
      <c r="IP5" s="238"/>
      <c r="IQ5" s="63" t="s">
        <v>54</v>
      </c>
      <c r="IR5" s="62"/>
      <c r="IS5" s="62"/>
      <c r="IT5" s="237">
        <v>152600</v>
      </c>
      <c r="IU5" s="238"/>
      <c r="IV5" s="63" t="s">
        <v>54</v>
      </c>
      <c r="IW5" s="62"/>
      <c r="IX5" s="62"/>
      <c r="IY5" s="237">
        <v>87200</v>
      </c>
      <c r="IZ5" s="238"/>
      <c r="JA5" s="63" t="s">
        <v>54</v>
      </c>
      <c r="JB5" s="62"/>
      <c r="JC5" s="62"/>
      <c r="JD5" s="237">
        <v>81750</v>
      </c>
      <c r="JE5" s="238"/>
      <c r="JF5" s="63" t="s">
        <v>54</v>
      </c>
      <c r="JG5" s="62"/>
      <c r="JH5" s="62"/>
      <c r="JI5" s="237">
        <v>54500</v>
      </c>
      <c r="JJ5" s="238"/>
      <c r="JK5" s="63" t="s">
        <v>54</v>
      </c>
      <c r="JL5" s="62"/>
      <c r="JM5" s="62"/>
      <c r="JN5" s="237">
        <v>0</v>
      </c>
      <c r="JO5" s="238"/>
      <c r="JP5" s="63" t="s">
        <v>54</v>
      </c>
      <c r="JQ5" s="62"/>
      <c r="JR5" s="62"/>
      <c r="JS5" s="237">
        <v>98100</v>
      </c>
      <c r="JT5" s="238"/>
      <c r="JU5" s="63" t="s">
        <v>54</v>
      </c>
      <c r="JV5" s="62"/>
      <c r="JW5" s="62"/>
      <c r="JX5" s="237">
        <v>81750</v>
      </c>
      <c r="JY5" s="238"/>
      <c r="JZ5" s="63" t="s">
        <v>54</v>
      </c>
      <c r="KA5" s="62"/>
      <c r="KB5" s="62"/>
      <c r="KC5" s="237">
        <v>114450</v>
      </c>
      <c r="KD5" s="238"/>
      <c r="KE5" s="63" t="s">
        <v>54</v>
      </c>
      <c r="KF5" s="62"/>
      <c r="KG5" s="62"/>
      <c r="KH5" s="237">
        <v>76300</v>
      </c>
      <c r="KI5" s="238"/>
      <c r="KJ5" s="63" t="s">
        <v>54</v>
      </c>
      <c r="KK5" s="62"/>
      <c r="KL5" s="62"/>
      <c r="KM5" s="237">
        <v>43600</v>
      </c>
      <c r="KN5" s="238"/>
      <c r="KO5" s="63" t="s">
        <v>54</v>
      </c>
      <c r="KP5" s="62"/>
      <c r="KQ5" s="62"/>
      <c r="KR5" s="237">
        <v>76300</v>
      </c>
      <c r="KS5" s="238"/>
      <c r="KT5" s="63" t="s">
        <v>54</v>
      </c>
      <c r="KU5" s="62"/>
      <c r="KV5" s="62"/>
      <c r="KW5" s="237">
        <v>32700</v>
      </c>
      <c r="KX5" s="238"/>
      <c r="KY5" s="63" t="s">
        <v>54</v>
      </c>
      <c r="KZ5" s="62"/>
      <c r="LA5" s="62"/>
      <c r="LB5" s="237">
        <v>76300</v>
      </c>
      <c r="LC5" s="238"/>
      <c r="LD5" s="63" t="s">
        <v>54</v>
      </c>
      <c r="LE5" s="62"/>
      <c r="LF5" s="62"/>
      <c r="LG5" s="237">
        <v>119900</v>
      </c>
      <c r="LH5" s="238"/>
      <c r="LI5" s="63" t="s">
        <v>54</v>
      </c>
      <c r="LJ5" s="62"/>
      <c r="LK5" s="62"/>
      <c r="LL5" s="237">
        <v>125350</v>
      </c>
      <c r="LM5" s="238"/>
      <c r="LN5" s="63" t="s">
        <v>54</v>
      </c>
      <c r="LO5" s="62"/>
      <c r="LP5" s="62"/>
      <c r="LQ5" s="237">
        <v>49050</v>
      </c>
      <c r="LR5" s="238"/>
      <c r="LS5" s="63" t="s">
        <v>54</v>
      </c>
      <c r="LT5" s="62"/>
      <c r="LU5" s="62"/>
      <c r="LV5" s="237">
        <v>54500</v>
      </c>
      <c r="LW5" s="238"/>
      <c r="LX5" s="63" t="s">
        <v>54</v>
      </c>
      <c r="LY5" s="62"/>
      <c r="LZ5" s="62"/>
      <c r="MA5" s="237">
        <v>38150</v>
      </c>
      <c r="MB5" s="238"/>
      <c r="MC5" s="63" t="s">
        <v>54</v>
      </c>
      <c r="MD5" s="62"/>
      <c r="ME5" s="62"/>
      <c r="MF5" s="237">
        <v>43600</v>
      </c>
      <c r="MG5" s="238"/>
      <c r="MH5" s="63" t="s">
        <v>54</v>
      </c>
      <c r="MI5" s="62"/>
      <c r="MJ5" s="62"/>
      <c r="MK5" s="237">
        <v>92650</v>
      </c>
      <c r="ML5" s="238"/>
      <c r="MM5" s="63" t="s">
        <v>54</v>
      </c>
      <c r="MN5" s="62"/>
      <c r="MO5" s="62"/>
      <c r="MP5" s="237">
        <v>147150</v>
      </c>
      <c r="MQ5" s="238"/>
      <c r="MR5" s="63" t="s">
        <v>54</v>
      </c>
      <c r="MS5" s="62"/>
      <c r="MT5" s="62"/>
      <c r="MU5" s="237">
        <v>87200</v>
      </c>
      <c r="MV5" s="238"/>
      <c r="MW5" s="63" t="s">
        <v>54</v>
      </c>
      <c r="MX5" s="62"/>
      <c r="MY5" s="62"/>
      <c r="MZ5" s="237">
        <v>87200</v>
      </c>
      <c r="NA5" s="238"/>
      <c r="NB5" s="63" t="s">
        <v>54</v>
      </c>
      <c r="NC5" s="62"/>
      <c r="ND5" s="62"/>
      <c r="NE5" s="237">
        <v>109000</v>
      </c>
      <c r="NF5" s="238"/>
      <c r="NG5" s="63" t="s">
        <v>54</v>
      </c>
      <c r="NH5" s="62"/>
      <c r="NI5" s="62"/>
      <c r="NJ5" s="237">
        <v>76300</v>
      </c>
      <c r="NK5" s="238"/>
      <c r="NL5" s="63" t="s">
        <v>54</v>
      </c>
      <c r="NM5" s="62"/>
      <c r="NN5" s="62"/>
      <c r="NO5" s="237">
        <v>87200</v>
      </c>
      <c r="NP5" s="238"/>
      <c r="NQ5" s="63" t="s">
        <v>54</v>
      </c>
      <c r="NR5" s="62"/>
      <c r="NS5" s="62"/>
      <c r="NT5" s="237">
        <v>38150</v>
      </c>
      <c r="NU5" s="238"/>
      <c r="NV5" s="63" t="s">
        <v>54</v>
      </c>
      <c r="NW5" s="62"/>
      <c r="NX5" s="62"/>
      <c r="NY5" s="237">
        <v>174400</v>
      </c>
      <c r="NZ5" s="238"/>
      <c r="OA5" s="63" t="s">
        <v>54</v>
      </c>
      <c r="OB5" s="62"/>
      <c r="OC5" s="62"/>
      <c r="OD5" s="237">
        <v>136250</v>
      </c>
      <c r="OE5" s="238"/>
      <c r="OF5" s="63" t="s">
        <v>54</v>
      </c>
      <c r="OG5" s="62"/>
      <c r="OH5" s="62"/>
      <c r="OI5" s="237">
        <v>136250</v>
      </c>
      <c r="OJ5" s="238"/>
      <c r="OK5" s="63" t="s">
        <v>54</v>
      </c>
      <c r="OL5" s="62"/>
      <c r="OM5" s="62"/>
      <c r="ON5" s="237">
        <v>152600</v>
      </c>
      <c r="OO5" s="238"/>
      <c r="OP5" s="63" t="s">
        <v>54</v>
      </c>
      <c r="OQ5" s="62"/>
      <c r="OR5" s="62"/>
      <c r="OS5" s="237">
        <v>98100</v>
      </c>
      <c r="OT5" s="238"/>
      <c r="OU5" s="63" t="s">
        <v>54</v>
      </c>
      <c r="OV5" s="62"/>
      <c r="OW5" s="62"/>
      <c r="OX5" s="237">
        <v>65400</v>
      </c>
      <c r="OY5" s="238"/>
      <c r="OZ5" s="63" t="s">
        <v>54</v>
      </c>
      <c r="PA5" s="62"/>
      <c r="PB5" s="62"/>
      <c r="PC5" s="237">
        <v>109000</v>
      </c>
      <c r="PD5" s="238"/>
      <c r="PE5" s="63" t="s">
        <v>54</v>
      </c>
      <c r="PF5" s="62"/>
      <c r="PG5" s="62"/>
      <c r="PH5" s="237">
        <v>43600</v>
      </c>
      <c r="PI5" s="238"/>
      <c r="PJ5" s="63" t="s">
        <v>54</v>
      </c>
      <c r="PK5" s="62"/>
      <c r="PL5" s="62"/>
      <c r="PM5" s="237">
        <v>130800</v>
      </c>
      <c r="PN5" s="238"/>
      <c r="PO5" s="63" t="s">
        <v>54</v>
      </c>
      <c r="PP5" s="62"/>
      <c r="PQ5" s="62"/>
      <c r="PR5" s="237">
        <v>136250</v>
      </c>
      <c r="PS5" s="238"/>
      <c r="PT5" s="63" t="s">
        <v>54</v>
      </c>
      <c r="PU5" s="62"/>
      <c r="PV5" s="62"/>
      <c r="PW5" s="237">
        <v>136250</v>
      </c>
      <c r="PX5" s="238"/>
      <c r="PY5" s="63" t="s">
        <v>54</v>
      </c>
      <c r="PZ5" s="62"/>
      <c r="QA5" s="62"/>
      <c r="QB5" s="237">
        <v>98100</v>
      </c>
      <c r="QC5" s="238"/>
      <c r="QD5" s="63" t="s">
        <v>54</v>
      </c>
      <c r="QE5" s="62"/>
      <c r="QF5" s="62"/>
      <c r="QG5" s="237">
        <v>76300</v>
      </c>
      <c r="QH5" s="238"/>
      <c r="QI5" s="63" t="s">
        <v>54</v>
      </c>
      <c r="QJ5" s="62"/>
      <c r="QK5" s="62"/>
      <c r="QL5" s="237">
        <v>109000</v>
      </c>
      <c r="QM5" s="238"/>
      <c r="QN5" s="63" t="s">
        <v>54</v>
      </c>
      <c r="QO5" s="62"/>
      <c r="QP5" s="62"/>
      <c r="QQ5" s="237">
        <v>0</v>
      </c>
      <c r="QR5" s="238"/>
      <c r="QS5" s="63" t="s">
        <v>54</v>
      </c>
      <c r="QT5" s="62"/>
      <c r="QU5" s="62"/>
      <c r="QV5" s="237">
        <v>54500</v>
      </c>
      <c r="QW5" s="238"/>
      <c r="QX5" s="63" t="s">
        <v>54</v>
      </c>
      <c r="QY5" s="62"/>
      <c r="QZ5" s="62"/>
      <c r="RA5" s="237">
        <v>109000</v>
      </c>
      <c r="RB5" s="238"/>
      <c r="RC5" s="63" t="s">
        <v>54</v>
      </c>
      <c r="RD5" s="62"/>
      <c r="RE5" s="62"/>
      <c r="RF5" s="237">
        <v>147150</v>
      </c>
      <c r="RG5" s="238"/>
      <c r="RH5" s="63" t="s">
        <v>54</v>
      </c>
      <c r="RI5" s="62"/>
      <c r="RJ5" s="62"/>
      <c r="RK5" s="237">
        <v>130800</v>
      </c>
      <c r="RL5" s="238"/>
      <c r="RM5" s="63" t="s">
        <v>54</v>
      </c>
      <c r="RN5" s="62"/>
      <c r="RO5" s="62"/>
      <c r="RP5" s="237">
        <v>98100</v>
      </c>
      <c r="RQ5" s="238"/>
      <c r="RR5" s="63" t="s">
        <v>54</v>
      </c>
      <c r="RS5" s="62"/>
      <c r="RT5" s="62"/>
      <c r="RU5" s="237">
        <v>76300</v>
      </c>
      <c r="RV5" s="238"/>
      <c r="RW5" s="63" t="s">
        <v>54</v>
      </c>
      <c r="RX5" s="62"/>
      <c r="RY5" s="62"/>
      <c r="RZ5" s="237">
        <v>76300</v>
      </c>
      <c r="SA5" s="238"/>
      <c r="SB5" s="63" t="s">
        <v>54</v>
      </c>
      <c r="SC5" s="62"/>
      <c r="SD5" s="62"/>
      <c r="SE5" s="237">
        <v>24525</v>
      </c>
      <c r="SF5" s="238"/>
      <c r="SG5" s="63" t="s">
        <v>54</v>
      </c>
      <c r="SH5" s="62"/>
      <c r="SI5" s="62"/>
      <c r="SJ5" s="237">
        <v>76300</v>
      </c>
      <c r="SK5" s="238"/>
      <c r="SL5" s="63" t="s">
        <v>54</v>
      </c>
      <c r="SM5" s="62"/>
      <c r="SN5" s="62"/>
      <c r="SO5" s="237">
        <v>141700</v>
      </c>
      <c r="SP5" s="238"/>
      <c r="SQ5" s="63" t="s">
        <v>54</v>
      </c>
      <c r="SR5" s="62"/>
      <c r="SS5" s="62"/>
      <c r="ST5" s="237">
        <v>152600</v>
      </c>
      <c r="SU5" s="238"/>
      <c r="SV5" s="63" t="s">
        <v>54</v>
      </c>
      <c r="SW5" s="62"/>
      <c r="SX5" s="62"/>
      <c r="SY5" s="237">
        <v>147150</v>
      </c>
      <c r="SZ5" s="238"/>
      <c r="TA5" s="63" t="s">
        <v>54</v>
      </c>
      <c r="TB5" s="62"/>
      <c r="TC5" s="62"/>
      <c r="TD5" s="237">
        <v>92650</v>
      </c>
      <c r="TE5" s="238"/>
      <c r="TF5" s="63" t="s">
        <v>54</v>
      </c>
      <c r="TG5" s="62"/>
      <c r="TH5" s="62"/>
      <c r="TI5" s="237">
        <v>87200</v>
      </c>
      <c r="TJ5" s="238"/>
      <c r="TK5" s="63" t="s">
        <v>54</v>
      </c>
      <c r="TL5" s="62"/>
      <c r="TM5" s="62"/>
      <c r="TN5" s="237">
        <v>103550</v>
      </c>
      <c r="TO5" s="238"/>
      <c r="TP5" s="63" t="s">
        <v>54</v>
      </c>
      <c r="TQ5" s="62"/>
      <c r="TR5" s="62"/>
      <c r="TS5" s="237">
        <v>54500</v>
      </c>
      <c r="TT5" s="238"/>
      <c r="TU5" s="63" t="s">
        <v>54</v>
      </c>
      <c r="TV5" s="62"/>
      <c r="TW5" s="62"/>
      <c r="TX5" s="237">
        <v>119900</v>
      </c>
      <c r="TY5" s="238"/>
      <c r="TZ5" s="63" t="s">
        <v>54</v>
      </c>
      <c r="UA5" s="62"/>
      <c r="UB5" s="62"/>
      <c r="UC5" s="237">
        <v>152600</v>
      </c>
      <c r="UD5" s="238"/>
      <c r="UE5" s="63" t="s">
        <v>54</v>
      </c>
      <c r="UF5" s="62"/>
      <c r="UG5" s="62"/>
      <c r="UH5" s="237">
        <v>190750</v>
      </c>
      <c r="UI5" s="238"/>
      <c r="UJ5" s="63" t="s">
        <v>54</v>
      </c>
      <c r="UK5" s="62"/>
      <c r="UL5" s="62"/>
      <c r="UM5" s="237">
        <v>130800</v>
      </c>
      <c r="UN5" s="238"/>
      <c r="UO5" s="63" t="s">
        <v>54</v>
      </c>
      <c r="UP5" s="62"/>
      <c r="UQ5" s="62"/>
      <c r="UR5" s="237">
        <v>65400</v>
      </c>
      <c r="US5" s="238"/>
      <c r="UT5" s="63" t="s">
        <v>54</v>
      </c>
      <c r="UU5" s="62"/>
      <c r="UV5" s="62"/>
      <c r="UW5" s="237">
        <v>54500</v>
      </c>
      <c r="UX5" s="238"/>
      <c r="UY5" s="63" t="s">
        <v>54</v>
      </c>
      <c r="UZ5" s="62"/>
      <c r="VA5" s="62"/>
      <c r="VB5" s="237">
        <v>38150</v>
      </c>
      <c r="VC5" s="238"/>
      <c r="VD5" s="63" t="s">
        <v>54</v>
      </c>
      <c r="VE5" s="62"/>
      <c r="VF5" s="62"/>
      <c r="VG5" s="237">
        <v>163500</v>
      </c>
      <c r="VH5" s="238"/>
      <c r="VI5" s="63" t="s">
        <v>54</v>
      </c>
      <c r="VJ5" s="62"/>
      <c r="VK5" s="62"/>
      <c r="VL5" s="237">
        <v>49050</v>
      </c>
      <c r="VM5" s="238"/>
      <c r="VN5" s="63" t="s">
        <v>54</v>
      </c>
      <c r="VO5" s="62"/>
      <c r="VP5" s="62"/>
      <c r="VQ5" s="237">
        <v>130800</v>
      </c>
      <c r="VR5" s="238"/>
      <c r="VS5" s="63" t="s">
        <v>54</v>
      </c>
      <c r="VT5" s="62"/>
      <c r="VU5" s="62"/>
      <c r="VV5" s="237">
        <v>119900</v>
      </c>
      <c r="VW5" s="238"/>
      <c r="VX5" s="63" t="s">
        <v>54</v>
      </c>
      <c r="VY5" s="62"/>
      <c r="VZ5" s="62"/>
      <c r="WA5" s="237">
        <v>109000</v>
      </c>
      <c r="WB5" s="238"/>
      <c r="WC5" s="63" t="s">
        <v>54</v>
      </c>
      <c r="WD5" s="62"/>
      <c r="WE5" s="62"/>
      <c r="WF5" s="237">
        <v>250700</v>
      </c>
      <c r="WG5" s="238"/>
      <c r="WH5" s="63" t="s">
        <v>54</v>
      </c>
      <c r="WI5" s="62"/>
      <c r="WJ5" s="62"/>
      <c r="WK5" s="237">
        <v>81750</v>
      </c>
      <c r="WL5" s="238"/>
      <c r="WM5" s="63" t="s">
        <v>54</v>
      </c>
      <c r="WN5" s="62"/>
      <c r="WO5" s="62"/>
      <c r="WP5" s="237">
        <v>70850</v>
      </c>
      <c r="WQ5" s="238"/>
      <c r="WR5" s="63" t="s">
        <v>54</v>
      </c>
      <c r="WS5" s="62"/>
      <c r="WT5" s="62"/>
      <c r="WU5" s="237">
        <v>70850</v>
      </c>
      <c r="WV5" s="238"/>
      <c r="WW5" s="63" t="s">
        <v>54</v>
      </c>
      <c r="WX5" s="62"/>
      <c r="WY5" s="62"/>
      <c r="WZ5" s="237">
        <v>136250</v>
      </c>
      <c r="XA5" s="238"/>
      <c r="XB5" s="63" t="s">
        <v>54</v>
      </c>
      <c r="XC5" s="62"/>
      <c r="XD5" s="62"/>
      <c r="XE5" s="237">
        <v>119900</v>
      </c>
      <c r="XF5" s="238"/>
      <c r="XG5" s="63" t="s">
        <v>54</v>
      </c>
      <c r="XH5" s="62"/>
      <c r="XI5" s="62"/>
      <c r="XJ5" s="237">
        <v>114450</v>
      </c>
      <c r="XK5" s="238"/>
      <c r="XL5" s="63" t="s">
        <v>54</v>
      </c>
      <c r="XM5" s="62"/>
      <c r="XN5" s="62"/>
      <c r="XO5" s="237">
        <v>76300</v>
      </c>
      <c r="XP5" s="238"/>
      <c r="XQ5" s="63" t="s">
        <v>54</v>
      </c>
      <c r="XR5" s="62"/>
      <c r="XS5" s="62"/>
      <c r="XT5" s="237">
        <v>174400</v>
      </c>
      <c r="XU5" s="238"/>
      <c r="XV5" s="63" t="s">
        <v>54</v>
      </c>
      <c r="XW5" s="62"/>
      <c r="XX5" s="62"/>
      <c r="XY5" s="237">
        <v>119900</v>
      </c>
      <c r="XZ5" s="238"/>
      <c r="YA5" s="63" t="s">
        <v>54</v>
      </c>
      <c r="YB5" s="62"/>
      <c r="YC5" s="62"/>
      <c r="YD5" s="237">
        <v>136250</v>
      </c>
      <c r="YE5" s="238"/>
      <c r="YF5" s="63" t="s">
        <v>54</v>
      </c>
      <c r="YG5" s="62"/>
      <c r="YH5" s="62"/>
      <c r="YI5" s="237">
        <v>141700</v>
      </c>
      <c r="YJ5" s="238"/>
      <c r="YK5" s="63" t="s">
        <v>54</v>
      </c>
      <c r="YL5" s="62"/>
      <c r="YM5" s="62"/>
      <c r="YN5" s="237">
        <v>109000</v>
      </c>
      <c r="YO5" s="238"/>
      <c r="YP5" s="63" t="s">
        <v>54</v>
      </c>
      <c r="YQ5" s="62"/>
      <c r="YR5" s="62"/>
      <c r="YS5" s="237">
        <v>130800</v>
      </c>
      <c r="YT5" s="238"/>
      <c r="YU5" s="63" t="s">
        <v>54</v>
      </c>
      <c r="YV5" s="62"/>
      <c r="YW5" s="62"/>
      <c r="YX5" s="237">
        <v>65400</v>
      </c>
      <c r="YY5" s="238"/>
      <c r="YZ5" s="63" t="s">
        <v>54</v>
      </c>
      <c r="ZA5" s="62"/>
      <c r="ZB5" s="62"/>
      <c r="ZC5" s="237">
        <v>158050</v>
      </c>
      <c r="ZD5" s="238"/>
      <c r="ZE5" s="63" t="s">
        <v>54</v>
      </c>
      <c r="ZF5" s="62"/>
      <c r="ZG5" s="62"/>
      <c r="ZH5" s="237">
        <v>168950</v>
      </c>
      <c r="ZI5" s="238"/>
      <c r="ZJ5" s="63" t="s">
        <v>54</v>
      </c>
      <c r="ZK5" s="62"/>
      <c r="ZL5" s="62"/>
      <c r="ZM5" s="237">
        <v>152600</v>
      </c>
      <c r="ZN5" s="238"/>
      <c r="ZO5" s="63" t="s">
        <v>54</v>
      </c>
      <c r="ZP5" s="62"/>
      <c r="ZQ5" s="62"/>
      <c r="ZR5" s="237">
        <v>114450</v>
      </c>
      <c r="ZS5" s="238"/>
      <c r="ZT5" s="63" t="s">
        <v>54</v>
      </c>
      <c r="ZU5" s="62"/>
      <c r="ZV5" s="62"/>
      <c r="ZW5" s="237">
        <v>109000</v>
      </c>
      <c r="ZX5" s="238"/>
      <c r="ZY5" s="63" t="s">
        <v>54</v>
      </c>
      <c r="ZZ5" s="62"/>
      <c r="AAA5" s="62"/>
      <c r="AAB5" s="237">
        <v>87200</v>
      </c>
      <c r="AAC5" s="238"/>
      <c r="AAD5" s="63" t="s">
        <v>54</v>
      </c>
      <c r="AAE5" s="62"/>
      <c r="AAF5" s="62"/>
      <c r="AAG5" s="237">
        <v>27250</v>
      </c>
      <c r="AAH5" s="238"/>
      <c r="AAI5" s="63" t="s">
        <v>54</v>
      </c>
      <c r="AAJ5" s="62"/>
      <c r="AAK5" s="62"/>
      <c r="AAL5" s="237">
        <v>174400</v>
      </c>
      <c r="AAM5" s="238"/>
      <c r="AAN5" s="63" t="s">
        <v>54</v>
      </c>
      <c r="AAO5" s="62"/>
      <c r="AAP5" s="62"/>
      <c r="AAQ5" s="237">
        <v>158050</v>
      </c>
      <c r="AAR5" s="238"/>
      <c r="AAS5" s="63" t="s">
        <v>54</v>
      </c>
      <c r="AAT5" s="62"/>
      <c r="AAU5" s="62"/>
      <c r="AAV5" s="237">
        <v>103550</v>
      </c>
      <c r="AAW5" s="238"/>
      <c r="AAX5" s="63" t="s">
        <v>54</v>
      </c>
      <c r="AAY5" s="62"/>
      <c r="AAZ5" s="62"/>
      <c r="ABA5" s="237">
        <v>119900</v>
      </c>
      <c r="ABB5" s="238"/>
      <c r="ABC5" s="63" t="s">
        <v>54</v>
      </c>
      <c r="ABD5" s="62"/>
      <c r="ABE5" s="62"/>
      <c r="ABF5" s="237">
        <v>49050</v>
      </c>
      <c r="ABG5" s="238"/>
      <c r="ABH5" s="63" t="s">
        <v>54</v>
      </c>
      <c r="ABI5" s="62"/>
      <c r="ABJ5" s="62"/>
      <c r="ABK5" s="237">
        <v>32700</v>
      </c>
      <c r="ABL5" s="238"/>
      <c r="ABM5" s="63" t="s">
        <v>54</v>
      </c>
      <c r="ABN5" s="62"/>
      <c r="ABO5" s="62"/>
      <c r="ABP5" s="237">
        <v>141700</v>
      </c>
      <c r="ABQ5" s="238"/>
      <c r="ABR5" s="63" t="s">
        <v>54</v>
      </c>
      <c r="ABS5" s="62"/>
      <c r="ABT5" s="62"/>
      <c r="ABU5" s="237">
        <v>163500</v>
      </c>
      <c r="ABV5" s="238"/>
      <c r="ABW5" s="63" t="s">
        <v>54</v>
      </c>
      <c r="ABX5" s="62"/>
      <c r="ABY5" s="62"/>
      <c r="ABZ5" s="237">
        <v>65400</v>
      </c>
      <c r="ACA5" s="238"/>
      <c r="ACB5" s="63" t="s">
        <v>54</v>
      </c>
      <c r="ACC5" s="62"/>
      <c r="ACD5" s="62"/>
      <c r="ACE5" s="237">
        <v>109000</v>
      </c>
      <c r="ACF5" s="238"/>
      <c r="ACG5" s="63" t="s">
        <v>54</v>
      </c>
      <c r="ACH5" s="62"/>
      <c r="ACI5" s="62"/>
      <c r="ACJ5" s="237">
        <v>87200</v>
      </c>
      <c r="ACK5" s="238"/>
      <c r="ACL5" s="63" t="s">
        <v>54</v>
      </c>
      <c r="ACM5" s="62"/>
      <c r="ACN5" s="62"/>
      <c r="ACO5" s="237">
        <v>81750</v>
      </c>
      <c r="ACP5" s="238"/>
      <c r="ACQ5" s="63" t="s">
        <v>54</v>
      </c>
      <c r="ACR5" s="62"/>
      <c r="ACS5" s="62"/>
      <c r="ACT5" s="237">
        <v>81750</v>
      </c>
      <c r="ACU5" s="238"/>
      <c r="ACV5" s="63" t="s">
        <v>54</v>
      </c>
      <c r="ACW5" s="62"/>
      <c r="ACX5" s="62"/>
      <c r="ACY5" s="237">
        <v>10900</v>
      </c>
      <c r="ACZ5" s="238"/>
      <c r="ADA5" s="63" t="s">
        <v>54</v>
      </c>
      <c r="ADB5" s="62"/>
      <c r="ADC5" s="62"/>
      <c r="ADD5" s="237">
        <v>163500</v>
      </c>
      <c r="ADE5" s="238"/>
      <c r="ADF5" s="63" t="s">
        <v>54</v>
      </c>
      <c r="ADG5" s="62"/>
      <c r="ADH5" s="62"/>
      <c r="ADI5" s="237">
        <v>168950</v>
      </c>
      <c r="ADJ5" s="238"/>
      <c r="ADK5" s="63" t="s">
        <v>54</v>
      </c>
      <c r="ADL5" s="62"/>
      <c r="ADM5" s="62"/>
      <c r="ADN5" s="237">
        <v>134433</v>
      </c>
      <c r="ADO5" s="238"/>
      <c r="ADP5" s="63" t="s">
        <v>54</v>
      </c>
      <c r="ADQ5" s="62"/>
      <c r="ADR5" s="62"/>
      <c r="ADS5" s="237">
        <v>65400</v>
      </c>
      <c r="ADT5" s="238"/>
      <c r="ADU5" s="63" t="s">
        <v>54</v>
      </c>
      <c r="ADV5" s="62"/>
      <c r="ADW5" s="62"/>
      <c r="ADX5" s="237">
        <v>76300</v>
      </c>
      <c r="ADY5" s="238"/>
      <c r="ADZ5" s="63" t="s">
        <v>54</v>
      </c>
      <c r="AEA5" s="62"/>
      <c r="AEB5" s="62"/>
      <c r="AEC5" s="237">
        <v>141700</v>
      </c>
      <c r="AED5" s="238"/>
      <c r="AEE5" s="63" t="s">
        <v>54</v>
      </c>
      <c r="AEF5" s="62"/>
      <c r="AEG5" s="62"/>
      <c r="AEH5" s="237">
        <v>136249</v>
      </c>
      <c r="AEI5" s="238"/>
      <c r="AEJ5" s="63" t="s">
        <v>54</v>
      </c>
      <c r="AEK5" s="62"/>
      <c r="AEL5" s="62"/>
      <c r="AEM5" s="237">
        <v>98100</v>
      </c>
      <c r="AEN5" s="238"/>
      <c r="AEO5" s="63" t="s">
        <v>54</v>
      </c>
      <c r="AEP5" s="62"/>
      <c r="AEQ5" s="62"/>
      <c r="AER5" s="237">
        <v>87200</v>
      </c>
      <c r="AES5" s="238"/>
      <c r="AET5" s="63" t="s">
        <v>54</v>
      </c>
      <c r="AEU5" s="62"/>
      <c r="AEV5" s="62"/>
      <c r="AEW5" s="237">
        <v>81750</v>
      </c>
      <c r="AEX5" s="238"/>
      <c r="AEY5" s="63" t="s">
        <v>54</v>
      </c>
      <c r="AEZ5" s="62"/>
      <c r="AFA5" s="62"/>
      <c r="AFB5" s="237">
        <v>76300</v>
      </c>
      <c r="AFC5" s="238"/>
      <c r="AFD5" s="63" t="s">
        <v>54</v>
      </c>
      <c r="AFE5" s="62"/>
      <c r="AFF5" s="62"/>
      <c r="AFG5" s="237">
        <v>147150</v>
      </c>
      <c r="AFH5" s="238"/>
      <c r="AFI5" s="63" t="s">
        <v>54</v>
      </c>
      <c r="AFJ5" s="62"/>
      <c r="AFK5" s="62"/>
      <c r="AFL5" s="237">
        <v>152600</v>
      </c>
      <c r="AFM5" s="238"/>
      <c r="AFN5" s="63" t="s">
        <v>54</v>
      </c>
      <c r="AFO5" s="62"/>
      <c r="AFP5" s="62"/>
      <c r="AFQ5" s="237">
        <v>87200</v>
      </c>
      <c r="AFR5" s="238"/>
      <c r="AFS5" s="63" t="s">
        <v>54</v>
      </c>
      <c r="AFT5" s="62"/>
      <c r="AFU5" s="62"/>
      <c r="AFV5" s="237">
        <v>92650</v>
      </c>
      <c r="AFW5" s="238"/>
      <c r="AFX5" s="63" t="s">
        <v>54</v>
      </c>
      <c r="AFY5" s="62"/>
      <c r="AFZ5" s="62"/>
      <c r="AGA5" s="237">
        <v>65400</v>
      </c>
      <c r="AGB5" s="238"/>
      <c r="AGC5" s="63" t="s">
        <v>54</v>
      </c>
      <c r="AGD5" s="62"/>
      <c r="AGE5" s="62"/>
      <c r="AGF5" s="237">
        <v>109000</v>
      </c>
      <c r="AGG5" s="238"/>
      <c r="AGH5" s="63" t="s">
        <v>54</v>
      </c>
      <c r="AGI5" s="62"/>
      <c r="AGJ5" s="62"/>
      <c r="AGK5" s="237">
        <v>125350</v>
      </c>
      <c r="AGL5" s="238"/>
      <c r="AGM5" s="63" t="s">
        <v>54</v>
      </c>
      <c r="AGN5" s="62"/>
      <c r="AGO5" s="62"/>
      <c r="AGP5" s="237">
        <v>141700</v>
      </c>
      <c r="AGQ5" s="238"/>
      <c r="AGR5" s="63" t="s">
        <v>54</v>
      </c>
      <c r="AGS5" s="62"/>
      <c r="AGT5" s="62"/>
      <c r="AGU5" s="237">
        <v>130800</v>
      </c>
      <c r="AGV5" s="238"/>
      <c r="AGW5" s="63" t="s">
        <v>54</v>
      </c>
      <c r="AGX5" s="62"/>
      <c r="AGY5" s="62"/>
      <c r="AGZ5" s="237">
        <v>0</v>
      </c>
      <c r="AHA5" s="238"/>
      <c r="AHB5" s="63" t="s">
        <v>54</v>
      </c>
      <c r="AHC5" s="62"/>
      <c r="AHD5" s="62"/>
      <c r="AHE5" s="237">
        <v>65400</v>
      </c>
      <c r="AHF5" s="238"/>
      <c r="AHG5" s="63" t="s">
        <v>54</v>
      </c>
      <c r="AHH5" s="62"/>
      <c r="AHI5" s="62"/>
      <c r="AHJ5" s="237">
        <v>87200</v>
      </c>
      <c r="AHK5" s="238"/>
      <c r="AHL5" s="63" t="s">
        <v>54</v>
      </c>
      <c r="AHM5" s="62"/>
      <c r="AHN5" s="62"/>
      <c r="AHO5" s="237">
        <v>152600</v>
      </c>
      <c r="AHP5" s="238"/>
      <c r="AHQ5" s="63" t="s">
        <v>54</v>
      </c>
      <c r="AHR5" s="62"/>
      <c r="AHS5" s="62"/>
      <c r="AHT5" s="237">
        <v>163500</v>
      </c>
      <c r="AHU5" s="238"/>
      <c r="AHV5" s="63" t="s">
        <v>54</v>
      </c>
      <c r="AHW5" s="62"/>
      <c r="AHX5" s="62"/>
      <c r="AHY5" s="237">
        <v>136250</v>
      </c>
      <c r="AHZ5" s="238"/>
      <c r="AIA5" s="63" t="s">
        <v>54</v>
      </c>
      <c r="AIB5" s="62"/>
      <c r="AIC5" s="62"/>
      <c r="AID5" s="237">
        <v>103550</v>
      </c>
      <c r="AIE5" s="238"/>
      <c r="AIF5" s="63" t="s">
        <v>54</v>
      </c>
      <c r="AIG5" s="62"/>
      <c r="AIH5" s="62"/>
      <c r="AII5" s="237">
        <v>109000</v>
      </c>
      <c r="AIJ5" s="238"/>
      <c r="AIK5" s="63" t="s">
        <v>54</v>
      </c>
      <c r="AIL5" s="62"/>
      <c r="AIM5" s="62"/>
      <c r="AIN5" s="237">
        <v>98100</v>
      </c>
      <c r="AIO5" s="238"/>
      <c r="AIP5" s="63" t="s">
        <v>54</v>
      </c>
      <c r="AIQ5" s="62"/>
      <c r="AIR5" s="62"/>
      <c r="AIS5" s="237">
        <v>76300</v>
      </c>
      <c r="AIT5" s="238"/>
      <c r="AIU5" s="63" t="s">
        <v>54</v>
      </c>
      <c r="AIV5" s="62"/>
      <c r="AIW5" s="62"/>
      <c r="AIX5" s="237">
        <v>141700</v>
      </c>
      <c r="AIY5" s="238"/>
      <c r="AIZ5" s="63" t="s">
        <v>54</v>
      </c>
      <c r="AJA5" s="62"/>
      <c r="AJB5" s="62"/>
      <c r="AJC5" s="237">
        <v>98100</v>
      </c>
      <c r="AJD5" s="238"/>
      <c r="AJE5" s="63" t="s">
        <v>54</v>
      </c>
      <c r="AJF5" s="62"/>
      <c r="AJG5" s="62"/>
      <c r="AJH5" s="237">
        <v>87200</v>
      </c>
      <c r="AJI5" s="238"/>
      <c r="AJJ5" s="63" t="s">
        <v>54</v>
      </c>
      <c r="AJK5" s="62"/>
      <c r="AJL5" s="62"/>
      <c r="AJM5" s="237">
        <v>54500</v>
      </c>
      <c r="AJN5" s="238"/>
      <c r="AJO5" s="63" t="s">
        <v>54</v>
      </c>
      <c r="AJP5" s="62"/>
      <c r="AJQ5" s="62"/>
      <c r="AJR5" s="237">
        <v>59950</v>
      </c>
      <c r="AJS5" s="238"/>
      <c r="AJT5" s="63" t="s">
        <v>54</v>
      </c>
      <c r="AJU5" s="62"/>
      <c r="AJV5" s="62"/>
      <c r="AJW5" s="237">
        <v>32700</v>
      </c>
      <c r="AJX5" s="238"/>
      <c r="AJY5" s="63" t="s">
        <v>54</v>
      </c>
      <c r="AJZ5" s="62"/>
      <c r="AKA5" s="62"/>
      <c r="AKB5" s="237">
        <v>119900</v>
      </c>
      <c r="AKC5" s="238"/>
      <c r="AKD5" s="63" t="s">
        <v>54</v>
      </c>
      <c r="AKE5" s="62"/>
      <c r="AKF5" s="62"/>
      <c r="AKG5" s="237">
        <v>152600</v>
      </c>
      <c r="AKH5" s="238"/>
      <c r="AKI5" s="63" t="s">
        <v>54</v>
      </c>
      <c r="AKJ5" s="62"/>
      <c r="AKK5" s="62"/>
      <c r="AKL5" s="237">
        <v>130800</v>
      </c>
      <c r="AKM5" s="238"/>
      <c r="AKN5" s="63" t="s">
        <v>54</v>
      </c>
      <c r="AKO5" s="62"/>
      <c r="AKP5" s="62"/>
      <c r="AKQ5" s="237">
        <v>125350</v>
      </c>
      <c r="AKR5" s="238"/>
      <c r="AKS5" s="63" t="s">
        <v>54</v>
      </c>
      <c r="AKT5" s="62"/>
      <c r="AKU5" s="62"/>
      <c r="AKV5" s="237">
        <v>92650</v>
      </c>
      <c r="AKW5" s="238"/>
      <c r="AKX5" s="63" t="s">
        <v>54</v>
      </c>
      <c r="AKY5" s="62"/>
      <c r="AKZ5" s="62"/>
      <c r="ALA5" s="237">
        <v>125350</v>
      </c>
      <c r="ALB5" s="238"/>
      <c r="ALC5" s="63" t="s">
        <v>54</v>
      </c>
      <c r="ALD5" s="62"/>
      <c r="ALE5" s="62"/>
      <c r="ALF5" s="237">
        <v>49050</v>
      </c>
      <c r="ALG5" s="238"/>
      <c r="ALH5" s="63" t="s">
        <v>54</v>
      </c>
      <c r="ALI5" s="62"/>
      <c r="ALJ5" s="62"/>
      <c r="ALK5" s="237">
        <v>132980</v>
      </c>
      <c r="ALL5" s="238"/>
      <c r="ALM5" s="63" t="s">
        <v>54</v>
      </c>
      <c r="ALN5" s="62"/>
      <c r="ALO5" s="62"/>
      <c r="ALP5" s="237">
        <v>98100</v>
      </c>
      <c r="ALQ5" s="238"/>
      <c r="ALR5" s="63" t="s">
        <v>54</v>
      </c>
      <c r="ALS5" s="62"/>
      <c r="ALT5" s="62"/>
      <c r="ALU5" s="237">
        <v>136250</v>
      </c>
      <c r="ALV5" s="238"/>
      <c r="ALW5" s="63" t="s">
        <v>54</v>
      </c>
      <c r="ALX5" s="62"/>
      <c r="ALY5" s="62"/>
      <c r="ALZ5" s="237">
        <v>59950</v>
      </c>
      <c r="AMA5" s="238"/>
      <c r="AMB5" s="63" t="s">
        <v>54</v>
      </c>
      <c r="AMC5" s="62"/>
      <c r="AMD5" s="62"/>
      <c r="AME5" s="237">
        <v>103550</v>
      </c>
      <c r="AMF5" s="238"/>
      <c r="AMG5" s="63" t="s">
        <v>54</v>
      </c>
      <c r="AMH5" s="62"/>
      <c r="AMI5" s="62"/>
      <c r="AMJ5" s="237">
        <v>87200</v>
      </c>
      <c r="AMK5" s="238"/>
      <c r="AML5" s="63" t="s">
        <v>54</v>
      </c>
      <c r="AMM5" s="62"/>
      <c r="AMN5" s="62"/>
      <c r="AMO5" s="237">
        <v>141700</v>
      </c>
      <c r="AMP5" s="238"/>
      <c r="AMQ5" s="63" t="s">
        <v>54</v>
      </c>
      <c r="AMR5" s="62"/>
      <c r="AMS5" s="62"/>
      <c r="AMT5" s="237">
        <v>130800</v>
      </c>
      <c r="AMU5" s="238"/>
      <c r="AMV5" s="63" t="s">
        <v>54</v>
      </c>
      <c r="AMW5" s="62"/>
      <c r="AMX5" s="62"/>
      <c r="AMY5" s="237">
        <v>125350</v>
      </c>
      <c r="AMZ5" s="238"/>
      <c r="ANA5" s="63" t="s">
        <v>54</v>
      </c>
      <c r="ANB5" s="62"/>
      <c r="ANC5" s="62"/>
      <c r="AND5" s="237">
        <v>119900</v>
      </c>
      <c r="ANE5" s="238"/>
      <c r="ANF5" s="63" t="s">
        <v>54</v>
      </c>
      <c r="ANG5" s="62"/>
      <c r="ANH5" s="62"/>
      <c r="ANI5" s="237">
        <v>76300</v>
      </c>
      <c r="ANJ5" s="238"/>
      <c r="ANK5" s="63" t="s">
        <v>54</v>
      </c>
      <c r="ANL5" s="62"/>
      <c r="ANM5" s="62"/>
      <c r="ANN5" s="237">
        <v>65400</v>
      </c>
      <c r="ANO5" s="238"/>
      <c r="ANP5" s="63" t="s">
        <v>54</v>
      </c>
      <c r="ANQ5" s="62"/>
      <c r="ANR5" s="62"/>
      <c r="ANS5" s="237">
        <v>16350</v>
      </c>
      <c r="ANT5" s="238"/>
      <c r="ANU5" s="63" t="s">
        <v>54</v>
      </c>
      <c r="ANV5" s="62"/>
      <c r="ANW5" s="62"/>
      <c r="ANX5" s="237">
        <v>92650</v>
      </c>
      <c r="ANY5" s="238"/>
      <c r="ANZ5" s="63" t="s">
        <v>54</v>
      </c>
      <c r="AOA5" s="62"/>
      <c r="AOB5" s="62"/>
      <c r="AOC5" s="237">
        <v>152600</v>
      </c>
      <c r="AOD5" s="238"/>
      <c r="AOE5" s="63" t="s">
        <v>54</v>
      </c>
      <c r="AOF5" s="62"/>
      <c r="AOG5" s="62"/>
      <c r="AOH5" s="237">
        <v>125350</v>
      </c>
      <c r="AOI5" s="238"/>
      <c r="AOJ5" s="63" t="s">
        <v>54</v>
      </c>
      <c r="AOK5" s="62"/>
      <c r="AOL5" s="62"/>
      <c r="AOM5" s="237">
        <v>54500</v>
      </c>
      <c r="AON5" s="238"/>
      <c r="AOO5" s="63" t="s">
        <v>54</v>
      </c>
      <c r="AOP5" s="62"/>
      <c r="AOQ5" s="62"/>
      <c r="AOR5" s="237">
        <v>54500</v>
      </c>
      <c r="AOS5" s="238"/>
      <c r="AOT5" s="63" t="s">
        <v>54</v>
      </c>
      <c r="AOU5" s="62"/>
      <c r="AOV5" s="62"/>
      <c r="AOW5" s="237">
        <v>49050</v>
      </c>
      <c r="AOX5" s="238"/>
      <c r="AOY5" s="63" t="s">
        <v>54</v>
      </c>
      <c r="AOZ5" s="62"/>
      <c r="APA5" s="62"/>
      <c r="APB5" s="237">
        <v>27250</v>
      </c>
      <c r="APC5" s="238"/>
      <c r="APD5" s="63" t="s">
        <v>54</v>
      </c>
      <c r="APE5" s="62"/>
      <c r="APF5" s="62"/>
      <c r="APG5" s="237">
        <v>81750</v>
      </c>
      <c r="APH5" s="238"/>
      <c r="API5" s="63" t="s">
        <v>54</v>
      </c>
      <c r="APJ5" s="62"/>
      <c r="APK5" s="62"/>
      <c r="APL5" s="237">
        <v>87200</v>
      </c>
      <c r="APM5" s="238"/>
      <c r="APN5" s="63" t="s">
        <v>54</v>
      </c>
      <c r="APO5" s="62"/>
      <c r="APP5" s="62"/>
      <c r="APQ5" s="237">
        <v>70850</v>
      </c>
      <c r="APR5" s="238"/>
      <c r="APS5" s="63" t="s">
        <v>54</v>
      </c>
      <c r="APT5" s="62"/>
      <c r="APU5" s="62"/>
      <c r="APV5" s="237">
        <v>49050</v>
      </c>
      <c r="APW5" s="238"/>
      <c r="APX5" s="63" t="s">
        <v>54</v>
      </c>
      <c r="APY5" s="62"/>
      <c r="APZ5" s="62"/>
      <c r="AQA5" s="237">
        <v>65400</v>
      </c>
      <c r="AQB5" s="238"/>
      <c r="AQC5" s="63" t="s">
        <v>54</v>
      </c>
      <c r="AQD5" s="62"/>
      <c r="AQE5" s="62"/>
      <c r="AQF5" s="237">
        <v>65400</v>
      </c>
      <c r="AQG5" s="238"/>
      <c r="AQH5" s="63" t="s">
        <v>54</v>
      </c>
      <c r="AQI5" s="62"/>
      <c r="AQJ5" s="62"/>
      <c r="AQK5" s="237">
        <v>207100</v>
      </c>
      <c r="AQL5" s="238"/>
      <c r="AQM5" s="63" t="s">
        <v>54</v>
      </c>
      <c r="AQN5" s="62"/>
      <c r="AQO5" s="62"/>
      <c r="AQP5" s="237">
        <v>92650</v>
      </c>
      <c r="AQQ5" s="238"/>
      <c r="AQR5" s="63" t="s">
        <v>54</v>
      </c>
      <c r="AQS5" s="62"/>
      <c r="AQT5" s="62"/>
      <c r="AQU5" s="237">
        <v>0</v>
      </c>
      <c r="AQV5" s="238"/>
      <c r="AQW5" s="63" t="s">
        <v>54</v>
      </c>
      <c r="AQX5" s="62"/>
      <c r="AQY5" s="62"/>
      <c r="AQZ5" s="237">
        <v>119900</v>
      </c>
      <c r="ARA5" s="238"/>
      <c r="ARB5" s="63" t="s">
        <v>54</v>
      </c>
      <c r="ARC5" s="62"/>
      <c r="ARD5" s="62"/>
      <c r="ARE5" s="237">
        <v>125350</v>
      </c>
      <c r="ARF5" s="238"/>
      <c r="ARG5" s="63" t="s">
        <v>54</v>
      </c>
      <c r="ARH5" s="62"/>
      <c r="ARI5" s="62"/>
      <c r="ARJ5" s="237">
        <v>87200</v>
      </c>
      <c r="ARK5" s="238"/>
      <c r="ARL5" s="63" t="s">
        <v>54</v>
      </c>
      <c r="ARM5" s="62"/>
      <c r="ARN5" s="62"/>
      <c r="ARO5" s="237">
        <v>38150</v>
      </c>
      <c r="ARP5" s="238"/>
      <c r="ARQ5" s="63" t="s">
        <v>54</v>
      </c>
      <c r="ARR5" s="62"/>
      <c r="ARS5" s="62"/>
      <c r="ART5" s="237">
        <v>196200</v>
      </c>
      <c r="ARU5" s="238"/>
      <c r="ARV5" s="63" t="s">
        <v>54</v>
      </c>
      <c r="ARW5" s="62"/>
      <c r="ARX5" s="62"/>
      <c r="ARY5" s="237">
        <v>125350</v>
      </c>
      <c r="ARZ5" s="238"/>
      <c r="ASA5" s="63" t="s">
        <v>54</v>
      </c>
      <c r="ASB5" s="62"/>
      <c r="ASC5" s="62"/>
      <c r="ASD5" s="237">
        <v>76300</v>
      </c>
      <c r="ASE5" s="238"/>
      <c r="ASF5" s="63" t="s">
        <v>54</v>
      </c>
      <c r="ASG5" s="62"/>
      <c r="ASH5" s="62"/>
      <c r="ASI5" s="237">
        <v>84475</v>
      </c>
      <c r="ASJ5" s="238"/>
      <c r="ASK5" s="63" t="s">
        <v>54</v>
      </c>
      <c r="ASL5" s="62"/>
      <c r="ASM5" s="62"/>
      <c r="ASN5" s="237">
        <v>76300</v>
      </c>
      <c r="ASO5" s="238"/>
      <c r="ASP5" s="63" t="s">
        <v>54</v>
      </c>
      <c r="ASQ5" s="62"/>
      <c r="ASR5" s="62"/>
      <c r="ASS5" s="237">
        <v>43600</v>
      </c>
      <c r="AST5" s="238"/>
      <c r="ASU5" s="63" t="s">
        <v>54</v>
      </c>
      <c r="ASV5" s="62"/>
      <c r="ASW5" s="62"/>
      <c r="ASX5" s="237">
        <v>5450</v>
      </c>
      <c r="ASY5" s="238"/>
      <c r="ASZ5" s="63" t="s">
        <v>54</v>
      </c>
      <c r="ATA5" s="62"/>
      <c r="ATB5" s="62"/>
      <c r="ATC5" s="237">
        <v>141700</v>
      </c>
      <c r="ATD5" s="238"/>
      <c r="ATE5" s="63" t="s">
        <v>54</v>
      </c>
      <c r="ATF5" s="62"/>
      <c r="ATG5" s="62"/>
      <c r="ATH5" s="237">
        <v>81750</v>
      </c>
      <c r="ATI5" s="238"/>
      <c r="ATJ5" s="63" t="s">
        <v>54</v>
      </c>
      <c r="ATK5" s="62"/>
      <c r="ATL5" s="62"/>
      <c r="ATM5" s="237">
        <v>87200</v>
      </c>
      <c r="ATN5" s="238"/>
      <c r="ATO5" s="63" t="s">
        <v>54</v>
      </c>
      <c r="ATP5" s="62"/>
      <c r="ATQ5" s="62"/>
      <c r="ATR5" s="237">
        <v>76300</v>
      </c>
      <c r="ATS5" s="238"/>
      <c r="ATT5" s="63" t="s">
        <v>54</v>
      </c>
      <c r="ATU5" s="62"/>
      <c r="ATV5" s="62"/>
      <c r="ATW5" s="237">
        <v>54500</v>
      </c>
      <c r="ATX5" s="238"/>
      <c r="ATY5" s="63" t="s">
        <v>54</v>
      </c>
      <c r="ATZ5" s="62"/>
      <c r="AUA5" s="62"/>
      <c r="AUB5" s="237">
        <v>87200</v>
      </c>
      <c r="AUC5" s="238"/>
      <c r="AUD5" s="63" t="s">
        <v>54</v>
      </c>
      <c r="AUE5" s="62"/>
      <c r="AUF5" s="62"/>
      <c r="AUG5" s="237">
        <v>21800</v>
      </c>
      <c r="AUH5" s="238"/>
      <c r="AUI5" s="63" t="s">
        <v>54</v>
      </c>
      <c r="AUJ5" s="62"/>
      <c r="AUK5" s="62"/>
      <c r="AUL5" s="237">
        <v>125350</v>
      </c>
      <c r="AUM5" s="238"/>
      <c r="AUN5" s="63" t="s">
        <v>54</v>
      </c>
      <c r="AUO5" s="62"/>
      <c r="AUP5" s="62"/>
      <c r="AUQ5" s="237">
        <v>87200</v>
      </c>
      <c r="AUR5" s="238"/>
      <c r="AUS5" s="63" t="s">
        <v>54</v>
      </c>
      <c r="AUT5" s="62"/>
      <c r="AUU5" s="62"/>
      <c r="AUV5" s="237">
        <v>70850</v>
      </c>
      <c r="AUW5" s="238"/>
      <c r="AUX5" s="63" t="s">
        <v>54</v>
      </c>
      <c r="AUY5" s="62"/>
      <c r="AUZ5" s="62"/>
      <c r="AVA5" s="237">
        <v>65400</v>
      </c>
      <c r="AVB5" s="238"/>
      <c r="AVC5" s="63" t="s">
        <v>54</v>
      </c>
      <c r="AVD5" s="62"/>
      <c r="AVE5" s="62"/>
      <c r="AVF5" s="237">
        <v>65400</v>
      </c>
      <c r="AVG5" s="238"/>
      <c r="AVH5" s="63" t="s">
        <v>54</v>
      </c>
      <c r="AVI5" s="62"/>
      <c r="AVJ5" s="62"/>
      <c r="AVK5" s="237">
        <v>54500</v>
      </c>
      <c r="AVL5" s="238"/>
      <c r="AVM5" s="63" t="s">
        <v>54</v>
      </c>
      <c r="AVN5" s="62"/>
      <c r="AVO5" s="62"/>
      <c r="AVP5" s="237">
        <v>32700</v>
      </c>
      <c r="AVQ5" s="238"/>
      <c r="AVR5" s="63" t="s">
        <v>54</v>
      </c>
      <c r="AVS5" s="62"/>
      <c r="AVT5" s="62"/>
      <c r="AVU5" s="237">
        <v>185300</v>
      </c>
      <c r="AVV5" s="238"/>
      <c r="AVW5" s="63" t="s">
        <v>54</v>
      </c>
      <c r="AVX5" s="62"/>
      <c r="AVY5" s="62"/>
      <c r="AVZ5" s="237">
        <v>109000</v>
      </c>
      <c r="AWA5" s="238"/>
      <c r="AWB5" s="63" t="s">
        <v>54</v>
      </c>
      <c r="AWC5" s="62"/>
      <c r="AWD5" s="62"/>
      <c r="AWE5" s="237">
        <v>65400</v>
      </c>
      <c r="AWF5" s="238"/>
      <c r="AWG5" s="63" t="s">
        <v>54</v>
      </c>
      <c r="AWH5" s="62"/>
      <c r="AWI5" s="62"/>
      <c r="AWJ5" s="237">
        <v>109000</v>
      </c>
      <c r="AWK5" s="238"/>
      <c r="AWL5" s="63" t="s">
        <v>54</v>
      </c>
      <c r="AWM5" s="62"/>
      <c r="AWN5" s="62"/>
      <c r="AWO5" s="237">
        <v>103550</v>
      </c>
      <c r="AWP5" s="238"/>
      <c r="AWQ5" s="63" t="s">
        <v>54</v>
      </c>
      <c r="AWR5" s="62"/>
      <c r="AWS5" s="62"/>
      <c r="AWT5" s="237">
        <v>54500</v>
      </c>
      <c r="AWU5" s="238"/>
      <c r="AWV5" s="63" t="s">
        <v>54</v>
      </c>
      <c r="AWW5" s="62"/>
      <c r="AWX5" s="62"/>
      <c r="AWY5" s="237">
        <v>27250</v>
      </c>
      <c r="AWZ5" s="238"/>
      <c r="AXA5" s="63" t="s">
        <v>54</v>
      </c>
      <c r="AXB5" s="62"/>
      <c r="AXC5" s="62"/>
      <c r="AXD5" s="237">
        <v>152600</v>
      </c>
      <c r="AXE5" s="238"/>
      <c r="AXF5" s="63" t="s">
        <v>54</v>
      </c>
      <c r="AXG5" s="62"/>
      <c r="AXH5" s="62"/>
      <c r="AXI5" s="237">
        <v>76300</v>
      </c>
      <c r="AXJ5" s="238"/>
      <c r="AXK5" s="63" t="s">
        <v>54</v>
      </c>
      <c r="AXL5" s="62"/>
      <c r="AXM5" s="62"/>
      <c r="AXN5" s="237">
        <v>114450</v>
      </c>
      <c r="AXO5" s="238"/>
      <c r="AXP5" s="63" t="s">
        <v>54</v>
      </c>
      <c r="AXQ5" s="62"/>
      <c r="AXR5" s="62"/>
      <c r="AXS5" s="237">
        <v>70850</v>
      </c>
      <c r="AXT5" s="238"/>
      <c r="AXU5" s="63" t="s">
        <v>54</v>
      </c>
      <c r="AXV5" s="62"/>
      <c r="AXW5" s="62"/>
      <c r="AXX5" s="237">
        <v>98100</v>
      </c>
      <c r="AXY5" s="238"/>
      <c r="AXZ5" s="63" t="s">
        <v>54</v>
      </c>
      <c r="AYA5" s="62"/>
      <c r="AYB5" s="62"/>
      <c r="AYC5" s="237">
        <v>87200</v>
      </c>
      <c r="AYD5" s="238"/>
      <c r="AYE5" s="63" t="s">
        <v>54</v>
      </c>
      <c r="AYF5" s="62"/>
      <c r="AYG5" s="62"/>
      <c r="AYH5" s="237">
        <v>49050</v>
      </c>
      <c r="AYI5" s="238"/>
      <c r="AYJ5" s="63" t="s">
        <v>54</v>
      </c>
      <c r="AYK5" s="62"/>
      <c r="AYL5" s="62"/>
      <c r="AYM5" s="237">
        <v>196200</v>
      </c>
      <c r="AYN5" s="238"/>
      <c r="AYO5" s="63" t="s">
        <v>54</v>
      </c>
      <c r="AYP5" s="62"/>
      <c r="AYQ5" s="62"/>
      <c r="AYR5" s="237">
        <v>109000</v>
      </c>
      <c r="AYS5" s="238"/>
      <c r="AYT5" s="63" t="s">
        <v>54</v>
      </c>
      <c r="AYU5" s="62"/>
      <c r="AYV5" s="62"/>
      <c r="AYW5" s="237">
        <v>87200</v>
      </c>
      <c r="AYX5" s="238"/>
      <c r="AYY5" s="63" t="s">
        <v>54</v>
      </c>
      <c r="AYZ5" s="62"/>
      <c r="AZA5" s="62"/>
      <c r="AZB5" s="237">
        <v>87200</v>
      </c>
      <c r="AZC5" s="238"/>
      <c r="AZD5" s="63" t="s">
        <v>54</v>
      </c>
      <c r="AZE5" s="62"/>
      <c r="AZF5" s="62"/>
      <c r="AZG5" s="237">
        <v>40875</v>
      </c>
      <c r="AZH5" s="238"/>
      <c r="AZI5" s="63" t="s">
        <v>54</v>
      </c>
      <c r="AZJ5" s="62"/>
      <c r="AZK5" s="62"/>
      <c r="AZL5" s="237">
        <v>152600</v>
      </c>
      <c r="AZM5" s="238"/>
      <c r="AZN5" s="63" t="s">
        <v>54</v>
      </c>
      <c r="AZO5" s="62"/>
      <c r="AZP5" s="62"/>
      <c r="AZQ5" s="237">
        <v>127529.99999999999</v>
      </c>
      <c r="AZR5" s="238"/>
      <c r="AZS5" s="63" t="s">
        <v>54</v>
      </c>
      <c r="AZT5" s="62"/>
      <c r="AZU5" s="62"/>
      <c r="AZV5" s="237">
        <v>125350</v>
      </c>
      <c r="AZW5" s="238"/>
      <c r="AZX5" s="63" t="s">
        <v>54</v>
      </c>
      <c r="AZY5" s="62"/>
      <c r="AZZ5" s="62"/>
      <c r="BAA5" s="237">
        <v>98100</v>
      </c>
      <c r="BAB5" s="238"/>
      <c r="BAC5" s="63" t="s">
        <v>54</v>
      </c>
      <c r="BAD5" s="62"/>
      <c r="BAE5" s="62"/>
      <c r="BAF5" s="237">
        <v>119900</v>
      </c>
      <c r="BAG5" s="238"/>
      <c r="BAH5" s="63" t="s">
        <v>54</v>
      </c>
      <c r="BAI5" s="62"/>
      <c r="BAJ5" s="62"/>
      <c r="BAK5" s="237">
        <v>65400</v>
      </c>
      <c r="BAL5" s="238"/>
      <c r="BAM5" s="63" t="s">
        <v>54</v>
      </c>
      <c r="BAN5" s="62"/>
      <c r="BAO5" s="62"/>
      <c r="BAP5" s="237">
        <v>21800</v>
      </c>
      <c r="BAQ5" s="238"/>
      <c r="BAR5" s="63" t="s">
        <v>54</v>
      </c>
      <c r="BAS5" s="62"/>
      <c r="BAT5" s="62"/>
      <c r="BAU5" s="237">
        <v>218000</v>
      </c>
      <c r="BAV5" s="238"/>
      <c r="BAW5" s="63" t="s">
        <v>54</v>
      </c>
      <c r="BAX5" s="62"/>
      <c r="BAY5" s="62"/>
      <c r="BAZ5" s="237">
        <v>130800</v>
      </c>
      <c r="BBA5" s="238"/>
      <c r="BBB5" s="63" t="s">
        <v>54</v>
      </c>
      <c r="BBC5" s="62"/>
      <c r="BBD5" s="62"/>
      <c r="BBE5" s="237">
        <v>130800</v>
      </c>
      <c r="BBF5" s="238"/>
      <c r="BBG5" s="63" t="s">
        <v>54</v>
      </c>
      <c r="BBH5" s="62"/>
      <c r="BBI5" s="62"/>
      <c r="BBJ5" s="237">
        <v>109000</v>
      </c>
      <c r="BBK5" s="238"/>
      <c r="BBL5" s="63" t="s">
        <v>54</v>
      </c>
      <c r="BBM5" s="62"/>
      <c r="BBN5" s="62"/>
      <c r="BBO5" s="237">
        <v>98100</v>
      </c>
      <c r="BBP5" s="238"/>
      <c r="BBQ5" s="63" t="s">
        <v>54</v>
      </c>
      <c r="BBR5" s="62"/>
      <c r="BBS5" s="62"/>
      <c r="BBT5" s="237">
        <v>0</v>
      </c>
      <c r="BBU5" s="238"/>
      <c r="BBV5" s="63" t="s">
        <v>54</v>
      </c>
      <c r="BBW5" s="62"/>
      <c r="BBX5" s="62"/>
      <c r="BBY5" s="237">
        <v>65400</v>
      </c>
      <c r="BBZ5" s="238"/>
      <c r="BCA5" s="63" t="s">
        <v>54</v>
      </c>
      <c r="BCB5" s="62"/>
      <c r="BCC5" s="62"/>
      <c r="BCD5" s="237">
        <v>98100</v>
      </c>
      <c r="BCE5" s="238"/>
      <c r="BCF5" s="63" t="s">
        <v>54</v>
      </c>
      <c r="BCG5" s="62"/>
      <c r="BCH5" s="62"/>
      <c r="BCI5" s="237">
        <v>32700</v>
      </c>
      <c r="BCJ5" s="238"/>
      <c r="BCK5" s="63" t="s">
        <v>54</v>
      </c>
      <c r="BCL5" s="62"/>
      <c r="BCM5" s="62"/>
      <c r="BCN5" s="237">
        <v>38150</v>
      </c>
      <c r="BCO5" s="238"/>
      <c r="BCP5" s="63" t="s">
        <v>54</v>
      </c>
      <c r="BCQ5" s="62"/>
      <c r="BCR5" s="62"/>
      <c r="BCS5" s="237">
        <v>98100</v>
      </c>
      <c r="BCT5" s="238"/>
      <c r="BCU5" s="63" t="s">
        <v>54</v>
      </c>
      <c r="BCV5" s="62"/>
      <c r="BCW5" s="62"/>
      <c r="BCX5" s="237">
        <v>98100</v>
      </c>
      <c r="BCY5" s="238"/>
      <c r="BCZ5" s="63" t="s">
        <v>54</v>
      </c>
      <c r="BDA5" s="62"/>
      <c r="BDB5" s="62"/>
      <c r="BDC5" s="237">
        <v>16350</v>
      </c>
      <c r="BDD5" s="238"/>
      <c r="BDE5" s="63" t="s">
        <v>54</v>
      </c>
      <c r="BDF5" s="62"/>
      <c r="BDG5" s="62"/>
      <c r="BDH5" s="237">
        <v>43600</v>
      </c>
      <c r="BDI5" s="238"/>
      <c r="BDJ5" s="63" t="s">
        <v>54</v>
      </c>
      <c r="BDK5" s="62"/>
      <c r="BDL5" s="62"/>
      <c r="BDM5" s="237">
        <v>27250</v>
      </c>
      <c r="BDN5" s="238"/>
      <c r="BDO5" s="63" t="s">
        <v>54</v>
      </c>
      <c r="BDP5" s="62"/>
      <c r="BDQ5" s="62"/>
      <c r="BDR5" s="237">
        <v>43600</v>
      </c>
      <c r="BDS5" s="238"/>
      <c r="BDT5" s="63" t="s">
        <v>54</v>
      </c>
      <c r="BDU5" s="62"/>
      <c r="BDV5" s="62"/>
      <c r="BDW5" s="237">
        <v>59950</v>
      </c>
      <c r="BDX5" s="238"/>
      <c r="BDY5" s="63" t="s">
        <v>54</v>
      </c>
      <c r="BDZ5" s="62"/>
      <c r="BEA5" s="62"/>
      <c r="BEB5" s="237">
        <v>87200</v>
      </c>
      <c r="BEC5" s="238"/>
      <c r="BED5" s="63" t="s">
        <v>54</v>
      </c>
      <c r="BEE5" s="62"/>
      <c r="BEF5" s="62"/>
      <c r="BEG5" s="237">
        <v>65400</v>
      </c>
      <c r="BEH5" s="238"/>
      <c r="BEI5" s="63" t="s">
        <v>54</v>
      </c>
      <c r="BEJ5" s="62"/>
      <c r="BEK5" s="62"/>
      <c r="BEL5" s="237">
        <v>43600</v>
      </c>
      <c r="BEM5" s="238"/>
      <c r="BEN5" s="63" t="s">
        <v>54</v>
      </c>
      <c r="BEO5" s="62"/>
      <c r="BEP5" s="62"/>
      <c r="BEQ5" s="237">
        <v>32700</v>
      </c>
      <c r="BER5" s="238"/>
      <c r="BES5" s="63" t="s">
        <v>54</v>
      </c>
      <c r="BET5" s="62"/>
      <c r="BEU5" s="62"/>
      <c r="BEV5" s="237">
        <v>43600</v>
      </c>
      <c r="BEW5" s="238"/>
      <c r="BEX5" s="63" t="s">
        <v>54</v>
      </c>
      <c r="BEY5" s="62"/>
      <c r="BEZ5" s="62"/>
      <c r="BFA5" s="237">
        <v>119900</v>
      </c>
      <c r="BFB5" s="238"/>
      <c r="BFC5" s="63" t="s">
        <v>54</v>
      </c>
      <c r="BFD5" s="62"/>
      <c r="BFE5" s="62"/>
      <c r="BFF5" s="237">
        <v>76300</v>
      </c>
      <c r="BFG5" s="238"/>
      <c r="BFH5" s="63" t="s">
        <v>54</v>
      </c>
      <c r="BFI5" s="62"/>
      <c r="BFJ5" s="62"/>
      <c r="BFK5" s="237">
        <v>59950</v>
      </c>
      <c r="BFL5" s="238"/>
      <c r="BFM5" s="63" t="s">
        <v>54</v>
      </c>
      <c r="BFN5" s="62"/>
      <c r="BFO5" s="62"/>
      <c r="BFP5" s="237">
        <v>70850</v>
      </c>
      <c r="BFQ5" s="238"/>
      <c r="BFR5" s="63" t="s">
        <v>54</v>
      </c>
      <c r="BFS5" s="62"/>
      <c r="BFT5" s="62"/>
      <c r="BFU5" s="237">
        <v>38150</v>
      </c>
      <c r="BFV5" s="238"/>
      <c r="BFW5" s="63" t="s">
        <v>54</v>
      </c>
      <c r="BFX5" s="62"/>
      <c r="BFY5" s="62"/>
      <c r="BFZ5" s="237">
        <v>21800</v>
      </c>
      <c r="BGA5" s="238"/>
      <c r="BGB5" s="63" t="s">
        <v>54</v>
      </c>
      <c r="BGC5" s="62"/>
      <c r="BGD5" s="62"/>
      <c r="BGE5" s="237">
        <v>29975</v>
      </c>
      <c r="BGF5" s="238"/>
      <c r="BGG5" s="63" t="s">
        <v>54</v>
      </c>
      <c r="BGH5" s="62"/>
      <c r="BGI5" s="62"/>
      <c r="BGJ5" s="237">
        <v>87200</v>
      </c>
      <c r="BGK5" s="238"/>
      <c r="BGL5" s="63" t="s">
        <v>54</v>
      </c>
      <c r="BGM5" s="62"/>
      <c r="BGN5" s="62"/>
      <c r="BGO5" s="237">
        <v>87200</v>
      </c>
      <c r="BGP5" s="238"/>
      <c r="BGQ5" s="63" t="s">
        <v>54</v>
      </c>
      <c r="BGR5" s="62"/>
      <c r="BGS5" s="62"/>
      <c r="BGT5" s="237">
        <v>59950</v>
      </c>
      <c r="BGU5" s="238"/>
      <c r="BGV5" s="63" t="s">
        <v>54</v>
      </c>
      <c r="BGW5" s="62"/>
      <c r="BGX5" s="62"/>
      <c r="BGY5" s="237">
        <v>43600</v>
      </c>
      <c r="BGZ5" s="238"/>
      <c r="BHA5" s="63" t="s">
        <v>54</v>
      </c>
      <c r="BHB5" s="62"/>
      <c r="BHC5" s="62"/>
      <c r="BHD5" s="237">
        <v>32700</v>
      </c>
      <c r="BHE5" s="238"/>
      <c r="BHF5" s="63" t="s">
        <v>54</v>
      </c>
      <c r="BHG5" s="62"/>
      <c r="BHH5" s="62"/>
      <c r="BHI5" s="237">
        <v>43600</v>
      </c>
      <c r="BHJ5" s="238"/>
      <c r="BHK5" s="63" t="s">
        <v>54</v>
      </c>
      <c r="BHL5" s="62"/>
      <c r="BHM5" s="62"/>
      <c r="BHN5" s="237">
        <v>92650</v>
      </c>
      <c r="BHO5" s="238"/>
      <c r="BHP5" s="63" t="s">
        <v>54</v>
      </c>
      <c r="BHQ5" s="62"/>
      <c r="BHR5" s="62"/>
      <c r="BHS5" s="237">
        <v>103550</v>
      </c>
      <c r="BHT5" s="238"/>
      <c r="BHU5" s="63" t="s">
        <v>54</v>
      </c>
      <c r="BHV5" s="62"/>
      <c r="BHW5" s="62"/>
      <c r="BHX5" s="237">
        <v>92650</v>
      </c>
      <c r="BHY5" s="238"/>
      <c r="BHZ5" s="63" t="s">
        <v>54</v>
      </c>
      <c r="BIA5" s="62"/>
      <c r="BIB5" s="62"/>
      <c r="BIC5" s="237">
        <v>109000</v>
      </c>
      <c r="BID5" s="238"/>
      <c r="BIE5" s="63" t="s">
        <v>54</v>
      </c>
      <c r="BIF5" s="62"/>
      <c r="BIG5" s="62"/>
      <c r="BIH5" s="237">
        <v>76300</v>
      </c>
      <c r="BII5" s="238"/>
      <c r="BIJ5" s="63" t="s">
        <v>54</v>
      </c>
      <c r="BIK5" s="62"/>
      <c r="BIL5" s="62"/>
      <c r="BIM5" s="237">
        <v>49050</v>
      </c>
      <c r="BIN5" s="238"/>
      <c r="BIO5" s="63" t="s">
        <v>54</v>
      </c>
      <c r="BIP5" s="62"/>
      <c r="BIQ5" s="62"/>
      <c r="BIR5" s="237">
        <v>70850</v>
      </c>
      <c r="BIS5" s="238"/>
      <c r="BIT5" s="63" t="s">
        <v>54</v>
      </c>
      <c r="BIU5" s="62"/>
      <c r="BIV5" s="62"/>
      <c r="BIW5" s="237">
        <v>70850</v>
      </c>
      <c r="BIX5" s="238"/>
      <c r="BIY5" s="63" t="s">
        <v>54</v>
      </c>
      <c r="BIZ5" s="62"/>
      <c r="BJA5" s="62"/>
      <c r="BJB5" s="237">
        <v>43600</v>
      </c>
      <c r="BJC5" s="238"/>
      <c r="BJD5" s="63" t="s">
        <v>54</v>
      </c>
      <c r="BJE5" s="62"/>
      <c r="BJF5" s="62"/>
      <c r="BJG5" s="237">
        <v>32700</v>
      </c>
      <c r="BJH5" s="238"/>
      <c r="BJI5" s="63" t="s">
        <v>54</v>
      </c>
      <c r="BJJ5" s="62"/>
      <c r="BJK5" s="62"/>
      <c r="BJL5" s="237">
        <v>32700</v>
      </c>
      <c r="BJM5" s="238"/>
      <c r="BJN5" s="63" t="s">
        <v>54</v>
      </c>
      <c r="BJO5" s="62"/>
      <c r="BJP5" s="62"/>
      <c r="BJQ5" s="237">
        <v>38150</v>
      </c>
      <c r="BJR5" s="238"/>
      <c r="BJS5" s="63" t="s">
        <v>54</v>
      </c>
      <c r="BJT5" s="62"/>
      <c r="BJU5" s="62"/>
      <c r="BJV5" s="237">
        <v>54500</v>
      </c>
      <c r="BJW5" s="238"/>
      <c r="BJX5" s="63" t="s">
        <v>54</v>
      </c>
      <c r="BJY5" s="62"/>
      <c r="BJZ5" s="62"/>
      <c r="BKA5" s="237">
        <v>54500</v>
      </c>
      <c r="BKB5" s="238"/>
      <c r="BKC5" s="63" t="s">
        <v>54</v>
      </c>
      <c r="BKD5" s="62"/>
      <c r="BKE5" s="62"/>
      <c r="BKF5" s="237">
        <v>27250</v>
      </c>
      <c r="BKG5" s="238"/>
      <c r="BKH5" s="63" t="s">
        <v>54</v>
      </c>
      <c r="BKI5" s="62"/>
      <c r="BKJ5" s="62"/>
      <c r="BKK5" s="237">
        <v>76300</v>
      </c>
      <c r="BKL5" s="238"/>
      <c r="BKM5" s="63" t="s">
        <v>54</v>
      </c>
      <c r="BKN5" s="62"/>
      <c r="BKO5" s="62"/>
      <c r="BKP5" s="237">
        <v>70850</v>
      </c>
      <c r="BKQ5" s="238"/>
      <c r="BKR5" s="63" t="s">
        <v>54</v>
      </c>
      <c r="BKS5" s="62"/>
      <c r="BKT5" s="62"/>
      <c r="BKU5" s="237">
        <v>54500</v>
      </c>
      <c r="BKV5" s="238"/>
      <c r="BKW5" s="63" t="s">
        <v>54</v>
      </c>
      <c r="BKX5" s="62"/>
      <c r="BKY5" s="62"/>
      <c r="BKZ5" s="237">
        <v>32700</v>
      </c>
      <c r="BLA5" s="238"/>
      <c r="BLB5" s="63" t="s">
        <v>54</v>
      </c>
      <c r="BLC5" s="62"/>
      <c r="BLD5" s="62"/>
      <c r="BLE5" s="237">
        <v>87200</v>
      </c>
      <c r="BLF5" s="238"/>
      <c r="BLG5" s="63" t="s">
        <v>54</v>
      </c>
      <c r="BLH5" s="62"/>
      <c r="BLI5" s="62"/>
      <c r="BLJ5" s="237">
        <v>76300</v>
      </c>
      <c r="BLK5" s="238"/>
      <c r="BLL5" s="63" t="s">
        <v>54</v>
      </c>
      <c r="BLM5" s="62"/>
      <c r="BLN5" s="62"/>
      <c r="BLO5" s="237">
        <v>119900</v>
      </c>
      <c r="BLP5" s="238"/>
      <c r="BLQ5" s="63" t="s">
        <v>54</v>
      </c>
      <c r="BLR5" s="62"/>
      <c r="BLS5" s="62"/>
      <c r="BLT5" s="237">
        <v>61039.999999999993</v>
      </c>
      <c r="BLU5" s="238"/>
      <c r="BLV5" s="63" t="s">
        <v>54</v>
      </c>
      <c r="BLW5" s="62"/>
      <c r="BLX5" s="62"/>
      <c r="BLY5" s="237">
        <v>16350</v>
      </c>
      <c r="BLZ5" s="238"/>
      <c r="BMA5" s="63" t="s">
        <v>54</v>
      </c>
      <c r="BMB5" s="62"/>
      <c r="BMC5" s="62"/>
      <c r="BMD5" s="237">
        <v>103550</v>
      </c>
      <c r="BME5" s="238"/>
      <c r="BMF5" s="63" t="s">
        <v>54</v>
      </c>
      <c r="BMG5" s="62"/>
      <c r="BMH5" s="62"/>
      <c r="BMI5" s="237">
        <v>103550</v>
      </c>
      <c r="BMJ5" s="238"/>
      <c r="BMK5" s="63" t="s">
        <v>54</v>
      </c>
      <c r="BML5" s="62"/>
      <c r="BMM5" s="62"/>
      <c r="BMN5" s="237">
        <v>87200</v>
      </c>
      <c r="BMO5" s="238"/>
      <c r="BMP5" s="63" t="s">
        <v>54</v>
      </c>
      <c r="BMQ5" s="62"/>
      <c r="BMR5" s="62"/>
      <c r="BMS5" s="237">
        <v>43600</v>
      </c>
      <c r="BMT5" s="238"/>
      <c r="BMU5" s="63" t="s">
        <v>54</v>
      </c>
      <c r="BMV5" s="62"/>
      <c r="BMW5" s="62"/>
      <c r="BMX5" s="237">
        <v>92650</v>
      </c>
      <c r="BMY5" s="238"/>
      <c r="BMZ5" s="63" t="s">
        <v>54</v>
      </c>
      <c r="BNA5" s="62"/>
      <c r="BNB5" s="62"/>
      <c r="BNC5" s="237">
        <v>76300</v>
      </c>
      <c r="BND5" s="238"/>
      <c r="BNE5" s="63" t="s">
        <v>54</v>
      </c>
      <c r="BNF5" s="62"/>
      <c r="BNG5" s="62"/>
      <c r="BNH5" s="237">
        <v>59950</v>
      </c>
      <c r="BNI5" s="238"/>
      <c r="BNJ5" s="63" t="s">
        <v>54</v>
      </c>
      <c r="BNK5" s="62"/>
      <c r="BNL5" s="62"/>
      <c r="BNM5" s="237">
        <v>43600</v>
      </c>
      <c r="BNN5" s="238"/>
      <c r="BNO5" s="63" t="s">
        <v>54</v>
      </c>
      <c r="BNP5" s="62"/>
      <c r="BNQ5" s="62"/>
      <c r="BNR5" s="237">
        <v>70850</v>
      </c>
      <c r="BNS5" s="238"/>
      <c r="BNT5" s="63" t="s">
        <v>54</v>
      </c>
      <c r="BNU5" s="62"/>
      <c r="BNV5" s="62"/>
      <c r="BNW5" s="237">
        <v>54500</v>
      </c>
      <c r="BNX5" s="238"/>
      <c r="BNY5" s="63" t="s">
        <v>54</v>
      </c>
      <c r="BNZ5" s="62"/>
      <c r="BOA5" s="62"/>
      <c r="BOB5" s="237">
        <v>21800</v>
      </c>
      <c r="BOC5" s="238"/>
      <c r="BOD5" s="63" t="s">
        <v>54</v>
      </c>
      <c r="BOE5" s="62"/>
      <c r="BOF5" s="62"/>
      <c r="BOG5" s="237">
        <v>87200</v>
      </c>
      <c r="BOH5" s="238"/>
      <c r="BOI5" s="63" t="s">
        <v>54</v>
      </c>
      <c r="BOJ5" s="62"/>
      <c r="BOK5" s="62"/>
      <c r="BOL5" s="237">
        <v>54500</v>
      </c>
      <c r="BOM5" s="238"/>
      <c r="BON5" s="63" t="s">
        <v>54</v>
      </c>
      <c r="BOO5" s="62"/>
      <c r="BOP5" s="62"/>
      <c r="BOQ5" s="237">
        <v>59950</v>
      </c>
      <c r="BOR5" s="238"/>
      <c r="BOS5" s="63" t="s">
        <v>54</v>
      </c>
      <c r="BOT5" s="62"/>
      <c r="BOU5" s="62"/>
      <c r="BOV5" s="237">
        <v>43600</v>
      </c>
      <c r="BOW5" s="238"/>
      <c r="BOX5" s="63" t="s">
        <v>54</v>
      </c>
      <c r="BOY5" s="62"/>
      <c r="BOZ5" s="62"/>
      <c r="BPA5" s="237">
        <v>21800</v>
      </c>
      <c r="BPB5" s="238"/>
      <c r="BPC5" s="63" t="s">
        <v>54</v>
      </c>
      <c r="BPD5" s="62"/>
      <c r="BPE5" s="62"/>
      <c r="BPF5" s="237">
        <v>70850</v>
      </c>
      <c r="BPG5" s="238"/>
      <c r="BPH5" s="63" t="s">
        <v>54</v>
      </c>
      <c r="BPI5" s="62"/>
      <c r="BPJ5" s="62"/>
      <c r="BPK5" s="237">
        <v>70850</v>
      </c>
      <c r="BPL5" s="238"/>
      <c r="BPM5" s="63" t="s">
        <v>54</v>
      </c>
      <c r="BPN5" s="62"/>
      <c r="BPO5" s="62"/>
      <c r="BPP5" s="237">
        <v>59950</v>
      </c>
      <c r="BPQ5" s="238"/>
      <c r="BPR5" s="63" t="s">
        <v>54</v>
      </c>
      <c r="BPS5" s="62"/>
      <c r="BPT5" s="62"/>
      <c r="BPU5" s="237">
        <v>65400</v>
      </c>
      <c r="BPV5" s="238"/>
      <c r="BPW5" s="63" t="s">
        <v>54</v>
      </c>
      <c r="BPX5" s="62"/>
      <c r="BPY5" s="62"/>
      <c r="BPZ5" s="237">
        <v>65400</v>
      </c>
      <c r="BQA5" s="238"/>
      <c r="BQB5" s="63" t="s">
        <v>54</v>
      </c>
      <c r="BQC5" s="62"/>
      <c r="BQD5" s="62"/>
      <c r="BQE5" s="237">
        <v>38150</v>
      </c>
      <c r="BQF5" s="238"/>
      <c r="BQG5" s="63" t="s">
        <v>54</v>
      </c>
      <c r="BQH5" s="62"/>
      <c r="BQI5" s="62"/>
      <c r="BQJ5" s="237">
        <v>21800</v>
      </c>
      <c r="BQK5" s="238"/>
      <c r="BQL5" s="63" t="s">
        <v>54</v>
      </c>
      <c r="BQM5" s="62"/>
      <c r="BQN5" s="62"/>
      <c r="BQO5" s="237">
        <v>59950</v>
      </c>
      <c r="BQP5" s="238"/>
      <c r="BQQ5" s="63" t="s">
        <v>54</v>
      </c>
      <c r="BQR5" s="62"/>
      <c r="BQS5" s="62"/>
      <c r="BQT5" s="237">
        <v>76300</v>
      </c>
      <c r="BQU5" s="238"/>
      <c r="BQV5" s="63" t="s">
        <v>54</v>
      </c>
      <c r="BQW5" s="62"/>
      <c r="BQX5" s="62"/>
      <c r="BQY5" s="237">
        <v>76300</v>
      </c>
      <c r="BQZ5" s="238"/>
      <c r="BRA5" s="63" t="s">
        <v>54</v>
      </c>
      <c r="BRB5" s="62"/>
      <c r="BRC5" s="62"/>
      <c r="BRD5" s="237">
        <v>43600</v>
      </c>
      <c r="BRE5" s="238"/>
      <c r="BRF5" s="63" t="s">
        <v>54</v>
      </c>
      <c r="BRG5" s="62"/>
      <c r="BRH5" s="62"/>
      <c r="BRI5" s="237">
        <v>70850</v>
      </c>
      <c r="BRJ5" s="238"/>
      <c r="BRK5" s="63" t="s">
        <v>54</v>
      </c>
      <c r="BRL5" s="62"/>
      <c r="BRM5" s="62"/>
      <c r="BRN5" s="237">
        <v>32700</v>
      </c>
      <c r="BRO5" s="238"/>
      <c r="BRP5" s="63" t="s">
        <v>54</v>
      </c>
      <c r="BRQ5" s="62"/>
      <c r="BRR5" s="62"/>
      <c r="BRS5" s="237">
        <v>16350</v>
      </c>
      <c r="BRT5" s="238"/>
      <c r="BRU5" s="63" t="s">
        <v>54</v>
      </c>
      <c r="BRV5" s="62"/>
      <c r="BRW5" s="62"/>
      <c r="BRX5" s="237">
        <v>76300</v>
      </c>
      <c r="BRY5" s="238"/>
      <c r="BRZ5" s="63" t="s">
        <v>54</v>
      </c>
      <c r="BSA5" s="62"/>
      <c r="BSB5" s="62"/>
      <c r="BSC5" s="237">
        <v>59950</v>
      </c>
      <c r="BSD5" s="238"/>
      <c r="BSE5" s="63" t="s">
        <v>54</v>
      </c>
      <c r="BSF5" s="62"/>
      <c r="BSG5" s="62"/>
      <c r="BSH5" s="237">
        <v>59950</v>
      </c>
      <c r="BSI5" s="238"/>
      <c r="BSJ5" s="63" t="s">
        <v>54</v>
      </c>
      <c r="BSK5" s="62"/>
      <c r="BSL5" s="62"/>
      <c r="BSM5" s="237">
        <v>81750</v>
      </c>
      <c r="BSN5" s="238"/>
      <c r="BSO5" s="63" t="s">
        <v>54</v>
      </c>
      <c r="BSP5" s="62"/>
      <c r="BSQ5" s="62"/>
      <c r="BSR5" s="237">
        <v>70850</v>
      </c>
      <c r="BSS5" s="238"/>
      <c r="BST5" s="63" t="s">
        <v>54</v>
      </c>
      <c r="BSU5" s="62"/>
      <c r="BSV5" s="62"/>
      <c r="BSW5" s="237">
        <v>43600</v>
      </c>
      <c r="BSX5" s="238"/>
      <c r="BSY5" s="63" t="s">
        <v>54</v>
      </c>
      <c r="BSZ5" s="62"/>
      <c r="BTA5" s="62"/>
      <c r="BTB5" s="237">
        <v>21800</v>
      </c>
      <c r="BTC5" s="238"/>
      <c r="BTD5" s="63" t="s">
        <v>54</v>
      </c>
      <c r="BTE5" s="62"/>
      <c r="BTF5" s="62"/>
      <c r="BTG5" s="237">
        <v>49050</v>
      </c>
      <c r="BTH5" s="238"/>
      <c r="BTI5" s="63" t="s">
        <v>54</v>
      </c>
      <c r="BTJ5" s="62"/>
      <c r="BTK5" s="62"/>
      <c r="BTL5" s="237">
        <v>70850</v>
      </c>
      <c r="BTM5" s="238"/>
      <c r="BTN5" s="63" t="s">
        <v>54</v>
      </c>
      <c r="BTO5" s="62"/>
      <c r="BTP5" s="62"/>
      <c r="BTQ5" s="237">
        <v>70850</v>
      </c>
      <c r="BTR5" s="238"/>
      <c r="BTS5" s="63" t="s">
        <v>54</v>
      </c>
      <c r="BTT5" s="62"/>
      <c r="BTU5" s="62"/>
      <c r="BTV5" s="237">
        <v>65400</v>
      </c>
      <c r="BTW5" s="238"/>
      <c r="BTX5" s="63" t="s">
        <v>54</v>
      </c>
      <c r="BTY5" s="62"/>
      <c r="BTZ5" s="62"/>
      <c r="BUA5" s="237">
        <v>32700</v>
      </c>
      <c r="BUB5" s="238"/>
      <c r="BUC5" s="63" t="s">
        <v>54</v>
      </c>
      <c r="BUD5" s="62"/>
      <c r="BUE5" s="62"/>
      <c r="BUF5" s="237">
        <v>32700</v>
      </c>
      <c r="BUG5" s="238"/>
      <c r="BUH5" s="63" t="s">
        <v>54</v>
      </c>
      <c r="BUI5" s="62"/>
      <c r="BUJ5" s="62"/>
      <c r="BUK5" s="237">
        <v>70850</v>
      </c>
      <c r="BUL5" s="238"/>
      <c r="BUM5" s="63" t="s">
        <v>54</v>
      </c>
      <c r="BUN5" s="62"/>
      <c r="BUO5" s="62"/>
      <c r="BUP5" s="237">
        <v>32700</v>
      </c>
      <c r="BUQ5" s="238"/>
      <c r="BUR5" s="63" t="s">
        <v>54</v>
      </c>
      <c r="BUS5" s="62"/>
      <c r="BUT5" s="62"/>
      <c r="BUU5" s="237">
        <v>21800</v>
      </c>
      <c r="BUV5" s="238"/>
      <c r="BUW5" s="63" t="s">
        <v>54</v>
      </c>
      <c r="BUX5" s="62"/>
      <c r="BUY5" s="62"/>
      <c r="BUZ5" s="237">
        <v>76300</v>
      </c>
      <c r="BVA5" s="238"/>
      <c r="BVB5" s="63" t="s">
        <v>54</v>
      </c>
      <c r="BVC5" s="62"/>
      <c r="BVD5" s="62"/>
      <c r="BVE5" s="237">
        <v>87200</v>
      </c>
      <c r="BVF5" s="238"/>
      <c r="BVG5" s="63" t="s">
        <v>54</v>
      </c>
      <c r="BVH5" s="62"/>
      <c r="BVI5" s="62"/>
      <c r="BVJ5" s="237">
        <v>0</v>
      </c>
      <c r="BVK5" s="238"/>
      <c r="BVL5" s="63" t="s">
        <v>54</v>
      </c>
      <c r="BVM5" s="62"/>
      <c r="BVN5" s="62"/>
      <c r="BVO5" s="237">
        <v>59950</v>
      </c>
      <c r="BVP5" s="238"/>
      <c r="BVQ5" s="63" t="s">
        <v>54</v>
      </c>
      <c r="BVR5" s="62"/>
      <c r="BVS5" s="62"/>
      <c r="BVT5" s="237">
        <v>54500</v>
      </c>
      <c r="BVU5" s="238"/>
      <c r="BVV5" s="63" t="s">
        <v>54</v>
      </c>
      <c r="BVW5" s="62"/>
      <c r="BVX5" s="62"/>
      <c r="BVY5" s="237">
        <v>43600</v>
      </c>
      <c r="BVZ5" s="238"/>
      <c r="BWA5" s="63" t="s">
        <v>54</v>
      </c>
      <c r="BWB5" s="62"/>
      <c r="BWC5" s="62"/>
      <c r="BWD5" s="237">
        <v>32700</v>
      </c>
      <c r="BWE5" s="238"/>
      <c r="BWF5" s="63" t="s">
        <v>54</v>
      </c>
      <c r="BWG5" s="62"/>
      <c r="BWH5" s="62"/>
      <c r="BWI5" s="237">
        <v>54500</v>
      </c>
      <c r="BWJ5" s="238"/>
      <c r="BWK5" s="63" t="s">
        <v>54</v>
      </c>
      <c r="BWL5" s="62"/>
      <c r="BWM5" s="62"/>
      <c r="BWN5" s="237">
        <v>70850</v>
      </c>
      <c r="BWO5" s="238"/>
      <c r="BWP5" s="63" t="s">
        <v>54</v>
      </c>
      <c r="BWQ5" s="62"/>
      <c r="BWR5" s="62"/>
      <c r="BWS5" s="237">
        <v>70850</v>
      </c>
      <c r="BWT5" s="238"/>
      <c r="BWU5" s="63" t="s">
        <v>54</v>
      </c>
      <c r="BWV5" s="62"/>
      <c r="BWW5" s="62"/>
      <c r="BWX5" s="237">
        <v>70850</v>
      </c>
      <c r="BWY5" s="238"/>
      <c r="BWZ5" s="63" t="s">
        <v>54</v>
      </c>
      <c r="BXA5" s="62"/>
      <c r="BXB5" s="62"/>
      <c r="BXC5" s="237">
        <v>49050</v>
      </c>
      <c r="BXD5" s="238"/>
      <c r="BXE5" s="63" t="s">
        <v>54</v>
      </c>
      <c r="BXF5" s="62"/>
      <c r="BXG5" s="62"/>
      <c r="BXH5" s="237">
        <v>21800</v>
      </c>
      <c r="BXI5" s="238"/>
      <c r="BXJ5" s="63" t="s">
        <v>54</v>
      </c>
      <c r="BXK5" s="62"/>
      <c r="BXL5" s="62"/>
      <c r="BXM5" s="237">
        <v>10900</v>
      </c>
      <c r="BXN5" s="238"/>
      <c r="BXO5" s="63" t="s">
        <v>54</v>
      </c>
      <c r="BXP5" s="62"/>
      <c r="BXQ5" s="62"/>
      <c r="BXR5" s="237">
        <v>38150</v>
      </c>
      <c r="BXS5" s="238"/>
      <c r="BXT5" s="63" t="s">
        <v>54</v>
      </c>
      <c r="BXU5" s="62"/>
      <c r="BXV5" s="62"/>
      <c r="BXW5" s="237">
        <v>0</v>
      </c>
      <c r="BXX5" s="238"/>
      <c r="BXY5" s="63" t="s">
        <v>54</v>
      </c>
      <c r="BXZ5" s="62"/>
      <c r="BYA5" s="62"/>
      <c r="BYB5" s="237">
        <v>76300</v>
      </c>
      <c r="BYC5" s="238"/>
      <c r="BYD5" s="63" t="s">
        <v>54</v>
      </c>
      <c r="BYE5" s="62"/>
      <c r="BYF5" s="62"/>
      <c r="BYG5" s="237">
        <v>76300</v>
      </c>
      <c r="BYH5" s="238"/>
      <c r="BYI5" s="63" t="s">
        <v>54</v>
      </c>
      <c r="BYJ5" s="62"/>
      <c r="BYK5" s="62"/>
      <c r="BYL5" s="237">
        <v>65400</v>
      </c>
      <c r="BYM5" s="238"/>
      <c r="BYN5" s="63" t="s">
        <v>54</v>
      </c>
      <c r="BYO5" s="62"/>
      <c r="BYP5" s="62"/>
      <c r="BYQ5" s="237">
        <v>65400</v>
      </c>
      <c r="BYR5" s="238"/>
      <c r="BYS5" s="63" t="s">
        <v>54</v>
      </c>
      <c r="BYT5" s="62"/>
      <c r="BYU5" s="62"/>
      <c r="BYV5" s="237">
        <v>59950</v>
      </c>
      <c r="BYW5" s="238"/>
      <c r="BYX5" s="63" t="s">
        <v>54</v>
      </c>
      <c r="BYY5" s="62"/>
      <c r="BYZ5" s="62"/>
      <c r="BZA5" s="237">
        <v>54500</v>
      </c>
      <c r="BZB5" s="238"/>
      <c r="BZC5" s="63" t="s">
        <v>54</v>
      </c>
      <c r="BZD5" s="62"/>
      <c r="BZE5" s="62"/>
      <c r="BZF5" s="237">
        <v>32700</v>
      </c>
      <c r="BZG5" s="238"/>
      <c r="BZH5" s="63" t="s">
        <v>54</v>
      </c>
      <c r="BZI5" s="62"/>
      <c r="BZJ5" s="62"/>
      <c r="BZK5" s="237">
        <v>10900</v>
      </c>
      <c r="BZL5" s="238"/>
      <c r="BZM5" s="63" t="s">
        <v>54</v>
      </c>
      <c r="BZN5" s="62"/>
      <c r="BZO5" s="62"/>
      <c r="BZP5" s="237">
        <v>114450</v>
      </c>
      <c r="BZQ5" s="238"/>
      <c r="BZR5" s="63" t="s">
        <v>54</v>
      </c>
      <c r="BZS5" s="62"/>
      <c r="BZT5" s="62"/>
      <c r="BZU5" s="237">
        <v>92650</v>
      </c>
      <c r="BZV5" s="238"/>
      <c r="BZW5" s="63" t="s">
        <v>54</v>
      </c>
      <c r="BZX5" s="62"/>
      <c r="BZY5" s="62"/>
      <c r="BZZ5" s="237">
        <v>70850</v>
      </c>
      <c r="CAA5" s="238"/>
      <c r="CAB5" s="63" t="s">
        <v>54</v>
      </c>
      <c r="CAC5" s="62"/>
      <c r="CAD5" s="62"/>
      <c r="CAE5" s="237">
        <v>81750</v>
      </c>
      <c r="CAF5" s="238"/>
      <c r="CAG5" s="63" t="s">
        <v>54</v>
      </c>
      <c r="CAH5" s="62"/>
      <c r="CAI5" s="62"/>
      <c r="CAJ5" s="237">
        <v>43600</v>
      </c>
      <c r="CAK5" s="238"/>
      <c r="CAL5" s="63" t="s">
        <v>54</v>
      </c>
      <c r="CAM5" s="62"/>
      <c r="CAN5" s="62"/>
      <c r="CAO5" s="237">
        <v>109000</v>
      </c>
      <c r="CAP5" s="238"/>
      <c r="CAQ5" s="63" t="s">
        <v>54</v>
      </c>
      <c r="CAR5" s="62"/>
      <c r="CAS5" s="62"/>
      <c r="CAT5" s="237">
        <v>81750</v>
      </c>
      <c r="CAU5" s="238"/>
      <c r="CAV5" s="63" t="s">
        <v>54</v>
      </c>
      <c r="CAW5" s="62"/>
      <c r="CAX5" s="62"/>
      <c r="CAY5" s="237">
        <v>76300</v>
      </c>
      <c r="CAZ5" s="238"/>
      <c r="CBA5" s="63" t="s">
        <v>54</v>
      </c>
      <c r="CBB5" s="62"/>
      <c r="CBC5" s="62"/>
      <c r="CBD5" s="237">
        <v>76300</v>
      </c>
      <c r="CBE5" s="238"/>
      <c r="CBF5" s="63" t="s">
        <v>54</v>
      </c>
      <c r="CBG5" s="62"/>
      <c r="CBH5" s="62"/>
      <c r="CBI5" s="237">
        <v>54500</v>
      </c>
      <c r="CBJ5" s="238"/>
      <c r="CBK5" s="63" t="s">
        <v>54</v>
      </c>
      <c r="CBL5" s="62"/>
      <c r="CBM5" s="62"/>
      <c r="CBN5" s="237">
        <v>43600</v>
      </c>
      <c r="CBO5" s="238"/>
      <c r="CBP5" s="63" t="s">
        <v>54</v>
      </c>
      <c r="CBQ5" s="62"/>
      <c r="CBR5" s="62"/>
      <c r="CBS5" s="237">
        <v>10900</v>
      </c>
      <c r="CBT5" s="238"/>
      <c r="CBU5" s="63" t="s">
        <v>54</v>
      </c>
      <c r="CBV5" s="62"/>
      <c r="CBW5" s="62"/>
      <c r="CBX5" s="237">
        <v>98100</v>
      </c>
      <c r="CBY5" s="238"/>
      <c r="CBZ5" s="63" t="s">
        <v>54</v>
      </c>
      <c r="CCA5" s="62"/>
      <c r="CCB5" s="62"/>
      <c r="CCC5" s="237">
        <v>98100</v>
      </c>
      <c r="CCD5" s="238"/>
      <c r="CCE5" s="63" t="s">
        <v>54</v>
      </c>
      <c r="CCF5" s="62"/>
      <c r="CCG5" s="62"/>
      <c r="CCH5" s="237">
        <v>103550</v>
      </c>
      <c r="CCI5" s="238"/>
      <c r="CCJ5" s="63" t="s">
        <v>54</v>
      </c>
      <c r="CCK5" s="62"/>
      <c r="CCL5" s="62"/>
      <c r="CCM5" s="237">
        <v>65400</v>
      </c>
      <c r="CCN5" s="238"/>
      <c r="CCO5" s="63" t="s">
        <v>54</v>
      </c>
      <c r="CCP5" s="62"/>
      <c r="CCQ5" s="62"/>
      <c r="CCR5" s="237">
        <v>27250</v>
      </c>
      <c r="CCS5" s="238"/>
      <c r="CCT5" s="63" t="s">
        <v>54</v>
      </c>
      <c r="CCU5" s="62"/>
      <c r="CCV5" s="62"/>
      <c r="CCW5" s="237">
        <v>21800</v>
      </c>
      <c r="CCX5" s="238"/>
      <c r="CCY5" s="63" t="s">
        <v>54</v>
      </c>
      <c r="CCZ5" s="62"/>
      <c r="CDA5" s="62"/>
      <c r="CDB5" s="237">
        <v>103550</v>
      </c>
      <c r="CDC5" s="238"/>
      <c r="CDD5" s="63" t="s">
        <v>54</v>
      </c>
      <c r="CDE5" s="62"/>
      <c r="CDF5" s="62"/>
      <c r="CDG5" s="237">
        <v>87200</v>
      </c>
      <c r="CDH5" s="238"/>
      <c r="CDI5" s="63" t="s">
        <v>54</v>
      </c>
      <c r="CDJ5" s="62"/>
      <c r="CDK5" s="62"/>
      <c r="CDL5" s="237">
        <v>76300</v>
      </c>
      <c r="CDM5" s="238"/>
      <c r="CDN5" s="63" t="s">
        <v>54</v>
      </c>
      <c r="CDO5" s="62"/>
      <c r="CDP5" s="62"/>
      <c r="CDQ5" s="237">
        <v>65400</v>
      </c>
      <c r="CDR5" s="238"/>
      <c r="CDS5" s="63" t="s">
        <v>54</v>
      </c>
      <c r="CDT5" s="62"/>
      <c r="CDU5" s="62"/>
      <c r="CDV5" s="237">
        <v>43600</v>
      </c>
      <c r="CDW5" s="238"/>
      <c r="CDX5" s="63" t="s">
        <v>54</v>
      </c>
      <c r="CDY5" s="62"/>
      <c r="CDZ5" s="62"/>
      <c r="CEA5" s="237">
        <v>43600</v>
      </c>
      <c r="CEB5" s="238"/>
      <c r="CEC5" s="63" t="s">
        <v>54</v>
      </c>
      <c r="CED5" s="62"/>
      <c r="CEE5" s="62"/>
      <c r="CEF5" s="237">
        <v>54500</v>
      </c>
      <c r="CEG5" s="238"/>
      <c r="CEH5" s="63" t="s">
        <v>54</v>
      </c>
      <c r="CEI5" s="62"/>
      <c r="CEJ5" s="62"/>
      <c r="CEK5" s="237">
        <v>130800</v>
      </c>
      <c r="CEL5" s="238"/>
      <c r="CEM5" s="63" t="s">
        <v>54</v>
      </c>
      <c r="CEN5" s="62"/>
      <c r="CEO5" s="62"/>
      <c r="CEP5" s="237">
        <v>0</v>
      </c>
      <c r="CEQ5" s="238"/>
      <c r="CER5" s="63" t="s">
        <v>54</v>
      </c>
      <c r="CES5" s="62"/>
      <c r="CET5" s="62"/>
      <c r="CEU5" s="237">
        <v>119900</v>
      </c>
      <c r="CEV5" s="238"/>
      <c r="CEW5" s="63" t="s">
        <v>54</v>
      </c>
      <c r="CEX5" s="62"/>
      <c r="CEY5" s="62"/>
      <c r="CEZ5" s="237">
        <v>98100</v>
      </c>
      <c r="CFA5" s="238"/>
      <c r="CFB5" s="63" t="s">
        <v>54</v>
      </c>
      <c r="CFC5" s="62"/>
      <c r="CFD5" s="62"/>
      <c r="CFE5" s="237">
        <v>112633</v>
      </c>
      <c r="CFF5" s="238"/>
      <c r="CFG5" s="63" t="s">
        <v>54</v>
      </c>
      <c r="CFH5" s="62"/>
      <c r="CFI5" s="62"/>
      <c r="CFJ5" s="237">
        <v>76300</v>
      </c>
      <c r="CFK5" s="238"/>
      <c r="CFL5" s="63" t="s">
        <v>54</v>
      </c>
      <c r="CFM5" s="62"/>
      <c r="CFN5" s="62"/>
      <c r="CFO5" s="237">
        <v>32700</v>
      </c>
      <c r="CFP5" s="238"/>
      <c r="CFQ5" s="63" t="s">
        <v>54</v>
      </c>
      <c r="CFR5" s="62"/>
      <c r="CFS5" s="62"/>
      <c r="CFT5" s="237">
        <v>65400</v>
      </c>
      <c r="CFU5" s="238"/>
      <c r="CFV5" s="63" t="s">
        <v>54</v>
      </c>
      <c r="CFW5" s="62"/>
      <c r="CFX5" s="62"/>
      <c r="CFY5" s="237">
        <v>98100</v>
      </c>
      <c r="CFZ5" s="238"/>
      <c r="CGA5" s="63" t="s">
        <v>54</v>
      </c>
      <c r="CGB5" s="62"/>
      <c r="CGC5" s="62"/>
      <c r="CGD5" s="237">
        <v>32700</v>
      </c>
      <c r="CGE5" s="238"/>
      <c r="CGF5" s="63" t="s">
        <v>54</v>
      </c>
      <c r="CGG5" s="62"/>
      <c r="CGH5" s="62"/>
      <c r="CGI5" s="237">
        <v>38150</v>
      </c>
      <c r="CGJ5" s="238"/>
      <c r="CGK5" s="63" t="s">
        <v>54</v>
      </c>
      <c r="CGL5" s="62"/>
      <c r="CGM5" s="62"/>
      <c r="CGN5" s="237">
        <v>70850</v>
      </c>
      <c r="CGO5" s="238"/>
      <c r="CGP5" s="63" t="s">
        <v>54</v>
      </c>
      <c r="CGQ5" s="62"/>
      <c r="CGR5" s="62"/>
      <c r="CGS5" s="237">
        <v>21800</v>
      </c>
      <c r="CGT5" s="238"/>
      <c r="CGU5" s="63" t="s">
        <v>54</v>
      </c>
      <c r="CGV5" s="62"/>
      <c r="CGW5" s="62"/>
      <c r="CGX5" s="237">
        <v>43600</v>
      </c>
      <c r="CGY5" s="238"/>
      <c r="CGZ5" s="63" t="s">
        <v>54</v>
      </c>
      <c r="CHA5" s="62"/>
      <c r="CHB5" s="62"/>
      <c r="CHC5" s="237">
        <v>81750</v>
      </c>
      <c r="CHD5" s="238"/>
      <c r="CHE5" s="63" t="s">
        <v>54</v>
      </c>
      <c r="CHF5" s="62"/>
      <c r="CHG5" s="62"/>
      <c r="CHH5" s="237">
        <v>49050</v>
      </c>
      <c r="CHI5" s="238"/>
      <c r="CHJ5" s="63" t="s">
        <v>54</v>
      </c>
      <c r="CHK5" s="62"/>
      <c r="CHL5" s="62"/>
      <c r="CHM5" s="237">
        <v>98100</v>
      </c>
      <c r="CHN5" s="238"/>
      <c r="CHO5" s="63" t="s">
        <v>54</v>
      </c>
      <c r="CHP5" s="62"/>
      <c r="CHQ5" s="62"/>
      <c r="CHR5" s="237">
        <v>49050</v>
      </c>
      <c r="CHS5" s="238"/>
      <c r="CHT5" s="63" t="s">
        <v>54</v>
      </c>
      <c r="CHU5" s="62"/>
      <c r="CHV5" s="62"/>
      <c r="CHW5" s="237">
        <v>87200</v>
      </c>
      <c r="CHX5" s="238"/>
      <c r="CHY5" s="63" t="s">
        <v>54</v>
      </c>
      <c r="CHZ5" s="62"/>
      <c r="CIA5" s="62"/>
      <c r="CIB5" s="237">
        <v>163500</v>
      </c>
      <c r="CIC5" s="238"/>
      <c r="CID5" s="63" t="s">
        <v>54</v>
      </c>
      <c r="CIE5" s="62"/>
      <c r="CIF5" s="62"/>
      <c r="CIG5" s="237">
        <v>103550</v>
      </c>
      <c r="CIH5" s="238"/>
      <c r="CII5" s="63" t="s">
        <v>54</v>
      </c>
      <c r="CIJ5" s="62"/>
      <c r="CIK5" s="62"/>
      <c r="CIL5" s="237">
        <v>119900</v>
      </c>
      <c r="CIM5" s="238"/>
      <c r="CIN5" s="63" t="s">
        <v>54</v>
      </c>
      <c r="CIO5" s="62"/>
      <c r="CIP5" s="62"/>
      <c r="CIQ5" s="237">
        <v>152600</v>
      </c>
      <c r="CIR5" s="238"/>
      <c r="CIS5" s="63" t="s">
        <v>54</v>
      </c>
      <c r="CIT5" s="62"/>
      <c r="CIU5" s="62"/>
      <c r="CIV5" s="237">
        <v>76300</v>
      </c>
      <c r="CIW5" s="238"/>
      <c r="CIX5" s="63" t="s">
        <v>54</v>
      </c>
      <c r="CIY5" s="62"/>
      <c r="CIZ5" s="62"/>
      <c r="CJA5" s="237">
        <v>27250</v>
      </c>
      <c r="CJB5" s="238"/>
      <c r="CJC5" s="63" t="s">
        <v>54</v>
      </c>
      <c r="CJD5" s="62"/>
      <c r="CJE5" s="62"/>
      <c r="CJF5" s="237">
        <v>103550</v>
      </c>
      <c r="CJG5" s="238"/>
      <c r="CJH5" s="63" t="s">
        <v>54</v>
      </c>
      <c r="CJI5" s="62"/>
      <c r="CJJ5" s="62"/>
      <c r="CJK5" s="237">
        <v>119900</v>
      </c>
      <c r="CJL5" s="238"/>
      <c r="CJM5" s="63" t="s">
        <v>54</v>
      </c>
      <c r="CJN5" s="62"/>
      <c r="CJO5" s="62"/>
      <c r="CJP5" s="237">
        <v>109000</v>
      </c>
      <c r="CJQ5" s="238"/>
      <c r="CJR5" s="63" t="s">
        <v>54</v>
      </c>
      <c r="CJS5" s="62"/>
      <c r="CJT5" s="62"/>
      <c r="CJU5" s="237">
        <v>70850</v>
      </c>
      <c r="CJV5" s="238"/>
      <c r="CJW5" s="63" t="s">
        <v>54</v>
      </c>
      <c r="CJX5" s="62"/>
      <c r="CJY5" s="62"/>
      <c r="CJZ5" s="237">
        <v>54500</v>
      </c>
      <c r="CKA5" s="238"/>
      <c r="CKB5" s="63" t="s">
        <v>54</v>
      </c>
      <c r="CKC5" s="62"/>
      <c r="CKD5" s="62"/>
      <c r="CKE5" s="237">
        <v>38150</v>
      </c>
      <c r="CKF5" s="238"/>
      <c r="CKG5" s="63" t="s">
        <v>54</v>
      </c>
      <c r="CKH5" s="62"/>
      <c r="CKI5" s="62"/>
      <c r="CKJ5" s="237">
        <v>54500</v>
      </c>
      <c r="CKK5" s="238"/>
      <c r="CKL5" s="63" t="s">
        <v>54</v>
      </c>
      <c r="CKM5" s="62"/>
      <c r="CKN5" s="62"/>
      <c r="CKO5" s="237">
        <v>98100</v>
      </c>
      <c r="CKP5" s="238"/>
      <c r="CKQ5" s="63" t="s">
        <v>54</v>
      </c>
      <c r="CKR5" s="62"/>
      <c r="CKS5" s="62"/>
      <c r="CKT5" s="237">
        <v>119900</v>
      </c>
      <c r="CKU5" s="238"/>
      <c r="CKV5" s="63" t="s">
        <v>54</v>
      </c>
      <c r="CKW5" s="62"/>
      <c r="CKX5" s="62"/>
      <c r="CKY5" s="237">
        <v>119900</v>
      </c>
      <c r="CKZ5" s="238"/>
      <c r="CLA5" s="63" t="s">
        <v>54</v>
      </c>
      <c r="CLB5" s="62"/>
      <c r="CLC5" s="62"/>
      <c r="CLD5" s="237">
        <v>92650</v>
      </c>
      <c r="CLE5" s="238"/>
      <c r="CLF5" s="63" t="s">
        <v>54</v>
      </c>
      <c r="CLG5" s="62"/>
      <c r="CLH5" s="62"/>
      <c r="CLI5" s="237">
        <v>76300</v>
      </c>
      <c r="CLJ5" s="238"/>
      <c r="CLK5" s="63" t="s">
        <v>54</v>
      </c>
      <c r="CLL5" s="62"/>
      <c r="CLM5" s="62"/>
      <c r="CLN5" s="237">
        <v>16350</v>
      </c>
      <c r="CLO5" s="238"/>
      <c r="CLP5" s="63" t="s">
        <v>54</v>
      </c>
      <c r="CLQ5" s="62"/>
      <c r="CLR5" s="62"/>
      <c r="CLS5" s="237">
        <v>27250</v>
      </c>
      <c r="CLT5" s="238"/>
      <c r="CLU5" s="63" t="s">
        <v>54</v>
      </c>
      <c r="CLV5" s="62"/>
      <c r="CLW5" s="62"/>
      <c r="CLX5" s="237">
        <v>87200</v>
      </c>
      <c r="CLY5" s="238"/>
      <c r="CLZ5" s="63" t="s">
        <v>54</v>
      </c>
      <c r="CMA5" s="62"/>
      <c r="CMB5" s="62"/>
      <c r="CMC5" s="237">
        <v>109000</v>
      </c>
      <c r="CMD5" s="238"/>
      <c r="CME5" s="63" t="s">
        <v>54</v>
      </c>
      <c r="CMF5" s="62"/>
      <c r="CMG5" s="62"/>
      <c r="CMH5" s="237">
        <v>10900</v>
      </c>
      <c r="CMI5" s="238"/>
      <c r="CMJ5" s="63" t="s">
        <v>54</v>
      </c>
      <c r="CMK5" s="62"/>
      <c r="CML5" s="62"/>
      <c r="CMM5" s="237">
        <v>54500</v>
      </c>
      <c r="CMN5" s="238"/>
      <c r="CMO5" s="63" t="s">
        <v>54</v>
      </c>
      <c r="CMP5" s="62"/>
      <c r="CMQ5" s="62"/>
      <c r="CMR5" s="237">
        <v>21800</v>
      </c>
      <c r="CMS5" s="238"/>
      <c r="CMT5" s="63" t="s">
        <v>54</v>
      </c>
      <c r="CMU5" s="62"/>
      <c r="CMV5" s="62"/>
      <c r="CMW5" s="237">
        <v>81750</v>
      </c>
      <c r="CMX5" s="238"/>
      <c r="CMY5" s="63" t="s">
        <v>54</v>
      </c>
      <c r="CMZ5" s="62"/>
      <c r="CNA5" s="62"/>
      <c r="CNB5" s="237">
        <v>109000</v>
      </c>
      <c r="CNC5" s="238"/>
      <c r="CND5" s="63" t="s">
        <v>54</v>
      </c>
      <c r="CNE5" s="62"/>
      <c r="CNF5" s="62"/>
      <c r="CNG5" s="237">
        <v>76300</v>
      </c>
      <c r="CNH5" s="238"/>
      <c r="CNI5" s="63" t="s">
        <v>54</v>
      </c>
      <c r="CNJ5" s="62"/>
      <c r="CNK5" s="62"/>
      <c r="CNL5" s="237">
        <v>65400</v>
      </c>
      <c r="CNM5" s="238"/>
      <c r="CNN5" s="63" t="s">
        <v>54</v>
      </c>
      <c r="CNO5" s="62"/>
      <c r="CNP5" s="62"/>
      <c r="CNQ5" s="237">
        <v>76300</v>
      </c>
      <c r="CNR5" s="238"/>
      <c r="CNS5" s="63" t="s">
        <v>54</v>
      </c>
      <c r="CNT5" s="62"/>
      <c r="CNU5" s="62"/>
      <c r="CNV5" s="237">
        <v>87200</v>
      </c>
      <c r="CNW5" s="238"/>
      <c r="CNX5" s="63" t="s">
        <v>54</v>
      </c>
      <c r="CNY5" s="62"/>
      <c r="CNZ5" s="62"/>
      <c r="COA5" s="237">
        <v>32700</v>
      </c>
      <c r="COB5" s="238"/>
      <c r="COC5" s="63" t="s">
        <v>54</v>
      </c>
      <c r="COD5" s="62"/>
      <c r="COE5" s="62"/>
      <c r="COF5" s="237">
        <v>109000</v>
      </c>
      <c r="COG5" s="238"/>
      <c r="COH5" s="63" t="s">
        <v>54</v>
      </c>
      <c r="COI5" s="62"/>
      <c r="COJ5" s="62"/>
      <c r="COK5" s="237">
        <v>156233</v>
      </c>
      <c r="COL5" s="238"/>
      <c r="COM5" s="63" t="s">
        <v>54</v>
      </c>
      <c r="CON5" s="62"/>
      <c r="COO5" s="62"/>
      <c r="COP5" s="237">
        <v>76300</v>
      </c>
      <c r="COQ5" s="238"/>
      <c r="COR5" s="63" t="s">
        <v>54</v>
      </c>
      <c r="COS5" s="62"/>
      <c r="COT5" s="62"/>
      <c r="COU5" s="237">
        <v>0</v>
      </c>
      <c r="COV5" s="238"/>
      <c r="COW5" s="63" t="s">
        <v>54</v>
      </c>
      <c r="COX5" s="62"/>
      <c r="COY5" s="62"/>
      <c r="COZ5" s="237">
        <v>70850</v>
      </c>
      <c r="CPA5" s="238"/>
      <c r="CPB5" s="63" t="s">
        <v>54</v>
      </c>
      <c r="CPC5" s="62"/>
      <c r="CPD5" s="62"/>
      <c r="CPE5" s="237">
        <v>49050</v>
      </c>
      <c r="CPF5" s="238"/>
      <c r="CPG5" s="63" t="s">
        <v>54</v>
      </c>
      <c r="CPH5" s="62"/>
      <c r="CPI5" s="62"/>
      <c r="CPJ5" s="237">
        <v>98100</v>
      </c>
      <c r="CPK5" s="238"/>
      <c r="CPL5" s="63" t="s">
        <v>54</v>
      </c>
      <c r="CPM5" s="62"/>
      <c r="CPN5" s="62"/>
      <c r="CPO5" s="237">
        <v>43600</v>
      </c>
      <c r="CPP5" s="238"/>
      <c r="CPQ5" s="63" t="s">
        <v>54</v>
      </c>
      <c r="CPR5" s="62"/>
      <c r="CPS5" s="62"/>
      <c r="CPT5" s="237">
        <v>59950</v>
      </c>
      <c r="CPU5" s="238"/>
      <c r="CPV5" s="63" t="s">
        <v>54</v>
      </c>
      <c r="CPW5" s="62"/>
      <c r="CPX5" s="62"/>
      <c r="CPY5" s="237">
        <v>65400</v>
      </c>
      <c r="CPZ5" s="238"/>
      <c r="CQA5" s="63" t="s">
        <v>54</v>
      </c>
      <c r="CQB5" s="62"/>
      <c r="CQC5" s="62"/>
      <c r="CQD5" s="237">
        <v>81750</v>
      </c>
      <c r="CQE5" s="238"/>
      <c r="CQF5" s="63" t="s">
        <v>54</v>
      </c>
      <c r="CQG5" s="62"/>
      <c r="CQH5" s="62"/>
      <c r="CQI5" s="237">
        <v>59950</v>
      </c>
      <c r="CQJ5" s="238"/>
      <c r="CQK5" s="63" t="s">
        <v>54</v>
      </c>
      <c r="CQL5" s="62"/>
      <c r="CQM5" s="62"/>
      <c r="CQN5" s="237">
        <v>32700</v>
      </c>
      <c r="CQO5" s="238"/>
      <c r="CQP5" s="63" t="s">
        <v>54</v>
      </c>
      <c r="CQQ5" s="62"/>
      <c r="CQR5" s="62"/>
      <c r="CQS5" s="237">
        <v>21800</v>
      </c>
      <c r="CQT5" s="238"/>
      <c r="CQU5" s="63" t="s">
        <v>54</v>
      </c>
      <c r="CQV5" s="62"/>
      <c r="CQW5" s="62"/>
      <c r="CQX5" s="237">
        <v>125350</v>
      </c>
      <c r="CQY5" s="238"/>
      <c r="CQZ5" s="63" t="s">
        <v>54</v>
      </c>
      <c r="CRA5" s="62"/>
      <c r="CRB5" s="62"/>
      <c r="CRC5" s="237">
        <v>59950</v>
      </c>
      <c r="CRD5" s="238"/>
      <c r="CRE5" s="21" t="s">
        <v>54</v>
      </c>
      <c r="CRF5" s="2"/>
      <c r="CRG5" s="2"/>
      <c r="CRH5" s="296">
        <v>21800</v>
      </c>
      <c r="CRI5" s="297"/>
      <c r="CRJ5" s="21" t="s">
        <v>54</v>
      </c>
      <c r="CRK5" s="2"/>
      <c r="CRL5" s="2"/>
      <c r="CRM5" s="296">
        <v>119900</v>
      </c>
      <c r="CRN5" s="297"/>
      <c r="CRO5" s="21" t="s">
        <v>54</v>
      </c>
      <c r="CRP5" s="2"/>
      <c r="CRQ5" s="2"/>
      <c r="CRR5" s="296">
        <v>49050</v>
      </c>
      <c r="CRS5" s="297"/>
      <c r="CRT5" s="21" t="s">
        <v>54</v>
      </c>
      <c r="CRU5" s="2"/>
      <c r="CRV5" s="2"/>
      <c r="CRW5" s="296">
        <v>49050</v>
      </c>
      <c r="CRX5" s="297"/>
      <c r="CRY5" s="21" t="s">
        <v>54</v>
      </c>
      <c r="CRZ5" s="2"/>
      <c r="CSA5" s="2"/>
      <c r="CSB5" s="24">
        <v>27250</v>
      </c>
      <c r="CSC5" s="21" t="s">
        <v>54</v>
      </c>
      <c r="CSD5" s="2"/>
      <c r="CSE5" s="2"/>
      <c r="CSF5" s="24">
        <v>21800</v>
      </c>
      <c r="CSG5" s="21" t="s">
        <v>54</v>
      </c>
      <c r="CSH5" s="2"/>
      <c r="CSI5" s="2"/>
      <c r="CSJ5" s="24">
        <v>76300</v>
      </c>
      <c r="CSK5" s="21" t="s">
        <v>54</v>
      </c>
      <c r="CSL5" s="2"/>
      <c r="CSM5" s="2"/>
      <c r="CSN5" s="24">
        <v>59950</v>
      </c>
      <c r="CSO5" s="21" t="s">
        <v>54</v>
      </c>
      <c r="CSP5" s="2"/>
      <c r="CSQ5" s="2"/>
      <c r="CSR5" s="24">
        <v>81750</v>
      </c>
      <c r="CSS5" s="21" t="s">
        <v>54</v>
      </c>
      <c r="CST5" s="2"/>
      <c r="CSU5" s="2"/>
      <c r="CSV5" s="24">
        <v>76300</v>
      </c>
      <c r="CSW5" s="21" t="s">
        <v>54</v>
      </c>
      <c r="CSX5" s="2"/>
      <c r="CSY5" s="2"/>
      <c r="CSZ5" s="24">
        <v>59950</v>
      </c>
      <c r="CTA5" s="21" t="s">
        <v>54</v>
      </c>
      <c r="CTB5" s="2"/>
      <c r="CTC5" s="2"/>
      <c r="CTD5" s="24">
        <v>76300</v>
      </c>
      <c r="CTE5" s="21" t="s">
        <v>54</v>
      </c>
      <c r="CTF5" s="2"/>
      <c r="CTG5" s="2"/>
      <c r="CTH5" s="24">
        <v>70850</v>
      </c>
      <c r="CTI5" s="21" t="s">
        <v>54</v>
      </c>
      <c r="CTJ5" s="2"/>
      <c r="CTK5" s="2"/>
      <c r="CTL5" s="24">
        <v>96940</v>
      </c>
      <c r="CTM5" s="21" t="s">
        <v>54</v>
      </c>
      <c r="CTN5" s="2"/>
      <c r="CTO5" s="2"/>
      <c r="CTP5" s="24">
        <v>119900</v>
      </c>
      <c r="CTQ5" s="21" t="s">
        <v>54</v>
      </c>
      <c r="CTR5" s="2"/>
      <c r="CTS5" s="2"/>
      <c r="CTT5" s="24">
        <v>65400</v>
      </c>
      <c r="CTU5" s="21" t="s">
        <v>54</v>
      </c>
      <c r="CTV5" s="2"/>
      <c r="CTW5" s="2"/>
      <c r="CTX5" s="24">
        <v>59950</v>
      </c>
      <c r="CTY5" s="21" t="s">
        <v>54</v>
      </c>
      <c r="CTZ5" s="2"/>
      <c r="CUA5" s="2"/>
      <c r="CUB5" s="24">
        <v>16350</v>
      </c>
      <c r="CUC5" s="21" t="s">
        <v>54</v>
      </c>
      <c r="CUD5" s="2"/>
      <c r="CUE5" s="2"/>
      <c r="CUF5" s="24">
        <v>32700</v>
      </c>
      <c r="CUG5" s="21" t="s">
        <v>54</v>
      </c>
      <c r="CUH5" s="2"/>
      <c r="CUI5" s="2"/>
      <c r="CUJ5" s="24">
        <v>92650</v>
      </c>
      <c r="CUK5" s="21" t="s">
        <v>54</v>
      </c>
      <c r="CUL5" s="2"/>
      <c r="CUM5" s="2"/>
      <c r="CUN5" s="24">
        <v>59950</v>
      </c>
      <c r="CUO5" s="21" t="s">
        <v>54</v>
      </c>
      <c r="CUP5" s="2"/>
      <c r="CUQ5" s="2"/>
      <c r="CUR5" s="24">
        <v>54500</v>
      </c>
      <c r="CUS5" s="21" t="s">
        <v>54</v>
      </c>
      <c r="CUT5" s="2"/>
      <c r="CUU5" s="2"/>
      <c r="CUV5" s="24">
        <v>43600</v>
      </c>
      <c r="CUW5" s="21" t="s">
        <v>54</v>
      </c>
      <c r="CUX5" s="2"/>
      <c r="CUY5" s="2"/>
      <c r="CUZ5" s="24">
        <v>76300</v>
      </c>
      <c r="CVA5" s="21" t="s">
        <v>54</v>
      </c>
      <c r="CVB5" s="2"/>
      <c r="CVC5" s="2"/>
      <c r="CVD5" s="24">
        <v>65400</v>
      </c>
      <c r="CVE5" s="21" t="s">
        <v>54</v>
      </c>
      <c r="CVF5" s="2"/>
      <c r="CVG5" s="2"/>
      <c r="CVH5" s="24"/>
      <c r="CVI5" s="21" t="s">
        <v>54</v>
      </c>
      <c r="CVJ5" s="2"/>
      <c r="CVK5" s="2"/>
      <c r="CVL5" s="24">
        <v>49050</v>
      </c>
      <c r="CVM5" s="21" t="s">
        <v>54</v>
      </c>
      <c r="CVN5" s="2"/>
      <c r="CVO5" s="2"/>
      <c r="CVP5" s="24">
        <v>54500</v>
      </c>
      <c r="CVQ5" s="21" t="s">
        <v>54</v>
      </c>
      <c r="CVR5" s="2"/>
      <c r="CVS5" s="2"/>
      <c r="CVT5" s="24">
        <v>21800</v>
      </c>
      <c r="CVU5" s="21" t="s">
        <v>54</v>
      </c>
      <c r="CVV5" s="2"/>
      <c r="CVW5" s="2"/>
      <c r="CVX5" s="24"/>
      <c r="CVY5" s="21" t="s">
        <v>54</v>
      </c>
      <c r="CVZ5" s="2"/>
      <c r="CWA5" s="2"/>
      <c r="CWB5" s="24">
        <v>21800</v>
      </c>
      <c r="CWC5" s="21" t="s">
        <v>54</v>
      </c>
      <c r="CWD5" s="2"/>
      <c r="CWE5" s="2"/>
      <c r="CWF5" s="24">
        <v>59950</v>
      </c>
      <c r="CWG5" s="21" t="s">
        <v>54</v>
      </c>
      <c r="CWH5" s="2"/>
      <c r="CWI5" s="2"/>
      <c r="CWJ5" s="24">
        <v>103550</v>
      </c>
      <c r="CWK5" s="21" t="s">
        <v>54</v>
      </c>
      <c r="CWL5" s="2"/>
      <c r="CWM5" s="2"/>
      <c r="CWN5" s="24">
        <v>54500</v>
      </c>
      <c r="CWO5" s="21" t="s">
        <v>54</v>
      </c>
      <c r="CWP5" s="2"/>
      <c r="CWQ5" s="2"/>
      <c r="CWR5" s="24">
        <v>59950</v>
      </c>
      <c r="CWS5" s="21" t="s">
        <v>54</v>
      </c>
      <c r="CWT5" s="2"/>
      <c r="CWU5" s="2"/>
      <c r="CWV5" s="24"/>
      <c r="CWW5" s="21" t="s">
        <v>54</v>
      </c>
      <c r="CWX5" s="2"/>
      <c r="CWY5" s="2"/>
      <c r="CWZ5" s="24">
        <v>27250</v>
      </c>
      <c r="CXA5" s="34" t="s">
        <v>54</v>
      </c>
      <c r="CXB5" s="32"/>
      <c r="CXC5" s="32"/>
      <c r="CXD5" s="35">
        <v>54500</v>
      </c>
      <c r="CXE5" s="34" t="s">
        <v>54</v>
      </c>
      <c r="CXF5" s="32"/>
      <c r="CXG5" s="32"/>
      <c r="CXH5" s="35">
        <v>103550</v>
      </c>
      <c r="CXI5" s="34" t="s">
        <v>54</v>
      </c>
      <c r="CXJ5" s="32"/>
      <c r="CXK5" s="32"/>
      <c r="CXL5" s="35">
        <v>65400</v>
      </c>
      <c r="CXM5" s="34" t="s">
        <v>54</v>
      </c>
      <c r="CXN5" s="32"/>
      <c r="CXO5" s="32"/>
      <c r="CXP5" s="35">
        <v>70850</v>
      </c>
      <c r="CXQ5" s="34" t="s">
        <v>54</v>
      </c>
      <c r="CXR5" s="32"/>
      <c r="CXS5" s="32"/>
      <c r="CXT5" s="35">
        <v>49050</v>
      </c>
      <c r="CXU5" s="26" t="s">
        <v>54</v>
      </c>
      <c r="CXX5" s="26">
        <v>65400</v>
      </c>
      <c r="CXY5" s="26" t="s">
        <v>54</v>
      </c>
      <c r="CYB5" s="26">
        <v>54500</v>
      </c>
      <c r="CYC5" s="26" t="s">
        <v>54</v>
      </c>
      <c r="CYF5" s="26">
        <v>38150</v>
      </c>
      <c r="CYG5" s="26" t="s">
        <v>38</v>
      </c>
      <c r="CYJ5" s="26">
        <v>1365</v>
      </c>
      <c r="CYK5" s="26" t="s">
        <v>38</v>
      </c>
      <c r="CYN5" s="26">
        <v>0</v>
      </c>
      <c r="CYO5" s="26" t="s">
        <v>38</v>
      </c>
      <c r="CYR5" s="26">
        <v>0</v>
      </c>
      <c r="CYS5" s="26" t="s">
        <v>38</v>
      </c>
      <c r="CYV5" s="26">
        <v>0</v>
      </c>
      <c r="CYW5" s="26" t="s">
        <v>38</v>
      </c>
      <c r="CYZ5" s="26">
        <v>0</v>
      </c>
      <c r="CZA5" s="26" t="s">
        <v>38</v>
      </c>
      <c r="CZD5" s="26">
        <v>0</v>
      </c>
      <c r="CZE5" s="26" t="s">
        <v>38</v>
      </c>
      <c r="CZH5" s="26">
        <v>0</v>
      </c>
      <c r="CZI5" s="26" t="s">
        <v>38</v>
      </c>
      <c r="CZL5" s="26">
        <v>2034</v>
      </c>
      <c r="CZM5" s="26" t="s">
        <v>38</v>
      </c>
      <c r="CZP5" s="26">
        <v>0</v>
      </c>
      <c r="CZQ5" s="26" t="s">
        <v>38</v>
      </c>
      <c r="CZT5" s="26">
        <v>0</v>
      </c>
      <c r="CZU5" s="26" t="s">
        <v>38</v>
      </c>
      <c r="CZX5" s="26">
        <v>0</v>
      </c>
      <c r="CZY5" s="26" t="s">
        <v>38</v>
      </c>
      <c r="DAB5" s="26">
        <v>0</v>
      </c>
      <c r="DAC5" s="26" t="s">
        <v>38</v>
      </c>
      <c r="DAF5" s="26">
        <v>0</v>
      </c>
      <c r="DAG5" s="26" t="s">
        <v>38</v>
      </c>
      <c r="DAJ5" s="26">
        <v>14685</v>
      </c>
      <c r="DAK5" s="26" t="s">
        <v>38</v>
      </c>
      <c r="DAN5" s="26">
        <v>1051</v>
      </c>
      <c r="DAO5" s="26" t="s">
        <v>38</v>
      </c>
      <c r="DAR5" s="26">
        <v>3758</v>
      </c>
      <c r="DAS5" s="26" t="s">
        <v>38</v>
      </c>
      <c r="DAV5" s="26">
        <v>0</v>
      </c>
      <c r="DAW5" s="26" t="s">
        <v>38</v>
      </c>
      <c r="DAZ5" s="26">
        <v>0</v>
      </c>
      <c r="DBA5" s="26" t="s">
        <v>38</v>
      </c>
      <c r="DBD5" s="26">
        <v>3972</v>
      </c>
      <c r="DBE5" s="26" t="s">
        <v>38</v>
      </c>
      <c r="DBH5" s="26">
        <v>4203</v>
      </c>
      <c r="DBI5" s="26" t="s">
        <v>38</v>
      </c>
      <c r="DBL5" s="26">
        <v>6111</v>
      </c>
      <c r="DBM5" s="26" t="s">
        <v>38</v>
      </c>
      <c r="DBP5" s="26">
        <v>0</v>
      </c>
      <c r="DBQ5" s="26" t="s">
        <v>38</v>
      </c>
      <c r="DBT5" s="26">
        <v>0</v>
      </c>
      <c r="DBU5" s="26" t="s">
        <v>38</v>
      </c>
      <c r="DBX5" s="26">
        <v>18069</v>
      </c>
      <c r="DBY5" s="26" t="s">
        <v>38</v>
      </c>
      <c r="DCB5" s="26">
        <v>12822</v>
      </c>
      <c r="DCC5" s="26" t="s">
        <v>38</v>
      </c>
      <c r="DCF5" s="26">
        <v>0</v>
      </c>
      <c r="DCG5" s="26" t="s">
        <v>38</v>
      </c>
      <c r="DCJ5" s="26">
        <v>8940</v>
      </c>
      <c r="DCK5" s="26" t="s">
        <v>38</v>
      </c>
      <c r="DCN5" s="26">
        <v>16419</v>
      </c>
      <c r="DCO5" s="26" t="s">
        <v>38</v>
      </c>
      <c r="DCR5" s="26">
        <v>8406</v>
      </c>
      <c r="DCS5" s="26" t="s">
        <v>38</v>
      </c>
      <c r="DCV5" s="26">
        <v>0</v>
      </c>
      <c r="DCW5" s="26" t="s">
        <v>38</v>
      </c>
      <c r="DCZ5" s="26">
        <v>0</v>
      </c>
      <c r="DDA5" s="26" t="s">
        <v>38</v>
      </c>
      <c r="DDD5" s="26">
        <v>0</v>
      </c>
      <c r="DDE5" s="26" t="s">
        <v>38</v>
      </c>
      <c r="DDH5" s="26">
        <v>2102</v>
      </c>
      <c r="DDI5" s="26" t="s">
        <v>38</v>
      </c>
      <c r="DDL5" s="26">
        <v>21016</v>
      </c>
      <c r="DDM5" s="26" t="s">
        <v>38</v>
      </c>
      <c r="DDP5" s="26" t="s">
        <v>39</v>
      </c>
      <c r="DDQ5" s="26" t="s">
        <v>2</v>
      </c>
      <c r="DDT5" s="26">
        <v>29307</v>
      </c>
    </row>
    <row r="6" spans="1:2828" ht="15.6" thickBot="1" x14ac:dyDescent="0.3">
      <c r="A6" s="63" t="s">
        <v>55</v>
      </c>
      <c r="B6" s="62"/>
      <c r="C6" s="62"/>
      <c r="D6" s="237">
        <v>3312</v>
      </c>
      <c r="E6" s="238"/>
      <c r="F6" s="63" t="s">
        <v>55</v>
      </c>
      <c r="G6" s="62"/>
      <c r="H6" s="62"/>
      <c r="I6" s="237">
        <v>3312</v>
      </c>
      <c r="J6" s="238"/>
      <c r="K6" s="63" t="s">
        <v>55</v>
      </c>
      <c r="L6" s="62"/>
      <c r="M6" s="62"/>
      <c r="N6" s="237">
        <v>3312</v>
      </c>
      <c r="O6" s="238"/>
      <c r="P6" s="63" t="s">
        <v>55</v>
      </c>
      <c r="Q6" s="62"/>
      <c r="R6" s="62"/>
      <c r="S6" s="237">
        <v>2208</v>
      </c>
      <c r="T6" s="238"/>
      <c r="U6" s="63" t="s">
        <v>55</v>
      </c>
      <c r="V6" s="62"/>
      <c r="W6" s="62"/>
      <c r="X6" s="237">
        <v>4416</v>
      </c>
      <c r="Y6" s="238"/>
      <c r="Z6" s="63" t="s">
        <v>55</v>
      </c>
      <c r="AA6" s="62"/>
      <c r="AB6" s="62"/>
      <c r="AC6" s="237">
        <v>2208</v>
      </c>
      <c r="AD6" s="238"/>
      <c r="AE6" s="63" t="s">
        <v>55</v>
      </c>
      <c r="AF6" s="62"/>
      <c r="AG6" s="62"/>
      <c r="AH6" s="237">
        <v>2208</v>
      </c>
      <c r="AI6" s="238"/>
      <c r="AJ6" s="63" t="s">
        <v>55</v>
      </c>
      <c r="AK6" s="62"/>
      <c r="AL6" s="62"/>
      <c r="AM6" s="237">
        <v>3312</v>
      </c>
      <c r="AN6" s="238"/>
      <c r="AO6" s="63" t="s">
        <v>55</v>
      </c>
      <c r="AP6" s="62"/>
      <c r="AQ6" s="62"/>
      <c r="AR6" s="237">
        <v>4416</v>
      </c>
      <c r="AS6" s="238"/>
      <c r="AT6" s="63" t="s">
        <v>55</v>
      </c>
      <c r="AU6" s="62"/>
      <c r="AV6" s="62"/>
      <c r="AW6" s="237">
        <v>2208</v>
      </c>
      <c r="AX6" s="238"/>
      <c r="AY6" s="63" t="s">
        <v>55</v>
      </c>
      <c r="AZ6" s="62"/>
      <c r="BA6" s="62"/>
      <c r="BB6" s="237">
        <v>2208</v>
      </c>
      <c r="BC6" s="238"/>
      <c r="BD6" s="63" t="s">
        <v>55</v>
      </c>
      <c r="BE6" s="62"/>
      <c r="BF6" s="62"/>
      <c r="BG6" s="237">
        <v>9936</v>
      </c>
      <c r="BH6" s="238"/>
      <c r="BI6" s="63" t="s">
        <v>55</v>
      </c>
      <c r="BJ6" s="62"/>
      <c r="BK6" s="62"/>
      <c r="BL6" s="237">
        <v>4416</v>
      </c>
      <c r="BM6" s="238"/>
      <c r="BN6" s="63" t="s">
        <v>55</v>
      </c>
      <c r="BO6" s="62"/>
      <c r="BP6" s="62"/>
      <c r="BQ6" s="237">
        <v>6624</v>
      </c>
      <c r="BR6" s="238"/>
      <c r="BS6" s="63" t="s">
        <v>55</v>
      </c>
      <c r="BT6" s="62"/>
      <c r="BU6" s="62"/>
      <c r="BV6" s="237">
        <v>3312</v>
      </c>
      <c r="BW6" s="238"/>
      <c r="BX6" s="63" t="s">
        <v>55</v>
      </c>
      <c r="BY6" s="62"/>
      <c r="BZ6" s="62"/>
      <c r="CA6" s="237">
        <v>2208</v>
      </c>
      <c r="CB6" s="238"/>
      <c r="CC6" s="63" t="s">
        <v>55</v>
      </c>
      <c r="CD6" s="62"/>
      <c r="CE6" s="62"/>
      <c r="CF6" s="237">
        <v>4416</v>
      </c>
      <c r="CG6" s="238"/>
      <c r="CH6" s="63" t="s">
        <v>55</v>
      </c>
      <c r="CI6" s="62"/>
      <c r="CJ6" s="62"/>
      <c r="CK6" s="237">
        <v>3312</v>
      </c>
      <c r="CL6" s="238"/>
      <c r="CM6" s="63" t="s">
        <v>55</v>
      </c>
      <c r="CN6" s="62"/>
      <c r="CO6" s="62"/>
      <c r="CP6" s="237">
        <v>6624</v>
      </c>
      <c r="CQ6" s="238"/>
      <c r="CR6" s="63" t="s">
        <v>55</v>
      </c>
      <c r="CS6" s="62"/>
      <c r="CT6" s="62"/>
      <c r="CU6" s="237">
        <v>6624</v>
      </c>
      <c r="CV6" s="238"/>
      <c r="CW6" s="63" t="s">
        <v>55</v>
      </c>
      <c r="CX6" s="62"/>
      <c r="CY6" s="62"/>
      <c r="CZ6" s="237">
        <v>3312</v>
      </c>
      <c r="DA6" s="238"/>
      <c r="DB6" s="63" t="s">
        <v>55</v>
      </c>
      <c r="DC6" s="62"/>
      <c r="DD6" s="62"/>
      <c r="DE6" s="237">
        <v>2208</v>
      </c>
      <c r="DF6" s="238"/>
      <c r="DG6" s="63" t="s">
        <v>55</v>
      </c>
      <c r="DH6" s="62"/>
      <c r="DI6" s="62"/>
      <c r="DJ6" s="237">
        <v>5520</v>
      </c>
      <c r="DK6" s="238"/>
      <c r="DL6" s="63" t="s">
        <v>55</v>
      </c>
      <c r="DM6" s="62"/>
      <c r="DN6" s="62"/>
      <c r="DO6" s="237">
        <v>5520</v>
      </c>
      <c r="DP6" s="238"/>
      <c r="DQ6" s="63" t="s">
        <v>55</v>
      </c>
      <c r="DR6" s="62"/>
      <c r="DS6" s="62"/>
      <c r="DT6" s="237">
        <v>5520</v>
      </c>
      <c r="DU6" s="238"/>
      <c r="DV6" s="63" t="s">
        <v>55</v>
      </c>
      <c r="DW6" s="62"/>
      <c r="DX6" s="62"/>
      <c r="DY6" s="237">
        <v>4416</v>
      </c>
      <c r="DZ6" s="238"/>
      <c r="EA6" s="63" t="s">
        <v>55</v>
      </c>
      <c r="EB6" s="62"/>
      <c r="EC6" s="62"/>
      <c r="ED6" s="237">
        <v>11040</v>
      </c>
      <c r="EE6" s="238"/>
      <c r="EF6" s="63" t="s">
        <v>55</v>
      </c>
      <c r="EG6" s="62"/>
      <c r="EH6" s="62"/>
      <c r="EI6" s="237">
        <v>4416</v>
      </c>
      <c r="EJ6" s="238"/>
      <c r="EK6" s="63" t="s">
        <v>55</v>
      </c>
      <c r="EL6" s="62"/>
      <c r="EM6" s="62"/>
      <c r="EN6" s="237">
        <v>4416</v>
      </c>
      <c r="EO6" s="238"/>
      <c r="EP6" s="63" t="s">
        <v>55</v>
      </c>
      <c r="EQ6" s="62"/>
      <c r="ER6" s="62"/>
      <c r="ES6" s="237">
        <v>3312</v>
      </c>
      <c r="ET6" s="238"/>
      <c r="EU6" s="63" t="s">
        <v>55</v>
      </c>
      <c r="EV6" s="62"/>
      <c r="EW6" s="62"/>
      <c r="EX6" s="237">
        <v>4416</v>
      </c>
      <c r="EY6" s="238"/>
      <c r="EZ6" s="63" t="s">
        <v>55</v>
      </c>
      <c r="FA6" s="62"/>
      <c r="FB6" s="62"/>
      <c r="FC6" s="237">
        <v>2208</v>
      </c>
      <c r="FD6" s="238"/>
      <c r="FE6" s="63" t="s">
        <v>55</v>
      </c>
      <c r="FF6" s="62"/>
      <c r="FG6" s="62"/>
      <c r="FH6" s="237">
        <v>3312</v>
      </c>
      <c r="FI6" s="238"/>
      <c r="FJ6" s="63" t="s">
        <v>55</v>
      </c>
      <c r="FK6" s="62"/>
      <c r="FL6" s="62"/>
      <c r="FM6" s="237">
        <v>6624</v>
      </c>
      <c r="FN6" s="238"/>
      <c r="FO6" s="63" t="s">
        <v>55</v>
      </c>
      <c r="FP6" s="62"/>
      <c r="FQ6" s="62"/>
      <c r="FR6" s="237">
        <v>4416</v>
      </c>
      <c r="FS6" s="238"/>
      <c r="FT6" s="63" t="s">
        <v>55</v>
      </c>
      <c r="FU6" s="62"/>
      <c r="FV6" s="62"/>
      <c r="FW6" s="237">
        <v>2208</v>
      </c>
      <c r="FX6" s="238"/>
      <c r="FY6" s="63" t="s">
        <v>55</v>
      </c>
      <c r="FZ6" s="62"/>
      <c r="GA6" s="62"/>
      <c r="GB6" s="237">
        <v>2208</v>
      </c>
      <c r="GC6" s="238"/>
      <c r="GD6" s="63" t="s">
        <v>55</v>
      </c>
      <c r="GE6" s="62"/>
      <c r="GF6" s="62"/>
      <c r="GG6" s="237">
        <v>4416</v>
      </c>
      <c r="GH6" s="238"/>
      <c r="GI6" s="63" t="s">
        <v>55</v>
      </c>
      <c r="GJ6" s="62"/>
      <c r="GK6" s="62"/>
      <c r="GL6" s="237">
        <v>3312</v>
      </c>
      <c r="GM6" s="238"/>
      <c r="GN6" s="63" t="s">
        <v>55</v>
      </c>
      <c r="GO6" s="62"/>
      <c r="GP6" s="62"/>
      <c r="GQ6" s="237">
        <v>2208</v>
      </c>
      <c r="GR6" s="238"/>
      <c r="GS6" s="63" t="s">
        <v>55</v>
      </c>
      <c r="GT6" s="62"/>
      <c r="GU6" s="62"/>
      <c r="GV6" s="237">
        <v>6624</v>
      </c>
      <c r="GW6" s="238"/>
      <c r="GX6" s="63" t="s">
        <v>55</v>
      </c>
      <c r="GY6" s="62"/>
      <c r="GZ6" s="62"/>
      <c r="HA6" s="237">
        <v>3312</v>
      </c>
      <c r="HB6" s="238"/>
      <c r="HC6" s="63" t="s">
        <v>55</v>
      </c>
      <c r="HD6" s="62"/>
      <c r="HE6" s="62"/>
      <c r="HF6" s="237">
        <v>4416</v>
      </c>
      <c r="HG6" s="238"/>
      <c r="HH6" s="63" t="s">
        <v>55</v>
      </c>
      <c r="HI6" s="62"/>
      <c r="HJ6" s="62"/>
      <c r="HK6" s="237">
        <v>3312</v>
      </c>
      <c r="HL6" s="238"/>
      <c r="HM6" s="63" t="s">
        <v>55</v>
      </c>
      <c r="HN6" s="62"/>
      <c r="HO6" s="62"/>
      <c r="HP6" s="237">
        <v>2208</v>
      </c>
      <c r="HQ6" s="238"/>
      <c r="HR6" s="63" t="s">
        <v>55</v>
      </c>
      <c r="HS6" s="62"/>
      <c r="HT6" s="62"/>
      <c r="HU6" s="237">
        <v>4416</v>
      </c>
      <c r="HV6" s="238"/>
      <c r="HW6" s="63" t="s">
        <v>55</v>
      </c>
      <c r="HX6" s="62"/>
      <c r="HY6" s="62"/>
      <c r="HZ6" s="237">
        <v>4416</v>
      </c>
      <c r="IA6" s="238"/>
      <c r="IB6" s="63" t="s">
        <v>55</v>
      </c>
      <c r="IC6" s="62"/>
      <c r="ID6" s="62"/>
      <c r="IE6" s="237">
        <v>8832</v>
      </c>
      <c r="IF6" s="238"/>
      <c r="IG6" s="63" t="s">
        <v>55</v>
      </c>
      <c r="IH6" s="62"/>
      <c r="II6" s="62"/>
      <c r="IJ6" s="237">
        <v>0</v>
      </c>
      <c r="IK6" s="238"/>
      <c r="IL6" s="63" t="s">
        <v>55</v>
      </c>
      <c r="IM6" s="62"/>
      <c r="IN6" s="62"/>
      <c r="IO6" s="237">
        <v>0</v>
      </c>
      <c r="IP6" s="238"/>
      <c r="IQ6" s="63" t="s">
        <v>55</v>
      </c>
      <c r="IR6" s="62"/>
      <c r="IS6" s="62"/>
      <c r="IT6" s="237">
        <v>4416</v>
      </c>
      <c r="IU6" s="238"/>
      <c r="IV6" s="63" t="s">
        <v>55</v>
      </c>
      <c r="IW6" s="62"/>
      <c r="IX6" s="62"/>
      <c r="IY6" s="237">
        <v>4416</v>
      </c>
      <c r="IZ6" s="238"/>
      <c r="JA6" s="63" t="s">
        <v>55</v>
      </c>
      <c r="JB6" s="62"/>
      <c r="JC6" s="62"/>
      <c r="JD6" s="237">
        <v>3312</v>
      </c>
      <c r="JE6" s="238"/>
      <c r="JF6" s="63" t="s">
        <v>55</v>
      </c>
      <c r="JG6" s="62"/>
      <c r="JH6" s="62"/>
      <c r="JI6" s="237">
        <v>4937</v>
      </c>
      <c r="JJ6" s="238"/>
      <c r="JK6" s="63" t="s">
        <v>55</v>
      </c>
      <c r="JL6" s="62"/>
      <c r="JM6" s="62"/>
      <c r="JN6" s="237">
        <v>4416</v>
      </c>
      <c r="JO6" s="238"/>
      <c r="JP6" s="63" t="s">
        <v>55</v>
      </c>
      <c r="JQ6" s="62"/>
      <c r="JR6" s="62"/>
      <c r="JS6" s="237">
        <v>4416</v>
      </c>
      <c r="JT6" s="238"/>
      <c r="JU6" s="63" t="s">
        <v>55</v>
      </c>
      <c r="JV6" s="62"/>
      <c r="JW6" s="62"/>
      <c r="JX6" s="237">
        <v>2208</v>
      </c>
      <c r="JY6" s="238"/>
      <c r="JZ6" s="63" t="s">
        <v>55</v>
      </c>
      <c r="KA6" s="62"/>
      <c r="KB6" s="62"/>
      <c r="KC6" s="237">
        <v>3312</v>
      </c>
      <c r="KD6" s="238"/>
      <c r="KE6" s="63" t="s">
        <v>55</v>
      </c>
      <c r="KF6" s="62"/>
      <c r="KG6" s="62"/>
      <c r="KH6" s="237">
        <v>2208</v>
      </c>
      <c r="KI6" s="238"/>
      <c r="KJ6" s="63" t="s">
        <v>55</v>
      </c>
      <c r="KK6" s="62"/>
      <c r="KL6" s="62"/>
      <c r="KM6" s="237">
        <v>3312</v>
      </c>
      <c r="KN6" s="238"/>
      <c r="KO6" s="63" t="s">
        <v>55</v>
      </c>
      <c r="KP6" s="62"/>
      <c r="KQ6" s="62"/>
      <c r="KR6" s="237">
        <v>2208</v>
      </c>
      <c r="KS6" s="238"/>
      <c r="KT6" s="63" t="s">
        <v>55</v>
      </c>
      <c r="KU6" s="62"/>
      <c r="KV6" s="62"/>
      <c r="KW6" s="237">
        <v>11040</v>
      </c>
      <c r="KX6" s="238"/>
      <c r="KY6" s="63" t="s">
        <v>55</v>
      </c>
      <c r="KZ6" s="62"/>
      <c r="LA6" s="62"/>
      <c r="LB6" s="237">
        <v>6624</v>
      </c>
      <c r="LC6" s="238"/>
      <c r="LD6" s="63" t="s">
        <v>55</v>
      </c>
      <c r="LE6" s="62"/>
      <c r="LF6" s="62"/>
      <c r="LG6" s="237">
        <v>4416</v>
      </c>
      <c r="LH6" s="238"/>
      <c r="LI6" s="63" t="s">
        <v>55</v>
      </c>
      <c r="LJ6" s="62"/>
      <c r="LK6" s="62"/>
      <c r="LL6" s="237">
        <v>6624</v>
      </c>
      <c r="LM6" s="238"/>
      <c r="LN6" s="63" t="s">
        <v>55</v>
      </c>
      <c r="LO6" s="62"/>
      <c r="LP6" s="62"/>
      <c r="LQ6" s="237">
        <v>4416</v>
      </c>
      <c r="LR6" s="238"/>
      <c r="LS6" s="63" t="s">
        <v>55</v>
      </c>
      <c r="LT6" s="62"/>
      <c r="LU6" s="62"/>
      <c r="LV6" s="237">
        <v>2208</v>
      </c>
      <c r="LW6" s="238"/>
      <c r="LX6" s="63" t="s">
        <v>55</v>
      </c>
      <c r="LY6" s="62"/>
      <c r="LZ6" s="62"/>
      <c r="MA6" s="237">
        <v>6624</v>
      </c>
      <c r="MB6" s="238"/>
      <c r="MC6" s="63" t="s">
        <v>55</v>
      </c>
      <c r="MD6" s="62"/>
      <c r="ME6" s="62"/>
      <c r="MF6" s="237">
        <v>11040</v>
      </c>
      <c r="MG6" s="238"/>
      <c r="MH6" s="63" t="s">
        <v>55</v>
      </c>
      <c r="MI6" s="62"/>
      <c r="MJ6" s="62"/>
      <c r="MK6" s="237">
        <v>2208</v>
      </c>
      <c r="ML6" s="238"/>
      <c r="MM6" s="63" t="s">
        <v>55</v>
      </c>
      <c r="MN6" s="62"/>
      <c r="MO6" s="62"/>
      <c r="MP6" s="237">
        <v>4416</v>
      </c>
      <c r="MQ6" s="238"/>
      <c r="MR6" s="63" t="s">
        <v>55</v>
      </c>
      <c r="MS6" s="62"/>
      <c r="MT6" s="62"/>
      <c r="MU6" s="237">
        <v>4416</v>
      </c>
      <c r="MV6" s="238"/>
      <c r="MW6" s="63" t="s">
        <v>55</v>
      </c>
      <c r="MX6" s="62"/>
      <c r="MY6" s="62"/>
      <c r="MZ6" s="237">
        <v>4416</v>
      </c>
      <c r="NA6" s="238"/>
      <c r="NB6" s="63" t="s">
        <v>55</v>
      </c>
      <c r="NC6" s="62"/>
      <c r="ND6" s="62"/>
      <c r="NE6" s="237">
        <v>4416</v>
      </c>
      <c r="NF6" s="238"/>
      <c r="NG6" s="63" t="s">
        <v>55</v>
      </c>
      <c r="NH6" s="62"/>
      <c r="NI6" s="62"/>
      <c r="NJ6" s="237">
        <v>4416</v>
      </c>
      <c r="NK6" s="238"/>
      <c r="NL6" s="63" t="s">
        <v>55</v>
      </c>
      <c r="NM6" s="62"/>
      <c r="NN6" s="62"/>
      <c r="NO6" s="237">
        <v>4416</v>
      </c>
      <c r="NP6" s="238"/>
      <c r="NQ6" s="63" t="s">
        <v>55</v>
      </c>
      <c r="NR6" s="62"/>
      <c r="NS6" s="62"/>
      <c r="NT6" s="237">
        <v>11040</v>
      </c>
      <c r="NU6" s="238"/>
      <c r="NV6" s="63" t="s">
        <v>55</v>
      </c>
      <c r="NW6" s="62"/>
      <c r="NX6" s="62"/>
      <c r="NY6" s="237">
        <v>6624</v>
      </c>
      <c r="NZ6" s="238"/>
      <c r="OA6" s="63" t="s">
        <v>55</v>
      </c>
      <c r="OB6" s="62"/>
      <c r="OC6" s="62"/>
      <c r="OD6" s="237">
        <v>8832</v>
      </c>
      <c r="OE6" s="238"/>
      <c r="OF6" s="63" t="s">
        <v>55</v>
      </c>
      <c r="OG6" s="62"/>
      <c r="OH6" s="62"/>
      <c r="OI6" s="237">
        <v>0</v>
      </c>
      <c r="OJ6" s="238"/>
      <c r="OK6" s="63" t="s">
        <v>55</v>
      </c>
      <c r="OL6" s="62"/>
      <c r="OM6" s="62"/>
      <c r="ON6" s="237">
        <v>4416</v>
      </c>
      <c r="OO6" s="238"/>
      <c r="OP6" s="63" t="s">
        <v>55</v>
      </c>
      <c r="OQ6" s="62"/>
      <c r="OR6" s="62"/>
      <c r="OS6" s="237">
        <v>4416</v>
      </c>
      <c r="OT6" s="238"/>
      <c r="OU6" s="63" t="s">
        <v>55</v>
      </c>
      <c r="OV6" s="62"/>
      <c r="OW6" s="62"/>
      <c r="OX6" s="237">
        <v>4416</v>
      </c>
      <c r="OY6" s="238"/>
      <c r="OZ6" s="63" t="s">
        <v>55</v>
      </c>
      <c r="PA6" s="62"/>
      <c r="PB6" s="62"/>
      <c r="PC6" s="237">
        <v>4416</v>
      </c>
      <c r="PD6" s="238"/>
      <c r="PE6" s="63" t="s">
        <v>55</v>
      </c>
      <c r="PF6" s="62"/>
      <c r="PG6" s="62"/>
      <c r="PH6" s="237">
        <v>8832</v>
      </c>
      <c r="PI6" s="238"/>
      <c r="PJ6" s="63" t="s">
        <v>55</v>
      </c>
      <c r="PK6" s="62"/>
      <c r="PL6" s="62"/>
      <c r="PM6" s="237">
        <v>5466</v>
      </c>
      <c r="PN6" s="238"/>
      <c r="PO6" s="63" t="s">
        <v>55</v>
      </c>
      <c r="PP6" s="62"/>
      <c r="PQ6" s="62"/>
      <c r="PR6" s="237">
        <v>2208</v>
      </c>
      <c r="PS6" s="238"/>
      <c r="PT6" s="63" t="s">
        <v>55</v>
      </c>
      <c r="PU6" s="62"/>
      <c r="PV6" s="62"/>
      <c r="PW6" s="237">
        <v>4416</v>
      </c>
      <c r="PX6" s="238"/>
      <c r="PY6" s="63" t="s">
        <v>55</v>
      </c>
      <c r="PZ6" s="62"/>
      <c r="QA6" s="62"/>
      <c r="QB6" s="237">
        <v>6624</v>
      </c>
      <c r="QC6" s="238"/>
      <c r="QD6" s="63" t="s">
        <v>55</v>
      </c>
      <c r="QE6" s="62"/>
      <c r="QF6" s="62"/>
      <c r="QG6" s="237">
        <v>6624</v>
      </c>
      <c r="QH6" s="238"/>
      <c r="QI6" s="63" t="s">
        <v>55</v>
      </c>
      <c r="QJ6" s="62"/>
      <c r="QK6" s="62"/>
      <c r="QL6" s="237">
        <v>5520</v>
      </c>
      <c r="QM6" s="238"/>
      <c r="QN6" s="63" t="s">
        <v>55</v>
      </c>
      <c r="QO6" s="62"/>
      <c r="QP6" s="62"/>
      <c r="QQ6" s="237">
        <v>5520</v>
      </c>
      <c r="QR6" s="238"/>
      <c r="QS6" s="63" t="s">
        <v>55</v>
      </c>
      <c r="QT6" s="62"/>
      <c r="QU6" s="62"/>
      <c r="QV6" s="237">
        <v>11040</v>
      </c>
      <c r="QW6" s="238"/>
      <c r="QX6" s="63" t="s">
        <v>55</v>
      </c>
      <c r="QY6" s="62"/>
      <c r="QZ6" s="62"/>
      <c r="RA6" s="237">
        <v>2208</v>
      </c>
      <c r="RB6" s="238"/>
      <c r="RC6" s="63" t="s">
        <v>55</v>
      </c>
      <c r="RD6" s="62"/>
      <c r="RE6" s="62"/>
      <c r="RF6" s="237">
        <v>4416</v>
      </c>
      <c r="RG6" s="238"/>
      <c r="RH6" s="63" t="s">
        <v>55</v>
      </c>
      <c r="RI6" s="62"/>
      <c r="RJ6" s="62"/>
      <c r="RK6" s="237">
        <v>4416</v>
      </c>
      <c r="RL6" s="238"/>
      <c r="RM6" s="63" t="s">
        <v>55</v>
      </c>
      <c r="RN6" s="62"/>
      <c r="RO6" s="62"/>
      <c r="RP6" s="237">
        <v>6624</v>
      </c>
      <c r="RQ6" s="238"/>
      <c r="RR6" s="63" t="s">
        <v>55</v>
      </c>
      <c r="RS6" s="62"/>
      <c r="RT6" s="62"/>
      <c r="RU6" s="237">
        <v>4416</v>
      </c>
      <c r="RV6" s="238"/>
      <c r="RW6" s="63" t="s">
        <v>55</v>
      </c>
      <c r="RX6" s="62"/>
      <c r="RY6" s="62"/>
      <c r="RZ6" s="237">
        <v>0</v>
      </c>
      <c r="SA6" s="238"/>
      <c r="SB6" s="63" t="s">
        <v>55</v>
      </c>
      <c r="SC6" s="62"/>
      <c r="SD6" s="62"/>
      <c r="SE6" s="237">
        <v>12144</v>
      </c>
      <c r="SF6" s="238"/>
      <c r="SG6" s="63" t="s">
        <v>55</v>
      </c>
      <c r="SH6" s="62"/>
      <c r="SI6" s="62"/>
      <c r="SJ6" s="237">
        <v>11040</v>
      </c>
      <c r="SK6" s="238"/>
      <c r="SL6" s="63" t="s">
        <v>55</v>
      </c>
      <c r="SM6" s="62"/>
      <c r="SN6" s="62"/>
      <c r="SO6" s="237">
        <v>4416</v>
      </c>
      <c r="SP6" s="238"/>
      <c r="SQ6" s="63" t="s">
        <v>55</v>
      </c>
      <c r="SR6" s="62"/>
      <c r="SS6" s="62"/>
      <c r="ST6" s="237">
        <v>2208</v>
      </c>
      <c r="SU6" s="238"/>
      <c r="SV6" s="63" t="s">
        <v>55</v>
      </c>
      <c r="SW6" s="62"/>
      <c r="SX6" s="62"/>
      <c r="SY6" s="237">
        <v>6624</v>
      </c>
      <c r="SZ6" s="238"/>
      <c r="TA6" s="63" t="s">
        <v>55</v>
      </c>
      <c r="TB6" s="62"/>
      <c r="TC6" s="62"/>
      <c r="TD6" s="237">
        <v>5520</v>
      </c>
      <c r="TE6" s="238"/>
      <c r="TF6" s="63" t="s">
        <v>55</v>
      </c>
      <c r="TG6" s="62"/>
      <c r="TH6" s="62"/>
      <c r="TI6" s="237">
        <v>3312</v>
      </c>
      <c r="TJ6" s="238"/>
      <c r="TK6" s="63" t="s">
        <v>55</v>
      </c>
      <c r="TL6" s="62"/>
      <c r="TM6" s="62"/>
      <c r="TN6" s="237">
        <v>4416</v>
      </c>
      <c r="TO6" s="238"/>
      <c r="TP6" s="63" t="s">
        <v>55</v>
      </c>
      <c r="TQ6" s="62"/>
      <c r="TR6" s="62"/>
      <c r="TS6" s="237">
        <v>16560</v>
      </c>
      <c r="TT6" s="238"/>
      <c r="TU6" s="63" t="s">
        <v>55</v>
      </c>
      <c r="TV6" s="62"/>
      <c r="TW6" s="62"/>
      <c r="TX6" s="237">
        <v>11040</v>
      </c>
      <c r="TY6" s="238"/>
      <c r="TZ6" s="63" t="s">
        <v>55</v>
      </c>
      <c r="UA6" s="62"/>
      <c r="UB6" s="62"/>
      <c r="UC6" s="237">
        <v>2208</v>
      </c>
      <c r="UD6" s="238"/>
      <c r="UE6" s="63" t="s">
        <v>55</v>
      </c>
      <c r="UF6" s="62"/>
      <c r="UG6" s="62"/>
      <c r="UH6" s="237">
        <v>4968</v>
      </c>
      <c r="UI6" s="238"/>
      <c r="UJ6" s="63" t="s">
        <v>55</v>
      </c>
      <c r="UK6" s="62"/>
      <c r="UL6" s="62"/>
      <c r="UM6" s="237">
        <v>4416</v>
      </c>
      <c r="UN6" s="238"/>
      <c r="UO6" s="63" t="s">
        <v>55</v>
      </c>
      <c r="UP6" s="62"/>
      <c r="UQ6" s="62"/>
      <c r="UR6" s="237">
        <v>11040</v>
      </c>
      <c r="US6" s="238"/>
      <c r="UT6" s="63" t="s">
        <v>55</v>
      </c>
      <c r="UU6" s="62"/>
      <c r="UV6" s="62"/>
      <c r="UW6" s="237">
        <v>5520</v>
      </c>
      <c r="UX6" s="238"/>
      <c r="UY6" s="63" t="s">
        <v>55</v>
      </c>
      <c r="UZ6" s="62"/>
      <c r="VA6" s="62"/>
      <c r="VB6" s="237">
        <v>6624</v>
      </c>
      <c r="VC6" s="238"/>
      <c r="VD6" s="63" t="s">
        <v>55</v>
      </c>
      <c r="VE6" s="62"/>
      <c r="VF6" s="62"/>
      <c r="VG6" s="237">
        <v>4416</v>
      </c>
      <c r="VH6" s="238"/>
      <c r="VI6" s="63" t="s">
        <v>55</v>
      </c>
      <c r="VJ6" s="62"/>
      <c r="VK6" s="62"/>
      <c r="VL6" s="237">
        <v>11040</v>
      </c>
      <c r="VM6" s="238"/>
      <c r="VN6" s="63" t="s">
        <v>55</v>
      </c>
      <c r="VO6" s="62"/>
      <c r="VP6" s="62"/>
      <c r="VQ6" s="237">
        <v>3312</v>
      </c>
      <c r="VR6" s="238"/>
      <c r="VS6" s="63" t="s">
        <v>55</v>
      </c>
      <c r="VT6" s="62"/>
      <c r="VU6" s="62"/>
      <c r="VV6" s="237">
        <v>3312</v>
      </c>
      <c r="VW6" s="238"/>
      <c r="VX6" s="63" t="s">
        <v>55</v>
      </c>
      <c r="VY6" s="62"/>
      <c r="VZ6" s="62"/>
      <c r="WA6" s="237">
        <v>4416</v>
      </c>
      <c r="WB6" s="238"/>
      <c r="WC6" s="63" t="s">
        <v>55</v>
      </c>
      <c r="WD6" s="62"/>
      <c r="WE6" s="62"/>
      <c r="WF6" s="237">
        <v>2208</v>
      </c>
      <c r="WG6" s="238"/>
      <c r="WH6" s="63" t="s">
        <v>55</v>
      </c>
      <c r="WI6" s="62"/>
      <c r="WJ6" s="62"/>
      <c r="WK6" s="237">
        <v>8832</v>
      </c>
      <c r="WL6" s="238"/>
      <c r="WM6" s="63" t="s">
        <v>55</v>
      </c>
      <c r="WN6" s="62"/>
      <c r="WO6" s="62"/>
      <c r="WP6" s="237">
        <v>17664</v>
      </c>
      <c r="WQ6" s="238"/>
      <c r="WR6" s="63" t="s">
        <v>55</v>
      </c>
      <c r="WS6" s="62"/>
      <c r="WT6" s="62"/>
      <c r="WU6" s="237">
        <v>6624</v>
      </c>
      <c r="WV6" s="238"/>
      <c r="WW6" s="63" t="s">
        <v>55</v>
      </c>
      <c r="WX6" s="62"/>
      <c r="WY6" s="62"/>
      <c r="WZ6" s="237">
        <v>2208</v>
      </c>
      <c r="XA6" s="238"/>
      <c r="XB6" s="63" t="s">
        <v>55</v>
      </c>
      <c r="XC6" s="62"/>
      <c r="XD6" s="62"/>
      <c r="XE6" s="237">
        <v>2208</v>
      </c>
      <c r="XF6" s="238"/>
      <c r="XG6" s="63" t="s">
        <v>55</v>
      </c>
      <c r="XH6" s="62"/>
      <c r="XI6" s="62"/>
      <c r="XJ6" s="237">
        <v>6624</v>
      </c>
      <c r="XK6" s="238"/>
      <c r="XL6" s="63" t="s">
        <v>55</v>
      </c>
      <c r="XM6" s="62"/>
      <c r="XN6" s="62"/>
      <c r="XO6" s="237">
        <v>4416</v>
      </c>
      <c r="XP6" s="238"/>
      <c r="XQ6" s="63" t="s">
        <v>55</v>
      </c>
      <c r="XR6" s="62"/>
      <c r="XS6" s="62"/>
      <c r="XT6" s="237">
        <v>3312</v>
      </c>
      <c r="XU6" s="238"/>
      <c r="XV6" s="63" t="s">
        <v>55</v>
      </c>
      <c r="XW6" s="62"/>
      <c r="XX6" s="62"/>
      <c r="XY6" s="237">
        <v>3312</v>
      </c>
      <c r="XZ6" s="238"/>
      <c r="YA6" s="63" t="s">
        <v>55</v>
      </c>
      <c r="YB6" s="62"/>
      <c r="YC6" s="62"/>
      <c r="YD6" s="237">
        <v>6624</v>
      </c>
      <c r="YE6" s="238"/>
      <c r="YF6" s="63" t="s">
        <v>55</v>
      </c>
      <c r="YG6" s="62"/>
      <c r="YH6" s="62"/>
      <c r="YI6" s="237">
        <v>4416</v>
      </c>
      <c r="YJ6" s="238"/>
      <c r="YK6" s="63" t="s">
        <v>55</v>
      </c>
      <c r="YL6" s="62"/>
      <c r="YM6" s="62"/>
      <c r="YN6" s="237">
        <v>4416</v>
      </c>
      <c r="YO6" s="238"/>
      <c r="YP6" s="63" t="s">
        <v>55</v>
      </c>
      <c r="YQ6" s="62"/>
      <c r="YR6" s="62"/>
      <c r="YS6" s="237">
        <v>3312</v>
      </c>
      <c r="YT6" s="238"/>
      <c r="YU6" s="63" t="s">
        <v>55</v>
      </c>
      <c r="YV6" s="62"/>
      <c r="YW6" s="62"/>
      <c r="YX6" s="237">
        <v>4416</v>
      </c>
      <c r="YY6" s="238"/>
      <c r="YZ6" s="63" t="s">
        <v>55</v>
      </c>
      <c r="ZA6" s="62"/>
      <c r="ZB6" s="62"/>
      <c r="ZC6" s="237">
        <v>2208</v>
      </c>
      <c r="ZD6" s="238"/>
      <c r="ZE6" s="63" t="s">
        <v>55</v>
      </c>
      <c r="ZF6" s="62"/>
      <c r="ZG6" s="62"/>
      <c r="ZH6" s="237">
        <v>4416</v>
      </c>
      <c r="ZI6" s="238"/>
      <c r="ZJ6" s="63" t="s">
        <v>55</v>
      </c>
      <c r="ZK6" s="62"/>
      <c r="ZL6" s="62"/>
      <c r="ZM6" s="237">
        <v>4416</v>
      </c>
      <c r="ZN6" s="238"/>
      <c r="ZO6" s="63" t="s">
        <v>55</v>
      </c>
      <c r="ZP6" s="62"/>
      <c r="ZQ6" s="62"/>
      <c r="ZR6" s="237">
        <v>2208</v>
      </c>
      <c r="ZS6" s="238"/>
      <c r="ZT6" s="63" t="s">
        <v>55</v>
      </c>
      <c r="ZU6" s="62"/>
      <c r="ZV6" s="62"/>
      <c r="ZW6" s="237">
        <v>4416</v>
      </c>
      <c r="ZX6" s="238"/>
      <c r="ZY6" s="63" t="s">
        <v>55</v>
      </c>
      <c r="ZZ6" s="62"/>
      <c r="AAA6" s="62"/>
      <c r="AAB6" s="237">
        <v>1104</v>
      </c>
      <c r="AAC6" s="238"/>
      <c r="AAD6" s="63" t="s">
        <v>55</v>
      </c>
      <c r="AAE6" s="62"/>
      <c r="AAF6" s="62"/>
      <c r="AAG6" s="237">
        <v>2208</v>
      </c>
      <c r="AAH6" s="238"/>
      <c r="AAI6" s="63" t="s">
        <v>55</v>
      </c>
      <c r="AAJ6" s="62"/>
      <c r="AAK6" s="62"/>
      <c r="AAL6" s="237">
        <v>6624</v>
      </c>
      <c r="AAM6" s="238"/>
      <c r="AAN6" s="63" t="s">
        <v>55</v>
      </c>
      <c r="AAO6" s="62"/>
      <c r="AAP6" s="62"/>
      <c r="AAQ6" s="237">
        <v>4416</v>
      </c>
      <c r="AAR6" s="238"/>
      <c r="AAS6" s="63" t="s">
        <v>55</v>
      </c>
      <c r="AAT6" s="62"/>
      <c r="AAU6" s="62"/>
      <c r="AAV6" s="237">
        <v>2208</v>
      </c>
      <c r="AAW6" s="238"/>
      <c r="AAX6" s="63" t="s">
        <v>55</v>
      </c>
      <c r="AAY6" s="62"/>
      <c r="AAZ6" s="62"/>
      <c r="ABA6" s="237">
        <v>4416</v>
      </c>
      <c r="ABB6" s="238"/>
      <c r="ABC6" s="63" t="s">
        <v>55</v>
      </c>
      <c r="ABD6" s="62"/>
      <c r="ABE6" s="62"/>
      <c r="ABF6" s="237">
        <v>2208</v>
      </c>
      <c r="ABG6" s="238"/>
      <c r="ABH6" s="63" t="s">
        <v>55</v>
      </c>
      <c r="ABI6" s="62"/>
      <c r="ABJ6" s="62"/>
      <c r="ABK6" s="237">
        <v>7728</v>
      </c>
      <c r="ABL6" s="238"/>
      <c r="ABM6" s="63" t="s">
        <v>55</v>
      </c>
      <c r="ABN6" s="62"/>
      <c r="ABO6" s="62"/>
      <c r="ABP6" s="237">
        <v>2208</v>
      </c>
      <c r="ABQ6" s="238"/>
      <c r="ABR6" s="63" t="s">
        <v>55</v>
      </c>
      <c r="ABS6" s="62"/>
      <c r="ABT6" s="62"/>
      <c r="ABU6" s="237">
        <v>2208</v>
      </c>
      <c r="ABV6" s="238"/>
      <c r="ABW6" s="63" t="s">
        <v>55</v>
      </c>
      <c r="ABX6" s="62"/>
      <c r="ABY6" s="62"/>
      <c r="ABZ6" s="237">
        <v>13248</v>
      </c>
      <c r="ACA6" s="238"/>
      <c r="ACB6" s="63" t="s">
        <v>55</v>
      </c>
      <c r="ACC6" s="62"/>
      <c r="ACD6" s="62"/>
      <c r="ACE6" s="237">
        <v>4416</v>
      </c>
      <c r="ACF6" s="238"/>
      <c r="ACG6" s="63" t="s">
        <v>55</v>
      </c>
      <c r="ACH6" s="62"/>
      <c r="ACI6" s="62"/>
      <c r="ACJ6" s="237">
        <v>2208</v>
      </c>
      <c r="ACK6" s="238"/>
      <c r="ACL6" s="63" t="s">
        <v>55</v>
      </c>
      <c r="ACM6" s="62"/>
      <c r="ACN6" s="62"/>
      <c r="ACO6" s="237">
        <v>3312</v>
      </c>
      <c r="ACP6" s="238"/>
      <c r="ACQ6" s="63" t="s">
        <v>55</v>
      </c>
      <c r="ACR6" s="62"/>
      <c r="ACS6" s="62"/>
      <c r="ACT6" s="237">
        <v>0</v>
      </c>
      <c r="ACU6" s="238"/>
      <c r="ACV6" s="63" t="s">
        <v>55</v>
      </c>
      <c r="ACW6" s="62"/>
      <c r="ACX6" s="62"/>
      <c r="ACY6" s="237">
        <v>8832</v>
      </c>
      <c r="ACZ6" s="238"/>
      <c r="ADA6" s="63" t="s">
        <v>55</v>
      </c>
      <c r="ADB6" s="62"/>
      <c r="ADC6" s="62"/>
      <c r="ADD6" s="237">
        <v>4416</v>
      </c>
      <c r="ADE6" s="238"/>
      <c r="ADF6" s="63" t="s">
        <v>55</v>
      </c>
      <c r="ADG6" s="62"/>
      <c r="ADH6" s="62"/>
      <c r="ADI6" s="237">
        <v>4416</v>
      </c>
      <c r="ADJ6" s="238"/>
      <c r="ADK6" s="63" t="s">
        <v>55</v>
      </c>
      <c r="ADL6" s="62"/>
      <c r="ADM6" s="62"/>
      <c r="ADN6" s="237">
        <v>4416</v>
      </c>
      <c r="ADO6" s="238"/>
      <c r="ADP6" s="63" t="s">
        <v>55</v>
      </c>
      <c r="ADQ6" s="62"/>
      <c r="ADR6" s="62"/>
      <c r="ADS6" s="237">
        <v>1656</v>
      </c>
      <c r="ADT6" s="238"/>
      <c r="ADU6" s="63" t="s">
        <v>55</v>
      </c>
      <c r="ADV6" s="62"/>
      <c r="ADW6" s="62"/>
      <c r="ADX6" s="237">
        <v>2208</v>
      </c>
      <c r="ADY6" s="238"/>
      <c r="ADZ6" s="63" t="s">
        <v>55</v>
      </c>
      <c r="AEA6" s="62"/>
      <c r="AEB6" s="62"/>
      <c r="AEC6" s="237">
        <v>2208</v>
      </c>
      <c r="AED6" s="238"/>
      <c r="AEE6" s="63" t="s">
        <v>55</v>
      </c>
      <c r="AEF6" s="62"/>
      <c r="AEG6" s="62"/>
      <c r="AEH6" s="237">
        <v>5520</v>
      </c>
      <c r="AEI6" s="238"/>
      <c r="AEJ6" s="63" t="s">
        <v>55</v>
      </c>
      <c r="AEK6" s="62"/>
      <c r="AEL6" s="62"/>
      <c r="AEM6" s="237">
        <v>4416</v>
      </c>
      <c r="AEN6" s="238"/>
      <c r="AEO6" s="63" t="s">
        <v>55</v>
      </c>
      <c r="AEP6" s="62"/>
      <c r="AEQ6" s="62"/>
      <c r="AER6" s="237">
        <v>8832</v>
      </c>
      <c r="AES6" s="238"/>
      <c r="AET6" s="63" t="s">
        <v>55</v>
      </c>
      <c r="AEU6" s="62"/>
      <c r="AEV6" s="62"/>
      <c r="AEW6" s="237">
        <v>3312</v>
      </c>
      <c r="AEX6" s="238"/>
      <c r="AEY6" s="63" t="s">
        <v>55</v>
      </c>
      <c r="AEZ6" s="62"/>
      <c r="AFA6" s="62"/>
      <c r="AFB6" s="237">
        <v>4416</v>
      </c>
      <c r="AFC6" s="238"/>
      <c r="AFD6" s="63" t="s">
        <v>55</v>
      </c>
      <c r="AFE6" s="62"/>
      <c r="AFF6" s="62"/>
      <c r="AFG6" s="237">
        <v>3312</v>
      </c>
      <c r="AFH6" s="238"/>
      <c r="AFI6" s="63" t="s">
        <v>55</v>
      </c>
      <c r="AFJ6" s="62"/>
      <c r="AFK6" s="62"/>
      <c r="AFL6" s="237">
        <v>4416</v>
      </c>
      <c r="AFM6" s="238"/>
      <c r="AFN6" s="63" t="s">
        <v>55</v>
      </c>
      <c r="AFO6" s="62"/>
      <c r="AFP6" s="62"/>
      <c r="AFQ6" s="237">
        <v>2208</v>
      </c>
      <c r="AFR6" s="238"/>
      <c r="AFS6" s="63" t="s">
        <v>55</v>
      </c>
      <c r="AFT6" s="62"/>
      <c r="AFU6" s="62"/>
      <c r="AFV6" s="237">
        <v>3312</v>
      </c>
      <c r="AFW6" s="238"/>
      <c r="AFX6" s="63" t="s">
        <v>55</v>
      </c>
      <c r="AFY6" s="62"/>
      <c r="AFZ6" s="62"/>
      <c r="AGA6" s="237">
        <v>4416</v>
      </c>
      <c r="AGB6" s="238"/>
      <c r="AGC6" s="63" t="s">
        <v>55</v>
      </c>
      <c r="AGD6" s="62"/>
      <c r="AGE6" s="62"/>
      <c r="AGF6" s="237">
        <v>2208</v>
      </c>
      <c r="AGG6" s="238"/>
      <c r="AGH6" s="63" t="s">
        <v>55</v>
      </c>
      <c r="AGI6" s="62"/>
      <c r="AGJ6" s="62"/>
      <c r="AGK6" s="237">
        <v>4416</v>
      </c>
      <c r="AGL6" s="238"/>
      <c r="AGM6" s="63" t="s">
        <v>55</v>
      </c>
      <c r="AGN6" s="62"/>
      <c r="AGO6" s="62"/>
      <c r="AGP6" s="237">
        <v>5520</v>
      </c>
      <c r="AGQ6" s="238"/>
      <c r="AGR6" s="63" t="s">
        <v>55</v>
      </c>
      <c r="AGS6" s="62"/>
      <c r="AGT6" s="62"/>
      <c r="AGU6" s="237">
        <v>4416</v>
      </c>
      <c r="AGV6" s="238"/>
      <c r="AGW6" s="63" t="s">
        <v>55</v>
      </c>
      <c r="AGX6" s="62"/>
      <c r="AGY6" s="62"/>
      <c r="AGZ6" s="237">
        <v>0</v>
      </c>
      <c r="AHA6" s="238"/>
      <c r="AHB6" s="63" t="s">
        <v>55</v>
      </c>
      <c r="AHC6" s="62"/>
      <c r="AHD6" s="62"/>
      <c r="AHE6" s="237">
        <v>4416</v>
      </c>
      <c r="AHF6" s="238"/>
      <c r="AHG6" s="63" t="s">
        <v>55</v>
      </c>
      <c r="AHH6" s="62"/>
      <c r="AHI6" s="62"/>
      <c r="AHJ6" s="237">
        <v>6624</v>
      </c>
      <c r="AHK6" s="238"/>
      <c r="AHL6" s="63" t="s">
        <v>55</v>
      </c>
      <c r="AHM6" s="62"/>
      <c r="AHN6" s="62"/>
      <c r="AHO6" s="237">
        <v>6624</v>
      </c>
      <c r="AHP6" s="238"/>
      <c r="AHQ6" s="63" t="s">
        <v>55</v>
      </c>
      <c r="AHR6" s="62"/>
      <c r="AHS6" s="62"/>
      <c r="AHT6" s="237">
        <v>4416</v>
      </c>
      <c r="AHU6" s="238"/>
      <c r="AHV6" s="63" t="s">
        <v>55</v>
      </c>
      <c r="AHW6" s="62"/>
      <c r="AHX6" s="62"/>
      <c r="AHY6" s="237">
        <v>2208</v>
      </c>
      <c r="AHZ6" s="238"/>
      <c r="AIA6" s="63" t="s">
        <v>55</v>
      </c>
      <c r="AIB6" s="62"/>
      <c r="AIC6" s="62"/>
      <c r="AID6" s="237">
        <v>14971</v>
      </c>
      <c r="AIE6" s="238"/>
      <c r="AIF6" s="63" t="s">
        <v>55</v>
      </c>
      <c r="AIG6" s="62"/>
      <c r="AIH6" s="62"/>
      <c r="AII6" s="237">
        <v>4416</v>
      </c>
      <c r="AIJ6" s="238"/>
      <c r="AIK6" s="63" t="s">
        <v>55</v>
      </c>
      <c r="AIL6" s="62"/>
      <c r="AIM6" s="62"/>
      <c r="AIN6" s="237">
        <v>2208</v>
      </c>
      <c r="AIO6" s="238"/>
      <c r="AIP6" s="63" t="s">
        <v>55</v>
      </c>
      <c r="AIQ6" s="62"/>
      <c r="AIR6" s="62"/>
      <c r="AIS6" s="237">
        <v>2208</v>
      </c>
      <c r="AIT6" s="238"/>
      <c r="AIU6" s="63" t="s">
        <v>55</v>
      </c>
      <c r="AIV6" s="62"/>
      <c r="AIW6" s="62"/>
      <c r="AIX6" s="237">
        <v>4416</v>
      </c>
      <c r="AIY6" s="238"/>
      <c r="AIZ6" s="63" t="s">
        <v>55</v>
      </c>
      <c r="AJA6" s="62"/>
      <c r="AJB6" s="62"/>
      <c r="AJC6" s="237">
        <v>2208</v>
      </c>
      <c r="AJD6" s="238"/>
      <c r="AJE6" s="63" t="s">
        <v>55</v>
      </c>
      <c r="AJF6" s="62"/>
      <c r="AJG6" s="62"/>
      <c r="AJH6" s="237">
        <v>3312</v>
      </c>
      <c r="AJI6" s="238"/>
      <c r="AJJ6" s="63" t="s">
        <v>55</v>
      </c>
      <c r="AJK6" s="62"/>
      <c r="AJL6" s="62"/>
      <c r="AJM6" s="237">
        <v>3312</v>
      </c>
      <c r="AJN6" s="238"/>
      <c r="AJO6" s="63" t="s">
        <v>55</v>
      </c>
      <c r="AJP6" s="62"/>
      <c r="AJQ6" s="62"/>
      <c r="AJR6" s="237">
        <v>15456</v>
      </c>
      <c r="AJS6" s="238"/>
      <c r="AJT6" s="63" t="s">
        <v>55</v>
      </c>
      <c r="AJU6" s="62"/>
      <c r="AJV6" s="62"/>
      <c r="AJW6" s="237">
        <v>14352</v>
      </c>
      <c r="AJX6" s="238"/>
      <c r="AJY6" s="63" t="s">
        <v>55</v>
      </c>
      <c r="AJZ6" s="62"/>
      <c r="AKA6" s="62"/>
      <c r="AKB6" s="237">
        <v>4416</v>
      </c>
      <c r="AKC6" s="238"/>
      <c r="AKD6" s="63" t="s">
        <v>55</v>
      </c>
      <c r="AKE6" s="62"/>
      <c r="AKF6" s="62"/>
      <c r="AKG6" s="237">
        <v>4416</v>
      </c>
      <c r="AKH6" s="238"/>
      <c r="AKI6" s="63" t="s">
        <v>55</v>
      </c>
      <c r="AKJ6" s="62"/>
      <c r="AKK6" s="62"/>
      <c r="AKL6" s="237">
        <v>2208</v>
      </c>
      <c r="AKM6" s="238"/>
      <c r="AKN6" s="63" t="s">
        <v>55</v>
      </c>
      <c r="AKO6" s="62"/>
      <c r="AKP6" s="62"/>
      <c r="AKQ6" s="237">
        <v>6624</v>
      </c>
      <c r="AKR6" s="238"/>
      <c r="AKS6" s="63" t="s">
        <v>55</v>
      </c>
      <c r="AKT6" s="62"/>
      <c r="AKU6" s="62"/>
      <c r="AKV6" s="237">
        <v>6624</v>
      </c>
      <c r="AKW6" s="238"/>
      <c r="AKX6" s="63" t="s">
        <v>55</v>
      </c>
      <c r="AKY6" s="62"/>
      <c r="AKZ6" s="62"/>
      <c r="ALA6" s="237">
        <v>2208</v>
      </c>
      <c r="ALB6" s="238"/>
      <c r="ALC6" s="63" t="s">
        <v>55</v>
      </c>
      <c r="ALD6" s="62"/>
      <c r="ALE6" s="62"/>
      <c r="ALF6" s="237">
        <v>13248</v>
      </c>
      <c r="ALG6" s="238"/>
      <c r="ALH6" s="63" t="s">
        <v>55</v>
      </c>
      <c r="ALI6" s="62"/>
      <c r="ALJ6" s="62"/>
      <c r="ALK6" s="237">
        <v>4416</v>
      </c>
      <c r="ALL6" s="238"/>
      <c r="ALM6" s="63" t="s">
        <v>55</v>
      </c>
      <c r="ALN6" s="62"/>
      <c r="ALO6" s="62"/>
      <c r="ALP6" s="237">
        <v>2208</v>
      </c>
      <c r="ALQ6" s="238"/>
      <c r="ALR6" s="63" t="s">
        <v>55</v>
      </c>
      <c r="ALS6" s="62"/>
      <c r="ALT6" s="62"/>
      <c r="ALU6" s="237">
        <v>4416</v>
      </c>
      <c r="ALV6" s="238"/>
      <c r="ALW6" s="63" t="s">
        <v>55</v>
      </c>
      <c r="ALX6" s="62"/>
      <c r="ALY6" s="62"/>
      <c r="ALZ6" s="237">
        <v>4416</v>
      </c>
      <c r="AMA6" s="238"/>
      <c r="AMB6" s="63" t="s">
        <v>55</v>
      </c>
      <c r="AMC6" s="62"/>
      <c r="AMD6" s="62"/>
      <c r="AME6" s="237">
        <v>4416</v>
      </c>
      <c r="AMF6" s="238"/>
      <c r="AMG6" s="63" t="s">
        <v>55</v>
      </c>
      <c r="AMH6" s="62"/>
      <c r="AMI6" s="62"/>
      <c r="AMJ6" s="237">
        <v>4416</v>
      </c>
      <c r="AMK6" s="238"/>
      <c r="AML6" s="63" t="s">
        <v>55</v>
      </c>
      <c r="AMM6" s="62"/>
      <c r="AMN6" s="62"/>
      <c r="AMO6" s="237">
        <v>4416</v>
      </c>
      <c r="AMP6" s="238"/>
      <c r="AMQ6" s="63" t="s">
        <v>55</v>
      </c>
      <c r="AMR6" s="62"/>
      <c r="AMS6" s="62"/>
      <c r="AMT6" s="237">
        <v>4416</v>
      </c>
      <c r="AMU6" s="238"/>
      <c r="AMV6" s="63" t="s">
        <v>55</v>
      </c>
      <c r="AMW6" s="62"/>
      <c r="AMX6" s="62"/>
      <c r="AMY6" s="237">
        <v>2208</v>
      </c>
      <c r="AMZ6" s="238"/>
      <c r="ANA6" s="63" t="s">
        <v>55</v>
      </c>
      <c r="ANB6" s="62"/>
      <c r="ANC6" s="62"/>
      <c r="AND6" s="237">
        <v>2208</v>
      </c>
      <c r="ANE6" s="238"/>
      <c r="ANF6" s="63" t="s">
        <v>55</v>
      </c>
      <c r="ANG6" s="62"/>
      <c r="ANH6" s="62"/>
      <c r="ANI6" s="237">
        <v>2208</v>
      </c>
      <c r="ANJ6" s="238"/>
      <c r="ANK6" s="63" t="s">
        <v>55</v>
      </c>
      <c r="ANL6" s="62"/>
      <c r="ANM6" s="62"/>
      <c r="ANN6" s="237">
        <v>5520</v>
      </c>
      <c r="ANO6" s="238"/>
      <c r="ANP6" s="63" t="s">
        <v>55</v>
      </c>
      <c r="ANQ6" s="62"/>
      <c r="ANR6" s="62"/>
      <c r="ANS6" s="237">
        <v>8832</v>
      </c>
      <c r="ANT6" s="238"/>
      <c r="ANU6" s="63" t="s">
        <v>55</v>
      </c>
      <c r="ANV6" s="62"/>
      <c r="ANW6" s="62"/>
      <c r="ANX6" s="237">
        <v>0</v>
      </c>
      <c r="ANY6" s="238"/>
      <c r="ANZ6" s="63" t="s">
        <v>55</v>
      </c>
      <c r="AOA6" s="62"/>
      <c r="AOB6" s="62"/>
      <c r="AOC6" s="237">
        <v>4416</v>
      </c>
      <c r="AOD6" s="238"/>
      <c r="AOE6" s="63" t="s">
        <v>55</v>
      </c>
      <c r="AOF6" s="62"/>
      <c r="AOG6" s="62"/>
      <c r="AOH6" s="237">
        <v>4416</v>
      </c>
      <c r="AOI6" s="238"/>
      <c r="AOJ6" s="63" t="s">
        <v>55</v>
      </c>
      <c r="AOK6" s="62"/>
      <c r="AOL6" s="62"/>
      <c r="AOM6" s="237">
        <v>0</v>
      </c>
      <c r="AON6" s="238"/>
      <c r="AOO6" s="63" t="s">
        <v>55</v>
      </c>
      <c r="AOP6" s="62"/>
      <c r="AOQ6" s="62"/>
      <c r="AOR6" s="237">
        <v>2208</v>
      </c>
      <c r="AOS6" s="238"/>
      <c r="AOT6" s="63" t="s">
        <v>55</v>
      </c>
      <c r="AOU6" s="62"/>
      <c r="AOV6" s="62"/>
      <c r="AOW6" s="237">
        <v>6624</v>
      </c>
      <c r="AOX6" s="238"/>
      <c r="AOY6" s="63" t="s">
        <v>55</v>
      </c>
      <c r="AOZ6" s="62"/>
      <c r="APA6" s="62"/>
      <c r="APB6" s="237">
        <v>6624</v>
      </c>
      <c r="APC6" s="238"/>
      <c r="APD6" s="63" t="s">
        <v>55</v>
      </c>
      <c r="APE6" s="62"/>
      <c r="APF6" s="62"/>
      <c r="APG6" s="237">
        <v>4416</v>
      </c>
      <c r="APH6" s="238"/>
      <c r="API6" s="63" t="s">
        <v>55</v>
      </c>
      <c r="APJ6" s="62"/>
      <c r="APK6" s="62"/>
      <c r="APL6" s="237">
        <v>2208</v>
      </c>
      <c r="APM6" s="238"/>
      <c r="APN6" s="63" t="s">
        <v>55</v>
      </c>
      <c r="APO6" s="62"/>
      <c r="APP6" s="62"/>
      <c r="APQ6" s="237">
        <v>0</v>
      </c>
      <c r="APR6" s="238"/>
      <c r="APS6" s="63" t="s">
        <v>55</v>
      </c>
      <c r="APT6" s="62"/>
      <c r="APU6" s="62"/>
      <c r="APV6" s="237">
        <v>6624</v>
      </c>
      <c r="APW6" s="238"/>
      <c r="APX6" s="63" t="s">
        <v>55</v>
      </c>
      <c r="APY6" s="62"/>
      <c r="APZ6" s="62"/>
      <c r="AQA6" s="237">
        <v>8832</v>
      </c>
      <c r="AQB6" s="238"/>
      <c r="AQC6" s="63" t="s">
        <v>55</v>
      </c>
      <c r="AQD6" s="62"/>
      <c r="AQE6" s="62"/>
      <c r="AQF6" s="237">
        <v>22080</v>
      </c>
      <c r="AQG6" s="238"/>
      <c r="AQH6" s="63" t="s">
        <v>55</v>
      </c>
      <c r="AQI6" s="62"/>
      <c r="AQJ6" s="62"/>
      <c r="AQK6" s="237">
        <v>6624</v>
      </c>
      <c r="AQL6" s="238"/>
      <c r="AQM6" s="63" t="s">
        <v>55</v>
      </c>
      <c r="AQN6" s="62"/>
      <c r="AQO6" s="62"/>
      <c r="AQP6" s="237">
        <v>0</v>
      </c>
      <c r="AQQ6" s="238"/>
      <c r="AQR6" s="63" t="s">
        <v>55</v>
      </c>
      <c r="AQS6" s="62"/>
      <c r="AQT6" s="62"/>
      <c r="AQU6" s="237">
        <v>0</v>
      </c>
      <c r="AQV6" s="238"/>
      <c r="AQW6" s="63" t="s">
        <v>55</v>
      </c>
      <c r="AQX6" s="62"/>
      <c r="AQY6" s="62"/>
      <c r="AQZ6" s="237">
        <v>2208</v>
      </c>
      <c r="ARA6" s="238"/>
      <c r="ARB6" s="63" t="s">
        <v>55</v>
      </c>
      <c r="ARC6" s="62"/>
      <c r="ARD6" s="62"/>
      <c r="ARE6" s="237">
        <v>0</v>
      </c>
      <c r="ARF6" s="238"/>
      <c r="ARG6" s="63" t="s">
        <v>55</v>
      </c>
      <c r="ARH6" s="62"/>
      <c r="ARI6" s="62"/>
      <c r="ARJ6" s="237">
        <v>2208</v>
      </c>
      <c r="ARK6" s="238"/>
      <c r="ARL6" s="63" t="s">
        <v>55</v>
      </c>
      <c r="ARM6" s="62"/>
      <c r="ARN6" s="62"/>
      <c r="ARO6" s="237">
        <v>2208</v>
      </c>
      <c r="ARP6" s="238"/>
      <c r="ARQ6" s="63" t="s">
        <v>55</v>
      </c>
      <c r="ARR6" s="62"/>
      <c r="ARS6" s="62"/>
      <c r="ART6" s="237">
        <v>6624</v>
      </c>
      <c r="ARU6" s="238"/>
      <c r="ARV6" s="63" t="s">
        <v>55</v>
      </c>
      <c r="ARW6" s="62"/>
      <c r="ARX6" s="62"/>
      <c r="ARY6" s="237">
        <v>2208</v>
      </c>
      <c r="ARZ6" s="238"/>
      <c r="ASA6" s="63" t="s">
        <v>55</v>
      </c>
      <c r="ASB6" s="62"/>
      <c r="ASC6" s="62"/>
      <c r="ASD6" s="237">
        <v>0</v>
      </c>
      <c r="ASE6" s="238"/>
      <c r="ASF6" s="63" t="s">
        <v>55</v>
      </c>
      <c r="ASG6" s="62"/>
      <c r="ASH6" s="62"/>
      <c r="ASI6" s="237">
        <v>4416</v>
      </c>
      <c r="ASJ6" s="238"/>
      <c r="ASK6" s="63" t="s">
        <v>55</v>
      </c>
      <c r="ASL6" s="62"/>
      <c r="ASM6" s="62"/>
      <c r="ASN6" s="237">
        <v>3312</v>
      </c>
      <c r="ASO6" s="238"/>
      <c r="ASP6" s="63" t="s">
        <v>55</v>
      </c>
      <c r="ASQ6" s="62"/>
      <c r="ASR6" s="62"/>
      <c r="ASS6" s="237">
        <v>2208</v>
      </c>
      <c r="AST6" s="238"/>
      <c r="ASU6" s="63" t="s">
        <v>55</v>
      </c>
      <c r="ASV6" s="62"/>
      <c r="ASW6" s="62"/>
      <c r="ASX6" s="237">
        <v>4416</v>
      </c>
      <c r="ASY6" s="238"/>
      <c r="ASZ6" s="63" t="s">
        <v>55</v>
      </c>
      <c r="ATA6" s="62"/>
      <c r="ATB6" s="62"/>
      <c r="ATC6" s="237">
        <v>6624</v>
      </c>
      <c r="ATD6" s="238"/>
      <c r="ATE6" s="63" t="s">
        <v>55</v>
      </c>
      <c r="ATF6" s="62"/>
      <c r="ATG6" s="62"/>
      <c r="ATH6" s="237">
        <v>2208</v>
      </c>
      <c r="ATI6" s="238"/>
      <c r="ATJ6" s="63" t="s">
        <v>55</v>
      </c>
      <c r="ATK6" s="62"/>
      <c r="ATL6" s="62"/>
      <c r="ATM6" s="237">
        <v>2208</v>
      </c>
      <c r="ATN6" s="238"/>
      <c r="ATO6" s="63" t="s">
        <v>55</v>
      </c>
      <c r="ATP6" s="62"/>
      <c r="ATQ6" s="62"/>
      <c r="ATR6" s="237">
        <v>2208</v>
      </c>
      <c r="ATS6" s="238"/>
      <c r="ATT6" s="63" t="s">
        <v>55</v>
      </c>
      <c r="ATU6" s="62"/>
      <c r="ATV6" s="62"/>
      <c r="ATW6" s="237">
        <v>2208</v>
      </c>
      <c r="ATX6" s="238"/>
      <c r="ATY6" s="63" t="s">
        <v>55</v>
      </c>
      <c r="ATZ6" s="62"/>
      <c r="AUA6" s="62"/>
      <c r="AUB6" s="237">
        <v>2208</v>
      </c>
      <c r="AUC6" s="238"/>
      <c r="AUD6" s="63" t="s">
        <v>55</v>
      </c>
      <c r="AUE6" s="62"/>
      <c r="AUF6" s="62"/>
      <c r="AUG6" s="237">
        <v>5520</v>
      </c>
      <c r="AUH6" s="238"/>
      <c r="AUI6" s="63" t="s">
        <v>55</v>
      </c>
      <c r="AUJ6" s="62"/>
      <c r="AUK6" s="62"/>
      <c r="AUL6" s="237">
        <v>5520</v>
      </c>
      <c r="AUM6" s="238"/>
      <c r="AUN6" s="63" t="s">
        <v>55</v>
      </c>
      <c r="AUO6" s="62"/>
      <c r="AUP6" s="62"/>
      <c r="AUQ6" s="237">
        <v>4416</v>
      </c>
      <c r="AUR6" s="238"/>
      <c r="AUS6" s="63" t="s">
        <v>55</v>
      </c>
      <c r="AUT6" s="62"/>
      <c r="AUU6" s="62"/>
      <c r="AUV6" s="237">
        <v>4416</v>
      </c>
      <c r="AUW6" s="238"/>
      <c r="AUX6" s="63" t="s">
        <v>55</v>
      </c>
      <c r="AUY6" s="62"/>
      <c r="AUZ6" s="62"/>
      <c r="AVA6" s="237">
        <v>0</v>
      </c>
      <c r="AVB6" s="238"/>
      <c r="AVC6" s="63" t="s">
        <v>55</v>
      </c>
      <c r="AVD6" s="62"/>
      <c r="AVE6" s="62"/>
      <c r="AVF6" s="237">
        <v>2208</v>
      </c>
      <c r="AVG6" s="238"/>
      <c r="AVH6" s="63" t="s">
        <v>55</v>
      </c>
      <c r="AVI6" s="62"/>
      <c r="AVJ6" s="62"/>
      <c r="AVK6" s="237">
        <v>2208</v>
      </c>
      <c r="AVL6" s="238"/>
      <c r="AVM6" s="63" t="s">
        <v>55</v>
      </c>
      <c r="AVN6" s="62"/>
      <c r="AVO6" s="62"/>
      <c r="AVP6" s="237">
        <v>4416</v>
      </c>
      <c r="AVQ6" s="238"/>
      <c r="AVR6" s="63" t="s">
        <v>55</v>
      </c>
      <c r="AVS6" s="62"/>
      <c r="AVT6" s="62"/>
      <c r="AVU6" s="237">
        <v>7728</v>
      </c>
      <c r="AVV6" s="238"/>
      <c r="AVW6" s="63" t="s">
        <v>55</v>
      </c>
      <c r="AVX6" s="62"/>
      <c r="AVY6" s="62"/>
      <c r="AVZ6" s="237">
        <v>0</v>
      </c>
      <c r="AWA6" s="238"/>
      <c r="AWB6" s="63" t="s">
        <v>55</v>
      </c>
      <c r="AWC6" s="62"/>
      <c r="AWD6" s="62"/>
      <c r="AWE6" s="237">
        <v>2208</v>
      </c>
      <c r="AWF6" s="238"/>
      <c r="AWG6" s="63" t="s">
        <v>55</v>
      </c>
      <c r="AWH6" s="62"/>
      <c r="AWI6" s="62"/>
      <c r="AWJ6" s="237">
        <v>2208</v>
      </c>
      <c r="AWK6" s="238"/>
      <c r="AWL6" s="63" t="s">
        <v>55</v>
      </c>
      <c r="AWM6" s="62"/>
      <c r="AWN6" s="62"/>
      <c r="AWO6" s="237">
        <v>2208</v>
      </c>
      <c r="AWP6" s="238"/>
      <c r="AWQ6" s="63" t="s">
        <v>55</v>
      </c>
      <c r="AWR6" s="62"/>
      <c r="AWS6" s="62"/>
      <c r="AWT6" s="237">
        <v>4416</v>
      </c>
      <c r="AWU6" s="238"/>
      <c r="AWV6" s="63" t="s">
        <v>55</v>
      </c>
      <c r="AWW6" s="62"/>
      <c r="AWX6" s="62"/>
      <c r="AWY6" s="237">
        <v>4416</v>
      </c>
      <c r="AWZ6" s="238"/>
      <c r="AXA6" s="63" t="s">
        <v>55</v>
      </c>
      <c r="AXB6" s="62"/>
      <c r="AXC6" s="62"/>
      <c r="AXD6" s="237">
        <v>6624</v>
      </c>
      <c r="AXE6" s="238"/>
      <c r="AXF6" s="63" t="s">
        <v>55</v>
      </c>
      <c r="AXG6" s="62"/>
      <c r="AXH6" s="62"/>
      <c r="AXI6" s="237">
        <v>2208</v>
      </c>
      <c r="AXJ6" s="238"/>
      <c r="AXK6" s="63" t="s">
        <v>55</v>
      </c>
      <c r="AXL6" s="62"/>
      <c r="AXM6" s="62"/>
      <c r="AXN6" s="237">
        <v>2208</v>
      </c>
      <c r="AXO6" s="238"/>
      <c r="AXP6" s="63" t="s">
        <v>55</v>
      </c>
      <c r="AXQ6" s="62"/>
      <c r="AXR6" s="62"/>
      <c r="AXS6" s="237">
        <v>2208</v>
      </c>
      <c r="AXT6" s="238"/>
      <c r="AXU6" s="63" t="s">
        <v>55</v>
      </c>
      <c r="AXV6" s="62"/>
      <c r="AXW6" s="62"/>
      <c r="AXX6" s="237">
        <v>2208</v>
      </c>
      <c r="AXY6" s="238"/>
      <c r="AXZ6" s="63" t="s">
        <v>55</v>
      </c>
      <c r="AYA6" s="62"/>
      <c r="AYB6" s="62"/>
      <c r="AYC6" s="237">
        <v>4416</v>
      </c>
      <c r="AYD6" s="238"/>
      <c r="AYE6" s="63" t="s">
        <v>55</v>
      </c>
      <c r="AYF6" s="62"/>
      <c r="AYG6" s="62"/>
      <c r="AYH6" s="237">
        <v>6624</v>
      </c>
      <c r="AYI6" s="238"/>
      <c r="AYJ6" s="63" t="s">
        <v>55</v>
      </c>
      <c r="AYK6" s="62"/>
      <c r="AYL6" s="62"/>
      <c r="AYM6" s="237">
        <v>7728</v>
      </c>
      <c r="AYN6" s="238"/>
      <c r="AYO6" s="63" t="s">
        <v>55</v>
      </c>
      <c r="AYP6" s="62"/>
      <c r="AYQ6" s="62"/>
      <c r="AYR6" s="237">
        <v>2208</v>
      </c>
      <c r="AYS6" s="238"/>
      <c r="AYT6" s="63" t="s">
        <v>55</v>
      </c>
      <c r="AYU6" s="62"/>
      <c r="AYV6" s="62"/>
      <c r="AYW6" s="237">
        <v>0</v>
      </c>
      <c r="AYX6" s="238"/>
      <c r="AYY6" s="63" t="s">
        <v>55</v>
      </c>
      <c r="AYZ6" s="62"/>
      <c r="AZA6" s="62"/>
      <c r="AZB6" s="237">
        <v>1104</v>
      </c>
      <c r="AZC6" s="238"/>
      <c r="AZD6" s="63" t="s">
        <v>55</v>
      </c>
      <c r="AZE6" s="62"/>
      <c r="AZF6" s="62"/>
      <c r="AZG6" s="237">
        <v>2208</v>
      </c>
      <c r="AZH6" s="238"/>
      <c r="AZI6" s="63" t="s">
        <v>55</v>
      </c>
      <c r="AZJ6" s="62"/>
      <c r="AZK6" s="62"/>
      <c r="AZL6" s="237">
        <v>7728</v>
      </c>
      <c r="AZM6" s="238"/>
      <c r="AZN6" s="63" t="s">
        <v>55</v>
      </c>
      <c r="AZO6" s="62"/>
      <c r="AZP6" s="62"/>
      <c r="AZQ6" s="237">
        <v>4416</v>
      </c>
      <c r="AZR6" s="238"/>
      <c r="AZS6" s="63" t="s">
        <v>55</v>
      </c>
      <c r="AZT6" s="62"/>
      <c r="AZU6" s="62"/>
      <c r="AZV6" s="237">
        <v>4416</v>
      </c>
      <c r="AZW6" s="238"/>
      <c r="AZX6" s="63" t="s">
        <v>55</v>
      </c>
      <c r="AZY6" s="62"/>
      <c r="AZZ6" s="62"/>
      <c r="BAA6" s="237">
        <v>0</v>
      </c>
      <c r="BAB6" s="238"/>
      <c r="BAC6" s="63" t="s">
        <v>55</v>
      </c>
      <c r="BAD6" s="62"/>
      <c r="BAE6" s="62"/>
      <c r="BAF6" s="237">
        <v>3312</v>
      </c>
      <c r="BAG6" s="238"/>
      <c r="BAH6" s="63" t="s">
        <v>55</v>
      </c>
      <c r="BAI6" s="62"/>
      <c r="BAJ6" s="62"/>
      <c r="BAK6" s="237">
        <v>4416</v>
      </c>
      <c r="BAL6" s="238"/>
      <c r="BAM6" s="63" t="s">
        <v>55</v>
      </c>
      <c r="BAN6" s="62"/>
      <c r="BAO6" s="62"/>
      <c r="BAP6" s="237">
        <v>4416</v>
      </c>
      <c r="BAQ6" s="238"/>
      <c r="BAR6" s="63" t="s">
        <v>55</v>
      </c>
      <c r="BAS6" s="62"/>
      <c r="BAT6" s="62"/>
      <c r="BAU6" s="237">
        <v>5458</v>
      </c>
      <c r="BAV6" s="238"/>
      <c r="BAW6" s="63" t="s">
        <v>55</v>
      </c>
      <c r="BAX6" s="62"/>
      <c r="BAY6" s="62"/>
      <c r="BAZ6" s="237">
        <v>2208</v>
      </c>
      <c r="BBA6" s="238"/>
      <c r="BBB6" s="63" t="s">
        <v>55</v>
      </c>
      <c r="BBC6" s="62"/>
      <c r="BBD6" s="62"/>
      <c r="BBE6" s="237">
        <v>2208</v>
      </c>
      <c r="BBF6" s="238"/>
      <c r="BBG6" s="63" t="s">
        <v>55</v>
      </c>
      <c r="BBH6" s="62"/>
      <c r="BBI6" s="62"/>
      <c r="BBJ6" s="237">
        <v>0</v>
      </c>
      <c r="BBK6" s="238"/>
      <c r="BBL6" s="63" t="s">
        <v>55</v>
      </c>
      <c r="BBM6" s="62"/>
      <c r="BBN6" s="62"/>
      <c r="BBO6" s="237">
        <v>4416</v>
      </c>
      <c r="BBP6" s="238"/>
      <c r="BBQ6" s="63" t="s">
        <v>55</v>
      </c>
      <c r="BBR6" s="62"/>
      <c r="BBS6" s="62"/>
      <c r="BBT6" s="237">
        <v>0</v>
      </c>
      <c r="BBU6" s="238"/>
      <c r="BBV6" s="63" t="s">
        <v>55</v>
      </c>
      <c r="BBW6" s="62"/>
      <c r="BBX6" s="62"/>
      <c r="BBY6" s="237">
        <v>2208</v>
      </c>
      <c r="BBZ6" s="238"/>
      <c r="BCA6" s="63" t="s">
        <v>55</v>
      </c>
      <c r="BCB6" s="62"/>
      <c r="BCC6" s="62"/>
      <c r="BCD6" s="237">
        <v>17019</v>
      </c>
      <c r="BCE6" s="238"/>
      <c r="BCF6" s="63" t="s">
        <v>55</v>
      </c>
      <c r="BCG6" s="62"/>
      <c r="BCH6" s="62"/>
      <c r="BCI6" s="237">
        <v>4416</v>
      </c>
      <c r="BCJ6" s="238"/>
      <c r="BCK6" s="63" t="s">
        <v>55</v>
      </c>
      <c r="BCL6" s="62"/>
      <c r="BCM6" s="62"/>
      <c r="BCN6" s="237">
        <v>17664</v>
      </c>
      <c r="BCO6" s="238"/>
      <c r="BCP6" s="63" t="s">
        <v>55</v>
      </c>
      <c r="BCQ6" s="62"/>
      <c r="BCR6" s="62"/>
      <c r="BCS6" s="237">
        <v>4416</v>
      </c>
      <c r="BCT6" s="238"/>
      <c r="BCU6" s="63" t="s">
        <v>55</v>
      </c>
      <c r="BCV6" s="62"/>
      <c r="BCW6" s="62"/>
      <c r="BCX6" s="237">
        <v>2208</v>
      </c>
      <c r="BCY6" s="238"/>
      <c r="BCZ6" s="63" t="s">
        <v>55</v>
      </c>
      <c r="BDA6" s="62"/>
      <c r="BDB6" s="62"/>
      <c r="BDC6" s="237">
        <v>3312</v>
      </c>
      <c r="BDD6" s="238"/>
      <c r="BDE6" s="63" t="s">
        <v>55</v>
      </c>
      <c r="BDF6" s="62"/>
      <c r="BDG6" s="62"/>
      <c r="BDH6" s="237">
        <v>2208</v>
      </c>
      <c r="BDI6" s="238"/>
      <c r="BDJ6" s="63" t="s">
        <v>55</v>
      </c>
      <c r="BDK6" s="62"/>
      <c r="BDL6" s="62"/>
      <c r="BDM6" s="237">
        <v>552</v>
      </c>
      <c r="BDN6" s="238"/>
      <c r="BDO6" s="63" t="s">
        <v>55</v>
      </c>
      <c r="BDP6" s="62"/>
      <c r="BDQ6" s="62"/>
      <c r="BDR6" s="237">
        <v>13967.5</v>
      </c>
      <c r="BDS6" s="238"/>
      <c r="BDT6" s="63" t="s">
        <v>55</v>
      </c>
      <c r="BDU6" s="62"/>
      <c r="BDV6" s="62"/>
      <c r="BDW6" s="237">
        <v>2208</v>
      </c>
      <c r="BDX6" s="238"/>
      <c r="BDY6" s="63" t="s">
        <v>55</v>
      </c>
      <c r="BDZ6" s="62"/>
      <c r="BEA6" s="62"/>
      <c r="BEB6" s="237">
        <v>2208</v>
      </c>
      <c r="BEC6" s="238"/>
      <c r="BED6" s="63" t="s">
        <v>55</v>
      </c>
      <c r="BEE6" s="62"/>
      <c r="BEF6" s="62"/>
      <c r="BEG6" s="237">
        <v>2208</v>
      </c>
      <c r="BEH6" s="238"/>
      <c r="BEI6" s="63" t="s">
        <v>55</v>
      </c>
      <c r="BEJ6" s="62"/>
      <c r="BEK6" s="62"/>
      <c r="BEL6" s="237">
        <v>2208</v>
      </c>
      <c r="BEM6" s="238"/>
      <c r="BEN6" s="63" t="s">
        <v>55</v>
      </c>
      <c r="BEO6" s="62"/>
      <c r="BEP6" s="62"/>
      <c r="BEQ6" s="237">
        <v>1656</v>
      </c>
      <c r="BER6" s="238"/>
      <c r="BES6" s="63" t="s">
        <v>55</v>
      </c>
      <c r="BET6" s="62"/>
      <c r="BEU6" s="62"/>
      <c r="BEV6" s="237">
        <v>12082</v>
      </c>
      <c r="BEW6" s="238"/>
      <c r="BEX6" s="63" t="s">
        <v>55</v>
      </c>
      <c r="BEY6" s="62"/>
      <c r="BEZ6" s="62"/>
      <c r="BFA6" s="237">
        <v>0</v>
      </c>
      <c r="BFB6" s="238"/>
      <c r="BFC6" s="63" t="s">
        <v>55</v>
      </c>
      <c r="BFD6" s="62"/>
      <c r="BFE6" s="62"/>
      <c r="BFF6" s="237">
        <v>0</v>
      </c>
      <c r="BFG6" s="238"/>
      <c r="BFH6" s="63" t="s">
        <v>55</v>
      </c>
      <c r="BFI6" s="62"/>
      <c r="BFJ6" s="62"/>
      <c r="BFK6" s="237">
        <v>2208</v>
      </c>
      <c r="BFL6" s="238"/>
      <c r="BFM6" s="63" t="s">
        <v>55</v>
      </c>
      <c r="BFN6" s="62"/>
      <c r="BFO6" s="62"/>
      <c r="BFP6" s="237">
        <v>2208</v>
      </c>
      <c r="BFQ6" s="238"/>
      <c r="BFR6" s="63" t="s">
        <v>55</v>
      </c>
      <c r="BFS6" s="62"/>
      <c r="BFT6" s="62"/>
      <c r="BFU6" s="237">
        <v>4416</v>
      </c>
      <c r="BFV6" s="238"/>
      <c r="BFW6" s="63" t="s">
        <v>55</v>
      </c>
      <c r="BFX6" s="62"/>
      <c r="BFY6" s="62"/>
      <c r="BFZ6" s="237">
        <v>2208</v>
      </c>
      <c r="BGA6" s="238"/>
      <c r="BGB6" s="63" t="s">
        <v>55</v>
      </c>
      <c r="BGC6" s="62"/>
      <c r="BGD6" s="62"/>
      <c r="BGE6" s="237">
        <v>12144</v>
      </c>
      <c r="BGF6" s="238"/>
      <c r="BGG6" s="63" t="s">
        <v>55</v>
      </c>
      <c r="BGH6" s="62"/>
      <c r="BGI6" s="62"/>
      <c r="BGJ6" s="237">
        <v>4416</v>
      </c>
      <c r="BGK6" s="238"/>
      <c r="BGL6" s="63" t="s">
        <v>55</v>
      </c>
      <c r="BGM6" s="62"/>
      <c r="BGN6" s="62"/>
      <c r="BGO6" s="237">
        <v>2208</v>
      </c>
      <c r="BGP6" s="238"/>
      <c r="BGQ6" s="63" t="s">
        <v>55</v>
      </c>
      <c r="BGR6" s="62"/>
      <c r="BGS6" s="62"/>
      <c r="BGT6" s="237">
        <v>2208</v>
      </c>
      <c r="BGU6" s="238"/>
      <c r="BGV6" s="63" t="s">
        <v>55</v>
      </c>
      <c r="BGW6" s="62"/>
      <c r="BGX6" s="62"/>
      <c r="BGY6" s="237">
        <v>4416</v>
      </c>
      <c r="BGZ6" s="238"/>
      <c r="BHA6" s="63" t="s">
        <v>55</v>
      </c>
      <c r="BHB6" s="62"/>
      <c r="BHC6" s="62"/>
      <c r="BHD6" s="237">
        <v>4416</v>
      </c>
      <c r="BHE6" s="238"/>
      <c r="BHF6" s="63" t="s">
        <v>55</v>
      </c>
      <c r="BHG6" s="62"/>
      <c r="BHH6" s="62"/>
      <c r="BHI6" s="237">
        <v>17234.5</v>
      </c>
      <c r="BHJ6" s="238"/>
      <c r="BHK6" s="63" t="s">
        <v>55</v>
      </c>
      <c r="BHL6" s="62"/>
      <c r="BHM6" s="62"/>
      <c r="BHN6" s="237">
        <v>0</v>
      </c>
      <c r="BHO6" s="238"/>
      <c r="BHP6" s="63" t="s">
        <v>55</v>
      </c>
      <c r="BHQ6" s="62"/>
      <c r="BHR6" s="62"/>
      <c r="BHS6" s="237">
        <v>4416</v>
      </c>
      <c r="BHT6" s="238"/>
      <c r="BHU6" s="63" t="s">
        <v>55</v>
      </c>
      <c r="BHV6" s="62"/>
      <c r="BHW6" s="62"/>
      <c r="BHX6" s="237">
        <v>2208</v>
      </c>
      <c r="BHY6" s="238"/>
      <c r="BHZ6" s="63" t="s">
        <v>55</v>
      </c>
      <c r="BIA6" s="62"/>
      <c r="BIB6" s="62"/>
      <c r="BIC6" s="237">
        <v>0</v>
      </c>
      <c r="BID6" s="238"/>
      <c r="BIE6" s="63" t="s">
        <v>55</v>
      </c>
      <c r="BIF6" s="62"/>
      <c r="BIG6" s="62"/>
      <c r="BIH6" s="237">
        <v>2208</v>
      </c>
      <c r="BII6" s="238"/>
      <c r="BIJ6" s="63" t="s">
        <v>55</v>
      </c>
      <c r="BIK6" s="62"/>
      <c r="BIL6" s="62"/>
      <c r="BIM6" s="237">
        <v>0</v>
      </c>
      <c r="BIN6" s="238"/>
      <c r="BIO6" s="63" t="s">
        <v>55</v>
      </c>
      <c r="BIP6" s="62"/>
      <c r="BIQ6" s="62"/>
      <c r="BIR6" s="237">
        <v>2208</v>
      </c>
      <c r="BIS6" s="238"/>
      <c r="BIT6" s="63" t="s">
        <v>55</v>
      </c>
      <c r="BIU6" s="62"/>
      <c r="BIV6" s="62"/>
      <c r="BIW6" s="237">
        <v>1104</v>
      </c>
      <c r="BIX6" s="238"/>
      <c r="BIY6" s="63" t="s">
        <v>55</v>
      </c>
      <c r="BIZ6" s="62"/>
      <c r="BJA6" s="62"/>
      <c r="BJB6" s="237">
        <v>2208</v>
      </c>
      <c r="BJC6" s="238"/>
      <c r="BJD6" s="63" t="s">
        <v>55</v>
      </c>
      <c r="BJE6" s="62"/>
      <c r="BJF6" s="62"/>
      <c r="BJG6" s="237">
        <v>0</v>
      </c>
      <c r="BJH6" s="238"/>
      <c r="BJI6" s="63" t="s">
        <v>55</v>
      </c>
      <c r="BJJ6" s="62"/>
      <c r="BJK6" s="62"/>
      <c r="BJL6" s="237">
        <v>19872</v>
      </c>
      <c r="BJM6" s="238"/>
      <c r="BJN6" s="63" t="s">
        <v>55</v>
      </c>
      <c r="BJO6" s="62"/>
      <c r="BJP6" s="62"/>
      <c r="BJQ6" s="237">
        <v>2208</v>
      </c>
      <c r="BJR6" s="238"/>
      <c r="BJS6" s="63" t="s">
        <v>55</v>
      </c>
      <c r="BJT6" s="62"/>
      <c r="BJU6" s="62"/>
      <c r="BJV6" s="237">
        <v>4416</v>
      </c>
      <c r="BJW6" s="238"/>
      <c r="BJX6" s="63" t="s">
        <v>55</v>
      </c>
      <c r="BJY6" s="62"/>
      <c r="BJZ6" s="62"/>
      <c r="BKA6" s="237">
        <v>4416</v>
      </c>
      <c r="BKB6" s="238"/>
      <c r="BKC6" s="63" t="s">
        <v>55</v>
      </c>
      <c r="BKD6" s="62"/>
      <c r="BKE6" s="62"/>
      <c r="BKF6" s="237">
        <v>8832</v>
      </c>
      <c r="BKG6" s="238"/>
      <c r="BKH6" s="63" t="s">
        <v>55</v>
      </c>
      <c r="BKI6" s="62"/>
      <c r="BKJ6" s="62"/>
      <c r="BKK6" s="237">
        <v>2208</v>
      </c>
      <c r="BKL6" s="238"/>
      <c r="BKM6" s="63" t="s">
        <v>55</v>
      </c>
      <c r="BKN6" s="62"/>
      <c r="BKO6" s="62"/>
      <c r="BKP6" s="237">
        <v>2208</v>
      </c>
      <c r="BKQ6" s="238"/>
      <c r="BKR6" s="63" t="s">
        <v>55</v>
      </c>
      <c r="BKS6" s="62"/>
      <c r="BKT6" s="62"/>
      <c r="BKU6" s="237">
        <v>0</v>
      </c>
      <c r="BKV6" s="238"/>
      <c r="BKW6" s="63" t="s">
        <v>55</v>
      </c>
      <c r="BKX6" s="62"/>
      <c r="BKY6" s="62"/>
      <c r="BKZ6" s="237">
        <v>14290</v>
      </c>
      <c r="BLA6" s="238"/>
      <c r="BLB6" s="63" t="s">
        <v>55</v>
      </c>
      <c r="BLC6" s="62"/>
      <c r="BLD6" s="62"/>
      <c r="BLE6" s="237">
        <v>0</v>
      </c>
      <c r="BLF6" s="238"/>
      <c r="BLG6" s="63" t="s">
        <v>55</v>
      </c>
      <c r="BLH6" s="62"/>
      <c r="BLI6" s="62"/>
      <c r="BLJ6" s="237">
        <v>4416</v>
      </c>
      <c r="BLK6" s="238"/>
      <c r="BLL6" s="63" t="s">
        <v>55</v>
      </c>
      <c r="BLM6" s="62"/>
      <c r="BLN6" s="62"/>
      <c r="BLO6" s="237">
        <v>0</v>
      </c>
      <c r="BLP6" s="238"/>
      <c r="BLQ6" s="63" t="s">
        <v>55</v>
      </c>
      <c r="BLR6" s="62"/>
      <c r="BLS6" s="62"/>
      <c r="BLT6" s="237">
        <v>3312</v>
      </c>
      <c r="BLU6" s="238"/>
      <c r="BLV6" s="63" t="s">
        <v>55</v>
      </c>
      <c r="BLW6" s="62"/>
      <c r="BLX6" s="62"/>
      <c r="BLY6" s="237">
        <v>9774.75</v>
      </c>
      <c r="BLZ6" s="238"/>
      <c r="BMA6" s="63" t="s">
        <v>55</v>
      </c>
      <c r="BMB6" s="62"/>
      <c r="BMC6" s="62"/>
      <c r="BMD6" s="237">
        <v>4416</v>
      </c>
      <c r="BME6" s="238"/>
      <c r="BMF6" s="63" t="s">
        <v>55</v>
      </c>
      <c r="BMG6" s="62"/>
      <c r="BMH6" s="62"/>
      <c r="BMI6" s="237">
        <v>2208</v>
      </c>
      <c r="BMJ6" s="238"/>
      <c r="BMK6" s="63" t="s">
        <v>55</v>
      </c>
      <c r="BML6" s="62"/>
      <c r="BMM6" s="62"/>
      <c r="BMN6" s="237">
        <v>2208</v>
      </c>
      <c r="BMO6" s="238"/>
      <c r="BMP6" s="63" t="s">
        <v>55</v>
      </c>
      <c r="BMQ6" s="62"/>
      <c r="BMR6" s="62"/>
      <c r="BMS6" s="237">
        <v>23229</v>
      </c>
      <c r="BMT6" s="238"/>
      <c r="BMU6" s="63" t="s">
        <v>55</v>
      </c>
      <c r="BMV6" s="62"/>
      <c r="BMW6" s="62"/>
      <c r="BMX6" s="237">
        <v>9798</v>
      </c>
      <c r="BMY6" s="238"/>
      <c r="BMZ6" s="63" t="s">
        <v>55</v>
      </c>
      <c r="BNA6" s="62"/>
      <c r="BNB6" s="62"/>
      <c r="BNC6" s="237">
        <v>0</v>
      </c>
      <c r="BND6" s="238"/>
      <c r="BNE6" s="63" t="s">
        <v>55</v>
      </c>
      <c r="BNF6" s="62"/>
      <c r="BNG6" s="62"/>
      <c r="BNH6" s="237">
        <v>0</v>
      </c>
      <c r="BNI6" s="238"/>
      <c r="BNJ6" s="63" t="s">
        <v>55</v>
      </c>
      <c r="BNK6" s="62"/>
      <c r="BNL6" s="62"/>
      <c r="BNM6" s="237">
        <v>3312</v>
      </c>
      <c r="BNN6" s="238"/>
      <c r="BNO6" s="63" t="s">
        <v>55</v>
      </c>
      <c r="BNP6" s="62"/>
      <c r="BNQ6" s="62"/>
      <c r="BNR6" s="237">
        <v>3312</v>
      </c>
      <c r="BNS6" s="238"/>
      <c r="BNT6" s="63" t="s">
        <v>55</v>
      </c>
      <c r="BNU6" s="62"/>
      <c r="BNV6" s="62"/>
      <c r="BNW6" s="237">
        <v>4416</v>
      </c>
      <c r="BNX6" s="238"/>
      <c r="BNY6" s="63" t="s">
        <v>55</v>
      </c>
      <c r="BNZ6" s="62"/>
      <c r="BOA6" s="62"/>
      <c r="BOB6" s="237">
        <v>7728</v>
      </c>
      <c r="BOC6" s="238"/>
      <c r="BOD6" s="63" t="s">
        <v>55</v>
      </c>
      <c r="BOE6" s="62"/>
      <c r="BOF6" s="62"/>
      <c r="BOG6" s="237">
        <v>2208</v>
      </c>
      <c r="BOH6" s="238"/>
      <c r="BOI6" s="63" t="s">
        <v>55</v>
      </c>
      <c r="BOJ6" s="62"/>
      <c r="BOK6" s="62"/>
      <c r="BOL6" s="237">
        <v>0</v>
      </c>
      <c r="BOM6" s="238"/>
      <c r="BON6" s="63" t="s">
        <v>55</v>
      </c>
      <c r="BOO6" s="62"/>
      <c r="BOP6" s="62"/>
      <c r="BOQ6" s="237">
        <v>4416</v>
      </c>
      <c r="BOR6" s="238"/>
      <c r="BOS6" s="63" t="s">
        <v>55</v>
      </c>
      <c r="BOT6" s="62"/>
      <c r="BOU6" s="62"/>
      <c r="BOV6" s="237">
        <v>2208</v>
      </c>
      <c r="BOW6" s="238"/>
      <c r="BOX6" s="63" t="s">
        <v>55</v>
      </c>
      <c r="BOY6" s="62"/>
      <c r="BOZ6" s="62"/>
      <c r="BPA6" s="237">
        <v>8832</v>
      </c>
      <c r="BPB6" s="238"/>
      <c r="BPC6" s="63" t="s">
        <v>55</v>
      </c>
      <c r="BPD6" s="62"/>
      <c r="BPE6" s="62"/>
      <c r="BPF6" s="237">
        <v>2208</v>
      </c>
      <c r="BPG6" s="238"/>
      <c r="BPH6" s="63" t="s">
        <v>55</v>
      </c>
      <c r="BPI6" s="62"/>
      <c r="BPJ6" s="62"/>
      <c r="BPK6" s="237">
        <v>1104</v>
      </c>
      <c r="BPL6" s="238"/>
      <c r="BPM6" s="63" t="s">
        <v>55</v>
      </c>
      <c r="BPN6" s="62"/>
      <c r="BPO6" s="62"/>
      <c r="BPP6" s="237">
        <v>4416</v>
      </c>
      <c r="BPQ6" s="238"/>
      <c r="BPR6" s="63" t="s">
        <v>55</v>
      </c>
      <c r="BPS6" s="62"/>
      <c r="BPT6" s="62"/>
      <c r="BPU6" s="237">
        <v>2208</v>
      </c>
      <c r="BPV6" s="238"/>
      <c r="BPW6" s="63" t="s">
        <v>55</v>
      </c>
      <c r="BPX6" s="62"/>
      <c r="BPY6" s="62"/>
      <c r="BPZ6" s="237">
        <v>4416</v>
      </c>
      <c r="BQA6" s="238"/>
      <c r="BQB6" s="63" t="s">
        <v>55</v>
      </c>
      <c r="BQC6" s="62"/>
      <c r="BQD6" s="62"/>
      <c r="BQE6" s="237">
        <v>4416</v>
      </c>
      <c r="BQF6" s="238"/>
      <c r="BQG6" s="63" t="s">
        <v>55</v>
      </c>
      <c r="BQH6" s="62"/>
      <c r="BQI6" s="62"/>
      <c r="BQJ6" s="237">
        <v>12144</v>
      </c>
      <c r="BQK6" s="238"/>
      <c r="BQL6" s="63" t="s">
        <v>55</v>
      </c>
      <c r="BQM6" s="62"/>
      <c r="BQN6" s="62"/>
      <c r="BQO6" s="237">
        <v>4416</v>
      </c>
      <c r="BQP6" s="238"/>
      <c r="BQQ6" s="63" t="s">
        <v>55</v>
      </c>
      <c r="BQR6" s="62"/>
      <c r="BQS6" s="62"/>
      <c r="BQT6" s="237">
        <v>4416</v>
      </c>
      <c r="BQU6" s="238"/>
      <c r="BQV6" s="63" t="s">
        <v>55</v>
      </c>
      <c r="BQW6" s="62"/>
      <c r="BQX6" s="62"/>
      <c r="BQY6" s="237">
        <v>4416</v>
      </c>
      <c r="BQZ6" s="238"/>
      <c r="BRA6" s="63" t="s">
        <v>55</v>
      </c>
      <c r="BRB6" s="62"/>
      <c r="BRC6" s="62"/>
      <c r="BRD6" s="237">
        <v>2208</v>
      </c>
      <c r="BRE6" s="238"/>
      <c r="BRF6" s="63" t="s">
        <v>55</v>
      </c>
      <c r="BRG6" s="62"/>
      <c r="BRH6" s="62"/>
      <c r="BRI6" s="237">
        <v>2208</v>
      </c>
      <c r="BRJ6" s="238"/>
      <c r="BRK6" s="63" t="s">
        <v>55</v>
      </c>
      <c r="BRL6" s="62"/>
      <c r="BRM6" s="62"/>
      <c r="BRN6" s="237">
        <v>4416</v>
      </c>
      <c r="BRO6" s="238"/>
      <c r="BRP6" s="63" t="s">
        <v>55</v>
      </c>
      <c r="BRQ6" s="62"/>
      <c r="BRR6" s="62"/>
      <c r="BRS6" s="237">
        <v>13248</v>
      </c>
      <c r="BRT6" s="238"/>
      <c r="BRU6" s="63" t="s">
        <v>55</v>
      </c>
      <c r="BRV6" s="62"/>
      <c r="BRW6" s="62"/>
      <c r="BRX6" s="237">
        <v>2208</v>
      </c>
      <c r="BRY6" s="238"/>
      <c r="BRZ6" s="63" t="s">
        <v>55</v>
      </c>
      <c r="BSA6" s="62"/>
      <c r="BSB6" s="62"/>
      <c r="BSC6" s="237">
        <v>3312</v>
      </c>
      <c r="BSD6" s="238"/>
      <c r="BSE6" s="63" t="s">
        <v>55</v>
      </c>
      <c r="BSF6" s="62"/>
      <c r="BSG6" s="62"/>
      <c r="BSH6" s="237">
        <v>2208</v>
      </c>
      <c r="BSI6" s="238"/>
      <c r="BSJ6" s="63" t="s">
        <v>55</v>
      </c>
      <c r="BSK6" s="62"/>
      <c r="BSL6" s="62"/>
      <c r="BSM6" s="237">
        <v>3312</v>
      </c>
      <c r="BSN6" s="238"/>
      <c r="BSO6" s="63" t="s">
        <v>55</v>
      </c>
      <c r="BSP6" s="62"/>
      <c r="BSQ6" s="62"/>
      <c r="BSR6" s="237">
        <v>2208</v>
      </c>
      <c r="BSS6" s="238"/>
      <c r="BST6" s="63" t="s">
        <v>55</v>
      </c>
      <c r="BSU6" s="62"/>
      <c r="BSV6" s="62"/>
      <c r="BSW6" s="237">
        <v>4416</v>
      </c>
      <c r="BSX6" s="238"/>
      <c r="BSY6" s="63" t="s">
        <v>55</v>
      </c>
      <c r="BSZ6" s="62"/>
      <c r="BTA6" s="62"/>
      <c r="BTB6" s="237">
        <v>4416</v>
      </c>
      <c r="BTC6" s="238"/>
      <c r="BTD6" s="63" t="s">
        <v>55</v>
      </c>
      <c r="BTE6" s="62"/>
      <c r="BTF6" s="62"/>
      <c r="BTG6" s="237">
        <v>2208</v>
      </c>
      <c r="BTH6" s="238"/>
      <c r="BTI6" s="63" t="s">
        <v>55</v>
      </c>
      <c r="BTJ6" s="62"/>
      <c r="BTK6" s="62"/>
      <c r="BTL6" s="237">
        <v>2208</v>
      </c>
      <c r="BTM6" s="238"/>
      <c r="BTN6" s="63" t="s">
        <v>55</v>
      </c>
      <c r="BTO6" s="62"/>
      <c r="BTP6" s="62"/>
      <c r="BTQ6" s="237">
        <v>2208</v>
      </c>
      <c r="BTR6" s="238"/>
      <c r="BTS6" s="63" t="s">
        <v>55</v>
      </c>
      <c r="BTT6" s="62"/>
      <c r="BTU6" s="62"/>
      <c r="BTV6" s="237">
        <v>0</v>
      </c>
      <c r="BTW6" s="238"/>
      <c r="BTX6" s="63" t="s">
        <v>55</v>
      </c>
      <c r="BTY6" s="62"/>
      <c r="BTZ6" s="62"/>
      <c r="BUA6" s="237">
        <v>6624</v>
      </c>
      <c r="BUB6" s="238"/>
      <c r="BUC6" s="63" t="s">
        <v>55</v>
      </c>
      <c r="BUD6" s="62"/>
      <c r="BUE6" s="62"/>
      <c r="BUF6" s="237">
        <v>4416</v>
      </c>
      <c r="BUG6" s="238"/>
      <c r="BUH6" s="63" t="s">
        <v>55</v>
      </c>
      <c r="BUI6" s="62"/>
      <c r="BUJ6" s="62"/>
      <c r="BUK6" s="237">
        <v>2208</v>
      </c>
      <c r="BUL6" s="238"/>
      <c r="BUM6" s="63" t="s">
        <v>55</v>
      </c>
      <c r="BUN6" s="62"/>
      <c r="BUO6" s="62"/>
      <c r="BUP6" s="237">
        <v>4416</v>
      </c>
      <c r="BUQ6" s="238"/>
      <c r="BUR6" s="63" t="s">
        <v>55</v>
      </c>
      <c r="BUS6" s="62"/>
      <c r="BUT6" s="62"/>
      <c r="BUU6" s="237">
        <v>11040</v>
      </c>
      <c r="BUV6" s="238"/>
      <c r="BUW6" s="63" t="s">
        <v>55</v>
      </c>
      <c r="BUX6" s="62"/>
      <c r="BUY6" s="62"/>
      <c r="BUZ6" s="237">
        <v>2208</v>
      </c>
      <c r="BVA6" s="238"/>
      <c r="BVB6" s="63" t="s">
        <v>55</v>
      </c>
      <c r="BVC6" s="62"/>
      <c r="BVD6" s="62"/>
      <c r="BVE6" s="237">
        <v>3312</v>
      </c>
      <c r="BVF6" s="238"/>
      <c r="BVG6" s="63" t="s">
        <v>55</v>
      </c>
      <c r="BVH6" s="62"/>
      <c r="BVI6" s="62"/>
      <c r="BVJ6" s="237">
        <v>0</v>
      </c>
      <c r="BVK6" s="238"/>
      <c r="BVL6" s="63" t="s">
        <v>55</v>
      </c>
      <c r="BVM6" s="62"/>
      <c r="BVN6" s="62"/>
      <c r="BVO6" s="237">
        <v>2208</v>
      </c>
      <c r="BVP6" s="238"/>
      <c r="BVQ6" s="63" t="s">
        <v>55</v>
      </c>
      <c r="BVR6" s="62"/>
      <c r="BVS6" s="62"/>
      <c r="BVT6" s="237">
        <v>4416</v>
      </c>
      <c r="BVU6" s="238"/>
      <c r="BVV6" s="63" t="s">
        <v>55</v>
      </c>
      <c r="BVW6" s="62"/>
      <c r="BVX6" s="62"/>
      <c r="BVY6" s="237">
        <v>4416</v>
      </c>
      <c r="BVZ6" s="238"/>
      <c r="BWA6" s="63" t="s">
        <v>55</v>
      </c>
      <c r="BWB6" s="62"/>
      <c r="BWC6" s="62"/>
      <c r="BWD6" s="237">
        <v>4416</v>
      </c>
      <c r="BWE6" s="238"/>
      <c r="BWF6" s="63" t="s">
        <v>55</v>
      </c>
      <c r="BWG6" s="62"/>
      <c r="BWH6" s="62"/>
      <c r="BWI6" s="237">
        <v>8832</v>
      </c>
      <c r="BWJ6" s="238"/>
      <c r="BWK6" s="63" t="s">
        <v>55</v>
      </c>
      <c r="BWL6" s="62"/>
      <c r="BWM6" s="62"/>
      <c r="BWN6" s="237">
        <v>4416</v>
      </c>
      <c r="BWO6" s="238"/>
      <c r="BWP6" s="63" t="s">
        <v>55</v>
      </c>
      <c r="BWQ6" s="62"/>
      <c r="BWR6" s="62"/>
      <c r="BWS6" s="237">
        <v>2208</v>
      </c>
      <c r="BWT6" s="238"/>
      <c r="BWU6" s="63" t="s">
        <v>55</v>
      </c>
      <c r="BWV6" s="62"/>
      <c r="BWW6" s="62"/>
      <c r="BWX6" s="237">
        <v>0</v>
      </c>
      <c r="BWY6" s="238"/>
      <c r="BWZ6" s="63" t="s">
        <v>55</v>
      </c>
      <c r="BXA6" s="62"/>
      <c r="BXB6" s="62"/>
      <c r="BXC6" s="237">
        <v>6624</v>
      </c>
      <c r="BXD6" s="238"/>
      <c r="BXE6" s="63" t="s">
        <v>55</v>
      </c>
      <c r="BXF6" s="62"/>
      <c r="BXG6" s="62"/>
      <c r="BXH6" s="237">
        <v>6624</v>
      </c>
      <c r="BXI6" s="238"/>
      <c r="BXJ6" s="63" t="s">
        <v>55</v>
      </c>
      <c r="BXK6" s="62"/>
      <c r="BXL6" s="62"/>
      <c r="BXM6" s="237">
        <v>4416</v>
      </c>
      <c r="BXN6" s="238"/>
      <c r="BXO6" s="63" t="s">
        <v>55</v>
      </c>
      <c r="BXP6" s="62"/>
      <c r="BXQ6" s="62"/>
      <c r="BXR6" s="237">
        <v>13248</v>
      </c>
      <c r="BXS6" s="238"/>
      <c r="BXT6" s="63" t="s">
        <v>55</v>
      </c>
      <c r="BXU6" s="62"/>
      <c r="BXV6" s="62"/>
      <c r="BXW6" s="237">
        <v>0</v>
      </c>
      <c r="BXX6" s="238"/>
      <c r="BXY6" s="63" t="s">
        <v>55</v>
      </c>
      <c r="BXZ6" s="62"/>
      <c r="BYA6" s="62"/>
      <c r="BYB6" s="237">
        <v>4416</v>
      </c>
      <c r="BYC6" s="238"/>
      <c r="BYD6" s="63" t="s">
        <v>55</v>
      </c>
      <c r="BYE6" s="62"/>
      <c r="BYF6" s="62"/>
      <c r="BYG6" s="237">
        <v>4416</v>
      </c>
      <c r="BYH6" s="238"/>
      <c r="BYI6" s="63" t="s">
        <v>55</v>
      </c>
      <c r="BYJ6" s="62"/>
      <c r="BYK6" s="62"/>
      <c r="BYL6" s="237">
        <v>4416</v>
      </c>
      <c r="BYM6" s="238"/>
      <c r="BYN6" s="63" t="s">
        <v>55</v>
      </c>
      <c r="BYO6" s="62"/>
      <c r="BYP6" s="62"/>
      <c r="BYQ6" s="237">
        <v>0</v>
      </c>
      <c r="BYR6" s="238"/>
      <c r="BYS6" s="63" t="s">
        <v>55</v>
      </c>
      <c r="BYT6" s="62"/>
      <c r="BYU6" s="62"/>
      <c r="BYV6" s="237">
        <v>0</v>
      </c>
      <c r="BYW6" s="238"/>
      <c r="BYX6" s="63" t="s">
        <v>55</v>
      </c>
      <c r="BYY6" s="62"/>
      <c r="BYZ6" s="62"/>
      <c r="BZA6" s="237">
        <v>2208</v>
      </c>
      <c r="BZB6" s="238"/>
      <c r="BZC6" s="63" t="s">
        <v>55</v>
      </c>
      <c r="BZD6" s="62"/>
      <c r="BZE6" s="62"/>
      <c r="BZF6" s="237">
        <v>1104</v>
      </c>
      <c r="BZG6" s="238"/>
      <c r="BZH6" s="63" t="s">
        <v>55</v>
      </c>
      <c r="BZI6" s="62"/>
      <c r="BZJ6" s="62"/>
      <c r="BZK6" s="237">
        <v>4416</v>
      </c>
      <c r="BZL6" s="238"/>
      <c r="BZM6" s="63" t="s">
        <v>55</v>
      </c>
      <c r="BZN6" s="62"/>
      <c r="BZO6" s="62"/>
      <c r="BZP6" s="237">
        <v>3312</v>
      </c>
      <c r="BZQ6" s="238"/>
      <c r="BZR6" s="63" t="s">
        <v>55</v>
      </c>
      <c r="BZS6" s="62"/>
      <c r="BZT6" s="62"/>
      <c r="BZU6" s="237">
        <v>2208</v>
      </c>
      <c r="BZV6" s="238"/>
      <c r="BZW6" s="63" t="s">
        <v>55</v>
      </c>
      <c r="BZX6" s="62"/>
      <c r="BZY6" s="62"/>
      <c r="BZZ6" s="237">
        <v>0</v>
      </c>
      <c r="CAA6" s="238"/>
      <c r="CAB6" s="63" t="s">
        <v>55</v>
      </c>
      <c r="CAC6" s="62"/>
      <c r="CAD6" s="62"/>
      <c r="CAE6" s="237">
        <v>2208</v>
      </c>
      <c r="CAF6" s="238"/>
      <c r="CAG6" s="63" t="s">
        <v>55</v>
      </c>
      <c r="CAH6" s="62"/>
      <c r="CAI6" s="62"/>
      <c r="CAJ6" s="237">
        <v>6624</v>
      </c>
      <c r="CAK6" s="238"/>
      <c r="CAL6" s="63" t="s">
        <v>55</v>
      </c>
      <c r="CAM6" s="62"/>
      <c r="CAN6" s="62"/>
      <c r="CAO6" s="237">
        <v>2208</v>
      </c>
      <c r="CAP6" s="238"/>
      <c r="CAQ6" s="63" t="s">
        <v>55</v>
      </c>
      <c r="CAR6" s="62"/>
      <c r="CAS6" s="62"/>
      <c r="CAT6" s="237">
        <v>2208</v>
      </c>
      <c r="CAU6" s="238"/>
      <c r="CAV6" s="63" t="s">
        <v>55</v>
      </c>
      <c r="CAW6" s="62"/>
      <c r="CAX6" s="62"/>
      <c r="CAY6" s="237">
        <v>2208</v>
      </c>
      <c r="CAZ6" s="238"/>
      <c r="CBA6" s="63" t="s">
        <v>55</v>
      </c>
      <c r="CBB6" s="62"/>
      <c r="CBC6" s="62"/>
      <c r="CBD6" s="237">
        <v>2208</v>
      </c>
      <c r="CBE6" s="238"/>
      <c r="CBF6" s="63" t="s">
        <v>55</v>
      </c>
      <c r="CBG6" s="62"/>
      <c r="CBH6" s="62"/>
      <c r="CBI6" s="237">
        <v>4416</v>
      </c>
      <c r="CBJ6" s="238"/>
      <c r="CBK6" s="63" t="s">
        <v>55</v>
      </c>
      <c r="CBL6" s="62"/>
      <c r="CBM6" s="62"/>
      <c r="CBN6" s="237">
        <v>1104</v>
      </c>
      <c r="CBO6" s="238"/>
      <c r="CBP6" s="63" t="s">
        <v>55</v>
      </c>
      <c r="CBQ6" s="62"/>
      <c r="CBR6" s="62"/>
      <c r="CBS6" s="237">
        <v>8832</v>
      </c>
      <c r="CBT6" s="238"/>
      <c r="CBU6" s="63" t="s">
        <v>55</v>
      </c>
      <c r="CBV6" s="62"/>
      <c r="CBW6" s="62"/>
      <c r="CBX6" s="237">
        <v>2208</v>
      </c>
      <c r="CBY6" s="238"/>
      <c r="CBZ6" s="63" t="s">
        <v>55</v>
      </c>
      <c r="CCA6" s="62"/>
      <c r="CCB6" s="62"/>
      <c r="CCC6" s="237">
        <v>3312</v>
      </c>
      <c r="CCD6" s="238"/>
      <c r="CCE6" s="63" t="s">
        <v>55</v>
      </c>
      <c r="CCF6" s="62"/>
      <c r="CCG6" s="62"/>
      <c r="CCH6" s="237">
        <v>0</v>
      </c>
      <c r="CCI6" s="238"/>
      <c r="CCJ6" s="63" t="s">
        <v>55</v>
      </c>
      <c r="CCK6" s="62"/>
      <c r="CCL6" s="62"/>
      <c r="CCM6" s="237">
        <v>4416</v>
      </c>
      <c r="CCN6" s="238"/>
      <c r="CCO6" s="63" t="s">
        <v>55</v>
      </c>
      <c r="CCP6" s="62"/>
      <c r="CCQ6" s="62"/>
      <c r="CCR6" s="237">
        <v>2208</v>
      </c>
      <c r="CCS6" s="238"/>
      <c r="CCT6" s="63" t="s">
        <v>55</v>
      </c>
      <c r="CCU6" s="62"/>
      <c r="CCV6" s="62"/>
      <c r="CCW6" s="237">
        <v>6624</v>
      </c>
      <c r="CCX6" s="238"/>
      <c r="CCY6" s="63" t="s">
        <v>55</v>
      </c>
      <c r="CCZ6" s="62"/>
      <c r="CDA6" s="62"/>
      <c r="CDB6" s="237">
        <v>3312</v>
      </c>
      <c r="CDC6" s="238"/>
      <c r="CDD6" s="63" t="s">
        <v>55</v>
      </c>
      <c r="CDE6" s="62"/>
      <c r="CDF6" s="62"/>
      <c r="CDG6" s="237">
        <v>2208</v>
      </c>
      <c r="CDH6" s="238"/>
      <c r="CDI6" s="63" t="s">
        <v>55</v>
      </c>
      <c r="CDJ6" s="62"/>
      <c r="CDK6" s="62"/>
      <c r="CDL6" s="237">
        <v>4416</v>
      </c>
      <c r="CDM6" s="238"/>
      <c r="CDN6" s="63" t="s">
        <v>55</v>
      </c>
      <c r="CDO6" s="62"/>
      <c r="CDP6" s="62"/>
      <c r="CDQ6" s="237">
        <v>6624</v>
      </c>
      <c r="CDR6" s="238"/>
      <c r="CDS6" s="63" t="s">
        <v>55</v>
      </c>
      <c r="CDT6" s="62"/>
      <c r="CDU6" s="62"/>
      <c r="CDV6" s="237">
        <v>2208</v>
      </c>
      <c r="CDW6" s="238"/>
      <c r="CDX6" s="63" t="s">
        <v>55</v>
      </c>
      <c r="CDY6" s="62"/>
      <c r="CDZ6" s="62"/>
      <c r="CEA6" s="237">
        <v>4416</v>
      </c>
      <c r="CEB6" s="238"/>
      <c r="CEC6" s="63" t="s">
        <v>55</v>
      </c>
      <c r="CED6" s="62"/>
      <c r="CEE6" s="62"/>
      <c r="CEF6" s="237">
        <v>8832</v>
      </c>
      <c r="CEG6" s="238"/>
      <c r="CEH6" s="63" t="s">
        <v>55</v>
      </c>
      <c r="CEI6" s="62"/>
      <c r="CEJ6" s="62"/>
      <c r="CEK6" s="237">
        <v>0</v>
      </c>
      <c r="CEL6" s="238"/>
      <c r="CEM6" s="63" t="s">
        <v>55</v>
      </c>
      <c r="CEN6" s="62"/>
      <c r="CEO6" s="62"/>
      <c r="CEP6" s="237">
        <v>0</v>
      </c>
      <c r="CEQ6" s="238"/>
      <c r="CER6" s="63" t="s">
        <v>55</v>
      </c>
      <c r="CES6" s="62"/>
      <c r="CET6" s="62"/>
      <c r="CEU6" s="237">
        <v>4416</v>
      </c>
      <c r="CEV6" s="238"/>
      <c r="CEW6" s="63" t="s">
        <v>55</v>
      </c>
      <c r="CEX6" s="62"/>
      <c r="CEY6" s="62"/>
      <c r="CEZ6" s="237">
        <v>0</v>
      </c>
      <c r="CFA6" s="238"/>
      <c r="CFB6" s="63" t="s">
        <v>55</v>
      </c>
      <c r="CFC6" s="62"/>
      <c r="CFD6" s="62"/>
      <c r="CFE6" s="237">
        <v>4416</v>
      </c>
      <c r="CFF6" s="238"/>
      <c r="CFG6" s="63" t="s">
        <v>55</v>
      </c>
      <c r="CFH6" s="62"/>
      <c r="CFI6" s="62"/>
      <c r="CFJ6" s="237">
        <v>4416</v>
      </c>
      <c r="CFK6" s="238"/>
      <c r="CFL6" s="63" t="s">
        <v>55</v>
      </c>
      <c r="CFM6" s="62"/>
      <c r="CFN6" s="62"/>
      <c r="CFO6" s="237">
        <v>1104</v>
      </c>
      <c r="CFP6" s="238"/>
      <c r="CFQ6" s="63" t="s">
        <v>55</v>
      </c>
      <c r="CFR6" s="62"/>
      <c r="CFS6" s="62"/>
      <c r="CFT6" s="237">
        <v>4416</v>
      </c>
      <c r="CFU6" s="238"/>
      <c r="CFV6" s="63" t="s">
        <v>55</v>
      </c>
      <c r="CFW6" s="62"/>
      <c r="CFX6" s="62"/>
      <c r="CFY6" s="237">
        <v>4416</v>
      </c>
      <c r="CFZ6" s="238"/>
      <c r="CGA6" s="63" t="s">
        <v>55</v>
      </c>
      <c r="CGB6" s="62"/>
      <c r="CGC6" s="62"/>
      <c r="CGD6" s="237">
        <v>2208</v>
      </c>
      <c r="CGE6" s="238"/>
      <c r="CGF6" s="63" t="s">
        <v>55</v>
      </c>
      <c r="CGG6" s="62"/>
      <c r="CGH6" s="62"/>
      <c r="CGI6" s="237">
        <v>13248</v>
      </c>
      <c r="CGJ6" s="238"/>
      <c r="CGK6" s="63" t="s">
        <v>55</v>
      </c>
      <c r="CGL6" s="62"/>
      <c r="CGM6" s="62"/>
      <c r="CGN6" s="237">
        <v>2208</v>
      </c>
      <c r="CGO6" s="238"/>
      <c r="CGP6" s="63" t="s">
        <v>55</v>
      </c>
      <c r="CGQ6" s="62"/>
      <c r="CGR6" s="62"/>
      <c r="CGS6" s="237">
        <v>2208</v>
      </c>
      <c r="CGT6" s="238"/>
      <c r="CGU6" s="63" t="s">
        <v>55</v>
      </c>
      <c r="CGV6" s="62"/>
      <c r="CGW6" s="62"/>
      <c r="CGX6" s="237">
        <v>4416</v>
      </c>
      <c r="CGY6" s="238"/>
      <c r="CGZ6" s="63" t="s">
        <v>55</v>
      </c>
      <c r="CHA6" s="62"/>
      <c r="CHB6" s="62"/>
      <c r="CHC6" s="237">
        <v>4416</v>
      </c>
      <c r="CHD6" s="238"/>
      <c r="CHE6" s="63" t="s">
        <v>55</v>
      </c>
      <c r="CHF6" s="62"/>
      <c r="CHG6" s="62"/>
      <c r="CHH6" s="237">
        <v>1104</v>
      </c>
      <c r="CHI6" s="238"/>
      <c r="CHJ6" s="63" t="s">
        <v>55</v>
      </c>
      <c r="CHK6" s="62"/>
      <c r="CHL6" s="62"/>
      <c r="CHM6" s="237">
        <v>4416</v>
      </c>
      <c r="CHN6" s="238"/>
      <c r="CHO6" s="63" t="s">
        <v>55</v>
      </c>
      <c r="CHP6" s="62"/>
      <c r="CHQ6" s="62"/>
      <c r="CHR6" s="237">
        <v>1104</v>
      </c>
      <c r="CHS6" s="238"/>
      <c r="CHT6" s="63" t="s">
        <v>55</v>
      </c>
      <c r="CHU6" s="62"/>
      <c r="CHV6" s="62"/>
      <c r="CHW6" s="237">
        <v>11561</v>
      </c>
      <c r="CHX6" s="238"/>
      <c r="CHY6" s="63" t="s">
        <v>55</v>
      </c>
      <c r="CHZ6" s="62"/>
      <c r="CIA6" s="62"/>
      <c r="CIB6" s="237">
        <v>4416</v>
      </c>
      <c r="CIC6" s="238"/>
      <c r="CID6" s="63" t="s">
        <v>55</v>
      </c>
      <c r="CIE6" s="62"/>
      <c r="CIF6" s="62"/>
      <c r="CIG6" s="237">
        <v>0</v>
      </c>
      <c r="CIH6" s="238"/>
      <c r="CII6" s="63" t="s">
        <v>55</v>
      </c>
      <c r="CIJ6" s="62"/>
      <c r="CIK6" s="62"/>
      <c r="CIL6" s="237">
        <v>0</v>
      </c>
      <c r="CIM6" s="238"/>
      <c r="CIN6" s="63" t="s">
        <v>55</v>
      </c>
      <c r="CIO6" s="62"/>
      <c r="CIP6" s="62"/>
      <c r="CIQ6" s="237">
        <v>4416</v>
      </c>
      <c r="CIR6" s="238"/>
      <c r="CIS6" s="63" t="s">
        <v>55</v>
      </c>
      <c r="CIT6" s="62"/>
      <c r="CIU6" s="62"/>
      <c r="CIV6" s="237">
        <v>4416</v>
      </c>
      <c r="CIW6" s="238"/>
      <c r="CIX6" s="63" t="s">
        <v>55</v>
      </c>
      <c r="CIY6" s="62"/>
      <c r="CIZ6" s="62"/>
      <c r="CJA6" s="237">
        <v>2208</v>
      </c>
      <c r="CJB6" s="238"/>
      <c r="CJC6" s="63" t="s">
        <v>55</v>
      </c>
      <c r="CJD6" s="62"/>
      <c r="CJE6" s="62"/>
      <c r="CJF6" s="237">
        <v>3312</v>
      </c>
      <c r="CJG6" s="238"/>
      <c r="CJH6" s="63" t="s">
        <v>55</v>
      </c>
      <c r="CJI6" s="62"/>
      <c r="CJJ6" s="62"/>
      <c r="CJK6" s="237">
        <v>2208</v>
      </c>
      <c r="CJL6" s="238"/>
      <c r="CJM6" s="63" t="s">
        <v>55</v>
      </c>
      <c r="CJN6" s="62"/>
      <c r="CJO6" s="62"/>
      <c r="CJP6" s="237">
        <v>4416</v>
      </c>
      <c r="CJQ6" s="238"/>
      <c r="CJR6" s="63" t="s">
        <v>55</v>
      </c>
      <c r="CJS6" s="62"/>
      <c r="CJT6" s="62"/>
      <c r="CJU6" s="237">
        <v>5520</v>
      </c>
      <c r="CJV6" s="238"/>
      <c r="CJW6" s="63" t="s">
        <v>55</v>
      </c>
      <c r="CJX6" s="62"/>
      <c r="CJY6" s="62"/>
      <c r="CJZ6" s="237">
        <v>4416</v>
      </c>
      <c r="CKA6" s="238"/>
      <c r="CKB6" s="63" t="s">
        <v>55</v>
      </c>
      <c r="CKC6" s="62"/>
      <c r="CKD6" s="62"/>
      <c r="CKE6" s="237">
        <v>4416</v>
      </c>
      <c r="CKF6" s="238"/>
      <c r="CKG6" s="63" t="s">
        <v>55</v>
      </c>
      <c r="CKH6" s="62"/>
      <c r="CKI6" s="62"/>
      <c r="CKJ6" s="237">
        <v>8832</v>
      </c>
      <c r="CKK6" s="238"/>
      <c r="CKL6" s="63" t="s">
        <v>55</v>
      </c>
      <c r="CKM6" s="62"/>
      <c r="CKN6" s="62"/>
      <c r="CKO6" s="237">
        <v>2208</v>
      </c>
      <c r="CKP6" s="238"/>
      <c r="CKQ6" s="63" t="s">
        <v>55</v>
      </c>
      <c r="CKR6" s="62"/>
      <c r="CKS6" s="62"/>
      <c r="CKT6" s="237">
        <v>2208</v>
      </c>
      <c r="CKU6" s="238"/>
      <c r="CKV6" s="63" t="s">
        <v>55</v>
      </c>
      <c r="CKW6" s="62"/>
      <c r="CKX6" s="62"/>
      <c r="CKY6" s="237">
        <v>4416</v>
      </c>
      <c r="CKZ6" s="238"/>
      <c r="CLA6" s="63" t="s">
        <v>55</v>
      </c>
      <c r="CLB6" s="62"/>
      <c r="CLC6" s="62"/>
      <c r="CLD6" s="237">
        <v>6900</v>
      </c>
      <c r="CLE6" s="238"/>
      <c r="CLF6" s="63" t="s">
        <v>55</v>
      </c>
      <c r="CLG6" s="62"/>
      <c r="CLH6" s="62"/>
      <c r="CLI6" s="237">
        <v>0</v>
      </c>
      <c r="CLJ6" s="238"/>
      <c r="CLK6" s="63" t="s">
        <v>55</v>
      </c>
      <c r="CLL6" s="62"/>
      <c r="CLM6" s="62"/>
      <c r="CLN6" s="237">
        <v>0</v>
      </c>
      <c r="CLO6" s="238"/>
      <c r="CLP6" s="63" t="s">
        <v>55</v>
      </c>
      <c r="CLQ6" s="62"/>
      <c r="CLR6" s="62"/>
      <c r="CLS6" s="237">
        <v>8832</v>
      </c>
      <c r="CLT6" s="238"/>
      <c r="CLU6" s="63" t="s">
        <v>55</v>
      </c>
      <c r="CLV6" s="62"/>
      <c r="CLW6" s="62"/>
      <c r="CLX6" s="237">
        <v>2208</v>
      </c>
      <c r="CLY6" s="238"/>
      <c r="CLZ6" s="63" t="s">
        <v>55</v>
      </c>
      <c r="CMA6" s="62"/>
      <c r="CMB6" s="62"/>
      <c r="CMC6" s="237">
        <v>3312</v>
      </c>
      <c r="CMD6" s="238"/>
      <c r="CME6" s="63" t="s">
        <v>55</v>
      </c>
      <c r="CMF6" s="62"/>
      <c r="CMG6" s="62"/>
      <c r="CMH6" s="237">
        <v>11040</v>
      </c>
      <c r="CMI6" s="238"/>
      <c r="CMJ6" s="63" t="s">
        <v>55</v>
      </c>
      <c r="CMK6" s="62"/>
      <c r="CML6" s="62"/>
      <c r="CMM6" s="237">
        <v>4309</v>
      </c>
      <c r="CMN6" s="238"/>
      <c r="CMO6" s="63" t="s">
        <v>55</v>
      </c>
      <c r="CMP6" s="62"/>
      <c r="CMQ6" s="62"/>
      <c r="CMR6" s="237">
        <v>1104</v>
      </c>
      <c r="CMS6" s="238"/>
      <c r="CMT6" s="63" t="s">
        <v>55</v>
      </c>
      <c r="CMU6" s="62"/>
      <c r="CMV6" s="62"/>
      <c r="CMW6" s="237">
        <v>13248</v>
      </c>
      <c r="CMX6" s="238"/>
      <c r="CMY6" s="63" t="s">
        <v>55</v>
      </c>
      <c r="CMZ6" s="62"/>
      <c r="CNA6" s="62"/>
      <c r="CNB6" s="237">
        <v>2208</v>
      </c>
      <c r="CNC6" s="238"/>
      <c r="CND6" s="63" t="s">
        <v>55</v>
      </c>
      <c r="CNE6" s="62"/>
      <c r="CNF6" s="62"/>
      <c r="CNG6" s="237">
        <v>4416</v>
      </c>
      <c r="CNH6" s="238"/>
      <c r="CNI6" s="63" t="s">
        <v>55</v>
      </c>
      <c r="CNJ6" s="62"/>
      <c r="CNK6" s="62"/>
      <c r="CNL6" s="237">
        <v>4416</v>
      </c>
      <c r="CNM6" s="238"/>
      <c r="CNN6" s="63" t="s">
        <v>55</v>
      </c>
      <c r="CNO6" s="62"/>
      <c r="CNP6" s="62"/>
      <c r="CNQ6" s="237">
        <v>4416</v>
      </c>
      <c r="CNR6" s="238"/>
      <c r="CNS6" s="63" t="s">
        <v>55</v>
      </c>
      <c r="CNT6" s="62"/>
      <c r="CNU6" s="62"/>
      <c r="CNV6" s="237">
        <v>1104</v>
      </c>
      <c r="CNW6" s="238"/>
      <c r="CNX6" s="63" t="s">
        <v>55</v>
      </c>
      <c r="CNY6" s="62"/>
      <c r="CNZ6" s="62"/>
      <c r="COA6" s="237">
        <v>2208</v>
      </c>
      <c r="COB6" s="238"/>
      <c r="COC6" s="63" t="s">
        <v>55</v>
      </c>
      <c r="COD6" s="62"/>
      <c r="COE6" s="62"/>
      <c r="COF6" s="237">
        <v>13248</v>
      </c>
      <c r="COG6" s="238"/>
      <c r="COH6" s="63" t="s">
        <v>55</v>
      </c>
      <c r="COI6" s="62"/>
      <c r="COJ6" s="62"/>
      <c r="COK6" s="237">
        <v>2208</v>
      </c>
      <c r="COL6" s="238"/>
      <c r="COM6" s="63" t="s">
        <v>55</v>
      </c>
      <c r="CON6" s="62"/>
      <c r="COO6" s="62"/>
      <c r="COP6" s="237">
        <v>6624</v>
      </c>
      <c r="COQ6" s="238"/>
      <c r="COR6" s="63" t="s">
        <v>55</v>
      </c>
      <c r="COS6" s="62"/>
      <c r="COT6" s="62"/>
      <c r="COU6" s="237">
        <v>0</v>
      </c>
      <c r="COV6" s="238"/>
      <c r="COW6" s="63" t="s">
        <v>55</v>
      </c>
      <c r="COX6" s="62"/>
      <c r="COY6" s="62"/>
      <c r="COZ6" s="237">
        <v>6624</v>
      </c>
      <c r="CPA6" s="238"/>
      <c r="CPB6" s="63" t="s">
        <v>55</v>
      </c>
      <c r="CPC6" s="62"/>
      <c r="CPD6" s="62"/>
      <c r="CPE6" s="237">
        <v>6624</v>
      </c>
      <c r="CPF6" s="238"/>
      <c r="CPG6" s="63" t="s">
        <v>55</v>
      </c>
      <c r="CPH6" s="62"/>
      <c r="CPI6" s="62"/>
      <c r="CPJ6" s="237">
        <v>4416</v>
      </c>
      <c r="CPK6" s="238"/>
      <c r="CPL6" s="63" t="s">
        <v>55</v>
      </c>
      <c r="CPM6" s="62"/>
      <c r="CPN6" s="62"/>
      <c r="CPO6" s="237">
        <v>4416</v>
      </c>
      <c r="CPP6" s="238"/>
      <c r="CPQ6" s="63" t="s">
        <v>55</v>
      </c>
      <c r="CPR6" s="62"/>
      <c r="CPS6" s="62"/>
      <c r="CPT6" s="237">
        <v>6624</v>
      </c>
      <c r="CPU6" s="238"/>
      <c r="CPV6" s="63" t="s">
        <v>55</v>
      </c>
      <c r="CPW6" s="62"/>
      <c r="CPX6" s="62"/>
      <c r="CPY6" s="237">
        <v>4416</v>
      </c>
      <c r="CPZ6" s="238"/>
      <c r="CQA6" s="63" t="s">
        <v>55</v>
      </c>
      <c r="CQB6" s="62"/>
      <c r="CQC6" s="62"/>
      <c r="CQD6" s="237">
        <v>4416</v>
      </c>
      <c r="CQE6" s="238"/>
      <c r="CQF6" s="63" t="s">
        <v>55</v>
      </c>
      <c r="CQG6" s="62"/>
      <c r="CQH6" s="62"/>
      <c r="CQI6" s="237">
        <v>2208</v>
      </c>
      <c r="CQJ6" s="238"/>
      <c r="CQK6" s="63" t="s">
        <v>55</v>
      </c>
      <c r="CQL6" s="62"/>
      <c r="CQM6" s="62"/>
      <c r="CQN6" s="237">
        <v>2208</v>
      </c>
      <c r="CQO6" s="238"/>
      <c r="CQP6" s="63" t="s">
        <v>55</v>
      </c>
      <c r="CQQ6" s="62"/>
      <c r="CQR6" s="62"/>
      <c r="CQS6" s="237">
        <v>4416</v>
      </c>
      <c r="CQT6" s="238"/>
      <c r="CQU6" s="63" t="s">
        <v>55</v>
      </c>
      <c r="CQV6" s="62"/>
      <c r="CQW6" s="62"/>
      <c r="CQX6" s="237">
        <v>3312</v>
      </c>
      <c r="CQY6" s="238"/>
      <c r="CQZ6" s="63" t="s">
        <v>55</v>
      </c>
      <c r="CRA6" s="62"/>
      <c r="CRB6" s="62"/>
      <c r="CRC6" s="237">
        <v>6624</v>
      </c>
      <c r="CRD6" s="238"/>
      <c r="CRE6" s="21" t="s">
        <v>55</v>
      </c>
      <c r="CRF6" s="2"/>
      <c r="CRG6" s="2"/>
      <c r="CRH6" s="296">
        <v>4416</v>
      </c>
      <c r="CRI6" s="297"/>
      <c r="CRJ6" s="21" t="s">
        <v>55</v>
      </c>
      <c r="CRK6" s="2"/>
      <c r="CRL6" s="2"/>
      <c r="CRM6" s="296">
        <v>4416</v>
      </c>
      <c r="CRN6" s="297"/>
      <c r="CRO6" s="21" t="s">
        <v>55</v>
      </c>
      <c r="CRP6" s="2"/>
      <c r="CRQ6" s="2"/>
      <c r="CRR6" s="296">
        <v>4416</v>
      </c>
      <c r="CRS6" s="297"/>
      <c r="CRT6" s="21" t="s">
        <v>55</v>
      </c>
      <c r="CRU6" s="2"/>
      <c r="CRV6" s="2"/>
      <c r="CRW6" s="296">
        <v>4416</v>
      </c>
      <c r="CRX6" s="297"/>
      <c r="CRY6" s="21" t="s">
        <v>55</v>
      </c>
      <c r="CRZ6" s="2"/>
      <c r="CSA6" s="2"/>
      <c r="CSB6" s="24">
        <v>2208</v>
      </c>
      <c r="CSC6" s="21" t="s">
        <v>55</v>
      </c>
      <c r="CSD6" s="2"/>
      <c r="CSE6" s="2"/>
      <c r="CSF6" s="24">
        <v>13248</v>
      </c>
      <c r="CSG6" s="21" t="s">
        <v>55</v>
      </c>
      <c r="CSH6" s="2"/>
      <c r="CSI6" s="2"/>
      <c r="CSJ6" s="24">
        <v>2208</v>
      </c>
      <c r="CSK6" s="21" t="s">
        <v>55</v>
      </c>
      <c r="CSL6" s="2"/>
      <c r="CSM6" s="2"/>
      <c r="CSN6" s="24">
        <v>4416</v>
      </c>
      <c r="CSO6" s="21" t="s">
        <v>55</v>
      </c>
      <c r="CSP6" s="2"/>
      <c r="CSQ6" s="2"/>
      <c r="CSR6" s="24">
        <v>2208</v>
      </c>
      <c r="CSS6" s="21" t="s">
        <v>55</v>
      </c>
      <c r="CST6" s="2"/>
      <c r="CSU6" s="2"/>
      <c r="CSV6" s="24">
        <v>1104</v>
      </c>
      <c r="CSW6" s="21" t="s">
        <v>55</v>
      </c>
      <c r="CSX6" s="2"/>
      <c r="CSY6" s="2"/>
      <c r="CSZ6" s="24">
        <v>5520</v>
      </c>
      <c r="CTA6" s="21" t="s">
        <v>55</v>
      </c>
      <c r="CTB6" s="2"/>
      <c r="CTC6" s="2"/>
      <c r="CTD6" s="24">
        <v>4416</v>
      </c>
      <c r="CTE6" s="21" t="s">
        <v>55</v>
      </c>
      <c r="CTF6" s="2"/>
      <c r="CTG6" s="2"/>
      <c r="CTH6" s="24">
        <v>6624</v>
      </c>
      <c r="CTI6" s="21" t="s">
        <v>55</v>
      </c>
      <c r="CTJ6" s="2"/>
      <c r="CTK6" s="2"/>
      <c r="CTL6" s="24">
        <v>2208</v>
      </c>
      <c r="CTM6" s="21" t="s">
        <v>55</v>
      </c>
      <c r="CTN6" s="2"/>
      <c r="CTO6" s="2"/>
      <c r="CTP6" s="24">
        <v>4416</v>
      </c>
      <c r="CTQ6" s="21" t="s">
        <v>55</v>
      </c>
      <c r="CTR6" s="2"/>
      <c r="CTS6" s="2"/>
      <c r="CTT6" s="24">
        <v>4416</v>
      </c>
      <c r="CTU6" s="21" t="s">
        <v>55</v>
      </c>
      <c r="CTV6" s="2"/>
      <c r="CTW6" s="2"/>
      <c r="CTX6" s="24">
        <v>2208</v>
      </c>
      <c r="CTY6" s="21" t="s">
        <v>55</v>
      </c>
      <c r="CTZ6" s="2"/>
      <c r="CUA6" s="2"/>
      <c r="CUB6" s="24">
        <v>2208</v>
      </c>
      <c r="CUC6" s="21" t="s">
        <v>55</v>
      </c>
      <c r="CUD6" s="2"/>
      <c r="CUE6" s="2"/>
      <c r="CUF6" s="24">
        <v>15456</v>
      </c>
      <c r="CUG6" s="21" t="s">
        <v>55</v>
      </c>
      <c r="CUH6" s="2"/>
      <c r="CUI6" s="2"/>
      <c r="CUJ6" s="24">
        <v>3312</v>
      </c>
      <c r="CUK6" s="21" t="s">
        <v>55</v>
      </c>
      <c r="CUL6" s="2"/>
      <c r="CUM6" s="2"/>
      <c r="CUN6" s="24">
        <v>3312</v>
      </c>
      <c r="CUO6" s="21" t="s">
        <v>55</v>
      </c>
      <c r="CUP6" s="2"/>
      <c r="CUQ6" s="2"/>
      <c r="CUR6" s="24">
        <v>3312</v>
      </c>
      <c r="CUS6" s="21" t="s">
        <v>55</v>
      </c>
      <c r="CUT6" s="2"/>
      <c r="CUU6" s="2"/>
      <c r="CUV6" s="24">
        <v>4416</v>
      </c>
      <c r="CUW6" s="21" t="s">
        <v>55</v>
      </c>
      <c r="CUX6" s="2"/>
      <c r="CUY6" s="2"/>
      <c r="CUZ6" s="24">
        <v>2208</v>
      </c>
      <c r="CVA6" s="21" t="s">
        <v>55</v>
      </c>
      <c r="CVB6" s="2"/>
      <c r="CVC6" s="2"/>
      <c r="CVD6" s="24">
        <v>2208</v>
      </c>
      <c r="CVE6" s="21" t="s">
        <v>55</v>
      </c>
      <c r="CVF6" s="2"/>
      <c r="CVG6" s="2"/>
      <c r="CVH6" s="24"/>
      <c r="CVI6" s="21" t="s">
        <v>55</v>
      </c>
      <c r="CVJ6" s="2"/>
      <c r="CVK6" s="2"/>
      <c r="CVL6" s="24">
        <v>3312</v>
      </c>
      <c r="CVM6" s="21" t="s">
        <v>55</v>
      </c>
      <c r="CVN6" s="2"/>
      <c r="CVO6" s="2"/>
      <c r="CVP6" s="24">
        <v>4416</v>
      </c>
      <c r="CVQ6" s="21" t="s">
        <v>55</v>
      </c>
      <c r="CVR6" s="2"/>
      <c r="CVS6" s="2"/>
      <c r="CVT6" s="24">
        <v>4416</v>
      </c>
      <c r="CVU6" s="21" t="s">
        <v>55</v>
      </c>
      <c r="CVV6" s="2"/>
      <c r="CVW6" s="2"/>
      <c r="CVX6" s="24"/>
      <c r="CVY6" s="21" t="s">
        <v>55</v>
      </c>
      <c r="CVZ6" s="2"/>
      <c r="CWA6" s="2"/>
      <c r="CWB6" s="24">
        <v>7728</v>
      </c>
      <c r="CWC6" s="21" t="s">
        <v>55</v>
      </c>
      <c r="CWD6" s="2"/>
      <c r="CWE6" s="2"/>
      <c r="CWF6" s="24">
        <v>3312</v>
      </c>
      <c r="CWG6" s="21" t="s">
        <v>55</v>
      </c>
      <c r="CWH6" s="2"/>
      <c r="CWI6" s="2"/>
      <c r="CWJ6" s="24">
        <v>2208</v>
      </c>
      <c r="CWK6" s="21" t="s">
        <v>55</v>
      </c>
      <c r="CWL6" s="2"/>
      <c r="CWM6" s="2"/>
      <c r="CWN6" s="24">
        <v>6624</v>
      </c>
      <c r="CWO6" s="21" t="s">
        <v>55</v>
      </c>
      <c r="CWP6" s="2"/>
      <c r="CWQ6" s="2"/>
      <c r="CWR6" s="24">
        <v>2208</v>
      </c>
      <c r="CWS6" s="21" t="s">
        <v>55</v>
      </c>
      <c r="CWT6" s="2"/>
      <c r="CWU6" s="2"/>
      <c r="CWV6" s="24"/>
      <c r="CWW6" s="21" t="s">
        <v>55</v>
      </c>
      <c r="CWX6" s="2"/>
      <c r="CWY6" s="2"/>
      <c r="CWZ6" s="24">
        <v>2208</v>
      </c>
      <c r="CXA6" s="34" t="s">
        <v>55</v>
      </c>
      <c r="CXB6" s="32"/>
      <c r="CXC6" s="32"/>
      <c r="CXD6" s="35">
        <v>4416</v>
      </c>
      <c r="CXE6" s="34" t="s">
        <v>55</v>
      </c>
      <c r="CXF6" s="32"/>
      <c r="CXG6" s="32"/>
      <c r="CXH6" s="35">
        <v>4416</v>
      </c>
      <c r="CXI6" s="34" t="s">
        <v>55</v>
      </c>
      <c r="CXJ6" s="32"/>
      <c r="CXK6" s="32"/>
      <c r="CXL6" s="35">
        <v>4416</v>
      </c>
      <c r="CXM6" s="34" t="s">
        <v>55</v>
      </c>
      <c r="CXN6" s="32"/>
      <c r="CXO6" s="32"/>
      <c r="CXP6" s="35">
        <v>5520</v>
      </c>
      <c r="CXQ6" s="34" t="s">
        <v>55</v>
      </c>
      <c r="CXR6" s="32"/>
      <c r="CXS6" s="32"/>
      <c r="CXT6" s="35">
        <v>2208</v>
      </c>
      <c r="CXU6" s="26" t="s">
        <v>55</v>
      </c>
      <c r="CXX6" s="26">
        <v>2208</v>
      </c>
      <c r="CXY6" s="26" t="s">
        <v>55</v>
      </c>
      <c r="CYB6" s="26">
        <v>1104</v>
      </c>
      <c r="CYC6" s="26" t="s">
        <v>55</v>
      </c>
      <c r="CYF6" s="26">
        <v>4417</v>
      </c>
      <c r="CYG6" s="26" t="s">
        <v>43</v>
      </c>
      <c r="CYJ6" s="26">
        <v>95766</v>
      </c>
      <c r="CYK6" s="26" t="s">
        <v>43</v>
      </c>
      <c r="CYN6" s="26">
        <v>5370</v>
      </c>
      <c r="CYO6" s="26" t="s">
        <v>43</v>
      </c>
      <c r="CYR6" s="26">
        <v>835.6</v>
      </c>
      <c r="CYS6" s="26" t="s">
        <v>43</v>
      </c>
      <c r="CYV6" s="26">
        <v>8236.25</v>
      </c>
      <c r="CYW6" s="26" t="s">
        <v>43</v>
      </c>
      <c r="CYZ6" s="26">
        <v>66720.5</v>
      </c>
      <c r="CZA6" s="26" t="s">
        <v>43</v>
      </c>
      <c r="CZD6" s="26">
        <v>37010.5</v>
      </c>
      <c r="CZE6" s="26" t="s">
        <v>43</v>
      </c>
      <c r="CZH6" s="26">
        <v>66649.5</v>
      </c>
      <c r="CZI6" s="26" t="s">
        <v>43</v>
      </c>
      <c r="CZL6" s="26">
        <v>70990.89</v>
      </c>
      <c r="CZM6" s="26" t="s">
        <v>43</v>
      </c>
      <c r="CZP6" s="26">
        <v>71052.5</v>
      </c>
      <c r="CZQ6" s="26" t="s">
        <v>43</v>
      </c>
      <c r="CZT6" s="26">
        <v>23196</v>
      </c>
      <c r="CZU6" s="26" t="s">
        <v>43</v>
      </c>
      <c r="CZX6" s="26">
        <v>10513</v>
      </c>
      <c r="CZY6" s="26" t="s">
        <v>43</v>
      </c>
      <c r="DAB6" s="26">
        <v>4498</v>
      </c>
      <c r="DAC6" s="26" t="s">
        <v>43</v>
      </c>
      <c r="DAF6" s="26">
        <v>50343.5</v>
      </c>
      <c r="DAG6" s="26" t="s">
        <v>43</v>
      </c>
      <c r="DAJ6" s="26">
        <v>67255</v>
      </c>
      <c r="DAK6" s="26" t="s">
        <v>43</v>
      </c>
      <c r="DAN6" s="26">
        <v>62785</v>
      </c>
      <c r="DAO6" s="26" t="s">
        <v>43</v>
      </c>
      <c r="DAR6" s="26">
        <v>69034</v>
      </c>
      <c r="DAS6" s="26" t="s">
        <v>43</v>
      </c>
      <c r="DAV6" s="26">
        <v>73057.5</v>
      </c>
      <c r="DAW6" s="26" t="s">
        <v>43</v>
      </c>
      <c r="DAZ6" s="26">
        <v>166779.5</v>
      </c>
      <c r="DBA6" s="26" t="s">
        <v>43</v>
      </c>
      <c r="DBD6" s="26">
        <v>132409.5</v>
      </c>
      <c r="DBE6" s="26" t="s">
        <v>43</v>
      </c>
      <c r="DBH6" s="26">
        <v>151300.5</v>
      </c>
      <c r="DBI6" s="26" t="s">
        <v>43</v>
      </c>
      <c r="DBL6" s="26">
        <v>55443.75</v>
      </c>
      <c r="DBM6" s="26" t="s">
        <v>43</v>
      </c>
      <c r="DBP6" s="26">
        <v>61888.5</v>
      </c>
      <c r="DBQ6" s="26" t="s">
        <v>43</v>
      </c>
      <c r="DBT6" s="26">
        <v>88686</v>
      </c>
      <c r="DBU6" s="26" t="s">
        <v>43</v>
      </c>
      <c r="DBX6" s="26">
        <v>88333.5</v>
      </c>
      <c r="DBY6" s="26" t="s">
        <v>43</v>
      </c>
      <c r="DCB6" s="26">
        <v>47908.5</v>
      </c>
      <c r="DCC6" s="26" t="s">
        <v>43</v>
      </c>
      <c r="DCF6" s="26">
        <v>114976.5</v>
      </c>
      <c r="DCG6" s="26" t="s">
        <v>43</v>
      </c>
      <c r="DCJ6" s="26">
        <v>109421.5</v>
      </c>
      <c r="DCK6" s="26" t="s">
        <v>43</v>
      </c>
      <c r="DCN6" s="26">
        <v>122920.5</v>
      </c>
      <c r="DCO6" s="26" t="s">
        <v>43</v>
      </c>
      <c r="DCR6" s="26">
        <v>90048.5</v>
      </c>
      <c r="DCS6" s="26" t="s">
        <v>43</v>
      </c>
      <c r="DCV6" s="26">
        <v>40053.25</v>
      </c>
      <c r="DCW6" s="26" t="s">
        <v>43</v>
      </c>
      <c r="DCZ6" s="26">
        <v>21634.5</v>
      </c>
      <c r="DDA6" s="26" t="s">
        <v>43</v>
      </c>
      <c r="DDD6" s="26">
        <v>76399</v>
      </c>
      <c r="DDE6" s="26" t="s">
        <v>2</v>
      </c>
      <c r="DDH6" s="26">
        <v>60488.5</v>
      </c>
      <c r="DDI6" s="26" t="s">
        <v>2</v>
      </c>
      <c r="DDL6" s="26">
        <v>44545</v>
      </c>
      <c r="DDM6" s="26" t="s">
        <v>2</v>
      </c>
      <c r="DDP6" s="26">
        <v>42689</v>
      </c>
      <c r="DDQ6" s="26" t="s">
        <v>4</v>
      </c>
      <c r="DDS6" s="26" t="s">
        <v>3</v>
      </c>
    </row>
    <row r="7" spans="1:2828" ht="16.2" thickBot="1" x14ac:dyDescent="0.35">
      <c r="A7" s="61" t="s">
        <v>38</v>
      </c>
      <c r="B7" s="62"/>
      <c r="C7" s="62"/>
      <c r="D7" s="235">
        <v>3005</v>
      </c>
      <c r="E7" s="236"/>
      <c r="F7" s="61" t="s">
        <v>38</v>
      </c>
      <c r="G7" s="62"/>
      <c r="H7" s="62"/>
      <c r="I7" s="235">
        <v>0</v>
      </c>
      <c r="J7" s="236"/>
      <c r="K7" s="61" t="s">
        <v>38</v>
      </c>
      <c r="L7" s="62"/>
      <c r="M7" s="62"/>
      <c r="N7" s="235">
        <v>0</v>
      </c>
      <c r="O7" s="236"/>
      <c r="P7" s="61" t="s">
        <v>38</v>
      </c>
      <c r="Q7" s="62"/>
      <c r="R7" s="62"/>
      <c r="S7" s="235">
        <v>787</v>
      </c>
      <c r="T7" s="236"/>
      <c r="U7" s="61" t="s">
        <v>38</v>
      </c>
      <c r="V7" s="62"/>
      <c r="W7" s="62"/>
      <c r="X7" s="235">
        <v>0</v>
      </c>
      <c r="Y7" s="236"/>
      <c r="Z7" s="61" t="s">
        <v>38</v>
      </c>
      <c r="AA7" s="62"/>
      <c r="AB7" s="62"/>
      <c r="AC7" s="235">
        <v>6910.5</v>
      </c>
      <c r="AD7" s="236"/>
      <c r="AE7" s="61" t="s">
        <v>38</v>
      </c>
      <c r="AF7" s="62"/>
      <c r="AG7" s="62"/>
      <c r="AH7" s="235">
        <v>9014</v>
      </c>
      <c r="AI7" s="236"/>
      <c r="AJ7" s="61" t="s">
        <v>38</v>
      </c>
      <c r="AK7" s="62"/>
      <c r="AL7" s="62"/>
      <c r="AM7" s="235">
        <v>6010</v>
      </c>
      <c r="AN7" s="236"/>
      <c r="AO7" s="61" t="s">
        <v>38</v>
      </c>
      <c r="AP7" s="62"/>
      <c r="AQ7" s="62"/>
      <c r="AR7" s="235">
        <v>0</v>
      </c>
      <c r="AS7" s="236"/>
      <c r="AT7" s="61" t="s">
        <v>38</v>
      </c>
      <c r="AU7" s="62"/>
      <c r="AV7" s="62"/>
      <c r="AW7" s="235">
        <v>0</v>
      </c>
      <c r="AX7" s="236"/>
      <c r="AY7" s="61" t="s">
        <v>38</v>
      </c>
      <c r="AZ7" s="62"/>
      <c r="BA7" s="62"/>
      <c r="BB7" s="235">
        <v>0</v>
      </c>
      <c r="BC7" s="236"/>
      <c r="BD7" s="61" t="s">
        <v>38</v>
      </c>
      <c r="BE7" s="62"/>
      <c r="BF7" s="62"/>
      <c r="BG7" s="235">
        <v>10082.5</v>
      </c>
      <c r="BH7" s="236"/>
      <c r="BI7" s="61" t="s">
        <v>38</v>
      </c>
      <c r="BJ7" s="62"/>
      <c r="BK7" s="62"/>
      <c r="BL7" s="235">
        <v>4033</v>
      </c>
      <c r="BM7" s="236"/>
      <c r="BN7" s="61" t="s">
        <v>38</v>
      </c>
      <c r="BO7" s="62"/>
      <c r="BP7" s="62"/>
      <c r="BQ7" s="235">
        <v>1502</v>
      </c>
      <c r="BR7" s="236"/>
      <c r="BS7" s="61" t="s">
        <v>38</v>
      </c>
      <c r="BT7" s="62"/>
      <c r="BU7" s="62"/>
      <c r="BV7" s="235">
        <v>9014</v>
      </c>
      <c r="BW7" s="236"/>
      <c r="BX7" s="61" t="s">
        <v>38</v>
      </c>
      <c r="BY7" s="62"/>
      <c r="BZ7" s="62"/>
      <c r="CA7" s="235">
        <v>1502</v>
      </c>
      <c r="CB7" s="236"/>
      <c r="CC7" s="61" t="s">
        <v>38</v>
      </c>
      <c r="CD7" s="62"/>
      <c r="CE7" s="62"/>
      <c r="CF7" s="235">
        <v>4033</v>
      </c>
      <c r="CG7" s="236"/>
      <c r="CH7" s="61" t="s">
        <v>38</v>
      </c>
      <c r="CI7" s="62"/>
      <c r="CJ7" s="62"/>
      <c r="CK7" s="235">
        <v>1008.25</v>
      </c>
      <c r="CL7" s="236"/>
      <c r="CM7" s="61" t="s">
        <v>38</v>
      </c>
      <c r="CN7" s="62"/>
      <c r="CO7" s="62"/>
      <c r="CP7" s="235">
        <v>6836.5</v>
      </c>
      <c r="CQ7" s="236"/>
      <c r="CR7" s="61" t="s">
        <v>38</v>
      </c>
      <c r="CS7" s="62"/>
      <c r="CT7" s="62"/>
      <c r="CU7" s="235">
        <v>6153</v>
      </c>
      <c r="CV7" s="236"/>
      <c r="CW7" s="61" t="s">
        <v>38</v>
      </c>
      <c r="CX7" s="62"/>
      <c r="CY7" s="62"/>
      <c r="CZ7" s="235">
        <v>1209.8999999999999</v>
      </c>
      <c r="DA7" s="236"/>
      <c r="DB7" s="61" t="s">
        <v>38</v>
      </c>
      <c r="DC7" s="62"/>
      <c r="DD7" s="62"/>
      <c r="DE7" s="235">
        <v>3005</v>
      </c>
      <c r="DF7" s="236"/>
      <c r="DG7" s="61" t="s">
        <v>38</v>
      </c>
      <c r="DH7" s="62"/>
      <c r="DI7" s="62"/>
      <c r="DJ7" s="235">
        <v>0</v>
      </c>
      <c r="DK7" s="236"/>
      <c r="DL7" s="61" t="s">
        <v>38</v>
      </c>
      <c r="DM7" s="62"/>
      <c r="DN7" s="62"/>
      <c r="DO7" s="235">
        <v>3005</v>
      </c>
      <c r="DP7" s="236"/>
      <c r="DQ7" s="61" t="s">
        <v>38</v>
      </c>
      <c r="DR7" s="62"/>
      <c r="DS7" s="62"/>
      <c r="DT7" s="235">
        <v>3590.5</v>
      </c>
      <c r="DU7" s="236"/>
      <c r="DV7" s="61" t="s">
        <v>38</v>
      </c>
      <c r="DW7" s="62"/>
      <c r="DX7" s="62"/>
      <c r="DY7" s="235">
        <v>0</v>
      </c>
      <c r="DZ7" s="236"/>
      <c r="EA7" s="61" t="s">
        <v>38</v>
      </c>
      <c r="EB7" s="62"/>
      <c r="EC7" s="62"/>
      <c r="ED7" s="235">
        <v>11274</v>
      </c>
      <c r="EE7" s="236"/>
      <c r="EF7" s="61" t="s">
        <v>38</v>
      </c>
      <c r="EG7" s="62"/>
      <c r="EH7" s="62"/>
      <c r="EI7" s="235">
        <v>806.6</v>
      </c>
      <c r="EJ7" s="236"/>
      <c r="EK7" s="61" t="s">
        <v>38</v>
      </c>
      <c r="EL7" s="62"/>
      <c r="EM7" s="62"/>
      <c r="EN7" s="235">
        <v>0</v>
      </c>
      <c r="EO7" s="236"/>
      <c r="EP7" s="61" t="s">
        <v>38</v>
      </c>
      <c r="EQ7" s="62"/>
      <c r="ER7" s="62"/>
      <c r="ES7" s="235">
        <v>7512</v>
      </c>
      <c r="ET7" s="236"/>
      <c r="EU7" s="61" t="s">
        <v>38</v>
      </c>
      <c r="EV7" s="62"/>
      <c r="EW7" s="62"/>
      <c r="EX7" s="235">
        <v>5515.25</v>
      </c>
      <c r="EY7" s="236"/>
      <c r="EZ7" s="61" t="s">
        <v>38</v>
      </c>
      <c r="FA7" s="62"/>
      <c r="FB7" s="62"/>
      <c r="FC7" s="235">
        <v>1604</v>
      </c>
      <c r="FD7" s="236"/>
      <c r="FE7" s="61" t="s">
        <v>38</v>
      </c>
      <c r="FF7" s="62"/>
      <c r="FG7" s="62"/>
      <c r="FH7" s="235">
        <v>0</v>
      </c>
      <c r="FI7" s="236"/>
      <c r="FJ7" s="61" t="s">
        <v>38</v>
      </c>
      <c r="FK7" s="62"/>
      <c r="FL7" s="62"/>
      <c r="FM7" s="235">
        <v>5535</v>
      </c>
      <c r="FN7" s="236"/>
      <c r="FO7" s="61" t="s">
        <v>38</v>
      </c>
      <c r="FP7" s="62"/>
      <c r="FQ7" s="62"/>
      <c r="FR7" s="235">
        <v>0</v>
      </c>
      <c r="FS7" s="236"/>
      <c r="FT7" s="61" t="s">
        <v>38</v>
      </c>
      <c r="FU7" s="62"/>
      <c r="FV7" s="62"/>
      <c r="FW7" s="235">
        <v>4507</v>
      </c>
      <c r="FX7" s="236"/>
      <c r="FY7" s="61" t="s">
        <v>38</v>
      </c>
      <c r="FZ7" s="62"/>
      <c r="GA7" s="62"/>
      <c r="GB7" s="235">
        <v>4526.75</v>
      </c>
      <c r="GC7" s="236"/>
      <c r="GD7" s="61" t="s">
        <v>38</v>
      </c>
      <c r="GE7" s="62"/>
      <c r="GF7" s="62"/>
      <c r="GG7" s="235">
        <v>0</v>
      </c>
      <c r="GH7" s="236"/>
      <c r="GI7" s="61" t="s">
        <v>38</v>
      </c>
      <c r="GJ7" s="62"/>
      <c r="GK7" s="62"/>
      <c r="GL7" s="235">
        <v>2016.5</v>
      </c>
      <c r="GM7" s="236"/>
      <c r="GN7" s="61" t="s">
        <v>38</v>
      </c>
      <c r="GO7" s="62"/>
      <c r="GP7" s="62"/>
      <c r="GQ7" s="235">
        <v>6836.5</v>
      </c>
      <c r="GR7" s="236"/>
      <c r="GS7" s="61" t="s">
        <v>38</v>
      </c>
      <c r="GT7" s="62"/>
      <c r="GU7" s="62"/>
      <c r="GV7" s="235">
        <v>3005</v>
      </c>
      <c r="GW7" s="236"/>
      <c r="GX7" s="61" t="s">
        <v>38</v>
      </c>
      <c r="GY7" s="62"/>
      <c r="GZ7" s="62"/>
      <c r="HA7" s="235">
        <v>12019</v>
      </c>
      <c r="HB7" s="236"/>
      <c r="HC7" s="61" t="s">
        <v>38</v>
      </c>
      <c r="HD7" s="62"/>
      <c r="HE7" s="62"/>
      <c r="HF7" s="235">
        <v>1604</v>
      </c>
      <c r="HG7" s="236"/>
      <c r="HH7" s="61" t="s">
        <v>38</v>
      </c>
      <c r="HI7" s="62"/>
      <c r="HJ7" s="62"/>
      <c r="HK7" s="235">
        <v>0</v>
      </c>
      <c r="HL7" s="236"/>
      <c r="HM7" s="61" t="s">
        <v>38</v>
      </c>
      <c r="HN7" s="62"/>
      <c r="HO7" s="62"/>
      <c r="HP7" s="235">
        <v>10556.5</v>
      </c>
      <c r="HQ7" s="236"/>
      <c r="HR7" s="61" t="s">
        <v>38</v>
      </c>
      <c r="HS7" s="62"/>
      <c r="HT7" s="62"/>
      <c r="HU7" s="235">
        <v>7038</v>
      </c>
      <c r="HV7" s="236"/>
      <c r="HW7" s="61" t="s">
        <v>38</v>
      </c>
      <c r="HX7" s="62"/>
      <c r="HY7" s="62"/>
      <c r="HZ7" s="235">
        <v>6049.5</v>
      </c>
      <c r="IA7" s="236"/>
      <c r="IB7" s="61" t="s">
        <v>38</v>
      </c>
      <c r="IC7" s="62"/>
      <c r="ID7" s="62"/>
      <c r="IE7" s="235">
        <v>18148.5</v>
      </c>
      <c r="IF7" s="236"/>
      <c r="IG7" s="61" t="s">
        <v>38</v>
      </c>
      <c r="IH7" s="62"/>
      <c r="II7" s="62"/>
      <c r="IJ7" s="235">
        <v>12017</v>
      </c>
      <c r="IK7" s="236"/>
      <c r="IL7" s="61" t="s">
        <v>38</v>
      </c>
      <c r="IM7" s="62"/>
      <c r="IN7" s="62"/>
      <c r="IO7" s="235">
        <v>0</v>
      </c>
      <c r="IP7" s="236"/>
      <c r="IQ7" s="61" t="s">
        <v>38</v>
      </c>
      <c r="IR7" s="62"/>
      <c r="IS7" s="62"/>
      <c r="IT7" s="235">
        <v>0</v>
      </c>
      <c r="IU7" s="236"/>
      <c r="IV7" s="61" t="s">
        <v>38</v>
      </c>
      <c r="IW7" s="62"/>
      <c r="IX7" s="62"/>
      <c r="IY7" s="235">
        <v>1209.8999999999999</v>
      </c>
      <c r="IZ7" s="236"/>
      <c r="JA7" s="61" t="s">
        <v>38</v>
      </c>
      <c r="JB7" s="62"/>
      <c r="JC7" s="62"/>
      <c r="JD7" s="235">
        <v>1588</v>
      </c>
      <c r="JE7" s="236"/>
      <c r="JF7" s="61" t="s">
        <v>38</v>
      </c>
      <c r="JG7" s="62"/>
      <c r="JH7" s="62"/>
      <c r="JI7" s="235">
        <v>8066</v>
      </c>
      <c r="JJ7" s="236"/>
      <c r="JK7" s="61" t="s">
        <v>38</v>
      </c>
      <c r="JL7" s="62"/>
      <c r="JM7" s="62"/>
      <c r="JN7" s="235">
        <v>4033</v>
      </c>
      <c r="JO7" s="236"/>
      <c r="JP7" s="61" t="s">
        <v>38</v>
      </c>
      <c r="JQ7" s="62"/>
      <c r="JR7" s="62"/>
      <c r="JS7" s="235">
        <v>3005</v>
      </c>
      <c r="JT7" s="236"/>
      <c r="JU7" s="61" t="s">
        <v>38</v>
      </c>
      <c r="JV7" s="62"/>
      <c r="JW7" s="62"/>
      <c r="JX7" s="235">
        <v>0</v>
      </c>
      <c r="JY7" s="236"/>
      <c r="JZ7" s="61" t="s">
        <v>38</v>
      </c>
      <c r="KA7" s="62"/>
      <c r="KB7" s="62"/>
      <c r="KC7" s="235">
        <v>14600.25</v>
      </c>
      <c r="KD7" s="236"/>
      <c r="KE7" s="61" t="s">
        <v>38</v>
      </c>
      <c r="KF7" s="62"/>
      <c r="KG7" s="62"/>
      <c r="KH7" s="235">
        <v>4507</v>
      </c>
      <c r="KI7" s="236"/>
      <c r="KJ7" s="61" t="s">
        <v>38</v>
      </c>
      <c r="KK7" s="62"/>
      <c r="KL7" s="62"/>
      <c r="KM7" s="235">
        <v>8540</v>
      </c>
      <c r="KN7" s="236"/>
      <c r="KO7" s="61" t="s">
        <v>38</v>
      </c>
      <c r="KP7" s="62"/>
      <c r="KQ7" s="62"/>
      <c r="KR7" s="235">
        <v>9014</v>
      </c>
      <c r="KS7" s="236"/>
      <c r="KT7" s="61" t="s">
        <v>38</v>
      </c>
      <c r="KU7" s="62"/>
      <c r="KV7" s="62"/>
      <c r="KW7" s="235">
        <v>24118</v>
      </c>
      <c r="KX7" s="236"/>
      <c r="KY7" s="61" t="s">
        <v>38</v>
      </c>
      <c r="KZ7" s="62"/>
      <c r="LA7" s="62"/>
      <c r="LB7" s="235">
        <v>12018</v>
      </c>
      <c r="LC7" s="236"/>
      <c r="LD7" s="61" t="s">
        <v>38</v>
      </c>
      <c r="LE7" s="62"/>
      <c r="LF7" s="62"/>
      <c r="LG7" s="235">
        <v>3005</v>
      </c>
      <c r="LH7" s="236"/>
      <c r="LI7" s="61" t="s">
        <v>38</v>
      </c>
      <c r="LJ7" s="62"/>
      <c r="LK7" s="62"/>
      <c r="LL7" s="235">
        <v>944.4</v>
      </c>
      <c r="LM7" s="236"/>
      <c r="LN7" s="61" t="s">
        <v>38</v>
      </c>
      <c r="LO7" s="62"/>
      <c r="LP7" s="62"/>
      <c r="LQ7" s="235">
        <v>0</v>
      </c>
      <c r="LR7" s="236"/>
      <c r="LS7" s="61" t="s">
        <v>38</v>
      </c>
      <c r="LT7" s="62"/>
      <c r="LU7" s="62"/>
      <c r="LV7" s="235">
        <v>6416</v>
      </c>
      <c r="LW7" s="236"/>
      <c r="LX7" s="61" t="s">
        <v>38</v>
      </c>
      <c r="LY7" s="62"/>
      <c r="LZ7" s="62"/>
      <c r="MA7" s="235">
        <v>8539</v>
      </c>
      <c r="MB7" s="236"/>
      <c r="MC7" s="61" t="s">
        <v>38</v>
      </c>
      <c r="MD7" s="62"/>
      <c r="ME7" s="62"/>
      <c r="MF7" s="235">
        <v>41671</v>
      </c>
      <c r="MG7" s="236"/>
      <c r="MH7" s="61" t="s">
        <v>38</v>
      </c>
      <c r="MI7" s="62"/>
      <c r="MJ7" s="62"/>
      <c r="MK7" s="235">
        <v>8066</v>
      </c>
      <c r="ML7" s="236"/>
      <c r="MM7" s="61" t="s">
        <v>38</v>
      </c>
      <c r="MN7" s="62"/>
      <c r="MO7" s="62"/>
      <c r="MP7" s="235">
        <v>5106.5</v>
      </c>
      <c r="MQ7" s="236"/>
      <c r="MR7" s="61" t="s">
        <v>38</v>
      </c>
      <c r="MS7" s="62"/>
      <c r="MT7" s="62"/>
      <c r="MU7" s="235">
        <v>12018</v>
      </c>
      <c r="MV7" s="236"/>
      <c r="MW7" s="61" t="s">
        <v>38</v>
      </c>
      <c r="MX7" s="62"/>
      <c r="MY7" s="62"/>
      <c r="MZ7" s="235">
        <v>12018</v>
      </c>
      <c r="NA7" s="236"/>
      <c r="NB7" s="61" t="s">
        <v>38</v>
      </c>
      <c r="NC7" s="62"/>
      <c r="ND7" s="62"/>
      <c r="NE7" s="235">
        <v>7181</v>
      </c>
      <c r="NF7" s="236"/>
      <c r="NG7" s="61" t="s">
        <v>38</v>
      </c>
      <c r="NH7" s="62"/>
      <c r="NI7" s="62"/>
      <c r="NJ7" s="235">
        <v>1008.25</v>
      </c>
      <c r="NK7" s="236"/>
      <c r="NL7" s="61" t="s">
        <v>38</v>
      </c>
      <c r="NM7" s="62"/>
      <c r="NN7" s="62"/>
      <c r="NO7" s="235">
        <v>6049.5</v>
      </c>
      <c r="NP7" s="236"/>
      <c r="NQ7" s="61" t="s">
        <v>38</v>
      </c>
      <c r="NR7" s="62"/>
      <c r="NS7" s="62"/>
      <c r="NT7" s="235">
        <v>2510.25</v>
      </c>
      <c r="NU7" s="236"/>
      <c r="NV7" s="61" t="s">
        <v>38</v>
      </c>
      <c r="NW7" s="62"/>
      <c r="NX7" s="62"/>
      <c r="NY7" s="235">
        <v>0</v>
      </c>
      <c r="NZ7" s="236"/>
      <c r="OA7" s="61" t="s">
        <v>38</v>
      </c>
      <c r="OB7" s="62"/>
      <c r="OC7" s="62"/>
      <c r="OD7" s="235">
        <v>24037</v>
      </c>
      <c r="OE7" s="236"/>
      <c r="OF7" s="61" t="s">
        <v>38</v>
      </c>
      <c r="OG7" s="62"/>
      <c r="OH7" s="62"/>
      <c r="OI7" s="235">
        <v>6008</v>
      </c>
      <c r="OJ7" s="236"/>
      <c r="OK7" s="61" t="s">
        <v>38</v>
      </c>
      <c r="OL7" s="62"/>
      <c r="OM7" s="62"/>
      <c r="ON7" s="235">
        <v>6010</v>
      </c>
      <c r="OO7" s="236"/>
      <c r="OP7" s="61" t="s">
        <v>38</v>
      </c>
      <c r="OQ7" s="62"/>
      <c r="OR7" s="62"/>
      <c r="OS7" s="235">
        <v>2016.5</v>
      </c>
      <c r="OT7" s="236"/>
      <c r="OU7" s="61" t="s">
        <v>38</v>
      </c>
      <c r="OV7" s="62"/>
      <c r="OW7" s="62"/>
      <c r="OX7" s="235">
        <v>4033</v>
      </c>
      <c r="OY7" s="236"/>
      <c r="OZ7" s="61" t="s">
        <v>38</v>
      </c>
      <c r="PA7" s="62"/>
      <c r="PB7" s="62"/>
      <c r="PC7" s="235">
        <v>2016.5</v>
      </c>
      <c r="PD7" s="236"/>
      <c r="PE7" s="61" t="s">
        <v>38</v>
      </c>
      <c r="PF7" s="62"/>
      <c r="PG7" s="62"/>
      <c r="PH7" s="235">
        <v>16881</v>
      </c>
      <c r="PI7" s="236"/>
      <c r="PJ7" s="61" t="s">
        <v>38</v>
      </c>
      <c r="PK7" s="62"/>
      <c r="PL7" s="62"/>
      <c r="PM7" s="235">
        <v>0</v>
      </c>
      <c r="PN7" s="236"/>
      <c r="PO7" s="61" t="s">
        <v>38</v>
      </c>
      <c r="PP7" s="62"/>
      <c r="PQ7" s="62"/>
      <c r="PR7" s="235">
        <v>3090</v>
      </c>
      <c r="PS7" s="236"/>
      <c r="PT7" s="61" t="s">
        <v>38</v>
      </c>
      <c r="PU7" s="62"/>
      <c r="PV7" s="62"/>
      <c r="PW7" s="235">
        <v>7715</v>
      </c>
      <c r="PX7" s="236"/>
      <c r="PY7" s="61" t="s">
        <v>38</v>
      </c>
      <c r="PZ7" s="62"/>
      <c r="QA7" s="62"/>
      <c r="QB7" s="235">
        <v>787</v>
      </c>
      <c r="QC7" s="236"/>
      <c r="QD7" s="61" t="s">
        <v>38</v>
      </c>
      <c r="QE7" s="62"/>
      <c r="QF7" s="62"/>
      <c r="QG7" s="235">
        <v>1574</v>
      </c>
      <c r="QH7" s="236"/>
      <c r="QI7" s="61" t="s">
        <v>38</v>
      </c>
      <c r="QJ7" s="62"/>
      <c r="QK7" s="62"/>
      <c r="QL7" s="235">
        <v>5224.5</v>
      </c>
      <c r="QM7" s="236"/>
      <c r="QN7" s="61" t="s">
        <v>38</v>
      </c>
      <c r="QO7" s="62"/>
      <c r="QP7" s="62"/>
      <c r="QQ7" s="235">
        <v>5224.5</v>
      </c>
      <c r="QR7" s="236"/>
      <c r="QS7" s="61" t="s">
        <v>38</v>
      </c>
      <c r="QT7" s="62"/>
      <c r="QU7" s="62"/>
      <c r="QV7" s="235">
        <v>16091.5</v>
      </c>
      <c r="QW7" s="236"/>
      <c r="QX7" s="61" t="s">
        <v>38</v>
      </c>
      <c r="QY7" s="62"/>
      <c r="QZ7" s="62"/>
      <c r="RA7" s="235">
        <v>30046</v>
      </c>
      <c r="RB7" s="236"/>
      <c r="RC7" s="61" t="s">
        <v>38</v>
      </c>
      <c r="RD7" s="62"/>
      <c r="RE7" s="62"/>
      <c r="RF7" s="235">
        <v>6009</v>
      </c>
      <c r="RG7" s="236"/>
      <c r="RH7" s="61" t="s">
        <v>38</v>
      </c>
      <c r="RI7" s="62"/>
      <c r="RJ7" s="62"/>
      <c r="RK7" s="235">
        <v>10517</v>
      </c>
      <c r="RL7" s="236"/>
      <c r="RM7" s="61" t="s">
        <v>38</v>
      </c>
      <c r="RN7" s="62"/>
      <c r="RO7" s="62"/>
      <c r="RP7" s="235">
        <v>4033</v>
      </c>
      <c r="RQ7" s="236"/>
      <c r="RR7" s="61" t="s">
        <v>38</v>
      </c>
      <c r="RS7" s="62"/>
      <c r="RT7" s="62"/>
      <c r="RU7" s="235">
        <v>8066</v>
      </c>
      <c r="RV7" s="236"/>
      <c r="RW7" s="61" t="s">
        <v>38</v>
      </c>
      <c r="RX7" s="62"/>
      <c r="RY7" s="62"/>
      <c r="RZ7" s="235">
        <v>8066</v>
      </c>
      <c r="SA7" s="236"/>
      <c r="SB7" s="61" t="s">
        <v>38</v>
      </c>
      <c r="SC7" s="62"/>
      <c r="SD7" s="62"/>
      <c r="SE7" s="235">
        <v>59882.5</v>
      </c>
      <c r="SF7" s="236"/>
      <c r="SG7" s="61" t="s">
        <v>38</v>
      </c>
      <c r="SH7" s="62"/>
      <c r="SI7" s="62"/>
      <c r="SJ7" s="235">
        <v>39251.5</v>
      </c>
      <c r="SK7" s="236"/>
      <c r="SL7" s="61" t="s">
        <v>38</v>
      </c>
      <c r="SM7" s="62"/>
      <c r="SN7" s="62"/>
      <c r="SO7" s="235">
        <v>26093</v>
      </c>
      <c r="SP7" s="236"/>
      <c r="SQ7" s="61" t="s">
        <v>38</v>
      </c>
      <c r="SR7" s="62"/>
      <c r="SS7" s="62"/>
      <c r="ST7" s="235">
        <v>13086.5</v>
      </c>
      <c r="SU7" s="236"/>
      <c r="SV7" s="61" t="s">
        <v>38</v>
      </c>
      <c r="SW7" s="62"/>
      <c r="SX7" s="62"/>
      <c r="SY7" s="235">
        <v>47270</v>
      </c>
      <c r="SZ7" s="236"/>
      <c r="TA7" s="61" t="s">
        <v>38</v>
      </c>
      <c r="TB7" s="62"/>
      <c r="TC7" s="62"/>
      <c r="TD7" s="235">
        <v>1574</v>
      </c>
      <c r="TE7" s="236"/>
      <c r="TF7" s="61" t="s">
        <v>38</v>
      </c>
      <c r="TG7" s="62"/>
      <c r="TH7" s="62"/>
      <c r="TI7" s="235">
        <v>11214</v>
      </c>
      <c r="TJ7" s="236"/>
      <c r="TK7" s="61" t="s">
        <v>38</v>
      </c>
      <c r="TL7" s="62"/>
      <c r="TM7" s="62"/>
      <c r="TN7" s="235">
        <v>23404.5</v>
      </c>
      <c r="TO7" s="236"/>
      <c r="TP7" s="61" t="s">
        <v>38</v>
      </c>
      <c r="TQ7" s="62"/>
      <c r="TR7" s="62"/>
      <c r="TS7" s="235">
        <v>20127</v>
      </c>
      <c r="TT7" s="236"/>
      <c r="TU7" s="61" t="s">
        <v>38</v>
      </c>
      <c r="TV7" s="62"/>
      <c r="TW7" s="62"/>
      <c r="TX7" s="235">
        <v>13047</v>
      </c>
      <c r="TY7" s="236"/>
      <c r="TZ7" s="61" t="s">
        <v>38</v>
      </c>
      <c r="UA7" s="62"/>
      <c r="UB7" s="62"/>
      <c r="UC7" s="235">
        <v>11071</v>
      </c>
      <c r="UD7" s="236"/>
      <c r="UE7" s="61" t="s">
        <v>38</v>
      </c>
      <c r="UF7" s="62"/>
      <c r="UG7" s="62"/>
      <c r="UH7" s="235">
        <v>7038</v>
      </c>
      <c r="UI7" s="236"/>
      <c r="UJ7" s="61" t="s">
        <v>38</v>
      </c>
      <c r="UK7" s="62"/>
      <c r="UL7" s="62"/>
      <c r="UM7" s="235">
        <v>6049.5</v>
      </c>
      <c r="UN7" s="236"/>
      <c r="UO7" s="61" t="s">
        <v>38</v>
      </c>
      <c r="UP7" s="62"/>
      <c r="UQ7" s="62"/>
      <c r="UR7" s="235">
        <v>5164.5</v>
      </c>
      <c r="US7" s="236"/>
      <c r="UT7" s="61" t="s">
        <v>38</v>
      </c>
      <c r="UU7" s="62"/>
      <c r="UV7" s="62"/>
      <c r="UW7" s="235">
        <v>8066</v>
      </c>
      <c r="UX7" s="236"/>
      <c r="UY7" s="61" t="s">
        <v>38</v>
      </c>
      <c r="UZ7" s="62"/>
      <c r="VA7" s="62"/>
      <c r="VB7" s="235">
        <v>12099</v>
      </c>
      <c r="VC7" s="236"/>
      <c r="VD7" s="61" t="s">
        <v>38</v>
      </c>
      <c r="VE7" s="62"/>
      <c r="VF7" s="62"/>
      <c r="VG7" s="235">
        <v>7512</v>
      </c>
      <c r="VH7" s="236"/>
      <c r="VI7" s="61" t="s">
        <v>38</v>
      </c>
      <c r="VJ7" s="62"/>
      <c r="VK7" s="62"/>
      <c r="VL7" s="235">
        <v>37236</v>
      </c>
      <c r="VM7" s="236"/>
      <c r="VN7" s="61" t="s">
        <v>38</v>
      </c>
      <c r="VO7" s="62"/>
      <c r="VP7" s="62"/>
      <c r="VQ7" s="235">
        <v>1502</v>
      </c>
      <c r="VR7" s="236"/>
      <c r="VS7" s="61" t="s">
        <v>38</v>
      </c>
      <c r="VT7" s="62"/>
      <c r="VU7" s="62"/>
      <c r="VV7" s="235">
        <v>2016.5</v>
      </c>
      <c r="VW7" s="236"/>
      <c r="VX7" s="61" t="s">
        <v>38</v>
      </c>
      <c r="VY7" s="62"/>
      <c r="VZ7" s="62"/>
      <c r="WA7" s="235">
        <v>22181.5</v>
      </c>
      <c r="WB7" s="236"/>
      <c r="WC7" s="61" t="s">
        <v>38</v>
      </c>
      <c r="WD7" s="62"/>
      <c r="WE7" s="62"/>
      <c r="WF7" s="235">
        <v>17716.75</v>
      </c>
      <c r="WG7" s="236"/>
      <c r="WH7" s="61" t="s">
        <v>38</v>
      </c>
      <c r="WI7" s="62"/>
      <c r="WJ7" s="62"/>
      <c r="WK7" s="235">
        <v>4033</v>
      </c>
      <c r="WL7" s="236"/>
      <c r="WM7" s="61" t="s">
        <v>38</v>
      </c>
      <c r="WN7" s="62"/>
      <c r="WO7" s="62"/>
      <c r="WP7" s="235">
        <v>0</v>
      </c>
      <c r="WQ7" s="236"/>
      <c r="WR7" s="61" t="s">
        <v>38</v>
      </c>
      <c r="WS7" s="62"/>
      <c r="WT7" s="62"/>
      <c r="WU7" s="235">
        <v>0</v>
      </c>
      <c r="WV7" s="236"/>
      <c r="WW7" s="61" t="s">
        <v>38</v>
      </c>
      <c r="WX7" s="62"/>
      <c r="WY7" s="62"/>
      <c r="WZ7" s="235">
        <v>3005</v>
      </c>
      <c r="XA7" s="236"/>
      <c r="XB7" s="61" t="s">
        <v>38</v>
      </c>
      <c r="XC7" s="62"/>
      <c r="XD7" s="62"/>
      <c r="XE7" s="235">
        <v>4033</v>
      </c>
      <c r="XF7" s="236"/>
      <c r="XG7" s="61" t="s">
        <v>38</v>
      </c>
      <c r="XH7" s="62"/>
      <c r="XI7" s="62"/>
      <c r="XJ7" s="235">
        <v>13047</v>
      </c>
      <c r="XK7" s="236"/>
      <c r="XL7" s="61" t="s">
        <v>38</v>
      </c>
      <c r="XM7" s="62"/>
      <c r="XN7" s="62"/>
      <c r="XO7" s="235">
        <v>6523.5</v>
      </c>
      <c r="XP7" s="236"/>
      <c r="XQ7" s="61" t="s">
        <v>38</v>
      </c>
      <c r="XR7" s="62"/>
      <c r="XS7" s="62"/>
      <c r="XT7" s="235">
        <v>6111</v>
      </c>
      <c r="XU7" s="236"/>
      <c r="XV7" s="61" t="s">
        <v>38</v>
      </c>
      <c r="XW7" s="62"/>
      <c r="XX7" s="62"/>
      <c r="XY7" s="235">
        <v>34553</v>
      </c>
      <c r="XZ7" s="236"/>
      <c r="YA7" s="61" t="s">
        <v>38</v>
      </c>
      <c r="YB7" s="62"/>
      <c r="YC7" s="62"/>
      <c r="YD7" s="235">
        <v>13046</v>
      </c>
      <c r="YE7" s="236"/>
      <c r="YF7" s="61" t="s">
        <v>38</v>
      </c>
      <c r="YG7" s="62"/>
      <c r="YH7" s="62"/>
      <c r="YI7" s="235">
        <v>8066</v>
      </c>
      <c r="YJ7" s="236"/>
      <c r="YK7" s="61" t="s">
        <v>38</v>
      </c>
      <c r="YL7" s="62"/>
      <c r="YM7" s="62"/>
      <c r="YN7" s="235">
        <v>31549</v>
      </c>
      <c r="YO7" s="236"/>
      <c r="YP7" s="61" t="s">
        <v>38</v>
      </c>
      <c r="YQ7" s="62"/>
      <c r="YR7" s="62"/>
      <c r="YS7" s="235">
        <v>18028</v>
      </c>
      <c r="YT7" s="236"/>
      <c r="YU7" s="61" t="s">
        <v>38</v>
      </c>
      <c r="YV7" s="62"/>
      <c r="YW7" s="62"/>
      <c r="YX7" s="235">
        <v>20084</v>
      </c>
      <c r="YY7" s="236"/>
      <c r="YZ7" s="61" t="s">
        <v>38</v>
      </c>
      <c r="ZA7" s="62"/>
      <c r="ZB7" s="62"/>
      <c r="ZC7" s="235">
        <v>18067.5</v>
      </c>
      <c r="ZD7" s="236"/>
      <c r="ZE7" s="61" t="s">
        <v>38</v>
      </c>
      <c r="ZF7" s="62"/>
      <c r="ZG7" s="62"/>
      <c r="ZH7" s="235">
        <v>49104</v>
      </c>
      <c r="ZI7" s="236"/>
      <c r="ZJ7" s="61" t="s">
        <v>38</v>
      </c>
      <c r="ZK7" s="62"/>
      <c r="ZL7" s="62"/>
      <c r="ZM7" s="235">
        <v>6111</v>
      </c>
      <c r="ZN7" s="236"/>
      <c r="ZO7" s="61" t="s">
        <v>38</v>
      </c>
      <c r="ZP7" s="62"/>
      <c r="ZQ7" s="62"/>
      <c r="ZR7" s="235">
        <v>20228</v>
      </c>
      <c r="ZS7" s="236"/>
      <c r="ZT7" s="61" t="s">
        <v>38</v>
      </c>
      <c r="ZU7" s="62"/>
      <c r="ZV7" s="62"/>
      <c r="ZW7" s="235">
        <v>10082.5</v>
      </c>
      <c r="ZX7" s="236"/>
      <c r="ZY7" s="61" t="s">
        <v>38</v>
      </c>
      <c r="ZZ7" s="62"/>
      <c r="AAA7" s="62"/>
      <c r="AAB7" s="235">
        <v>10082.5</v>
      </c>
      <c r="AAC7" s="236"/>
      <c r="AAD7" s="61" t="s">
        <v>38</v>
      </c>
      <c r="AAE7" s="62"/>
      <c r="AAF7" s="62"/>
      <c r="AAG7" s="235">
        <v>8025.5</v>
      </c>
      <c r="AAH7" s="236"/>
      <c r="AAI7" s="61" t="s">
        <v>38</v>
      </c>
      <c r="AAJ7" s="62"/>
      <c r="AAK7" s="62"/>
      <c r="AAL7" s="235">
        <v>13048</v>
      </c>
      <c r="AAM7" s="236"/>
      <c r="AAN7" s="61" t="s">
        <v>38</v>
      </c>
      <c r="AAO7" s="62"/>
      <c r="AAP7" s="62"/>
      <c r="AAQ7" s="235">
        <v>9528.5</v>
      </c>
      <c r="AAR7" s="236"/>
      <c r="AAS7" s="61" t="s">
        <v>38</v>
      </c>
      <c r="AAT7" s="62"/>
      <c r="AAU7" s="62"/>
      <c r="AAV7" s="235">
        <v>9086</v>
      </c>
      <c r="AAW7" s="236"/>
      <c r="AAX7" s="61" t="s">
        <v>38</v>
      </c>
      <c r="AAY7" s="62"/>
      <c r="AAZ7" s="62"/>
      <c r="ABA7" s="235">
        <v>7858</v>
      </c>
      <c r="ABB7" s="236"/>
      <c r="ABC7" s="61" t="s">
        <v>38</v>
      </c>
      <c r="ABD7" s="62"/>
      <c r="ABE7" s="62"/>
      <c r="ABF7" s="235">
        <v>10863</v>
      </c>
      <c r="ABG7" s="236"/>
      <c r="ABH7" s="61" t="s">
        <v>38</v>
      </c>
      <c r="ABI7" s="62"/>
      <c r="ABJ7" s="62"/>
      <c r="ABK7" s="235">
        <v>23950.5</v>
      </c>
      <c r="ABL7" s="236"/>
      <c r="ABM7" s="61" t="s">
        <v>38</v>
      </c>
      <c r="ABN7" s="62"/>
      <c r="ABO7" s="62"/>
      <c r="ABP7" s="235">
        <v>4710</v>
      </c>
      <c r="ABQ7" s="236"/>
      <c r="ABR7" s="61" t="s">
        <v>38</v>
      </c>
      <c r="ABS7" s="62"/>
      <c r="ABT7" s="62"/>
      <c r="ABU7" s="235">
        <v>4507</v>
      </c>
      <c r="ABV7" s="236"/>
      <c r="ABW7" s="61" t="s">
        <v>38</v>
      </c>
      <c r="ABX7" s="62"/>
      <c r="ABY7" s="62"/>
      <c r="ABZ7" s="235">
        <v>30128</v>
      </c>
      <c r="ACA7" s="236"/>
      <c r="ACB7" s="61" t="s">
        <v>38</v>
      </c>
      <c r="ACC7" s="62"/>
      <c r="ACD7" s="62"/>
      <c r="ACE7" s="235">
        <v>1502</v>
      </c>
      <c r="ACF7" s="236"/>
      <c r="ACG7" s="61" t="s">
        <v>38</v>
      </c>
      <c r="ACH7" s="62"/>
      <c r="ACI7" s="62"/>
      <c r="ACJ7" s="235">
        <v>7181</v>
      </c>
      <c r="ACK7" s="236"/>
      <c r="ACL7" s="61" t="s">
        <v>38</v>
      </c>
      <c r="ACM7" s="62"/>
      <c r="ACN7" s="62"/>
      <c r="ACO7" s="235">
        <v>44706.5</v>
      </c>
      <c r="ACP7" s="236"/>
      <c r="ACQ7" s="61" t="s">
        <v>38</v>
      </c>
      <c r="ACR7" s="62"/>
      <c r="ACS7" s="62"/>
      <c r="ACT7" s="235">
        <v>44706.5</v>
      </c>
      <c r="ACU7" s="236"/>
      <c r="ACV7" s="61" t="s">
        <v>38</v>
      </c>
      <c r="ACW7" s="62"/>
      <c r="ACX7" s="62"/>
      <c r="ACY7" s="235">
        <v>18109</v>
      </c>
      <c r="ACZ7" s="236"/>
      <c r="ADA7" s="61" t="s">
        <v>38</v>
      </c>
      <c r="ADB7" s="62"/>
      <c r="ADC7" s="62"/>
      <c r="ADD7" s="235">
        <v>28071</v>
      </c>
      <c r="ADE7" s="236"/>
      <c r="ADF7" s="61" t="s">
        <v>38</v>
      </c>
      <c r="ADG7" s="62"/>
      <c r="ADH7" s="62"/>
      <c r="ADI7" s="235">
        <v>16052</v>
      </c>
      <c r="ADJ7" s="236"/>
      <c r="ADK7" s="61" t="s">
        <v>38</v>
      </c>
      <c r="ADL7" s="62"/>
      <c r="ADM7" s="62"/>
      <c r="ADN7" s="235">
        <v>17554</v>
      </c>
      <c r="ADO7" s="236"/>
      <c r="ADP7" s="61" t="s">
        <v>38</v>
      </c>
      <c r="ADQ7" s="62"/>
      <c r="ADR7" s="62"/>
      <c r="ADS7" s="235">
        <v>0</v>
      </c>
      <c r="ADT7" s="236"/>
      <c r="ADU7" s="61" t="s">
        <v>38</v>
      </c>
      <c r="ADV7" s="62"/>
      <c r="ADW7" s="62"/>
      <c r="ADX7" s="235">
        <v>0</v>
      </c>
      <c r="ADY7" s="236"/>
      <c r="ADZ7" s="61" t="s">
        <v>38</v>
      </c>
      <c r="AEA7" s="62"/>
      <c r="AEB7" s="62"/>
      <c r="AEC7" s="235">
        <v>14219</v>
      </c>
      <c r="AED7" s="236"/>
      <c r="AEE7" s="61" t="s">
        <v>38</v>
      </c>
      <c r="AEF7" s="62"/>
      <c r="AEG7" s="62"/>
      <c r="AEH7" s="235">
        <v>18582</v>
      </c>
      <c r="AEI7" s="236"/>
      <c r="AEJ7" s="61" t="s">
        <v>38</v>
      </c>
      <c r="AEK7" s="62"/>
      <c r="AEL7" s="62"/>
      <c r="AEM7" s="235">
        <v>3005</v>
      </c>
      <c r="AEN7" s="236"/>
      <c r="AEO7" s="61" t="s">
        <v>38</v>
      </c>
      <c r="AEP7" s="62"/>
      <c r="AEQ7" s="62"/>
      <c r="AER7" s="235">
        <v>11545</v>
      </c>
      <c r="AES7" s="236"/>
      <c r="AET7" s="61" t="s">
        <v>38</v>
      </c>
      <c r="AEU7" s="62"/>
      <c r="AEV7" s="62"/>
      <c r="AEW7" s="235">
        <v>2016.5</v>
      </c>
      <c r="AEX7" s="236"/>
      <c r="AEY7" s="61" t="s">
        <v>38</v>
      </c>
      <c r="AEZ7" s="62"/>
      <c r="AFA7" s="62"/>
      <c r="AFB7" s="235">
        <v>1502</v>
      </c>
      <c r="AFC7" s="236"/>
      <c r="AFD7" s="61" t="s">
        <v>38</v>
      </c>
      <c r="AFE7" s="62"/>
      <c r="AFF7" s="62"/>
      <c r="AFG7" s="235">
        <v>0</v>
      </c>
      <c r="AFH7" s="236"/>
      <c r="AFI7" s="61" t="s">
        <v>38</v>
      </c>
      <c r="AFJ7" s="62"/>
      <c r="AFK7" s="62"/>
      <c r="AFL7" s="235">
        <v>6081</v>
      </c>
      <c r="AFM7" s="236"/>
      <c r="AFN7" s="61" t="s">
        <v>38</v>
      </c>
      <c r="AFO7" s="62"/>
      <c r="AFP7" s="62"/>
      <c r="AFQ7" s="235">
        <v>1008.25</v>
      </c>
      <c r="AFR7" s="236"/>
      <c r="AFS7" s="61" t="s">
        <v>38</v>
      </c>
      <c r="AFT7" s="62"/>
      <c r="AFU7" s="62"/>
      <c r="AFV7" s="235">
        <v>9218</v>
      </c>
      <c r="AFW7" s="236"/>
      <c r="AFX7" s="61" t="s">
        <v>38</v>
      </c>
      <c r="AFY7" s="62"/>
      <c r="AFZ7" s="62"/>
      <c r="AGA7" s="235">
        <v>6183</v>
      </c>
      <c r="AGB7" s="236"/>
      <c r="AGC7" s="61" t="s">
        <v>38</v>
      </c>
      <c r="AGD7" s="62"/>
      <c r="AGE7" s="62"/>
      <c r="AGF7" s="235">
        <v>41737</v>
      </c>
      <c r="AGG7" s="236"/>
      <c r="AGH7" s="61" t="s">
        <v>38</v>
      </c>
      <c r="AGI7" s="62"/>
      <c r="AGJ7" s="62"/>
      <c r="AGK7" s="235">
        <v>2582.25</v>
      </c>
      <c r="AGL7" s="236"/>
      <c r="AGM7" s="61" t="s">
        <v>38</v>
      </c>
      <c r="AGN7" s="62"/>
      <c r="AGO7" s="62"/>
      <c r="AGP7" s="235">
        <v>18172</v>
      </c>
      <c r="AGQ7" s="236"/>
      <c r="AGR7" s="61" t="s">
        <v>38</v>
      </c>
      <c r="AGS7" s="62"/>
      <c r="AGT7" s="62"/>
      <c r="AGU7" s="235">
        <v>29446</v>
      </c>
      <c r="AGV7" s="236"/>
      <c r="AGW7" s="61" t="s">
        <v>38</v>
      </c>
      <c r="AGX7" s="62"/>
      <c r="AGY7" s="62"/>
      <c r="AGZ7" s="235">
        <v>0</v>
      </c>
      <c r="AHA7" s="236"/>
      <c r="AHB7" s="61" t="s">
        <v>38</v>
      </c>
      <c r="AHC7" s="62"/>
      <c r="AHD7" s="62"/>
      <c r="AHE7" s="235">
        <v>0</v>
      </c>
      <c r="AHF7" s="236"/>
      <c r="AHG7" s="61" t="s">
        <v>38</v>
      </c>
      <c r="AHH7" s="62"/>
      <c r="AHI7" s="62"/>
      <c r="AHJ7" s="235">
        <v>13601</v>
      </c>
      <c r="AHK7" s="236"/>
      <c r="AHL7" s="61" t="s">
        <v>38</v>
      </c>
      <c r="AHM7" s="62"/>
      <c r="AHN7" s="62"/>
      <c r="AHO7" s="235">
        <v>11543</v>
      </c>
      <c r="AHP7" s="236"/>
      <c r="AHQ7" s="61" t="s">
        <v>38</v>
      </c>
      <c r="AHR7" s="62"/>
      <c r="AHS7" s="62"/>
      <c r="AHT7" s="235">
        <v>16606</v>
      </c>
      <c r="AHU7" s="236"/>
      <c r="AHV7" s="61" t="s">
        <v>38</v>
      </c>
      <c r="AHW7" s="62"/>
      <c r="AHX7" s="62"/>
      <c r="AHY7" s="235">
        <v>3005</v>
      </c>
      <c r="AHZ7" s="236"/>
      <c r="AIA7" s="61" t="s">
        <v>38</v>
      </c>
      <c r="AIB7" s="62"/>
      <c r="AIC7" s="62"/>
      <c r="AID7" s="235">
        <v>1574</v>
      </c>
      <c r="AIE7" s="236"/>
      <c r="AIF7" s="61" t="s">
        <v>38</v>
      </c>
      <c r="AIG7" s="62"/>
      <c r="AIH7" s="62"/>
      <c r="AII7" s="235">
        <v>7512</v>
      </c>
      <c r="AIJ7" s="236"/>
      <c r="AIK7" s="61" t="s">
        <v>38</v>
      </c>
      <c r="AIL7" s="62"/>
      <c r="AIM7" s="62"/>
      <c r="AIN7" s="235">
        <v>5041.25</v>
      </c>
      <c r="AIO7" s="236"/>
      <c r="AIP7" s="61" t="s">
        <v>38</v>
      </c>
      <c r="AIQ7" s="62"/>
      <c r="AIR7" s="62"/>
      <c r="AIS7" s="235">
        <v>11544</v>
      </c>
      <c r="AIT7" s="236"/>
      <c r="AIU7" s="61" t="s">
        <v>38</v>
      </c>
      <c r="AIV7" s="62"/>
      <c r="AIW7" s="62"/>
      <c r="AIX7" s="235">
        <v>21134</v>
      </c>
      <c r="AIY7" s="236"/>
      <c r="AIZ7" s="61" t="s">
        <v>38</v>
      </c>
      <c r="AJA7" s="62"/>
      <c r="AJB7" s="62"/>
      <c r="AJC7" s="235">
        <v>14309</v>
      </c>
      <c r="AJD7" s="236"/>
      <c r="AJE7" s="61" t="s">
        <v>38</v>
      </c>
      <c r="AJF7" s="62"/>
      <c r="AJG7" s="62"/>
      <c r="AJH7" s="235">
        <v>8711</v>
      </c>
      <c r="AJI7" s="236"/>
      <c r="AJJ7" s="61" t="s">
        <v>38</v>
      </c>
      <c r="AJK7" s="62"/>
      <c r="AJL7" s="62"/>
      <c r="AJM7" s="235">
        <v>0</v>
      </c>
      <c r="AJN7" s="236"/>
      <c r="AJO7" s="61" t="s">
        <v>38</v>
      </c>
      <c r="AJP7" s="62"/>
      <c r="AJQ7" s="62"/>
      <c r="AJR7" s="235">
        <v>3369.25</v>
      </c>
      <c r="AJS7" s="236"/>
      <c r="AJT7" s="61" t="s">
        <v>38</v>
      </c>
      <c r="AJU7" s="62"/>
      <c r="AJV7" s="62"/>
      <c r="AJW7" s="235">
        <v>12099</v>
      </c>
      <c r="AJX7" s="236"/>
      <c r="AJY7" s="61" t="s">
        <v>38</v>
      </c>
      <c r="AJZ7" s="62"/>
      <c r="AKA7" s="62"/>
      <c r="AKB7" s="235">
        <v>5788.9</v>
      </c>
      <c r="AKC7" s="236"/>
      <c r="AKD7" s="61" t="s">
        <v>38</v>
      </c>
      <c r="AKE7" s="62"/>
      <c r="AKF7" s="62"/>
      <c r="AKG7" s="235">
        <v>4507</v>
      </c>
      <c r="AKH7" s="236"/>
      <c r="AKI7" s="61" t="s">
        <v>38</v>
      </c>
      <c r="AKJ7" s="62"/>
      <c r="AKK7" s="62"/>
      <c r="AKL7" s="235">
        <v>13190</v>
      </c>
      <c r="AKM7" s="236"/>
      <c r="AKN7" s="61" t="s">
        <v>38</v>
      </c>
      <c r="AKO7" s="62"/>
      <c r="AKP7" s="62"/>
      <c r="AKQ7" s="235">
        <v>4033</v>
      </c>
      <c r="AKR7" s="236"/>
      <c r="AKS7" s="61" t="s">
        <v>38</v>
      </c>
      <c r="AKT7" s="62"/>
      <c r="AKU7" s="62"/>
      <c r="AKV7" s="235">
        <v>4033</v>
      </c>
      <c r="AKW7" s="236"/>
      <c r="AKX7" s="61" t="s">
        <v>38</v>
      </c>
      <c r="AKY7" s="62"/>
      <c r="AKZ7" s="62"/>
      <c r="ALA7" s="235">
        <v>11173.5</v>
      </c>
      <c r="ALB7" s="236"/>
      <c r="ALC7" s="61" t="s">
        <v>38</v>
      </c>
      <c r="ALD7" s="62"/>
      <c r="ALE7" s="62"/>
      <c r="ALF7" s="235">
        <v>11214</v>
      </c>
      <c r="ALG7" s="236"/>
      <c r="ALH7" s="61" t="s">
        <v>38</v>
      </c>
      <c r="ALI7" s="62"/>
      <c r="ALJ7" s="62"/>
      <c r="ALK7" s="235">
        <v>3076</v>
      </c>
      <c r="ALL7" s="236"/>
      <c r="ALM7" s="61" t="s">
        <v>38</v>
      </c>
      <c r="ALN7" s="62"/>
      <c r="ALO7" s="62"/>
      <c r="ALP7" s="235">
        <v>0</v>
      </c>
      <c r="ALQ7" s="236"/>
      <c r="ALR7" s="61" t="s">
        <v>38</v>
      </c>
      <c r="ALS7" s="62"/>
      <c r="ALT7" s="62"/>
      <c r="ALU7" s="235">
        <v>7512</v>
      </c>
      <c r="ALV7" s="236"/>
      <c r="ALW7" s="61" t="s">
        <v>38</v>
      </c>
      <c r="ALX7" s="62"/>
      <c r="ALY7" s="62"/>
      <c r="ALZ7" s="235">
        <v>3076</v>
      </c>
      <c r="AMA7" s="236"/>
      <c r="AMB7" s="61" t="s">
        <v>38</v>
      </c>
      <c r="AMC7" s="62"/>
      <c r="AMD7" s="62"/>
      <c r="AME7" s="235">
        <v>10082.5</v>
      </c>
      <c r="AMF7" s="236"/>
      <c r="AMG7" s="61" t="s">
        <v>38</v>
      </c>
      <c r="AMH7" s="62"/>
      <c r="AMI7" s="62"/>
      <c r="AMJ7" s="235">
        <v>1502</v>
      </c>
      <c r="AMK7" s="236"/>
      <c r="AML7" s="61" t="s">
        <v>38</v>
      </c>
      <c r="AMM7" s="62"/>
      <c r="AMN7" s="62"/>
      <c r="AMO7" s="235">
        <v>17040.5</v>
      </c>
      <c r="AMP7" s="236"/>
      <c r="AMQ7" s="61" t="s">
        <v>38</v>
      </c>
      <c r="AMR7" s="62"/>
      <c r="AMS7" s="62"/>
      <c r="AMT7" s="235">
        <v>8026.5</v>
      </c>
      <c r="AMU7" s="236"/>
      <c r="AMV7" s="61" t="s">
        <v>38</v>
      </c>
      <c r="AMW7" s="62"/>
      <c r="AMX7" s="62"/>
      <c r="AMY7" s="235">
        <v>9015</v>
      </c>
      <c r="AMZ7" s="236"/>
      <c r="ANA7" s="61" t="s">
        <v>38</v>
      </c>
      <c r="ANB7" s="62"/>
      <c r="ANC7" s="62"/>
      <c r="AND7" s="235">
        <v>22576.5</v>
      </c>
      <c r="ANE7" s="236"/>
      <c r="ANF7" s="61" t="s">
        <v>38</v>
      </c>
      <c r="ANG7" s="62"/>
      <c r="ANH7" s="62"/>
      <c r="ANI7" s="235">
        <v>4507</v>
      </c>
      <c r="ANJ7" s="236"/>
      <c r="ANK7" s="61" t="s">
        <v>38</v>
      </c>
      <c r="ANL7" s="62"/>
      <c r="ANM7" s="62"/>
      <c r="ANN7" s="235">
        <v>4033</v>
      </c>
      <c r="ANO7" s="236"/>
      <c r="ANP7" s="61" t="s">
        <v>38</v>
      </c>
      <c r="ANQ7" s="62"/>
      <c r="ANR7" s="62"/>
      <c r="ANS7" s="235">
        <v>9014</v>
      </c>
      <c r="ANT7" s="236"/>
      <c r="ANU7" s="61" t="s">
        <v>38</v>
      </c>
      <c r="ANV7" s="62"/>
      <c r="ANW7" s="62"/>
      <c r="ANX7" s="235">
        <v>10919.3</v>
      </c>
      <c r="ANY7" s="236"/>
      <c r="ANZ7" s="61" t="s">
        <v>38</v>
      </c>
      <c r="AOA7" s="62"/>
      <c r="AOB7" s="62"/>
      <c r="AOC7" s="235">
        <v>11545.5</v>
      </c>
      <c r="AOD7" s="236"/>
      <c r="AOE7" s="61" t="s">
        <v>38</v>
      </c>
      <c r="AOF7" s="62"/>
      <c r="AOG7" s="62"/>
      <c r="AOH7" s="235">
        <v>17040.5</v>
      </c>
      <c r="AOI7" s="236"/>
      <c r="AOJ7" s="61" t="s">
        <v>38</v>
      </c>
      <c r="AOK7" s="62"/>
      <c r="AOL7" s="62"/>
      <c r="AOM7" s="235">
        <v>16092.5</v>
      </c>
      <c r="AON7" s="236"/>
      <c r="AOO7" s="61" t="s">
        <v>38</v>
      </c>
      <c r="AOP7" s="62"/>
      <c r="AOQ7" s="62"/>
      <c r="AOR7" s="235">
        <v>13003.5</v>
      </c>
      <c r="AOS7" s="236"/>
      <c r="AOT7" s="61" t="s">
        <v>38</v>
      </c>
      <c r="AOU7" s="62"/>
      <c r="AOV7" s="62"/>
      <c r="AOW7" s="235">
        <v>12644</v>
      </c>
      <c r="AOX7" s="236"/>
      <c r="AOY7" s="61" t="s">
        <v>38</v>
      </c>
      <c r="AOZ7" s="62"/>
      <c r="APA7" s="62"/>
      <c r="APB7" s="235">
        <v>11214</v>
      </c>
      <c r="APC7" s="236"/>
      <c r="APD7" s="61" t="s">
        <v>38</v>
      </c>
      <c r="APE7" s="62"/>
      <c r="APF7" s="62"/>
      <c r="APG7" s="235">
        <v>9013</v>
      </c>
      <c r="APH7" s="236"/>
      <c r="API7" s="61" t="s">
        <v>38</v>
      </c>
      <c r="APJ7" s="62"/>
      <c r="APK7" s="62"/>
      <c r="APL7" s="235">
        <v>0</v>
      </c>
      <c r="APM7" s="236"/>
      <c r="APN7" s="61" t="s">
        <v>38</v>
      </c>
      <c r="APO7" s="62"/>
      <c r="APP7" s="62"/>
      <c r="APQ7" s="235">
        <v>8025.5</v>
      </c>
      <c r="APR7" s="236"/>
      <c r="APS7" s="61" t="s">
        <v>38</v>
      </c>
      <c r="APT7" s="62"/>
      <c r="APU7" s="62"/>
      <c r="APV7" s="235">
        <v>4012.25</v>
      </c>
      <c r="APW7" s="236"/>
      <c r="APX7" s="61" t="s">
        <v>38</v>
      </c>
      <c r="APY7" s="62"/>
      <c r="APZ7" s="62"/>
      <c r="AQA7" s="235">
        <v>19957</v>
      </c>
      <c r="AQB7" s="236"/>
      <c r="AQC7" s="61" t="s">
        <v>38</v>
      </c>
      <c r="AQD7" s="62"/>
      <c r="AQE7" s="62"/>
      <c r="AQF7" s="235">
        <v>25350</v>
      </c>
      <c r="AQG7" s="236"/>
      <c r="AQH7" s="61" t="s">
        <v>38</v>
      </c>
      <c r="AQI7" s="62"/>
      <c r="AQJ7" s="62"/>
      <c r="AQK7" s="235">
        <v>38731</v>
      </c>
      <c r="AQL7" s="236"/>
      <c r="AQM7" s="61" t="s">
        <v>38</v>
      </c>
      <c r="AQN7" s="62"/>
      <c r="AQO7" s="62"/>
      <c r="AQP7" s="235">
        <v>9053.5</v>
      </c>
      <c r="AQQ7" s="236"/>
      <c r="AQR7" s="61" t="s">
        <v>38</v>
      </c>
      <c r="AQS7" s="62"/>
      <c r="AQT7" s="62"/>
      <c r="AQU7" s="235">
        <v>1502</v>
      </c>
      <c r="AQV7" s="236"/>
      <c r="AQW7" s="61" t="s">
        <v>38</v>
      </c>
      <c r="AQX7" s="62"/>
      <c r="AQY7" s="62"/>
      <c r="AQZ7" s="235">
        <v>1502</v>
      </c>
      <c r="ARA7" s="236"/>
      <c r="ARB7" s="61" t="s">
        <v>38</v>
      </c>
      <c r="ARC7" s="62"/>
      <c r="ARD7" s="62"/>
      <c r="ARE7" s="235">
        <v>0</v>
      </c>
      <c r="ARF7" s="236"/>
      <c r="ARG7" s="61" t="s">
        <v>38</v>
      </c>
      <c r="ARH7" s="62"/>
      <c r="ARI7" s="62"/>
      <c r="ARJ7" s="235">
        <v>5452</v>
      </c>
      <c r="ARK7" s="236"/>
      <c r="ARL7" s="61" t="s">
        <v>38</v>
      </c>
      <c r="ARM7" s="62"/>
      <c r="ARN7" s="62"/>
      <c r="ARO7" s="235">
        <v>17558</v>
      </c>
      <c r="ARP7" s="236"/>
      <c r="ARQ7" s="61" t="s">
        <v>38</v>
      </c>
      <c r="ARR7" s="62"/>
      <c r="ARS7" s="62"/>
      <c r="ART7" s="235">
        <v>4430</v>
      </c>
      <c r="ARU7" s="236"/>
      <c r="ARV7" s="61" t="s">
        <v>38</v>
      </c>
      <c r="ARW7" s="62"/>
      <c r="ARX7" s="62"/>
      <c r="ARY7" s="235">
        <v>10041</v>
      </c>
      <c r="ARZ7" s="236"/>
      <c r="ASA7" s="61" t="s">
        <v>38</v>
      </c>
      <c r="ASB7" s="62"/>
      <c r="ASC7" s="62"/>
      <c r="ASD7" s="235">
        <v>16231.9</v>
      </c>
      <c r="ASE7" s="236"/>
      <c r="ASF7" s="61" t="s">
        <v>38</v>
      </c>
      <c r="ASG7" s="62"/>
      <c r="ASH7" s="62"/>
      <c r="ASI7" s="235">
        <v>4507</v>
      </c>
      <c r="ASJ7" s="236"/>
      <c r="ASK7" s="61" t="s">
        <v>38</v>
      </c>
      <c r="ASL7" s="62"/>
      <c r="ASM7" s="62"/>
      <c r="ASN7" s="235">
        <v>3518.5</v>
      </c>
      <c r="ASO7" s="236"/>
      <c r="ASP7" s="61" t="s">
        <v>38</v>
      </c>
      <c r="ASQ7" s="62"/>
      <c r="ASR7" s="62"/>
      <c r="ASS7" s="235">
        <v>7037</v>
      </c>
      <c r="AST7" s="236"/>
      <c r="ASU7" s="61" t="s">
        <v>38</v>
      </c>
      <c r="ASV7" s="62"/>
      <c r="ASW7" s="62"/>
      <c r="ASX7" s="235">
        <v>10082.5</v>
      </c>
      <c r="ASY7" s="236"/>
      <c r="ASZ7" s="61" t="s">
        <v>38</v>
      </c>
      <c r="ATA7" s="62"/>
      <c r="ATB7" s="62"/>
      <c r="ATC7" s="235">
        <v>11873</v>
      </c>
      <c r="ATD7" s="236"/>
      <c r="ATE7" s="61" t="s">
        <v>38</v>
      </c>
      <c r="ATF7" s="62"/>
      <c r="ATG7" s="62"/>
      <c r="ATH7" s="235">
        <v>19036.25</v>
      </c>
      <c r="ATI7" s="236"/>
      <c r="ATJ7" s="61" t="s">
        <v>38</v>
      </c>
      <c r="ATK7" s="62"/>
      <c r="ATL7" s="62"/>
      <c r="ATM7" s="235">
        <v>10144</v>
      </c>
      <c r="ATN7" s="236"/>
      <c r="ATO7" s="61" t="s">
        <v>38</v>
      </c>
      <c r="ATP7" s="62"/>
      <c r="ATQ7" s="62"/>
      <c r="ATR7" s="235">
        <v>6010</v>
      </c>
      <c r="ATS7" s="236"/>
      <c r="ATT7" s="61" t="s">
        <v>38</v>
      </c>
      <c r="ATU7" s="62"/>
      <c r="ATV7" s="62"/>
      <c r="ATW7" s="235">
        <v>0</v>
      </c>
      <c r="ATX7" s="236"/>
      <c r="ATY7" s="61" t="s">
        <v>38</v>
      </c>
      <c r="ATZ7" s="62"/>
      <c r="AUA7" s="62"/>
      <c r="AUB7" s="235">
        <v>1574</v>
      </c>
      <c r="AUC7" s="236"/>
      <c r="AUD7" s="61" t="s">
        <v>38</v>
      </c>
      <c r="AUE7" s="62"/>
      <c r="AUF7" s="62"/>
      <c r="AUG7" s="235">
        <v>4013.25</v>
      </c>
      <c r="AUH7" s="236"/>
      <c r="AUI7" s="61" t="s">
        <v>38</v>
      </c>
      <c r="AUJ7" s="62"/>
      <c r="AUK7" s="62"/>
      <c r="AUL7" s="235">
        <v>0</v>
      </c>
      <c r="AUM7" s="236"/>
      <c r="AUN7" s="61" t="s">
        <v>38</v>
      </c>
      <c r="AUO7" s="62"/>
      <c r="AUP7" s="62"/>
      <c r="AUQ7" s="235">
        <v>16546.75</v>
      </c>
      <c r="AUR7" s="236"/>
      <c r="AUS7" s="61" t="s">
        <v>38</v>
      </c>
      <c r="AUT7" s="62"/>
      <c r="AUU7" s="62"/>
      <c r="AUV7" s="235">
        <v>3376.25</v>
      </c>
      <c r="AUW7" s="236"/>
      <c r="AUX7" s="61" t="s">
        <v>38</v>
      </c>
      <c r="AUY7" s="62"/>
      <c r="AUZ7" s="62"/>
      <c r="AVA7" s="235">
        <v>11461.4</v>
      </c>
      <c r="AVB7" s="236"/>
      <c r="AVC7" s="61" t="s">
        <v>38</v>
      </c>
      <c r="AVD7" s="62"/>
      <c r="AVE7" s="62"/>
      <c r="AVF7" s="235">
        <v>0</v>
      </c>
      <c r="AVG7" s="236"/>
      <c r="AVH7" s="61" t="s">
        <v>38</v>
      </c>
      <c r="AVI7" s="62"/>
      <c r="AVJ7" s="62"/>
      <c r="AVK7" s="235">
        <v>6049.5</v>
      </c>
      <c r="AVL7" s="236"/>
      <c r="AVM7" s="61" t="s">
        <v>38</v>
      </c>
      <c r="AVN7" s="62"/>
      <c r="AVO7" s="62"/>
      <c r="AVP7" s="235">
        <v>8066</v>
      </c>
      <c r="AVQ7" s="236"/>
      <c r="AVR7" s="61" t="s">
        <v>38</v>
      </c>
      <c r="AVS7" s="62"/>
      <c r="AVT7" s="62"/>
      <c r="AVU7" s="235">
        <v>0</v>
      </c>
      <c r="AVV7" s="236"/>
      <c r="AVW7" s="61" t="s">
        <v>38</v>
      </c>
      <c r="AVX7" s="62"/>
      <c r="AVY7" s="62"/>
      <c r="AVZ7" s="235">
        <v>16524</v>
      </c>
      <c r="AWA7" s="236"/>
      <c r="AWB7" s="61" t="s">
        <v>38</v>
      </c>
      <c r="AWC7" s="62"/>
      <c r="AWD7" s="62"/>
      <c r="AWE7" s="235">
        <v>3004</v>
      </c>
      <c r="AWF7" s="236"/>
      <c r="AWG7" s="61" t="s">
        <v>38</v>
      </c>
      <c r="AWH7" s="62"/>
      <c r="AWI7" s="62"/>
      <c r="AWJ7" s="235">
        <v>5515.25</v>
      </c>
      <c r="AWK7" s="236"/>
      <c r="AWL7" s="61" t="s">
        <v>38</v>
      </c>
      <c r="AWM7" s="62"/>
      <c r="AWN7" s="62"/>
      <c r="AWO7" s="235">
        <v>5194.5</v>
      </c>
      <c r="AWP7" s="236"/>
      <c r="AWQ7" s="61" t="s">
        <v>38</v>
      </c>
      <c r="AWR7" s="62"/>
      <c r="AWS7" s="62"/>
      <c r="AWT7" s="235">
        <v>8559.75</v>
      </c>
      <c r="AWU7" s="236"/>
      <c r="AWV7" s="61" t="s">
        <v>38</v>
      </c>
      <c r="AWW7" s="62"/>
      <c r="AWX7" s="62"/>
      <c r="AWY7" s="235">
        <v>0</v>
      </c>
      <c r="AWZ7" s="236"/>
      <c r="AXA7" s="61" t="s">
        <v>38</v>
      </c>
      <c r="AXB7" s="62"/>
      <c r="AXC7" s="62"/>
      <c r="AXD7" s="235">
        <v>5294</v>
      </c>
      <c r="AXE7" s="236"/>
      <c r="AXF7" s="61" t="s">
        <v>38</v>
      </c>
      <c r="AXG7" s="62"/>
      <c r="AXH7" s="62"/>
      <c r="AXI7" s="235">
        <v>4507</v>
      </c>
      <c r="AXJ7" s="236"/>
      <c r="AXK7" s="61" t="s">
        <v>38</v>
      </c>
      <c r="AXL7" s="62"/>
      <c r="AXM7" s="62"/>
      <c r="AXN7" s="235">
        <v>3005</v>
      </c>
      <c r="AXO7" s="236"/>
      <c r="AXP7" s="61" t="s">
        <v>38</v>
      </c>
      <c r="AXQ7" s="62"/>
      <c r="AXR7" s="62"/>
      <c r="AXS7" s="235">
        <v>6010</v>
      </c>
      <c r="AXT7" s="236"/>
      <c r="AXU7" s="61" t="s">
        <v>38</v>
      </c>
      <c r="AXV7" s="62"/>
      <c r="AXW7" s="62"/>
      <c r="AXX7" s="235">
        <v>802</v>
      </c>
      <c r="AXY7" s="236"/>
      <c r="AXZ7" s="61" t="s">
        <v>38</v>
      </c>
      <c r="AYA7" s="62"/>
      <c r="AYB7" s="62"/>
      <c r="AYC7" s="235">
        <v>4507</v>
      </c>
      <c r="AYD7" s="236"/>
      <c r="AYE7" s="61" t="s">
        <v>38</v>
      </c>
      <c r="AYF7" s="62"/>
      <c r="AYG7" s="62"/>
      <c r="AYH7" s="235">
        <v>0</v>
      </c>
      <c r="AYI7" s="236"/>
      <c r="AYJ7" s="61" t="s">
        <v>38</v>
      </c>
      <c r="AYK7" s="62"/>
      <c r="AYL7" s="62"/>
      <c r="AYM7" s="235">
        <v>10419.25</v>
      </c>
      <c r="AYN7" s="236"/>
      <c r="AYO7" s="61" t="s">
        <v>38</v>
      </c>
      <c r="AYP7" s="62"/>
      <c r="AYQ7" s="62"/>
      <c r="AYR7" s="235">
        <v>8520.75</v>
      </c>
      <c r="AYS7" s="236"/>
      <c r="AYT7" s="61" t="s">
        <v>38</v>
      </c>
      <c r="AYU7" s="62"/>
      <c r="AYV7" s="62"/>
      <c r="AYW7" s="235">
        <v>0</v>
      </c>
      <c r="AYX7" s="236"/>
      <c r="AYY7" s="61" t="s">
        <v>38</v>
      </c>
      <c r="AYZ7" s="62"/>
      <c r="AZA7" s="62"/>
      <c r="AZB7" s="235">
        <v>4593</v>
      </c>
      <c r="AZC7" s="236"/>
      <c r="AZD7" s="61" t="s">
        <v>38</v>
      </c>
      <c r="AZE7" s="62"/>
      <c r="AZF7" s="62"/>
      <c r="AZG7" s="235">
        <v>3208</v>
      </c>
      <c r="AZH7" s="236"/>
      <c r="AZI7" s="61" t="s">
        <v>38</v>
      </c>
      <c r="AZJ7" s="62"/>
      <c r="AZK7" s="62"/>
      <c r="AZL7" s="235">
        <v>3076</v>
      </c>
      <c r="AZM7" s="236"/>
      <c r="AZN7" s="61" t="s">
        <v>38</v>
      </c>
      <c r="AZO7" s="62"/>
      <c r="AZP7" s="62"/>
      <c r="AZQ7" s="235">
        <v>4507</v>
      </c>
      <c r="AZR7" s="236"/>
      <c r="AZS7" s="61" t="s">
        <v>38</v>
      </c>
      <c r="AZT7" s="62"/>
      <c r="AZU7" s="62"/>
      <c r="AZV7" s="235">
        <v>11545</v>
      </c>
      <c r="AZW7" s="236"/>
      <c r="AZX7" s="61" t="s">
        <v>38</v>
      </c>
      <c r="AZY7" s="62"/>
      <c r="AZZ7" s="62"/>
      <c r="BAA7" s="235">
        <v>10516</v>
      </c>
      <c r="BAB7" s="236"/>
      <c r="BAC7" s="61" t="s">
        <v>38</v>
      </c>
      <c r="BAD7" s="62"/>
      <c r="BAE7" s="62"/>
      <c r="BAF7" s="235">
        <v>0</v>
      </c>
      <c r="BAG7" s="236"/>
      <c r="BAH7" s="61" t="s">
        <v>38</v>
      </c>
      <c r="BAI7" s="62"/>
      <c r="BAJ7" s="62"/>
      <c r="BAK7" s="235">
        <v>0</v>
      </c>
      <c r="BAL7" s="236"/>
      <c r="BAM7" s="61" t="s">
        <v>38</v>
      </c>
      <c r="BAN7" s="62"/>
      <c r="BAO7" s="62"/>
      <c r="BAP7" s="235">
        <v>0</v>
      </c>
      <c r="BAQ7" s="236"/>
      <c r="BAR7" s="61" t="s">
        <v>38</v>
      </c>
      <c r="BAS7" s="62"/>
      <c r="BAT7" s="62"/>
      <c r="BAU7" s="235">
        <v>0</v>
      </c>
      <c r="BAV7" s="236"/>
      <c r="BAW7" s="61" t="s">
        <v>38</v>
      </c>
      <c r="BAX7" s="62"/>
      <c r="BAY7" s="62"/>
      <c r="BAZ7" s="235">
        <v>7612</v>
      </c>
      <c r="BBA7" s="236"/>
      <c r="BBB7" s="61" t="s">
        <v>38</v>
      </c>
      <c r="BBC7" s="62"/>
      <c r="BBD7" s="62"/>
      <c r="BBE7" s="235">
        <v>13522</v>
      </c>
      <c r="BBF7" s="236"/>
      <c r="BBG7" s="61" t="s">
        <v>38</v>
      </c>
      <c r="BBH7" s="62"/>
      <c r="BBI7" s="62"/>
      <c r="BBJ7" s="235">
        <v>6010</v>
      </c>
      <c r="BBK7" s="236"/>
      <c r="BBL7" s="61" t="s">
        <v>38</v>
      </c>
      <c r="BBM7" s="62"/>
      <c r="BBN7" s="62"/>
      <c r="BBO7" s="235">
        <v>1209.8999999999999</v>
      </c>
      <c r="BBP7" s="236"/>
      <c r="BBQ7" s="61" t="s">
        <v>38</v>
      </c>
      <c r="BBR7" s="62"/>
      <c r="BBS7" s="62"/>
      <c r="BBT7" s="235">
        <v>2016.5</v>
      </c>
      <c r="BBU7" s="236"/>
      <c r="BBV7" s="61" t="s">
        <v>38</v>
      </c>
      <c r="BBW7" s="62"/>
      <c r="BBX7" s="62"/>
      <c r="BBY7" s="235">
        <v>8066</v>
      </c>
      <c r="BBZ7" s="236"/>
      <c r="BCA7" s="61" t="s">
        <v>38</v>
      </c>
      <c r="BCB7" s="62"/>
      <c r="BCC7" s="62"/>
      <c r="BCD7" s="235">
        <v>0</v>
      </c>
      <c r="BCE7" s="236"/>
      <c r="BCF7" s="61" t="s">
        <v>38</v>
      </c>
      <c r="BCG7" s="62"/>
      <c r="BCH7" s="62"/>
      <c r="BCI7" s="235">
        <v>9624</v>
      </c>
      <c r="BCJ7" s="236"/>
      <c r="BCK7" s="61" t="s">
        <v>38</v>
      </c>
      <c r="BCL7" s="62"/>
      <c r="BCM7" s="62"/>
      <c r="BCN7" s="235">
        <v>21004.5</v>
      </c>
      <c r="BCO7" s="236"/>
      <c r="BCP7" s="61" t="s">
        <v>38</v>
      </c>
      <c r="BCQ7" s="62"/>
      <c r="BCR7" s="62"/>
      <c r="BCS7" s="235">
        <v>2016.5</v>
      </c>
      <c r="BCT7" s="236"/>
      <c r="BCU7" s="61" t="s">
        <v>38</v>
      </c>
      <c r="BCV7" s="62"/>
      <c r="BCW7" s="62"/>
      <c r="BCX7" s="235">
        <v>0</v>
      </c>
      <c r="BCY7" s="236"/>
      <c r="BCZ7" s="61" t="s">
        <v>38</v>
      </c>
      <c r="BDA7" s="62"/>
      <c r="BDB7" s="62"/>
      <c r="BDC7" s="235">
        <v>4507</v>
      </c>
      <c r="BDD7" s="236"/>
      <c r="BDE7" s="61" t="s">
        <v>38</v>
      </c>
      <c r="BDF7" s="62"/>
      <c r="BDG7" s="62"/>
      <c r="BDH7" s="235">
        <v>3611.3</v>
      </c>
      <c r="BDI7" s="236"/>
      <c r="BDJ7" s="61" t="s">
        <v>38</v>
      </c>
      <c r="BDK7" s="62"/>
      <c r="BDL7" s="62"/>
      <c r="BDM7" s="235">
        <v>0</v>
      </c>
      <c r="BDN7" s="236"/>
      <c r="BDO7" s="61" t="s">
        <v>38</v>
      </c>
      <c r="BDP7" s="62"/>
      <c r="BDQ7" s="62"/>
      <c r="BDR7" s="235">
        <v>0</v>
      </c>
      <c r="BDS7" s="236"/>
      <c r="BDT7" s="61" t="s">
        <v>38</v>
      </c>
      <c r="BDU7" s="62"/>
      <c r="BDV7" s="62"/>
      <c r="BDW7" s="235">
        <v>12059.5</v>
      </c>
      <c r="BDX7" s="236"/>
      <c r="BDY7" s="61" t="s">
        <v>38</v>
      </c>
      <c r="BDZ7" s="62"/>
      <c r="BEA7" s="62"/>
      <c r="BEB7" s="235">
        <v>10223.9</v>
      </c>
      <c r="BEC7" s="236"/>
      <c r="BED7" s="61" t="s">
        <v>38</v>
      </c>
      <c r="BEE7" s="62"/>
      <c r="BEF7" s="62"/>
      <c r="BEG7" s="235">
        <v>6797</v>
      </c>
      <c r="BEH7" s="236"/>
      <c r="BEI7" s="61" t="s">
        <v>38</v>
      </c>
      <c r="BEJ7" s="62"/>
      <c r="BEK7" s="62"/>
      <c r="BEL7" s="235">
        <v>1604</v>
      </c>
      <c r="BEM7" s="236"/>
      <c r="BEN7" s="61" t="s">
        <v>38</v>
      </c>
      <c r="BEO7" s="62"/>
      <c r="BEP7" s="62"/>
      <c r="BEQ7" s="235">
        <v>8127.5</v>
      </c>
      <c r="BER7" s="236"/>
      <c r="BES7" s="61" t="s">
        <v>38</v>
      </c>
      <c r="BET7" s="62"/>
      <c r="BEU7" s="62"/>
      <c r="BEV7" s="235">
        <v>802</v>
      </c>
      <c r="BEW7" s="236"/>
      <c r="BEX7" s="61" t="s">
        <v>38</v>
      </c>
      <c r="BEY7" s="62"/>
      <c r="BEZ7" s="62"/>
      <c r="BFA7" s="235">
        <v>13047</v>
      </c>
      <c r="BFB7" s="236"/>
      <c r="BFC7" s="61" t="s">
        <v>38</v>
      </c>
      <c r="BFD7" s="62"/>
      <c r="BFE7" s="62"/>
      <c r="BFF7" s="235">
        <v>0</v>
      </c>
      <c r="BFG7" s="236"/>
      <c r="BFH7" s="61" t="s">
        <v>38</v>
      </c>
      <c r="BFI7" s="62"/>
      <c r="BFJ7" s="62"/>
      <c r="BFK7" s="235">
        <v>8318.6</v>
      </c>
      <c r="BFL7" s="236"/>
      <c r="BFM7" s="61" t="s">
        <v>38</v>
      </c>
      <c r="BFN7" s="62"/>
      <c r="BFO7" s="62"/>
      <c r="BFP7" s="235">
        <v>1908.8</v>
      </c>
      <c r="BFQ7" s="236"/>
      <c r="BFR7" s="61" t="s">
        <v>38</v>
      </c>
      <c r="BFS7" s="62"/>
      <c r="BFT7" s="62"/>
      <c r="BFU7" s="235">
        <v>787</v>
      </c>
      <c r="BFV7" s="236"/>
      <c r="BFW7" s="61" t="s">
        <v>38</v>
      </c>
      <c r="BFX7" s="62"/>
      <c r="BFY7" s="62"/>
      <c r="BFZ7" s="235">
        <v>1502</v>
      </c>
      <c r="BGA7" s="236"/>
      <c r="BGB7" s="61" t="s">
        <v>38</v>
      </c>
      <c r="BGC7" s="62"/>
      <c r="BGD7" s="62"/>
      <c r="BGE7" s="235">
        <v>16922</v>
      </c>
      <c r="BGF7" s="236"/>
      <c r="BGG7" s="61" t="s">
        <v>38</v>
      </c>
      <c r="BGH7" s="62"/>
      <c r="BGI7" s="62"/>
      <c r="BGJ7" s="235">
        <v>27043</v>
      </c>
      <c r="BGK7" s="236"/>
      <c r="BGL7" s="61" t="s">
        <v>38</v>
      </c>
      <c r="BGM7" s="62"/>
      <c r="BGN7" s="62"/>
      <c r="BGO7" s="235">
        <v>6010</v>
      </c>
      <c r="BGP7" s="236"/>
      <c r="BGQ7" s="61" t="s">
        <v>38</v>
      </c>
      <c r="BGR7" s="62"/>
      <c r="BGS7" s="62"/>
      <c r="BGT7" s="235">
        <v>1924.8</v>
      </c>
      <c r="BGU7" s="236"/>
      <c r="BGV7" s="61" t="s">
        <v>38</v>
      </c>
      <c r="BGW7" s="62"/>
      <c r="BGX7" s="62"/>
      <c r="BGY7" s="235">
        <v>1588</v>
      </c>
      <c r="BGZ7" s="236"/>
      <c r="BHA7" s="61" t="s">
        <v>38</v>
      </c>
      <c r="BHB7" s="62"/>
      <c r="BHC7" s="62"/>
      <c r="BHD7" s="235">
        <v>10329.5</v>
      </c>
      <c r="BHE7" s="236"/>
      <c r="BHF7" s="61" t="s">
        <v>38</v>
      </c>
      <c r="BHG7" s="62"/>
      <c r="BHH7" s="62"/>
      <c r="BHI7" s="235">
        <v>802</v>
      </c>
      <c r="BHJ7" s="236"/>
      <c r="BHK7" s="61" t="s">
        <v>38</v>
      </c>
      <c r="BHL7" s="62"/>
      <c r="BHM7" s="62"/>
      <c r="BHN7" s="235">
        <v>0</v>
      </c>
      <c r="BHO7" s="236"/>
      <c r="BHP7" s="61" t="s">
        <v>38</v>
      </c>
      <c r="BHQ7" s="62"/>
      <c r="BHR7" s="62"/>
      <c r="BHS7" s="235">
        <v>5900.5</v>
      </c>
      <c r="BHT7" s="236"/>
      <c r="BHU7" s="61" t="s">
        <v>38</v>
      </c>
      <c r="BHV7" s="62"/>
      <c r="BHW7" s="62"/>
      <c r="BHX7" s="235">
        <v>3005</v>
      </c>
      <c r="BHY7" s="236"/>
      <c r="BHZ7" s="61" t="s">
        <v>38</v>
      </c>
      <c r="BIA7" s="62"/>
      <c r="BIB7" s="62"/>
      <c r="BIC7" s="235">
        <v>4592</v>
      </c>
      <c r="BID7" s="236"/>
      <c r="BIE7" s="61" t="s">
        <v>38</v>
      </c>
      <c r="BIF7" s="62"/>
      <c r="BIG7" s="62"/>
      <c r="BIH7" s="235">
        <v>8771.2000000000007</v>
      </c>
      <c r="BII7" s="236"/>
      <c r="BIJ7" s="61" t="s">
        <v>38</v>
      </c>
      <c r="BIK7" s="62"/>
      <c r="BIL7" s="62"/>
      <c r="BIM7" s="235">
        <v>3004</v>
      </c>
      <c r="BIN7" s="236"/>
      <c r="BIO7" s="61" t="s">
        <v>38</v>
      </c>
      <c r="BIP7" s="62"/>
      <c r="BIQ7" s="62"/>
      <c r="BIR7" s="235">
        <v>0</v>
      </c>
      <c r="BIS7" s="236"/>
      <c r="BIT7" s="61" t="s">
        <v>38</v>
      </c>
      <c r="BIU7" s="62"/>
      <c r="BIV7" s="62"/>
      <c r="BIW7" s="235">
        <v>3005</v>
      </c>
      <c r="BIX7" s="236"/>
      <c r="BIY7" s="61" t="s">
        <v>38</v>
      </c>
      <c r="BIZ7" s="62"/>
      <c r="BJA7" s="62"/>
      <c r="BJB7" s="235">
        <v>4650</v>
      </c>
      <c r="BJC7" s="236"/>
      <c r="BJD7" s="61" t="s">
        <v>38</v>
      </c>
      <c r="BJE7" s="62"/>
      <c r="BJF7" s="62"/>
      <c r="BJG7" s="235">
        <v>10641.5</v>
      </c>
      <c r="BJH7" s="236"/>
      <c r="BJI7" s="61" t="s">
        <v>38</v>
      </c>
      <c r="BJJ7" s="62"/>
      <c r="BJK7" s="62"/>
      <c r="BJL7" s="235">
        <v>8845</v>
      </c>
      <c r="BJM7" s="236"/>
      <c r="BJN7" s="61" t="s">
        <v>38</v>
      </c>
      <c r="BJO7" s="62"/>
      <c r="BJP7" s="62"/>
      <c r="BJQ7" s="235">
        <v>0</v>
      </c>
      <c r="BJR7" s="236"/>
      <c r="BJS7" s="61" t="s">
        <v>38</v>
      </c>
      <c r="BJT7" s="62"/>
      <c r="BJU7" s="62"/>
      <c r="BJV7" s="235">
        <v>0</v>
      </c>
      <c r="BJW7" s="236"/>
      <c r="BJX7" s="61" t="s">
        <v>38</v>
      </c>
      <c r="BJY7" s="62"/>
      <c r="BJZ7" s="62"/>
      <c r="BKA7" s="235">
        <v>0</v>
      </c>
      <c r="BKB7" s="236"/>
      <c r="BKC7" s="61" t="s">
        <v>38</v>
      </c>
      <c r="BKD7" s="62"/>
      <c r="BKE7" s="62"/>
      <c r="BKF7" s="235">
        <v>1604</v>
      </c>
      <c r="BKG7" s="236"/>
      <c r="BKH7" s="61" t="s">
        <v>38</v>
      </c>
      <c r="BKI7" s="62"/>
      <c r="BKJ7" s="62"/>
      <c r="BKK7" s="235">
        <v>6010</v>
      </c>
      <c r="BKL7" s="236"/>
      <c r="BKM7" s="61" t="s">
        <v>38</v>
      </c>
      <c r="BKN7" s="62"/>
      <c r="BKO7" s="62"/>
      <c r="BKP7" s="235">
        <v>40563</v>
      </c>
      <c r="BKQ7" s="236"/>
      <c r="BKR7" s="61" t="s">
        <v>38</v>
      </c>
      <c r="BKS7" s="62"/>
      <c r="BKT7" s="62"/>
      <c r="BKU7" s="235">
        <v>0</v>
      </c>
      <c r="BKV7" s="236"/>
      <c r="BKW7" s="61" t="s">
        <v>38</v>
      </c>
      <c r="BKX7" s="62"/>
      <c r="BKY7" s="62"/>
      <c r="BKZ7" s="235">
        <v>787</v>
      </c>
      <c r="BLA7" s="236"/>
      <c r="BLB7" s="61" t="s">
        <v>38</v>
      </c>
      <c r="BLC7" s="62"/>
      <c r="BLD7" s="62"/>
      <c r="BLE7" s="235">
        <v>4827.8</v>
      </c>
      <c r="BLF7" s="236"/>
      <c r="BLG7" s="61" t="s">
        <v>38</v>
      </c>
      <c r="BLH7" s="62"/>
      <c r="BLI7" s="62"/>
      <c r="BLJ7" s="235">
        <v>320.8</v>
      </c>
      <c r="BLK7" s="236"/>
      <c r="BLL7" s="61" t="s">
        <v>38</v>
      </c>
      <c r="BLM7" s="62"/>
      <c r="BLN7" s="62"/>
      <c r="BLO7" s="235">
        <v>4507</v>
      </c>
      <c r="BLP7" s="236"/>
      <c r="BLQ7" s="61" t="s">
        <v>38</v>
      </c>
      <c r="BLR7" s="62"/>
      <c r="BLS7" s="62"/>
      <c r="BLT7" s="235">
        <v>8845</v>
      </c>
      <c r="BLU7" s="236"/>
      <c r="BLV7" s="61" t="s">
        <v>38</v>
      </c>
      <c r="BLW7" s="62"/>
      <c r="BLX7" s="62"/>
      <c r="BLY7" s="235">
        <v>7699</v>
      </c>
      <c r="BLZ7" s="236"/>
      <c r="BMA7" s="61" t="s">
        <v>38</v>
      </c>
      <c r="BMB7" s="62"/>
      <c r="BMC7" s="62"/>
      <c r="BMD7" s="235">
        <v>802</v>
      </c>
      <c r="BME7" s="236"/>
      <c r="BMF7" s="61" t="s">
        <v>38</v>
      </c>
      <c r="BMG7" s="62"/>
      <c r="BMH7" s="62"/>
      <c r="BMI7" s="235">
        <v>3324.8</v>
      </c>
      <c r="BMJ7" s="236"/>
      <c r="BMK7" s="61" t="s">
        <v>38</v>
      </c>
      <c r="BML7" s="62"/>
      <c r="BMM7" s="62"/>
      <c r="BMN7" s="235">
        <v>3005</v>
      </c>
      <c r="BMO7" s="236"/>
      <c r="BMP7" s="61" t="s">
        <v>38</v>
      </c>
      <c r="BMQ7" s="62"/>
      <c r="BMR7" s="62"/>
      <c r="BMS7" s="235">
        <v>5021.5</v>
      </c>
      <c r="BMT7" s="236"/>
      <c r="BMU7" s="61" t="s">
        <v>38</v>
      </c>
      <c r="BMV7" s="62"/>
      <c r="BMW7" s="62"/>
      <c r="BMX7" s="235">
        <v>15538.5</v>
      </c>
      <c r="BMY7" s="236"/>
      <c r="BMZ7" s="61" t="s">
        <v>38</v>
      </c>
      <c r="BNA7" s="62"/>
      <c r="BNB7" s="62"/>
      <c r="BNC7" s="235">
        <v>10759.5</v>
      </c>
      <c r="BND7" s="236"/>
      <c r="BNE7" s="61" t="s">
        <v>38</v>
      </c>
      <c r="BNF7" s="62"/>
      <c r="BNG7" s="62"/>
      <c r="BNH7" s="235">
        <v>0</v>
      </c>
      <c r="BNI7" s="236"/>
      <c r="BNJ7" s="61" t="s">
        <v>38</v>
      </c>
      <c r="BNK7" s="62"/>
      <c r="BNL7" s="62"/>
      <c r="BNM7" s="235">
        <v>3004</v>
      </c>
      <c r="BNN7" s="236"/>
      <c r="BNO7" s="61" t="s">
        <v>38</v>
      </c>
      <c r="BNP7" s="62"/>
      <c r="BNQ7" s="62"/>
      <c r="BNR7" s="235">
        <v>0</v>
      </c>
      <c r="BNS7" s="236"/>
      <c r="BNT7" s="61" t="s">
        <v>38</v>
      </c>
      <c r="BNU7" s="62"/>
      <c r="BNV7" s="62"/>
      <c r="BNW7" s="235">
        <v>0</v>
      </c>
      <c r="BNX7" s="236"/>
      <c r="BNY7" s="61" t="s">
        <v>38</v>
      </c>
      <c r="BNZ7" s="62"/>
      <c r="BOA7" s="62"/>
      <c r="BOB7" s="235">
        <v>1588</v>
      </c>
      <c r="BOC7" s="236"/>
      <c r="BOD7" s="61" t="s">
        <v>38</v>
      </c>
      <c r="BOE7" s="62"/>
      <c r="BOF7" s="62"/>
      <c r="BOG7" s="235">
        <v>3005</v>
      </c>
      <c r="BOH7" s="236"/>
      <c r="BOI7" s="61" t="s">
        <v>38</v>
      </c>
      <c r="BOJ7" s="62"/>
      <c r="BOK7" s="62"/>
      <c r="BOL7" s="235">
        <v>0</v>
      </c>
      <c r="BOM7" s="236"/>
      <c r="BON7" s="61" t="s">
        <v>38</v>
      </c>
      <c r="BOO7" s="62"/>
      <c r="BOP7" s="62"/>
      <c r="BOQ7" s="235">
        <v>0</v>
      </c>
      <c r="BOR7" s="236"/>
      <c r="BOS7" s="61" t="s">
        <v>38</v>
      </c>
      <c r="BOT7" s="62"/>
      <c r="BOU7" s="62"/>
      <c r="BOV7" s="235">
        <v>0</v>
      </c>
      <c r="BOW7" s="236"/>
      <c r="BOX7" s="61" t="s">
        <v>38</v>
      </c>
      <c r="BOY7" s="62"/>
      <c r="BOZ7" s="62"/>
      <c r="BPA7" s="235">
        <v>2382</v>
      </c>
      <c r="BPB7" s="236"/>
      <c r="BPC7" s="61" t="s">
        <v>38</v>
      </c>
      <c r="BPD7" s="62"/>
      <c r="BPE7" s="62"/>
      <c r="BPF7" s="235">
        <v>0</v>
      </c>
      <c r="BPG7" s="236"/>
      <c r="BPH7" s="61" t="s">
        <v>38</v>
      </c>
      <c r="BPI7" s="62"/>
      <c r="BPJ7" s="62"/>
      <c r="BPK7" s="235">
        <v>0</v>
      </c>
      <c r="BPL7" s="236"/>
      <c r="BPM7" s="61" t="s">
        <v>38</v>
      </c>
      <c r="BPN7" s="62"/>
      <c r="BPO7" s="62"/>
      <c r="BPP7" s="235">
        <v>3005</v>
      </c>
      <c r="BPQ7" s="236"/>
      <c r="BPR7" s="61" t="s">
        <v>38</v>
      </c>
      <c r="BPS7" s="62"/>
      <c r="BPT7" s="62"/>
      <c r="BPU7" s="235">
        <v>3005</v>
      </c>
      <c r="BPV7" s="236"/>
      <c r="BPW7" s="61" t="s">
        <v>38</v>
      </c>
      <c r="BPX7" s="62"/>
      <c r="BPY7" s="62"/>
      <c r="BPZ7" s="235">
        <v>0</v>
      </c>
      <c r="BQA7" s="236"/>
      <c r="BQB7" s="61" t="s">
        <v>38</v>
      </c>
      <c r="BQC7" s="62"/>
      <c r="BQD7" s="62"/>
      <c r="BQE7" s="235">
        <v>794</v>
      </c>
      <c r="BQF7" s="236"/>
      <c r="BQG7" s="61" t="s">
        <v>38</v>
      </c>
      <c r="BQH7" s="62"/>
      <c r="BQI7" s="62"/>
      <c r="BQJ7" s="235">
        <v>4764</v>
      </c>
      <c r="BQK7" s="236"/>
      <c r="BQL7" s="61" t="s">
        <v>38</v>
      </c>
      <c r="BQM7" s="62"/>
      <c r="BQN7" s="62"/>
      <c r="BQO7" s="235">
        <v>0</v>
      </c>
      <c r="BQP7" s="236"/>
      <c r="BQQ7" s="61" t="s">
        <v>38</v>
      </c>
      <c r="BQR7" s="62"/>
      <c r="BQS7" s="62"/>
      <c r="BQT7" s="235">
        <v>16525</v>
      </c>
      <c r="BQU7" s="236"/>
      <c r="BQV7" s="61" t="s">
        <v>38</v>
      </c>
      <c r="BQW7" s="62"/>
      <c r="BQX7" s="62"/>
      <c r="BQY7" s="235">
        <v>6010</v>
      </c>
      <c r="BQZ7" s="236"/>
      <c r="BRA7" s="61" t="s">
        <v>38</v>
      </c>
      <c r="BRB7" s="62"/>
      <c r="BRC7" s="62"/>
      <c r="BRD7" s="235">
        <v>4507</v>
      </c>
      <c r="BRE7" s="236"/>
      <c r="BRF7" s="61" t="s">
        <v>38</v>
      </c>
      <c r="BRG7" s="62"/>
      <c r="BRH7" s="62"/>
      <c r="BRI7" s="235">
        <v>1588</v>
      </c>
      <c r="BRJ7" s="236"/>
      <c r="BRK7" s="61" t="s">
        <v>38</v>
      </c>
      <c r="BRL7" s="62"/>
      <c r="BRM7" s="62"/>
      <c r="BRN7" s="235">
        <v>794</v>
      </c>
      <c r="BRO7" s="236"/>
      <c r="BRP7" s="61" t="s">
        <v>38</v>
      </c>
      <c r="BRQ7" s="62"/>
      <c r="BRR7" s="62"/>
      <c r="BRS7" s="235">
        <v>32702</v>
      </c>
      <c r="BRT7" s="236"/>
      <c r="BRU7" s="61" t="s">
        <v>38</v>
      </c>
      <c r="BRV7" s="62"/>
      <c r="BRW7" s="62"/>
      <c r="BRX7" s="235">
        <v>24039</v>
      </c>
      <c r="BRY7" s="236"/>
      <c r="BRZ7" s="61" t="s">
        <v>38</v>
      </c>
      <c r="BSA7" s="62"/>
      <c r="BSB7" s="62"/>
      <c r="BSC7" s="235">
        <v>6095</v>
      </c>
      <c r="BSD7" s="236"/>
      <c r="BSE7" s="61" t="s">
        <v>38</v>
      </c>
      <c r="BSF7" s="62"/>
      <c r="BSG7" s="62"/>
      <c r="BSH7" s="235">
        <v>3005</v>
      </c>
      <c r="BSI7" s="236"/>
      <c r="BSJ7" s="61" t="s">
        <v>38</v>
      </c>
      <c r="BSK7" s="62"/>
      <c r="BSL7" s="62"/>
      <c r="BSM7" s="235">
        <v>0</v>
      </c>
      <c r="BSN7" s="236"/>
      <c r="BSO7" s="61" t="s">
        <v>38</v>
      </c>
      <c r="BSP7" s="62"/>
      <c r="BSQ7" s="62"/>
      <c r="BSR7" s="235">
        <v>3005</v>
      </c>
      <c r="BSS7" s="236"/>
      <c r="BST7" s="61" t="s">
        <v>38</v>
      </c>
      <c r="BSU7" s="62"/>
      <c r="BSV7" s="62"/>
      <c r="BSW7" s="235">
        <v>3090</v>
      </c>
      <c r="BSX7" s="236"/>
      <c r="BSY7" s="61" t="s">
        <v>38</v>
      </c>
      <c r="BSZ7" s="62"/>
      <c r="BTA7" s="62"/>
      <c r="BTB7" s="235">
        <v>38457.5</v>
      </c>
      <c r="BTC7" s="236"/>
      <c r="BTD7" s="61" t="s">
        <v>38</v>
      </c>
      <c r="BTE7" s="62"/>
      <c r="BTF7" s="62"/>
      <c r="BTG7" s="235">
        <v>8743</v>
      </c>
      <c r="BTH7" s="236"/>
      <c r="BTI7" s="61" t="s">
        <v>38</v>
      </c>
      <c r="BTJ7" s="62"/>
      <c r="BTK7" s="62"/>
      <c r="BTL7" s="235">
        <v>1502</v>
      </c>
      <c r="BTM7" s="236"/>
      <c r="BTN7" s="61" t="s">
        <v>38</v>
      </c>
      <c r="BTO7" s="62"/>
      <c r="BTP7" s="62"/>
      <c r="BTQ7" s="235">
        <v>4507</v>
      </c>
      <c r="BTR7" s="236"/>
      <c r="BTS7" s="61" t="s">
        <v>38</v>
      </c>
      <c r="BTT7" s="62"/>
      <c r="BTU7" s="62"/>
      <c r="BTV7" s="235">
        <v>10806</v>
      </c>
      <c r="BTW7" s="236"/>
      <c r="BTX7" s="61" t="s">
        <v>38</v>
      </c>
      <c r="BTY7" s="62"/>
      <c r="BTZ7" s="62"/>
      <c r="BUA7" s="235">
        <v>1604</v>
      </c>
      <c r="BUB7" s="236"/>
      <c r="BUC7" s="61" t="s">
        <v>38</v>
      </c>
      <c r="BUD7" s="62"/>
      <c r="BUE7" s="62"/>
      <c r="BUF7" s="235">
        <v>0</v>
      </c>
      <c r="BUG7" s="236"/>
      <c r="BUH7" s="61" t="s">
        <v>38</v>
      </c>
      <c r="BUI7" s="62"/>
      <c r="BUJ7" s="62"/>
      <c r="BUK7" s="235">
        <v>1588</v>
      </c>
      <c r="BUL7" s="236"/>
      <c r="BUM7" s="61" t="s">
        <v>38</v>
      </c>
      <c r="BUN7" s="62"/>
      <c r="BUO7" s="62"/>
      <c r="BUP7" s="235">
        <v>0</v>
      </c>
      <c r="BUQ7" s="236"/>
      <c r="BUR7" s="61" t="s">
        <v>38</v>
      </c>
      <c r="BUS7" s="62"/>
      <c r="BUT7" s="62"/>
      <c r="BUU7" s="235">
        <v>6368</v>
      </c>
      <c r="BUV7" s="236"/>
      <c r="BUW7" s="61" t="s">
        <v>38</v>
      </c>
      <c r="BUX7" s="62"/>
      <c r="BUY7" s="62"/>
      <c r="BUZ7" s="235">
        <v>18671.599999999999</v>
      </c>
      <c r="BVA7" s="236"/>
      <c r="BVB7" s="61" t="s">
        <v>38</v>
      </c>
      <c r="BVC7" s="62"/>
      <c r="BVD7" s="62"/>
      <c r="BVE7" s="235">
        <v>0</v>
      </c>
      <c r="BVF7" s="236"/>
      <c r="BVG7" s="61" t="s">
        <v>38</v>
      </c>
      <c r="BVH7" s="62"/>
      <c r="BVI7" s="62"/>
      <c r="BVJ7" s="235">
        <v>0</v>
      </c>
      <c r="BVK7" s="236"/>
      <c r="BVL7" s="61" t="s">
        <v>38</v>
      </c>
      <c r="BVM7" s="62"/>
      <c r="BVN7" s="62"/>
      <c r="BVO7" s="235">
        <v>4507</v>
      </c>
      <c r="BVP7" s="236"/>
      <c r="BVQ7" s="61" t="s">
        <v>38</v>
      </c>
      <c r="BVR7" s="62"/>
      <c r="BVS7" s="62"/>
      <c r="BVT7" s="235">
        <v>0</v>
      </c>
      <c r="BVU7" s="236"/>
      <c r="BVV7" s="61" t="s">
        <v>38</v>
      </c>
      <c r="BVW7" s="62"/>
      <c r="BVX7" s="62"/>
      <c r="BVY7" s="235">
        <v>1588</v>
      </c>
      <c r="BVZ7" s="236"/>
      <c r="BWA7" s="61" t="s">
        <v>38</v>
      </c>
      <c r="BWB7" s="62"/>
      <c r="BWC7" s="62"/>
      <c r="BWD7" s="235">
        <v>0</v>
      </c>
      <c r="BWE7" s="236"/>
      <c r="BWF7" s="61" t="s">
        <v>38</v>
      </c>
      <c r="BWG7" s="62"/>
      <c r="BWH7" s="62"/>
      <c r="BWI7" s="235">
        <v>0</v>
      </c>
      <c r="BWJ7" s="236"/>
      <c r="BWK7" s="61" t="s">
        <v>38</v>
      </c>
      <c r="BWL7" s="62"/>
      <c r="BWM7" s="62"/>
      <c r="BWN7" s="235">
        <v>7139</v>
      </c>
      <c r="BWO7" s="236"/>
      <c r="BWP7" s="61" t="s">
        <v>38</v>
      </c>
      <c r="BWQ7" s="62"/>
      <c r="BWR7" s="62"/>
      <c r="BWS7" s="235">
        <v>21032</v>
      </c>
      <c r="BWT7" s="236"/>
      <c r="BWU7" s="61" t="s">
        <v>38</v>
      </c>
      <c r="BWV7" s="62"/>
      <c r="BWW7" s="62"/>
      <c r="BWX7" s="235">
        <v>3005</v>
      </c>
      <c r="BWY7" s="236"/>
      <c r="BWZ7" s="61" t="s">
        <v>38</v>
      </c>
      <c r="BXA7" s="62"/>
      <c r="BXB7" s="62"/>
      <c r="BXC7" s="235">
        <v>0</v>
      </c>
      <c r="BXD7" s="236"/>
      <c r="BXE7" s="61" t="s">
        <v>38</v>
      </c>
      <c r="BXF7" s="62"/>
      <c r="BXG7" s="62"/>
      <c r="BXH7" s="235">
        <v>4650</v>
      </c>
      <c r="BXI7" s="236"/>
      <c r="BXJ7" s="61" t="s">
        <v>38</v>
      </c>
      <c r="BXK7" s="62"/>
      <c r="BXL7" s="62"/>
      <c r="BXM7" s="235">
        <v>1502</v>
      </c>
      <c r="BXN7" s="236"/>
      <c r="BXO7" s="61" t="s">
        <v>38</v>
      </c>
      <c r="BXP7" s="62"/>
      <c r="BXQ7" s="62"/>
      <c r="BXR7" s="235">
        <v>13840.25</v>
      </c>
      <c r="BXS7" s="236"/>
      <c r="BXT7" s="61" t="s">
        <v>38</v>
      </c>
      <c r="BXU7" s="62"/>
      <c r="BXV7" s="62"/>
      <c r="BXW7" s="235">
        <v>0</v>
      </c>
      <c r="BXX7" s="236"/>
      <c r="BXY7" s="61" t="s">
        <v>38</v>
      </c>
      <c r="BXZ7" s="62"/>
      <c r="BYA7" s="62"/>
      <c r="BYB7" s="235">
        <v>15227</v>
      </c>
      <c r="BYC7" s="236"/>
      <c r="BYD7" s="61" t="s">
        <v>38</v>
      </c>
      <c r="BYE7" s="62"/>
      <c r="BYF7" s="62"/>
      <c r="BYG7" s="235">
        <v>15227</v>
      </c>
      <c r="BYH7" s="236"/>
      <c r="BYI7" s="61" t="s">
        <v>38</v>
      </c>
      <c r="BYJ7" s="62"/>
      <c r="BYK7" s="62"/>
      <c r="BYL7" s="235">
        <v>16526</v>
      </c>
      <c r="BYM7" s="236"/>
      <c r="BYN7" s="61" t="s">
        <v>38</v>
      </c>
      <c r="BYO7" s="62"/>
      <c r="BYP7" s="62"/>
      <c r="BYQ7" s="235">
        <v>6009</v>
      </c>
      <c r="BYR7" s="236"/>
      <c r="BYS7" s="61" t="s">
        <v>38</v>
      </c>
      <c r="BYT7" s="62"/>
      <c r="BYU7" s="62"/>
      <c r="BYV7" s="235">
        <v>0</v>
      </c>
      <c r="BYW7" s="236"/>
      <c r="BYX7" s="61" t="s">
        <v>38</v>
      </c>
      <c r="BYY7" s="62"/>
      <c r="BYZ7" s="62"/>
      <c r="BZA7" s="235">
        <v>4507</v>
      </c>
      <c r="BZB7" s="236"/>
      <c r="BZC7" s="61" t="s">
        <v>38</v>
      </c>
      <c r="BZD7" s="62"/>
      <c r="BZE7" s="62"/>
      <c r="BZF7" s="235">
        <v>2368</v>
      </c>
      <c r="BZG7" s="236"/>
      <c r="BZH7" s="61" t="s">
        <v>38</v>
      </c>
      <c r="BZI7" s="62"/>
      <c r="BZJ7" s="62"/>
      <c r="BZK7" s="235">
        <v>13045</v>
      </c>
      <c r="BZL7" s="236"/>
      <c r="BZM7" s="61" t="s">
        <v>38</v>
      </c>
      <c r="BZN7" s="62"/>
      <c r="BZO7" s="62"/>
      <c r="BZP7" s="235">
        <v>28950</v>
      </c>
      <c r="BZQ7" s="236"/>
      <c r="BZR7" s="61" t="s">
        <v>38</v>
      </c>
      <c r="BZS7" s="62"/>
      <c r="BZT7" s="62"/>
      <c r="BZU7" s="235">
        <v>0</v>
      </c>
      <c r="BZV7" s="236"/>
      <c r="BZW7" s="61" t="s">
        <v>38</v>
      </c>
      <c r="BZX7" s="62"/>
      <c r="BZY7" s="62"/>
      <c r="BZZ7" s="235">
        <v>4507</v>
      </c>
      <c r="CAA7" s="236"/>
      <c r="CAB7" s="61" t="s">
        <v>38</v>
      </c>
      <c r="CAC7" s="62"/>
      <c r="CAD7" s="62"/>
      <c r="CAE7" s="235">
        <v>0</v>
      </c>
      <c r="CAF7" s="236"/>
      <c r="CAG7" s="61" t="s">
        <v>38</v>
      </c>
      <c r="CAH7" s="62"/>
      <c r="CAI7" s="62"/>
      <c r="CAJ7" s="235">
        <v>12832</v>
      </c>
      <c r="CAK7" s="236"/>
      <c r="CAL7" s="61" t="s">
        <v>38</v>
      </c>
      <c r="CAM7" s="62"/>
      <c r="CAN7" s="62"/>
      <c r="CAO7" s="235">
        <v>26049</v>
      </c>
      <c r="CAP7" s="236"/>
      <c r="CAQ7" s="61" t="s">
        <v>38</v>
      </c>
      <c r="CAR7" s="62"/>
      <c r="CAS7" s="62"/>
      <c r="CAT7" s="235">
        <v>1502</v>
      </c>
      <c r="CAU7" s="236"/>
      <c r="CAV7" s="61" t="s">
        <v>38</v>
      </c>
      <c r="CAW7" s="62"/>
      <c r="CAX7" s="62"/>
      <c r="CAY7" s="235">
        <v>0</v>
      </c>
      <c r="CAZ7" s="236"/>
      <c r="CBA7" s="61" t="s">
        <v>38</v>
      </c>
      <c r="CBB7" s="62"/>
      <c r="CBC7" s="62"/>
      <c r="CBD7" s="235">
        <v>2016.5</v>
      </c>
      <c r="CBE7" s="236"/>
      <c r="CBF7" s="61" t="s">
        <v>38</v>
      </c>
      <c r="CBG7" s="62"/>
      <c r="CBH7" s="62"/>
      <c r="CBI7" s="235">
        <v>0</v>
      </c>
      <c r="CBJ7" s="236"/>
      <c r="CBK7" s="61" t="s">
        <v>38</v>
      </c>
      <c r="CBL7" s="62"/>
      <c r="CBM7" s="62"/>
      <c r="CBN7" s="235">
        <v>0</v>
      </c>
      <c r="CBO7" s="236"/>
      <c r="CBP7" s="61" t="s">
        <v>38</v>
      </c>
      <c r="CBQ7" s="62"/>
      <c r="CBR7" s="62"/>
      <c r="CBS7" s="235">
        <v>0</v>
      </c>
      <c r="CBT7" s="236"/>
      <c r="CBU7" s="61" t="s">
        <v>38</v>
      </c>
      <c r="CBV7" s="62"/>
      <c r="CBW7" s="62"/>
      <c r="CBX7" s="235">
        <v>0</v>
      </c>
      <c r="CBY7" s="236"/>
      <c r="CBZ7" s="61" t="s">
        <v>38</v>
      </c>
      <c r="CCA7" s="62"/>
      <c r="CCB7" s="62"/>
      <c r="CCC7" s="235">
        <v>7511</v>
      </c>
      <c r="CCD7" s="236"/>
      <c r="CCE7" s="61" t="s">
        <v>38</v>
      </c>
      <c r="CCF7" s="62"/>
      <c r="CCG7" s="62"/>
      <c r="CCH7" s="235">
        <v>12121</v>
      </c>
      <c r="CCI7" s="236"/>
      <c r="CCJ7" s="61" t="s">
        <v>38</v>
      </c>
      <c r="CCK7" s="62"/>
      <c r="CCL7" s="62"/>
      <c r="CCM7" s="235">
        <v>17283</v>
      </c>
      <c r="CCN7" s="236"/>
      <c r="CCO7" s="61" t="s">
        <v>38</v>
      </c>
      <c r="CCP7" s="62"/>
      <c r="CCQ7" s="62"/>
      <c r="CCR7" s="235">
        <v>23294</v>
      </c>
      <c r="CCS7" s="236"/>
      <c r="CCT7" s="61" t="s">
        <v>38</v>
      </c>
      <c r="CCU7" s="62"/>
      <c r="CCV7" s="62"/>
      <c r="CCW7" s="235">
        <v>11545</v>
      </c>
      <c r="CCX7" s="236"/>
      <c r="CCY7" s="61" t="s">
        <v>38</v>
      </c>
      <c r="CCZ7" s="62"/>
      <c r="CDA7" s="62"/>
      <c r="CDB7" s="235">
        <v>11268</v>
      </c>
      <c r="CDC7" s="236"/>
      <c r="CDD7" s="61" t="s">
        <v>38</v>
      </c>
      <c r="CDE7" s="62"/>
      <c r="CDF7" s="62"/>
      <c r="CDG7" s="235">
        <v>4710</v>
      </c>
      <c r="CDH7" s="236"/>
      <c r="CDI7" s="61" t="s">
        <v>38</v>
      </c>
      <c r="CDJ7" s="62"/>
      <c r="CDK7" s="62"/>
      <c r="CDL7" s="235">
        <v>0</v>
      </c>
      <c r="CDM7" s="236"/>
      <c r="CDN7" s="61" t="s">
        <v>38</v>
      </c>
      <c r="CDO7" s="62"/>
      <c r="CDP7" s="62"/>
      <c r="CDQ7" s="235">
        <v>3208</v>
      </c>
      <c r="CDR7" s="236"/>
      <c r="CDS7" s="61" t="s">
        <v>38</v>
      </c>
      <c r="CDT7" s="62"/>
      <c r="CDU7" s="62"/>
      <c r="CDV7" s="235">
        <v>3004</v>
      </c>
      <c r="CDW7" s="236"/>
      <c r="CDX7" s="61" t="s">
        <v>38</v>
      </c>
      <c r="CDY7" s="62"/>
      <c r="CDZ7" s="62"/>
      <c r="CEA7" s="235">
        <v>2016.5</v>
      </c>
      <c r="CEB7" s="236"/>
      <c r="CEC7" s="61" t="s">
        <v>38</v>
      </c>
      <c r="CED7" s="62"/>
      <c r="CEE7" s="62"/>
      <c r="CEF7" s="235">
        <v>20300</v>
      </c>
      <c r="CEG7" s="236"/>
      <c r="CEH7" s="61" t="s">
        <v>38</v>
      </c>
      <c r="CEI7" s="62"/>
      <c r="CEJ7" s="62"/>
      <c r="CEK7" s="235">
        <v>9564</v>
      </c>
      <c r="CEL7" s="236"/>
      <c r="CEM7" s="61" t="s">
        <v>38</v>
      </c>
      <c r="CEN7" s="62"/>
      <c r="CEO7" s="62"/>
      <c r="CEP7" s="235">
        <v>0</v>
      </c>
      <c r="CEQ7" s="236"/>
      <c r="CER7" s="61" t="s">
        <v>38</v>
      </c>
      <c r="CES7" s="62"/>
      <c r="CET7" s="62"/>
      <c r="CEU7" s="235">
        <v>1008.25</v>
      </c>
      <c r="CEV7" s="236"/>
      <c r="CEW7" s="61" t="s">
        <v>38</v>
      </c>
      <c r="CEX7" s="62"/>
      <c r="CEY7" s="62"/>
      <c r="CEZ7" s="235">
        <v>0</v>
      </c>
      <c r="CFA7" s="236"/>
      <c r="CFB7" s="61" t="s">
        <v>38</v>
      </c>
      <c r="CFC7" s="62"/>
      <c r="CFD7" s="62"/>
      <c r="CFE7" s="235">
        <v>3208</v>
      </c>
      <c r="CFF7" s="236"/>
      <c r="CFG7" s="61" t="s">
        <v>38</v>
      </c>
      <c r="CFH7" s="62"/>
      <c r="CFI7" s="62"/>
      <c r="CFJ7" s="235">
        <v>5535</v>
      </c>
      <c r="CFK7" s="236"/>
      <c r="CFL7" s="61" t="s">
        <v>38</v>
      </c>
      <c r="CFM7" s="62"/>
      <c r="CFN7" s="62"/>
      <c r="CFO7" s="235">
        <v>0</v>
      </c>
      <c r="CFP7" s="236"/>
      <c r="CFQ7" s="61" t="s">
        <v>38</v>
      </c>
      <c r="CFR7" s="62"/>
      <c r="CFS7" s="62"/>
      <c r="CFT7" s="235">
        <v>18029</v>
      </c>
      <c r="CFU7" s="236"/>
      <c r="CFV7" s="61" t="s">
        <v>38</v>
      </c>
      <c r="CFW7" s="62"/>
      <c r="CFX7" s="62"/>
      <c r="CFY7" s="235">
        <v>0</v>
      </c>
      <c r="CFZ7" s="236"/>
      <c r="CGA7" s="61" t="s">
        <v>38</v>
      </c>
      <c r="CGB7" s="62"/>
      <c r="CGC7" s="62"/>
      <c r="CGD7" s="235">
        <v>0</v>
      </c>
      <c r="CGE7" s="236"/>
      <c r="CGF7" s="61" t="s">
        <v>38</v>
      </c>
      <c r="CGG7" s="62"/>
      <c r="CGH7" s="62"/>
      <c r="CGI7" s="235">
        <v>3005</v>
      </c>
      <c r="CGJ7" s="236"/>
      <c r="CGK7" s="61" t="s">
        <v>38</v>
      </c>
      <c r="CGL7" s="62"/>
      <c r="CGM7" s="62"/>
      <c r="CGN7" s="235">
        <v>19530</v>
      </c>
      <c r="CGO7" s="236"/>
      <c r="CGP7" s="61" t="s">
        <v>38</v>
      </c>
      <c r="CGQ7" s="62"/>
      <c r="CGR7" s="62"/>
      <c r="CGS7" s="235">
        <v>1588</v>
      </c>
      <c r="CGT7" s="236"/>
      <c r="CGU7" s="61" t="s">
        <v>38</v>
      </c>
      <c r="CGV7" s="62"/>
      <c r="CGW7" s="62"/>
      <c r="CGX7" s="235">
        <v>3799</v>
      </c>
      <c r="CGY7" s="236"/>
      <c r="CGZ7" s="61" t="s">
        <v>38</v>
      </c>
      <c r="CHA7" s="62"/>
      <c r="CHB7" s="62"/>
      <c r="CHC7" s="235">
        <v>0</v>
      </c>
      <c r="CHD7" s="236"/>
      <c r="CHE7" s="61" t="s">
        <v>38</v>
      </c>
      <c r="CHF7" s="62"/>
      <c r="CHG7" s="62"/>
      <c r="CHH7" s="235">
        <v>0</v>
      </c>
      <c r="CHI7" s="236"/>
      <c r="CHJ7" s="61" t="s">
        <v>38</v>
      </c>
      <c r="CHK7" s="62"/>
      <c r="CHL7" s="62"/>
      <c r="CHM7" s="235">
        <v>0</v>
      </c>
      <c r="CHN7" s="236"/>
      <c r="CHO7" s="61" t="s">
        <v>38</v>
      </c>
      <c r="CHP7" s="62"/>
      <c r="CHQ7" s="62"/>
      <c r="CHR7" s="235">
        <v>0</v>
      </c>
      <c r="CHS7" s="236"/>
      <c r="CHT7" s="61" t="s">
        <v>38</v>
      </c>
      <c r="CHU7" s="62"/>
      <c r="CHV7" s="62"/>
      <c r="CHW7" s="235">
        <v>6095</v>
      </c>
      <c r="CHX7" s="236"/>
      <c r="CHY7" s="61" t="s">
        <v>38</v>
      </c>
      <c r="CHZ7" s="62"/>
      <c r="CIA7" s="62"/>
      <c r="CIB7" s="235">
        <v>1502</v>
      </c>
      <c r="CIC7" s="236"/>
      <c r="CID7" s="61" t="s">
        <v>38</v>
      </c>
      <c r="CIE7" s="62"/>
      <c r="CIF7" s="62"/>
      <c r="CIG7" s="235">
        <v>4213.8999999999996</v>
      </c>
      <c r="CIH7" s="236"/>
      <c r="CII7" s="61" t="s">
        <v>38</v>
      </c>
      <c r="CIJ7" s="62"/>
      <c r="CIK7" s="62"/>
      <c r="CIL7" s="235">
        <v>6009</v>
      </c>
      <c r="CIM7" s="236"/>
      <c r="CIN7" s="61" t="s">
        <v>38</v>
      </c>
      <c r="CIO7" s="62"/>
      <c r="CIP7" s="62"/>
      <c r="CIQ7" s="235">
        <v>3004</v>
      </c>
      <c r="CIR7" s="236"/>
      <c r="CIS7" s="61" t="s">
        <v>38</v>
      </c>
      <c r="CIT7" s="62"/>
      <c r="CIU7" s="62"/>
      <c r="CIV7" s="235">
        <v>0</v>
      </c>
      <c r="CIW7" s="236"/>
      <c r="CIX7" s="61" t="s">
        <v>38</v>
      </c>
      <c r="CIY7" s="62"/>
      <c r="CIZ7" s="62"/>
      <c r="CJA7" s="235">
        <v>10082.5</v>
      </c>
      <c r="CJB7" s="236"/>
      <c r="CJC7" s="61" t="s">
        <v>38</v>
      </c>
      <c r="CJD7" s="62"/>
      <c r="CJE7" s="62"/>
      <c r="CJF7" s="235">
        <v>0</v>
      </c>
      <c r="CJG7" s="236"/>
      <c r="CJH7" s="61" t="s">
        <v>38</v>
      </c>
      <c r="CJI7" s="62"/>
      <c r="CJJ7" s="62"/>
      <c r="CJK7" s="235">
        <v>0</v>
      </c>
      <c r="CJL7" s="236"/>
      <c r="CJM7" s="61" t="s">
        <v>38</v>
      </c>
      <c r="CJN7" s="62"/>
      <c r="CJO7" s="62"/>
      <c r="CJP7" s="235">
        <v>7007</v>
      </c>
      <c r="CJQ7" s="236"/>
      <c r="CJR7" s="61" t="s">
        <v>38</v>
      </c>
      <c r="CJS7" s="62"/>
      <c r="CJT7" s="62"/>
      <c r="CJU7" s="235">
        <v>794</v>
      </c>
      <c r="CJV7" s="236"/>
      <c r="CJW7" s="61" t="s">
        <v>38</v>
      </c>
      <c r="CJX7" s="62"/>
      <c r="CJY7" s="62"/>
      <c r="CJZ7" s="235">
        <v>0</v>
      </c>
      <c r="CKA7" s="236"/>
      <c r="CKB7" s="61" t="s">
        <v>38</v>
      </c>
      <c r="CKC7" s="62"/>
      <c r="CKD7" s="62"/>
      <c r="CKE7" s="235">
        <v>0</v>
      </c>
      <c r="CKF7" s="236"/>
      <c r="CKG7" s="61" t="s">
        <v>38</v>
      </c>
      <c r="CKH7" s="62"/>
      <c r="CKI7" s="62"/>
      <c r="CKJ7" s="235">
        <v>7956</v>
      </c>
      <c r="CKK7" s="236"/>
      <c r="CKL7" s="61" t="s">
        <v>38</v>
      </c>
      <c r="CKM7" s="62"/>
      <c r="CKN7" s="62"/>
      <c r="CKO7" s="235">
        <v>8046.25</v>
      </c>
      <c r="CKP7" s="236"/>
      <c r="CKQ7" s="61" t="s">
        <v>38</v>
      </c>
      <c r="CKR7" s="62"/>
      <c r="CKS7" s="62"/>
      <c r="CKT7" s="235">
        <v>1502</v>
      </c>
      <c r="CKU7" s="236"/>
      <c r="CKV7" s="61" t="s">
        <v>38</v>
      </c>
      <c r="CKW7" s="62"/>
      <c r="CKX7" s="62"/>
      <c r="CKY7" s="235">
        <v>3005</v>
      </c>
      <c r="CKZ7" s="236"/>
      <c r="CLA7" s="61" t="s">
        <v>38</v>
      </c>
      <c r="CLB7" s="62"/>
      <c r="CLC7" s="62"/>
      <c r="CLD7" s="235">
        <v>794</v>
      </c>
      <c r="CLE7" s="236"/>
      <c r="CLF7" s="61" t="s">
        <v>38</v>
      </c>
      <c r="CLG7" s="62"/>
      <c r="CLH7" s="62"/>
      <c r="CLI7" s="235">
        <v>3208</v>
      </c>
      <c r="CLJ7" s="236"/>
      <c r="CLK7" s="61" t="s">
        <v>38</v>
      </c>
      <c r="CLL7" s="62"/>
      <c r="CLM7" s="62"/>
      <c r="CLN7" s="235">
        <v>0</v>
      </c>
      <c r="CLO7" s="236"/>
      <c r="CLP7" s="61" t="s">
        <v>38</v>
      </c>
      <c r="CLQ7" s="62"/>
      <c r="CLR7" s="62"/>
      <c r="CLS7" s="235">
        <v>1588</v>
      </c>
      <c r="CLT7" s="236"/>
      <c r="CLU7" s="61" t="s">
        <v>38</v>
      </c>
      <c r="CLV7" s="62"/>
      <c r="CLW7" s="62"/>
      <c r="CLX7" s="235">
        <v>0</v>
      </c>
      <c r="CLY7" s="236"/>
      <c r="CLZ7" s="61" t="s">
        <v>38</v>
      </c>
      <c r="CMA7" s="62"/>
      <c r="CMB7" s="62"/>
      <c r="CMC7" s="235">
        <v>1613.2</v>
      </c>
      <c r="CMD7" s="236"/>
      <c r="CME7" s="61" t="s">
        <v>38</v>
      </c>
      <c r="CMF7" s="62"/>
      <c r="CMG7" s="62"/>
      <c r="CMH7" s="235">
        <v>5021.5</v>
      </c>
      <c r="CMI7" s="236"/>
      <c r="CMJ7" s="61" t="s">
        <v>38</v>
      </c>
      <c r="CMK7" s="62"/>
      <c r="CML7" s="62"/>
      <c r="CMM7" s="235">
        <v>13047</v>
      </c>
      <c r="CMN7" s="236"/>
      <c r="CMO7" s="61" t="s">
        <v>38</v>
      </c>
      <c r="CMP7" s="62"/>
      <c r="CMQ7" s="62"/>
      <c r="CMR7" s="235">
        <v>0</v>
      </c>
      <c r="CMS7" s="236"/>
      <c r="CMT7" s="61" t="s">
        <v>38</v>
      </c>
      <c r="CMU7" s="62"/>
      <c r="CMV7" s="62"/>
      <c r="CMW7" s="235">
        <v>8797</v>
      </c>
      <c r="CMX7" s="236"/>
      <c r="CMY7" s="61" t="s">
        <v>38</v>
      </c>
      <c r="CMZ7" s="62"/>
      <c r="CNA7" s="62"/>
      <c r="CNB7" s="235">
        <v>0</v>
      </c>
      <c r="CNC7" s="236"/>
      <c r="CND7" s="61" t="s">
        <v>38</v>
      </c>
      <c r="CNE7" s="62"/>
      <c r="CNF7" s="62"/>
      <c r="CNG7" s="235">
        <v>1502</v>
      </c>
      <c r="CNH7" s="236"/>
      <c r="CNI7" s="61" t="s">
        <v>38</v>
      </c>
      <c r="CNJ7" s="62"/>
      <c r="CNK7" s="62"/>
      <c r="CNL7" s="235">
        <v>12105</v>
      </c>
      <c r="CNM7" s="236"/>
      <c r="CNN7" s="61" t="s">
        <v>38</v>
      </c>
      <c r="CNO7" s="62"/>
      <c r="CNP7" s="62"/>
      <c r="CNQ7" s="235">
        <v>1588</v>
      </c>
      <c r="CNR7" s="236"/>
      <c r="CNS7" s="61" t="s">
        <v>38</v>
      </c>
      <c r="CNT7" s="62"/>
      <c r="CNU7" s="62"/>
      <c r="CNV7" s="235">
        <v>0</v>
      </c>
      <c r="CNW7" s="236"/>
      <c r="CNX7" s="61" t="s">
        <v>38</v>
      </c>
      <c r="CNY7" s="62"/>
      <c r="CNZ7" s="62"/>
      <c r="COA7" s="235">
        <v>0</v>
      </c>
      <c r="COB7" s="236"/>
      <c r="COC7" s="61" t="s">
        <v>38</v>
      </c>
      <c r="COD7" s="62"/>
      <c r="COE7" s="62"/>
      <c r="COF7" s="235">
        <v>7428.1</v>
      </c>
      <c r="COG7" s="236"/>
      <c r="COH7" s="61" t="s">
        <v>38</v>
      </c>
      <c r="COI7" s="62"/>
      <c r="COJ7" s="62"/>
      <c r="COK7" s="235">
        <v>6010</v>
      </c>
      <c r="COL7" s="236"/>
      <c r="COM7" s="61" t="s">
        <v>38</v>
      </c>
      <c r="CON7" s="62"/>
      <c r="COO7" s="62"/>
      <c r="COP7" s="235">
        <v>3090</v>
      </c>
      <c r="COQ7" s="236"/>
      <c r="COR7" s="61" t="s">
        <v>38</v>
      </c>
      <c r="COS7" s="62"/>
      <c r="COT7" s="62"/>
      <c r="COU7" s="235">
        <v>0</v>
      </c>
      <c r="COV7" s="236"/>
      <c r="COW7" s="61" t="s">
        <v>38</v>
      </c>
      <c r="COX7" s="62"/>
      <c r="COY7" s="62"/>
      <c r="COZ7" s="235">
        <v>794</v>
      </c>
      <c r="CPA7" s="236"/>
      <c r="CPB7" s="61" t="s">
        <v>38</v>
      </c>
      <c r="CPC7" s="62"/>
      <c r="CPD7" s="62"/>
      <c r="CPE7" s="235">
        <v>794</v>
      </c>
      <c r="CPF7" s="236"/>
      <c r="CPG7" s="61" t="s">
        <v>38</v>
      </c>
      <c r="CPH7" s="62"/>
      <c r="CPI7" s="62"/>
      <c r="CPJ7" s="235">
        <v>0</v>
      </c>
      <c r="CPK7" s="236"/>
      <c r="CPL7" s="61" t="s">
        <v>38</v>
      </c>
      <c r="CPM7" s="62"/>
      <c r="CPN7" s="62"/>
      <c r="CPO7" s="235">
        <v>1008.25</v>
      </c>
      <c r="CPP7" s="236"/>
      <c r="CPQ7" s="61" t="s">
        <v>38</v>
      </c>
      <c r="CPR7" s="62"/>
      <c r="CPS7" s="62"/>
      <c r="CPT7" s="235">
        <v>1588</v>
      </c>
      <c r="CPU7" s="236"/>
      <c r="CPV7" s="61" t="s">
        <v>38</v>
      </c>
      <c r="CPW7" s="62"/>
      <c r="CPX7" s="62"/>
      <c r="CPY7" s="235">
        <v>16525</v>
      </c>
      <c r="CPZ7" s="236"/>
      <c r="CQA7" s="61" t="s">
        <v>38</v>
      </c>
      <c r="CQB7" s="62"/>
      <c r="CQC7" s="62"/>
      <c r="CQD7" s="235">
        <v>3005</v>
      </c>
      <c r="CQE7" s="236"/>
      <c r="CQF7" s="61" t="s">
        <v>38</v>
      </c>
      <c r="CQG7" s="62"/>
      <c r="CQH7" s="62"/>
      <c r="CQI7" s="235">
        <v>1502</v>
      </c>
      <c r="CQJ7" s="236"/>
      <c r="CQK7" s="61" t="s">
        <v>38</v>
      </c>
      <c r="CQL7" s="62"/>
      <c r="CQM7" s="62"/>
      <c r="CQN7" s="235">
        <v>0</v>
      </c>
      <c r="CQO7" s="236"/>
      <c r="CQP7" s="61" t="s">
        <v>38</v>
      </c>
      <c r="CQQ7" s="62"/>
      <c r="CQR7" s="62"/>
      <c r="CQS7" s="235">
        <v>13693</v>
      </c>
      <c r="CQT7" s="236"/>
      <c r="CQU7" s="61" t="s">
        <v>38</v>
      </c>
      <c r="CQV7" s="62"/>
      <c r="CQW7" s="62"/>
      <c r="CQX7" s="235">
        <v>19921</v>
      </c>
      <c r="CQY7" s="236"/>
      <c r="CQZ7" s="61" t="s">
        <v>38</v>
      </c>
      <c r="CRA7" s="62"/>
      <c r="CRB7" s="62"/>
      <c r="CRC7" s="235">
        <v>9809</v>
      </c>
      <c r="CRD7" s="236"/>
      <c r="CRE7" s="8" t="s">
        <v>38</v>
      </c>
      <c r="CRF7" s="2"/>
      <c r="CRG7" s="2"/>
      <c r="CRH7" s="298">
        <v>4796</v>
      </c>
      <c r="CRI7" s="299"/>
      <c r="CRJ7" s="8" t="s">
        <v>38</v>
      </c>
      <c r="CRK7" s="2"/>
      <c r="CRL7" s="2"/>
      <c r="CRM7" s="298">
        <v>4710</v>
      </c>
      <c r="CRN7" s="299"/>
      <c r="CRO7" s="8" t="s">
        <v>38</v>
      </c>
      <c r="CRP7" s="2"/>
      <c r="CRQ7" s="2"/>
      <c r="CRR7" s="298">
        <v>0</v>
      </c>
      <c r="CRS7" s="299"/>
      <c r="CRT7" s="8" t="s">
        <v>38</v>
      </c>
      <c r="CRU7" s="2"/>
      <c r="CRV7" s="2"/>
      <c r="CRW7" s="298">
        <v>1058.6400000000001</v>
      </c>
      <c r="CRX7" s="299"/>
      <c r="CRY7" s="8" t="s">
        <v>38</v>
      </c>
      <c r="CRZ7" s="2"/>
      <c r="CSA7" s="2"/>
      <c r="CSB7" s="23">
        <v>1588</v>
      </c>
      <c r="CSC7" s="8" t="s">
        <v>38</v>
      </c>
      <c r="CSD7" s="2"/>
      <c r="CSE7" s="2"/>
      <c r="CSF7" s="23">
        <v>10426</v>
      </c>
      <c r="CSG7" s="8" t="s">
        <v>38</v>
      </c>
      <c r="CSH7" s="2"/>
      <c r="CSI7" s="2"/>
      <c r="CSJ7" s="23">
        <v>5122.5</v>
      </c>
      <c r="CSK7" s="8" t="s">
        <v>38</v>
      </c>
      <c r="CSL7" s="2"/>
      <c r="CSM7" s="2"/>
      <c r="CSN7" s="23">
        <v>17726</v>
      </c>
      <c r="CSO7" s="8" t="s">
        <v>38</v>
      </c>
      <c r="CSP7" s="2"/>
      <c r="CSQ7" s="2"/>
      <c r="CSR7" s="23">
        <v>0</v>
      </c>
      <c r="CSS7" s="8" t="s">
        <v>38</v>
      </c>
      <c r="CST7" s="2"/>
      <c r="CSU7" s="2"/>
      <c r="CSV7" s="23">
        <v>5252</v>
      </c>
      <c r="CSW7" s="8" t="s">
        <v>38</v>
      </c>
      <c r="CSX7" s="2"/>
      <c r="CSY7" s="2"/>
      <c r="CSZ7" s="23">
        <v>4507</v>
      </c>
      <c r="CTA7" s="8" t="s">
        <v>38</v>
      </c>
      <c r="CTB7" s="2"/>
      <c r="CTC7" s="2"/>
      <c r="CTD7" s="23">
        <v>3005</v>
      </c>
      <c r="CTE7" s="8" t="s">
        <v>38</v>
      </c>
      <c r="CTF7" s="2"/>
      <c r="CTG7" s="2"/>
      <c r="CTH7" s="23">
        <v>3005</v>
      </c>
      <c r="CTI7" s="8" t="s">
        <v>38</v>
      </c>
      <c r="CTJ7" s="2"/>
      <c r="CTK7" s="2"/>
      <c r="CTL7" s="23">
        <v>2101</v>
      </c>
      <c r="CTM7" s="8" t="s">
        <v>38</v>
      </c>
      <c r="CTN7" s="2"/>
      <c r="CTO7" s="2"/>
      <c r="CTP7" s="23">
        <v>1502</v>
      </c>
      <c r="CTQ7" s="8" t="s">
        <v>38</v>
      </c>
      <c r="CTR7" s="2"/>
      <c r="CTS7" s="2"/>
      <c r="CTT7" s="23">
        <v>6009</v>
      </c>
      <c r="CTU7" s="8" t="s">
        <v>38</v>
      </c>
      <c r="CTV7" s="2"/>
      <c r="CTW7" s="2"/>
      <c r="CTX7" s="23">
        <v>4507</v>
      </c>
      <c r="CTY7" s="8" t="s">
        <v>38</v>
      </c>
      <c r="CTZ7" s="2"/>
      <c r="CUA7" s="2"/>
      <c r="CUB7" s="23">
        <v>0</v>
      </c>
      <c r="CUC7" s="8" t="s">
        <v>38</v>
      </c>
      <c r="CUD7" s="2"/>
      <c r="CUE7" s="2"/>
      <c r="CUF7" s="23">
        <v>1352.1</v>
      </c>
      <c r="CUG7" s="8" t="s">
        <v>38</v>
      </c>
      <c r="CUH7" s="2"/>
      <c r="CUI7" s="2"/>
      <c r="CUJ7" s="23">
        <v>3005</v>
      </c>
      <c r="CUK7" s="8" t="s">
        <v>38</v>
      </c>
      <c r="CUL7" s="2"/>
      <c r="CUM7" s="2"/>
      <c r="CUN7" s="23">
        <v>0</v>
      </c>
      <c r="CUO7" s="8" t="s">
        <v>38</v>
      </c>
      <c r="CUP7" s="2"/>
      <c r="CUQ7" s="2"/>
      <c r="CUR7" s="23">
        <v>0</v>
      </c>
      <c r="CUS7" s="8" t="s">
        <v>38</v>
      </c>
      <c r="CUT7" s="2"/>
      <c r="CUU7" s="2"/>
      <c r="CUV7" s="23"/>
      <c r="CUW7" s="8" t="s">
        <v>38</v>
      </c>
      <c r="CUX7" s="2"/>
      <c r="CUY7" s="2"/>
      <c r="CUZ7" s="23">
        <v>12020</v>
      </c>
      <c r="CVA7" s="8" t="s">
        <v>38</v>
      </c>
      <c r="CVB7" s="2"/>
      <c r="CVC7" s="2"/>
      <c r="CVD7" s="23">
        <v>0</v>
      </c>
      <c r="CVE7" s="8" t="s">
        <v>38</v>
      </c>
      <c r="CVF7" s="2"/>
      <c r="CVG7" s="2"/>
      <c r="CVH7" s="23"/>
      <c r="CVI7" s="8" t="s">
        <v>38</v>
      </c>
      <c r="CVJ7" s="2"/>
      <c r="CVK7" s="2"/>
      <c r="CVL7" s="23">
        <v>0</v>
      </c>
      <c r="CVM7" s="8" t="s">
        <v>38</v>
      </c>
      <c r="CVN7" s="2"/>
      <c r="CVO7" s="2"/>
      <c r="CVP7" s="23">
        <v>0</v>
      </c>
      <c r="CVQ7" s="8" t="s">
        <v>38</v>
      </c>
      <c r="CVR7" s="2"/>
      <c r="CVS7" s="2"/>
      <c r="CVT7" s="23">
        <v>2832.8900000000003</v>
      </c>
      <c r="CVU7" s="8" t="s">
        <v>38</v>
      </c>
      <c r="CVV7" s="2"/>
      <c r="CVW7" s="2"/>
      <c r="CVX7" s="23"/>
      <c r="CVY7" s="8" t="s">
        <v>38</v>
      </c>
      <c r="CVZ7" s="2"/>
      <c r="CWA7" s="2"/>
      <c r="CWB7" s="23">
        <v>3971</v>
      </c>
      <c r="CWC7" s="8" t="s">
        <v>38</v>
      </c>
      <c r="CWD7" s="2"/>
      <c r="CWE7" s="2"/>
      <c r="CWF7" s="23">
        <v>12308</v>
      </c>
      <c r="CWG7" s="8" t="s">
        <v>38</v>
      </c>
      <c r="CWH7" s="2"/>
      <c r="CWI7" s="2"/>
      <c r="CWJ7" s="23">
        <v>3979</v>
      </c>
      <c r="CWK7" s="8" t="s">
        <v>38</v>
      </c>
      <c r="CWL7" s="2"/>
      <c r="CWM7" s="2"/>
      <c r="CWN7" s="23">
        <v>0</v>
      </c>
      <c r="CWO7" s="8" t="s">
        <v>38</v>
      </c>
      <c r="CWP7" s="2"/>
      <c r="CWQ7" s="2"/>
      <c r="CWR7" s="23">
        <v>0</v>
      </c>
      <c r="CWS7" s="8" t="s">
        <v>38</v>
      </c>
      <c r="CWT7" s="2"/>
      <c r="CWU7" s="2"/>
      <c r="CWV7" s="23"/>
      <c r="CWW7" s="8" t="s">
        <v>38</v>
      </c>
      <c r="CWX7" s="2"/>
      <c r="CWY7" s="2"/>
      <c r="CWZ7" s="23">
        <v>0</v>
      </c>
      <c r="CXA7" s="31" t="s">
        <v>38</v>
      </c>
      <c r="CXB7" s="32"/>
      <c r="CXC7" s="32"/>
      <c r="CXD7" s="36">
        <v>3004</v>
      </c>
      <c r="CXE7" s="31" t="s">
        <v>38</v>
      </c>
      <c r="CXF7" s="32"/>
      <c r="CXG7" s="32"/>
      <c r="CXH7" s="36">
        <v>7512</v>
      </c>
      <c r="CXI7" s="31" t="s">
        <v>38</v>
      </c>
      <c r="CXJ7" s="32"/>
      <c r="CXK7" s="32"/>
      <c r="CXL7" s="36">
        <v>3005</v>
      </c>
      <c r="CXM7" s="31" t="s">
        <v>38</v>
      </c>
      <c r="CXN7" s="32"/>
      <c r="CXO7" s="32"/>
      <c r="CXP7" s="36">
        <v>10602</v>
      </c>
      <c r="CXQ7" s="31" t="s">
        <v>38</v>
      </c>
      <c r="CXR7" s="32"/>
      <c r="CXS7" s="32"/>
      <c r="CXT7" s="36">
        <v>0</v>
      </c>
      <c r="CXU7" s="26" t="s">
        <v>38</v>
      </c>
      <c r="CXX7" s="26">
        <v>0</v>
      </c>
      <c r="CXY7" s="26" t="s">
        <v>38</v>
      </c>
      <c r="CYB7" s="26">
        <v>0</v>
      </c>
      <c r="CYC7" s="26" t="s">
        <v>38</v>
      </c>
      <c r="CYF7" s="26">
        <v>0</v>
      </c>
      <c r="CYG7" s="26" t="s">
        <v>2</v>
      </c>
      <c r="CYJ7" s="26">
        <v>22273</v>
      </c>
      <c r="CYK7" s="26" t="s">
        <v>2</v>
      </c>
      <c r="CYN7" s="26">
        <v>2365</v>
      </c>
      <c r="CYO7" s="26" t="s">
        <v>2</v>
      </c>
      <c r="CYR7" s="26">
        <v>206</v>
      </c>
      <c r="CYS7" s="26" t="s">
        <v>2</v>
      </c>
      <c r="CYV7" s="26">
        <v>2227.25</v>
      </c>
      <c r="CYW7" s="26" t="s">
        <v>2</v>
      </c>
      <c r="CYZ7" s="26">
        <v>62383.5</v>
      </c>
      <c r="CZA7" s="26" t="s">
        <v>2</v>
      </c>
      <c r="CZD7" s="26">
        <v>27432.5</v>
      </c>
      <c r="CZE7" s="26" t="s">
        <v>2</v>
      </c>
      <c r="CZH7" s="26">
        <v>34003.5</v>
      </c>
      <c r="CZI7" s="26" t="s">
        <v>2</v>
      </c>
      <c r="CZL7" s="26">
        <v>69660</v>
      </c>
      <c r="CZM7" s="26" t="s">
        <v>2</v>
      </c>
      <c r="CZP7" s="26">
        <v>55349</v>
      </c>
      <c r="CZQ7" s="26" t="s">
        <v>2</v>
      </c>
      <c r="CZT7" s="26">
        <v>17818</v>
      </c>
      <c r="CZU7" s="26" t="s">
        <v>2</v>
      </c>
      <c r="CZX7" s="26">
        <v>8909</v>
      </c>
      <c r="CZY7" s="26" t="s">
        <v>2</v>
      </c>
      <c r="DAB7" s="26">
        <v>1290</v>
      </c>
      <c r="DAC7" s="26" t="s">
        <v>2</v>
      </c>
      <c r="DAF7" s="26">
        <v>22272.5</v>
      </c>
      <c r="DAG7" s="26" t="s">
        <v>2</v>
      </c>
      <c r="DAJ7" s="26">
        <v>21800</v>
      </c>
      <c r="DAK7" s="26" t="s">
        <v>2</v>
      </c>
      <c r="DAN7" s="26">
        <v>26727</v>
      </c>
      <c r="DAO7" s="26" t="s">
        <v>2</v>
      </c>
      <c r="DAR7" s="26">
        <v>17818</v>
      </c>
      <c r="DAS7" s="26" t="s">
        <v>2</v>
      </c>
      <c r="DAV7" s="26">
        <v>55570.5</v>
      </c>
      <c r="DAW7" s="26" t="s">
        <v>2</v>
      </c>
      <c r="DAZ7" s="26">
        <v>128717</v>
      </c>
      <c r="DBA7" s="26" t="s">
        <v>2</v>
      </c>
      <c r="DBD7" s="26">
        <v>94250</v>
      </c>
      <c r="DBE7" s="26" t="s">
        <v>2</v>
      </c>
      <c r="DBH7" s="26">
        <v>121239.5</v>
      </c>
      <c r="DBI7" s="26" t="s">
        <v>2</v>
      </c>
      <c r="DBL7" s="26">
        <v>14069</v>
      </c>
      <c r="DBM7" s="26" t="s">
        <v>2</v>
      </c>
      <c r="DBP7" s="26">
        <v>15480</v>
      </c>
      <c r="DBQ7" s="26" t="s">
        <v>2</v>
      </c>
      <c r="DBT7" s="26">
        <v>80181</v>
      </c>
      <c r="DBU7" s="26" t="s">
        <v>2</v>
      </c>
      <c r="DBX7" s="26">
        <v>74094</v>
      </c>
      <c r="DBY7" s="26" t="s">
        <v>2</v>
      </c>
      <c r="DCB7" s="26">
        <v>41501.5</v>
      </c>
      <c r="DCC7" s="26" t="s">
        <v>2</v>
      </c>
      <c r="DCF7" s="26">
        <v>80886.5</v>
      </c>
      <c r="DCG7" s="26" t="s">
        <v>2</v>
      </c>
      <c r="DCJ7" s="26">
        <v>40090.5</v>
      </c>
      <c r="DCK7" s="26" t="s">
        <v>2</v>
      </c>
      <c r="DCN7" s="26">
        <v>40090.5</v>
      </c>
      <c r="DCO7" s="26" t="s">
        <v>2</v>
      </c>
      <c r="DCR7" s="26">
        <v>49483.5</v>
      </c>
      <c r="DCS7" s="26" t="s">
        <v>2</v>
      </c>
      <c r="DCV7" s="26">
        <v>19813.5</v>
      </c>
      <c r="DCW7" s="26" t="s">
        <v>2</v>
      </c>
      <c r="DCZ7" s="26">
        <v>9614.5</v>
      </c>
      <c r="DDA7" s="26" t="s">
        <v>2</v>
      </c>
      <c r="DDD7" s="26">
        <v>61194</v>
      </c>
      <c r="DDE7" s="26" t="s">
        <v>4</v>
      </c>
      <c r="DDI7" s="26" t="s">
        <v>4</v>
      </c>
      <c r="DDM7" s="26" t="s">
        <v>4</v>
      </c>
      <c r="DDO7" s="26" t="s">
        <v>3</v>
      </c>
      <c r="DDQ7" s="26" t="s">
        <v>34</v>
      </c>
      <c r="DDS7" s="26">
        <v>0</v>
      </c>
    </row>
    <row r="8" spans="1:2828" ht="16.2" thickBot="1" x14ac:dyDescent="0.35">
      <c r="A8" s="61" t="s">
        <v>43</v>
      </c>
      <c r="B8" s="62"/>
      <c r="C8" s="62"/>
      <c r="D8" s="233">
        <v>56614.5</v>
      </c>
      <c r="E8" s="234"/>
      <c r="F8" s="61" t="s">
        <v>43</v>
      </c>
      <c r="G8" s="62"/>
      <c r="H8" s="62"/>
      <c r="I8" s="233">
        <v>84687</v>
      </c>
      <c r="J8" s="234"/>
      <c r="K8" s="61" t="s">
        <v>43</v>
      </c>
      <c r="L8" s="62"/>
      <c r="M8" s="62"/>
      <c r="N8" s="233">
        <v>26727</v>
      </c>
      <c r="O8" s="234"/>
      <c r="P8" s="61" t="s">
        <v>43</v>
      </c>
      <c r="Q8" s="62"/>
      <c r="R8" s="62"/>
      <c r="S8" s="233">
        <v>51016</v>
      </c>
      <c r="T8" s="234"/>
      <c r="U8" s="61" t="s">
        <v>43</v>
      </c>
      <c r="V8" s="62"/>
      <c r="W8" s="62"/>
      <c r="X8" s="233">
        <v>5840</v>
      </c>
      <c r="Y8" s="234"/>
      <c r="Z8" s="61" t="s">
        <v>43</v>
      </c>
      <c r="AA8" s="62"/>
      <c r="AB8" s="62"/>
      <c r="AC8" s="233">
        <v>72984</v>
      </c>
      <c r="AD8" s="234"/>
      <c r="AE8" s="61" t="s">
        <v>43</v>
      </c>
      <c r="AF8" s="62"/>
      <c r="AG8" s="62"/>
      <c r="AH8" s="233">
        <v>46153</v>
      </c>
      <c r="AI8" s="234"/>
      <c r="AJ8" s="61" t="s">
        <v>43</v>
      </c>
      <c r="AK8" s="62"/>
      <c r="AL8" s="62"/>
      <c r="AM8" s="233">
        <v>16036.2</v>
      </c>
      <c r="AN8" s="234"/>
      <c r="AO8" s="61" t="s">
        <v>43</v>
      </c>
      <c r="AP8" s="62"/>
      <c r="AQ8" s="62"/>
      <c r="AR8" s="233">
        <v>50501.5</v>
      </c>
      <c r="AS8" s="234"/>
      <c r="AT8" s="61" t="s">
        <v>43</v>
      </c>
      <c r="AU8" s="62"/>
      <c r="AV8" s="62"/>
      <c r="AW8" s="233">
        <v>26778.5</v>
      </c>
      <c r="AX8" s="234"/>
      <c r="AY8" s="61" t="s">
        <v>43</v>
      </c>
      <c r="AZ8" s="62"/>
      <c r="BA8" s="62"/>
      <c r="BB8" s="233">
        <v>52207.5</v>
      </c>
      <c r="BC8" s="234"/>
      <c r="BD8" s="61" t="s">
        <v>43</v>
      </c>
      <c r="BE8" s="62"/>
      <c r="BF8" s="62"/>
      <c r="BG8" s="233">
        <v>90496.5</v>
      </c>
      <c r="BH8" s="234"/>
      <c r="BI8" s="61" t="s">
        <v>43</v>
      </c>
      <c r="BJ8" s="62"/>
      <c r="BK8" s="62"/>
      <c r="BL8" s="233">
        <v>70662.5</v>
      </c>
      <c r="BM8" s="234"/>
      <c r="BN8" s="61" t="s">
        <v>43</v>
      </c>
      <c r="BO8" s="62"/>
      <c r="BP8" s="62"/>
      <c r="BQ8" s="233">
        <v>53612</v>
      </c>
      <c r="BR8" s="234"/>
      <c r="BS8" s="61" t="s">
        <v>43</v>
      </c>
      <c r="BT8" s="62"/>
      <c r="BU8" s="62"/>
      <c r="BV8" s="233">
        <v>41646</v>
      </c>
      <c r="BW8" s="234"/>
      <c r="BX8" s="61" t="s">
        <v>43</v>
      </c>
      <c r="BY8" s="62"/>
      <c r="BZ8" s="62"/>
      <c r="CA8" s="233">
        <v>48314.5</v>
      </c>
      <c r="CB8" s="234"/>
      <c r="CC8" s="61" t="s">
        <v>43</v>
      </c>
      <c r="CD8" s="62"/>
      <c r="CE8" s="62"/>
      <c r="CF8" s="233">
        <v>122513.5</v>
      </c>
      <c r="CG8" s="234"/>
      <c r="CH8" s="61" t="s">
        <v>43</v>
      </c>
      <c r="CI8" s="62"/>
      <c r="CJ8" s="62"/>
      <c r="CK8" s="233">
        <v>113965.75</v>
      </c>
      <c r="CL8" s="234"/>
      <c r="CM8" s="61" t="s">
        <v>43</v>
      </c>
      <c r="CN8" s="62"/>
      <c r="CO8" s="62"/>
      <c r="CP8" s="233">
        <v>107640.5</v>
      </c>
      <c r="CQ8" s="234"/>
      <c r="CR8" s="61" t="s">
        <v>43</v>
      </c>
      <c r="CS8" s="62"/>
      <c r="CT8" s="62"/>
      <c r="CU8" s="233">
        <v>60626</v>
      </c>
      <c r="CV8" s="234"/>
      <c r="CW8" s="61" t="s">
        <v>43</v>
      </c>
      <c r="CX8" s="62"/>
      <c r="CY8" s="62"/>
      <c r="CZ8" s="233">
        <v>182988.5</v>
      </c>
      <c r="DA8" s="234"/>
      <c r="DB8" s="61" t="s">
        <v>43</v>
      </c>
      <c r="DC8" s="62"/>
      <c r="DD8" s="62"/>
      <c r="DE8" s="233">
        <v>65648.5</v>
      </c>
      <c r="DF8" s="234"/>
      <c r="DG8" s="61" t="s">
        <v>43</v>
      </c>
      <c r="DH8" s="62"/>
      <c r="DI8" s="62"/>
      <c r="DJ8" s="233">
        <v>26727</v>
      </c>
      <c r="DK8" s="234"/>
      <c r="DL8" s="61" t="s">
        <v>43</v>
      </c>
      <c r="DM8" s="62"/>
      <c r="DN8" s="62"/>
      <c r="DO8" s="233">
        <v>13363.5</v>
      </c>
      <c r="DP8" s="234"/>
      <c r="DQ8" s="61" t="s">
        <v>43</v>
      </c>
      <c r="DR8" s="62"/>
      <c r="DS8" s="62"/>
      <c r="DT8" s="233">
        <v>48719.7</v>
      </c>
      <c r="DU8" s="234"/>
      <c r="DV8" s="61" t="s">
        <v>43</v>
      </c>
      <c r="DW8" s="62"/>
      <c r="DX8" s="62"/>
      <c r="DY8" s="233">
        <v>79699.75</v>
      </c>
      <c r="DZ8" s="234"/>
      <c r="EA8" s="61" t="s">
        <v>43</v>
      </c>
      <c r="EB8" s="62"/>
      <c r="EC8" s="62"/>
      <c r="ED8" s="233">
        <v>110383.5</v>
      </c>
      <c r="EE8" s="234"/>
      <c r="EF8" s="61" t="s">
        <v>43</v>
      </c>
      <c r="EG8" s="62"/>
      <c r="EH8" s="62"/>
      <c r="EI8" s="233">
        <v>110744.7</v>
      </c>
      <c r="EJ8" s="234"/>
      <c r="EK8" s="61" t="s">
        <v>43</v>
      </c>
      <c r="EL8" s="62"/>
      <c r="EM8" s="62"/>
      <c r="EN8" s="233">
        <v>108778.5</v>
      </c>
      <c r="EO8" s="234"/>
      <c r="EP8" s="61" t="s">
        <v>43</v>
      </c>
      <c r="EQ8" s="62"/>
      <c r="ER8" s="62"/>
      <c r="ES8" s="233">
        <v>16392.75</v>
      </c>
      <c r="ET8" s="234"/>
      <c r="EU8" s="61" t="s">
        <v>43</v>
      </c>
      <c r="EV8" s="62"/>
      <c r="EW8" s="62"/>
      <c r="EX8" s="233">
        <v>40194.5</v>
      </c>
      <c r="EY8" s="234"/>
      <c r="EZ8" s="61" t="s">
        <v>43</v>
      </c>
      <c r="FA8" s="62"/>
      <c r="FB8" s="62"/>
      <c r="FC8" s="233">
        <v>13501</v>
      </c>
      <c r="FD8" s="234"/>
      <c r="FE8" s="61" t="s">
        <v>43</v>
      </c>
      <c r="FF8" s="62"/>
      <c r="FG8" s="62"/>
      <c r="FH8" s="233">
        <v>41171</v>
      </c>
      <c r="FI8" s="234"/>
      <c r="FJ8" s="61" t="s">
        <v>43</v>
      </c>
      <c r="FK8" s="62"/>
      <c r="FL8" s="62"/>
      <c r="FM8" s="233">
        <v>62905</v>
      </c>
      <c r="FN8" s="234"/>
      <c r="FO8" s="61" t="s">
        <v>43</v>
      </c>
      <c r="FP8" s="62"/>
      <c r="FQ8" s="62"/>
      <c r="FR8" s="233">
        <v>77999.600000000006</v>
      </c>
      <c r="FS8" s="234"/>
      <c r="FT8" s="61" t="s">
        <v>43</v>
      </c>
      <c r="FU8" s="62"/>
      <c r="FV8" s="62"/>
      <c r="FW8" s="233">
        <v>51656.9</v>
      </c>
      <c r="FX8" s="234"/>
      <c r="FY8" s="61" t="s">
        <v>43</v>
      </c>
      <c r="FZ8" s="62"/>
      <c r="GA8" s="62"/>
      <c r="GB8" s="233">
        <v>31181.5</v>
      </c>
      <c r="GC8" s="234"/>
      <c r="GD8" s="61" t="s">
        <v>43</v>
      </c>
      <c r="GE8" s="62"/>
      <c r="GF8" s="62"/>
      <c r="GG8" s="233">
        <v>50573.5</v>
      </c>
      <c r="GH8" s="234"/>
      <c r="GI8" s="61" t="s">
        <v>43</v>
      </c>
      <c r="GJ8" s="62"/>
      <c r="GK8" s="62"/>
      <c r="GL8" s="233">
        <v>41554</v>
      </c>
      <c r="GM8" s="234"/>
      <c r="GN8" s="61" t="s">
        <v>43</v>
      </c>
      <c r="GO8" s="62"/>
      <c r="GP8" s="62"/>
      <c r="GQ8" s="233">
        <v>40090.5</v>
      </c>
      <c r="GR8" s="234"/>
      <c r="GS8" s="61" t="s">
        <v>43</v>
      </c>
      <c r="GT8" s="62"/>
      <c r="GU8" s="62"/>
      <c r="GV8" s="233">
        <v>14917</v>
      </c>
      <c r="GW8" s="234"/>
      <c r="GX8" s="61" t="s">
        <v>43</v>
      </c>
      <c r="GY8" s="62"/>
      <c r="GZ8" s="62"/>
      <c r="HA8" s="233">
        <v>106130.5</v>
      </c>
      <c r="HB8" s="234"/>
      <c r="HC8" s="61" t="s">
        <v>43</v>
      </c>
      <c r="HD8" s="62"/>
      <c r="HE8" s="62"/>
      <c r="HF8" s="233">
        <v>138560</v>
      </c>
      <c r="HG8" s="234"/>
      <c r="HH8" s="61" t="s">
        <v>43</v>
      </c>
      <c r="HI8" s="62"/>
      <c r="HJ8" s="62"/>
      <c r="HK8" s="233">
        <v>22272.5</v>
      </c>
      <c r="HL8" s="234"/>
      <c r="HM8" s="61" t="s">
        <v>43</v>
      </c>
      <c r="HN8" s="62"/>
      <c r="HO8" s="62"/>
      <c r="HP8" s="233">
        <v>40195.5</v>
      </c>
      <c r="HQ8" s="234"/>
      <c r="HR8" s="61" t="s">
        <v>43</v>
      </c>
      <c r="HS8" s="62"/>
      <c r="HT8" s="62"/>
      <c r="HU8" s="233">
        <v>48432.75</v>
      </c>
      <c r="HV8" s="234"/>
      <c r="HW8" s="61" t="s">
        <v>43</v>
      </c>
      <c r="HX8" s="62"/>
      <c r="HY8" s="62"/>
      <c r="HZ8" s="233">
        <v>114148</v>
      </c>
      <c r="IA8" s="234"/>
      <c r="IB8" s="61" t="s">
        <v>43</v>
      </c>
      <c r="IC8" s="62"/>
      <c r="ID8" s="62"/>
      <c r="IE8" s="233">
        <v>159457</v>
      </c>
      <c r="IF8" s="234"/>
      <c r="IG8" s="61" t="s">
        <v>43</v>
      </c>
      <c r="IH8" s="62"/>
      <c r="II8" s="62"/>
      <c r="IJ8" s="233">
        <v>83604</v>
      </c>
      <c r="IK8" s="234"/>
      <c r="IL8" s="61" t="s">
        <v>43</v>
      </c>
      <c r="IM8" s="62"/>
      <c r="IN8" s="62"/>
      <c r="IO8" s="233">
        <v>59568</v>
      </c>
      <c r="IP8" s="234"/>
      <c r="IQ8" s="61" t="s">
        <v>43</v>
      </c>
      <c r="IR8" s="62"/>
      <c r="IS8" s="62"/>
      <c r="IT8" s="233">
        <v>50555</v>
      </c>
      <c r="IU8" s="234"/>
      <c r="IV8" s="61" t="s">
        <v>43</v>
      </c>
      <c r="IW8" s="62"/>
      <c r="IX8" s="62"/>
      <c r="IY8" s="233">
        <v>20875.5</v>
      </c>
      <c r="IZ8" s="234"/>
      <c r="JA8" s="61" t="s">
        <v>43</v>
      </c>
      <c r="JB8" s="62"/>
      <c r="JC8" s="62"/>
      <c r="JD8" s="233">
        <v>26727</v>
      </c>
      <c r="JE8" s="234"/>
      <c r="JF8" s="61" t="s">
        <v>43</v>
      </c>
      <c r="JG8" s="62"/>
      <c r="JH8" s="62"/>
      <c r="JI8" s="233">
        <v>80181</v>
      </c>
      <c r="JJ8" s="234"/>
      <c r="JK8" s="61" t="s">
        <v>43</v>
      </c>
      <c r="JL8" s="62"/>
      <c r="JM8" s="62"/>
      <c r="JN8" s="233">
        <v>34858.5</v>
      </c>
      <c r="JO8" s="234"/>
      <c r="JP8" s="61" t="s">
        <v>43</v>
      </c>
      <c r="JQ8" s="62"/>
      <c r="JR8" s="62"/>
      <c r="JS8" s="233">
        <v>49052</v>
      </c>
      <c r="JT8" s="234"/>
      <c r="JU8" s="61" t="s">
        <v>43</v>
      </c>
      <c r="JV8" s="62"/>
      <c r="JW8" s="62"/>
      <c r="JX8" s="233">
        <v>43148</v>
      </c>
      <c r="JY8" s="234"/>
      <c r="JZ8" s="61" t="s">
        <v>43</v>
      </c>
      <c r="KA8" s="62"/>
      <c r="KB8" s="62"/>
      <c r="KC8" s="233">
        <v>53664</v>
      </c>
      <c r="KD8" s="234"/>
      <c r="KE8" s="61" t="s">
        <v>43</v>
      </c>
      <c r="KF8" s="62"/>
      <c r="KG8" s="62"/>
      <c r="KH8" s="233">
        <v>43094.5</v>
      </c>
      <c r="KI8" s="234"/>
      <c r="KJ8" s="61" t="s">
        <v>43</v>
      </c>
      <c r="KK8" s="62"/>
      <c r="KL8" s="62"/>
      <c r="KM8" s="233">
        <v>11913</v>
      </c>
      <c r="KN8" s="234"/>
      <c r="KO8" s="61" t="s">
        <v>43</v>
      </c>
      <c r="KP8" s="62"/>
      <c r="KQ8" s="62"/>
      <c r="KR8" s="233">
        <v>25107.5</v>
      </c>
      <c r="KS8" s="234"/>
      <c r="KT8" s="61" t="s">
        <v>43</v>
      </c>
      <c r="KU8" s="62"/>
      <c r="KV8" s="62"/>
      <c r="KW8" s="233">
        <v>92566.5</v>
      </c>
      <c r="KX8" s="234"/>
      <c r="KY8" s="61" t="s">
        <v>43</v>
      </c>
      <c r="KZ8" s="62"/>
      <c r="LA8" s="62"/>
      <c r="LB8" s="233">
        <v>57908.5</v>
      </c>
      <c r="LC8" s="234"/>
      <c r="LD8" s="61" t="s">
        <v>43</v>
      </c>
      <c r="LE8" s="62"/>
      <c r="LF8" s="62"/>
      <c r="LG8" s="233">
        <v>44649</v>
      </c>
      <c r="LH8" s="234"/>
      <c r="LI8" s="61" t="s">
        <v>43</v>
      </c>
      <c r="LJ8" s="62"/>
      <c r="LK8" s="62"/>
      <c r="LL8" s="233">
        <v>57908.5</v>
      </c>
      <c r="LM8" s="234"/>
      <c r="LN8" s="61" t="s">
        <v>43</v>
      </c>
      <c r="LO8" s="62"/>
      <c r="LP8" s="62"/>
      <c r="LQ8" s="233">
        <v>78802.5</v>
      </c>
      <c r="LR8" s="234"/>
      <c r="LS8" s="61" t="s">
        <v>43</v>
      </c>
      <c r="LT8" s="62"/>
      <c r="LU8" s="62"/>
      <c r="LV8" s="233">
        <v>69038.5</v>
      </c>
      <c r="LW8" s="234"/>
      <c r="LX8" s="61" t="s">
        <v>43</v>
      </c>
      <c r="LY8" s="62"/>
      <c r="LZ8" s="62"/>
      <c r="MA8" s="233">
        <v>55890</v>
      </c>
      <c r="MB8" s="234"/>
      <c r="MC8" s="61" t="s">
        <v>43</v>
      </c>
      <c r="MD8" s="62"/>
      <c r="ME8" s="62"/>
      <c r="MF8" s="233">
        <v>43433.5</v>
      </c>
      <c r="MG8" s="234"/>
      <c r="MH8" s="61" t="s">
        <v>43</v>
      </c>
      <c r="MI8" s="62"/>
      <c r="MJ8" s="62"/>
      <c r="MK8" s="233">
        <v>90750.5</v>
      </c>
      <c r="ML8" s="234"/>
      <c r="MM8" s="61" t="s">
        <v>43</v>
      </c>
      <c r="MN8" s="62"/>
      <c r="MO8" s="62"/>
      <c r="MP8" s="233">
        <v>133739</v>
      </c>
      <c r="MQ8" s="234"/>
      <c r="MR8" s="61" t="s">
        <v>43</v>
      </c>
      <c r="MS8" s="62"/>
      <c r="MT8" s="62"/>
      <c r="MU8" s="233">
        <v>44545</v>
      </c>
      <c r="MV8" s="234"/>
      <c r="MW8" s="61" t="s">
        <v>43</v>
      </c>
      <c r="MX8" s="62"/>
      <c r="MY8" s="62"/>
      <c r="MZ8" s="233">
        <v>44545</v>
      </c>
      <c r="NA8" s="234"/>
      <c r="NB8" s="61" t="s">
        <v>43</v>
      </c>
      <c r="NC8" s="62"/>
      <c r="ND8" s="62"/>
      <c r="NE8" s="233">
        <v>22305</v>
      </c>
      <c r="NF8" s="234"/>
      <c r="NG8" s="61" t="s">
        <v>43</v>
      </c>
      <c r="NH8" s="62"/>
      <c r="NI8" s="62"/>
      <c r="NJ8" s="233">
        <v>30770.5</v>
      </c>
      <c r="NK8" s="234"/>
      <c r="NL8" s="61" t="s">
        <v>43</v>
      </c>
      <c r="NM8" s="62"/>
      <c r="NN8" s="62"/>
      <c r="NO8" s="233">
        <v>123035</v>
      </c>
      <c r="NP8" s="234"/>
      <c r="NQ8" s="61" t="s">
        <v>43</v>
      </c>
      <c r="NR8" s="62"/>
      <c r="NS8" s="62"/>
      <c r="NT8" s="233">
        <v>107451.5</v>
      </c>
      <c r="NU8" s="234"/>
      <c r="NV8" s="61" t="s">
        <v>43</v>
      </c>
      <c r="NW8" s="62"/>
      <c r="NX8" s="62"/>
      <c r="NY8" s="233">
        <v>77532.25</v>
      </c>
      <c r="NZ8" s="234"/>
      <c r="OA8" s="61" t="s">
        <v>43</v>
      </c>
      <c r="OB8" s="62"/>
      <c r="OC8" s="62"/>
      <c r="OD8" s="233">
        <v>68092.45</v>
      </c>
      <c r="OE8" s="234"/>
      <c r="OF8" s="61" t="s">
        <v>43</v>
      </c>
      <c r="OG8" s="62"/>
      <c r="OH8" s="62"/>
      <c r="OI8" s="233">
        <v>68092.45</v>
      </c>
      <c r="OJ8" s="234"/>
      <c r="OK8" s="61" t="s">
        <v>43</v>
      </c>
      <c r="OL8" s="62"/>
      <c r="OM8" s="62"/>
      <c r="ON8" s="233">
        <v>35636</v>
      </c>
      <c r="OO8" s="234"/>
      <c r="OP8" s="61" t="s">
        <v>43</v>
      </c>
      <c r="OQ8" s="62"/>
      <c r="OR8" s="62"/>
      <c r="OS8" s="233">
        <v>26727</v>
      </c>
      <c r="OT8" s="234"/>
      <c r="OU8" s="61" t="s">
        <v>43</v>
      </c>
      <c r="OV8" s="62"/>
      <c r="OW8" s="62"/>
      <c r="OX8" s="233">
        <v>47693</v>
      </c>
      <c r="OY8" s="234"/>
      <c r="OZ8" s="61" t="s">
        <v>43</v>
      </c>
      <c r="PA8" s="62"/>
      <c r="PB8" s="62"/>
      <c r="PC8" s="233">
        <v>84800</v>
      </c>
      <c r="PD8" s="234"/>
      <c r="PE8" s="61" t="s">
        <v>43</v>
      </c>
      <c r="PF8" s="62"/>
      <c r="PG8" s="62"/>
      <c r="PH8" s="233">
        <v>132060.5</v>
      </c>
      <c r="PI8" s="234"/>
      <c r="PJ8" s="61" t="s">
        <v>43</v>
      </c>
      <c r="PK8" s="62"/>
      <c r="PL8" s="62"/>
      <c r="PM8" s="233">
        <v>117630</v>
      </c>
      <c r="PN8" s="234"/>
      <c r="PO8" s="61" t="s">
        <v>43</v>
      </c>
      <c r="PP8" s="62"/>
      <c r="PQ8" s="62"/>
      <c r="PR8" s="233">
        <v>146724</v>
      </c>
      <c r="PS8" s="234"/>
      <c r="PT8" s="61" t="s">
        <v>43</v>
      </c>
      <c r="PU8" s="62"/>
      <c r="PV8" s="62"/>
      <c r="PW8" s="233">
        <v>51768</v>
      </c>
      <c r="PX8" s="234"/>
      <c r="PY8" s="61" t="s">
        <v>43</v>
      </c>
      <c r="PZ8" s="62"/>
      <c r="QA8" s="62"/>
      <c r="QB8" s="233">
        <v>51207</v>
      </c>
      <c r="QC8" s="234"/>
      <c r="QD8" s="61" t="s">
        <v>43</v>
      </c>
      <c r="QE8" s="62"/>
      <c r="QF8" s="62"/>
      <c r="QG8" s="233">
        <v>192230</v>
      </c>
      <c r="QH8" s="234"/>
      <c r="QI8" s="61" t="s">
        <v>43</v>
      </c>
      <c r="QJ8" s="62"/>
      <c r="QK8" s="62"/>
      <c r="QL8" s="233">
        <v>233501.5</v>
      </c>
      <c r="QM8" s="234"/>
      <c r="QN8" s="61" t="s">
        <v>43</v>
      </c>
      <c r="QO8" s="62"/>
      <c r="QP8" s="62"/>
      <c r="QQ8" s="233">
        <v>233501.5</v>
      </c>
      <c r="QR8" s="234"/>
      <c r="QS8" s="61" t="s">
        <v>43</v>
      </c>
      <c r="QT8" s="62"/>
      <c r="QU8" s="62"/>
      <c r="QV8" s="233">
        <v>264231.5</v>
      </c>
      <c r="QW8" s="234"/>
      <c r="QX8" s="61" t="s">
        <v>43</v>
      </c>
      <c r="QY8" s="62"/>
      <c r="QZ8" s="62"/>
      <c r="RA8" s="233">
        <v>156694</v>
      </c>
      <c r="RB8" s="234"/>
      <c r="RC8" s="61" t="s">
        <v>43</v>
      </c>
      <c r="RD8" s="62"/>
      <c r="RE8" s="62"/>
      <c r="RF8" s="233">
        <v>164780.9</v>
      </c>
      <c r="RG8" s="234"/>
      <c r="RH8" s="61" t="s">
        <v>43</v>
      </c>
      <c r="RI8" s="62"/>
      <c r="RJ8" s="62"/>
      <c r="RK8" s="233">
        <v>94016.7</v>
      </c>
      <c r="RL8" s="234"/>
      <c r="RM8" s="61" t="s">
        <v>43</v>
      </c>
      <c r="RN8" s="62"/>
      <c r="RO8" s="62"/>
      <c r="RP8" s="233">
        <v>146577</v>
      </c>
      <c r="RQ8" s="234"/>
      <c r="RR8" s="61" t="s">
        <v>43</v>
      </c>
      <c r="RS8" s="62"/>
      <c r="RT8" s="62"/>
      <c r="RU8" s="233">
        <v>160800.5</v>
      </c>
      <c r="RV8" s="234"/>
      <c r="RW8" s="61" t="s">
        <v>43</v>
      </c>
      <c r="RX8" s="62"/>
      <c r="RY8" s="62"/>
      <c r="RZ8" s="233">
        <v>160800.5</v>
      </c>
      <c r="SA8" s="234"/>
      <c r="SB8" s="61" t="s">
        <v>43</v>
      </c>
      <c r="SC8" s="62"/>
      <c r="SD8" s="62"/>
      <c r="SE8" s="233">
        <v>95004</v>
      </c>
      <c r="SF8" s="234"/>
      <c r="SG8" s="61" t="s">
        <v>43</v>
      </c>
      <c r="SH8" s="62"/>
      <c r="SI8" s="62"/>
      <c r="SJ8" s="233">
        <v>39131.5</v>
      </c>
      <c r="SK8" s="234"/>
      <c r="SL8" s="61" t="s">
        <v>43</v>
      </c>
      <c r="SM8" s="62"/>
      <c r="SN8" s="62"/>
      <c r="SO8" s="233">
        <v>53454</v>
      </c>
      <c r="SP8" s="234"/>
      <c r="SQ8" s="61" t="s">
        <v>43</v>
      </c>
      <c r="SR8" s="62"/>
      <c r="SS8" s="62"/>
      <c r="ST8" s="233">
        <v>96917</v>
      </c>
      <c r="SU8" s="234"/>
      <c r="SV8" s="61" t="s">
        <v>43</v>
      </c>
      <c r="SW8" s="62"/>
      <c r="SX8" s="62"/>
      <c r="SY8" s="233">
        <v>102154</v>
      </c>
      <c r="SZ8" s="234"/>
      <c r="TA8" s="61" t="s">
        <v>43</v>
      </c>
      <c r="TB8" s="62"/>
      <c r="TC8" s="62"/>
      <c r="TD8" s="233">
        <v>82003.75</v>
      </c>
      <c r="TE8" s="234"/>
      <c r="TF8" s="61" t="s">
        <v>43</v>
      </c>
      <c r="TG8" s="62"/>
      <c r="TH8" s="62"/>
      <c r="TI8" s="233">
        <v>56099</v>
      </c>
      <c r="TJ8" s="234"/>
      <c r="TK8" s="61" t="s">
        <v>43</v>
      </c>
      <c r="TL8" s="62"/>
      <c r="TM8" s="62"/>
      <c r="TN8" s="233">
        <v>149174.5</v>
      </c>
      <c r="TO8" s="234"/>
      <c r="TP8" s="61" t="s">
        <v>43</v>
      </c>
      <c r="TQ8" s="62"/>
      <c r="TR8" s="62"/>
      <c r="TS8" s="233">
        <v>127822.5</v>
      </c>
      <c r="TT8" s="234"/>
      <c r="TU8" s="61" t="s">
        <v>43</v>
      </c>
      <c r="TV8" s="62"/>
      <c r="TW8" s="62"/>
      <c r="TX8" s="233">
        <v>161324</v>
      </c>
      <c r="TY8" s="234"/>
      <c r="TZ8" s="61" t="s">
        <v>43</v>
      </c>
      <c r="UA8" s="62"/>
      <c r="UB8" s="62"/>
      <c r="UC8" s="233">
        <v>153520</v>
      </c>
      <c r="UD8" s="234"/>
      <c r="UE8" s="61" t="s">
        <v>43</v>
      </c>
      <c r="UF8" s="62"/>
      <c r="UG8" s="62"/>
      <c r="UH8" s="233">
        <v>36201</v>
      </c>
      <c r="UI8" s="234"/>
      <c r="UJ8" s="61" t="s">
        <v>43</v>
      </c>
      <c r="UK8" s="62"/>
      <c r="UL8" s="62"/>
      <c r="UM8" s="233">
        <v>19478.5</v>
      </c>
      <c r="UN8" s="234"/>
      <c r="UO8" s="61" t="s">
        <v>43</v>
      </c>
      <c r="UP8" s="62"/>
      <c r="UQ8" s="62"/>
      <c r="UR8" s="233">
        <v>14245.25</v>
      </c>
      <c r="US8" s="234"/>
      <c r="UT8" s="61" t="s">
        <v>43</v>
      </c>
      <c r="UU8" s="62"/>
      <c r="UV8" s="62"/>
      <c r="UW8" s="233">
        <v>32736</v>
      </c>
      <c r="UX8" s="234"/>
      <c r="UY8" s="61" t="s">
        <v>43</v>
      </c>
      <c r="UZ8" s="62"/>
      <c r="VA8" s="62"/>
      <c r="VB8" s="233">
        <v>66572</v>
      </c>
      <c r="VC8" s="234"/>
      <c r="VD8" s="61" t="s">
        <v>43</v>
      </c>
      <c r="VE8" s="62"/>
      <c r="VF8" s="62"/>
      <c r="VG8" s="233">
        <v>83393</v>
      </c>
      <c r="VH8" s="234"/>
      <c r="VI8" s="61" t="s">
        <v>43</v>
      </c>
      <c r="VJ8" s="62"/>
      <c r="VK8" s="62"/>
      <c r="VL8" s="233">
        <v>80181</v>
      </c>
      <c r="VM8" s="234"/>
      <c r="VN8" s="61" t="s">
        <v>43</v>
      </c>
      <c r="VO8" s="62"/>
      <c r="VP8" s="62"/>
      <c r="VQ8" s="233">
        <v>21704.75</v>
      </c>
      <c r="VR8" s="234"/>
      <c r="VS8" s="61" t="s">
        <v>43</v>
      </c>
      <c r="VT8" s="62"/>
      <c r="VU8" s="62"/>
      <c r="VV8" s="233">
        <v>40745</v>
      </c>
      <c r="VW8" s="234"/>
      <c r="VX8" s="61" t="s">
        <v>43</v>
      </c>
      <c r="VY8" s="62"/>
      <c r="VZ8" s="62"/>
      <c r="WA8" s="233">
        <v>89693</v>
      </c>
      <c r="WB8" s="234"/>
      <c r="WC8" s="61" t="s">
        <v>43</v>
      </c>
      <c r="WD8" s="62"/>
      <c r="WE8" s="62"/>
      <c r="WF8" s="233">
        <v>59536</v>
      </c>
      <c r="WG8" s="234"/>
      <c r="WH8" s="61" t="s">
        <v>43</v>
      </c>
      <c r="WI8" s="62"/>
      <c r="WJ8" s="62"/>
      <c r="WK8" s="233">
        <v>57961</v>
      </c>
      <c r="WL8" s="234"/>
      <c r="WM8" s="61" t="s">
        <v>43</v>
      </c>
      <c r="WN8" s="62"/>
      <c r="WO8" s="62"/>
      <c r="WP8" s="233">
        <v>66264</v>
      </c>
      <c r="WQ8" s="234"/>
      <c r="WR8" s="61" t="s">
        <v>43</v>
      </c>
      <c r="WS8" s="62"/>
      <c r="WT8" s="62"/>
      <c r="WU8" s="233">
        <v>17693.7</v>
      </c>
      <c r="WV8" s="234"/>
      <c r="WW8" s="61" t="s">
        <v>43</v>
      </c>
      <c r="WX8" s="62"/>
      <c r="WY8" s="62"/>
      <c r="WZ8" s="233">
        <v>14989</v>
      </c>
      <c r="XA8" s="234"/>
      <c r="XB8" s="61" t="s">
        <v>43</v>
      </c>
      <c r="XC8" s="62"/>
      <c r="XD8" s="62"/>
      <c r="XE8" s="233">
        <v>26727</v>
      </c>
      <c r="XF8" s="234"/>
      <c r="XG8" s="61" t="s">
        <v>43</v>
      </c>
      <c r="XH8" s="62"/>
      <c r="XI8" s="62"/>
      <c r="XJ8" s="233">
        <v>161185.5</v>
      </c>
      <c r="XK8" s="234"/>
      <c r="XL8" s="61" t="s">
        <v>43</v>
      </c>
      <c r="XM8" s="62"/>
      <c r="XN8" s="62"/>
      <c r="XO8" s="233">
        <v>136639</v>
      </c>
      <c r="XP8" s="234"/>
      <c r="XQ8" s="61" t="s">
        <v>43</v>
      </c>
      <c r="XR8" s="62"/>
      <c r="XS8" s="62"/>
      <c r="XT8" s="233">
        <v>93544.5</v>
      </c>
      <c r="XU8" s="234"/>
      <c r="XV8" s="61" t="s">
        <v>43</v>
      </c>
      <c r="XW8" s="62"/>
      <c r="XX8" s="62"/>
      <c r="XY8" s="233">
        <v>22377.5</v>
      </c>
      <c r="XZ8" s="234"/>
      <c r="YA8" s="61" t="s">
        <v>43</v>
      </c>
      <c r="YB8" s="62"/>
      <c r="YC8" s="62"/>
      <c r="YD8" s="233">
        <v>0</v>
      </c>
      <c r="YE8" s="234"/>
      <c r="YF8" s="61" t="s">
        <v>43</v>
      </c>
      <c r="YG8" s="62"/>
      <c r="YH8" s="62"/>
      <c r="YI8" s="233">
        <v>0</v>
      </c>
      <c r="YJ8" s="234"/>
      <c r="YK8" s="61" t="s">
        <v>43</v>
      </c>
      <c r="YL8" s="62"/>
      <c r="YM8" s="62"/>
      <c r="YN8" s="233">
        <v>12942</v>
      </c>
      <c r="YO8" s="234"/>
      <c r="YP8" s="61" t="s">
        <v>43</v>
      </c>
      <c r="YQ8" s="62"/>
      <c r="YR8" s="62"/>
      <c r="YS8" s="233">
        <v>31169.25</v>
      </c>
      <c r="YT8" s="234"/>
      <c r="YU8" s="61" t="s">
        <v>43</v>
      </c>
      <c r="YV8" s="62"/>
      <c r="YW8" s="62"/>
      <c r="YX8" s="233">
        <v>44433</v>
      </c>
      <c r="YY8" s="234"/>
      <c r="YZ8" s="61" t="s">
        <v>43</v>
      </c>
      <c r="ZA8" s="62"/>
      <c r="ZB8" s="62"/>
      <c r="ZC8" s="233">
        <v>0</v>
      </c>
      <c r="ZD8" s="234"/>
      <c r="ZE8" s="61" t="s">
        <v>43</v>
      </c>
      <c r="ZF8" s="62"/>
      <c r="ZG8" s="62"/>
      <c r="ZH8" s="233">
        <v>56563</v>
      </c>
      <c r="ZI8" s="234"/>
      <c r="ZJ8" s="61" t="s">
        <v>43</v>
      </c>
      <c r="ZK8" s="62"/>
      <c r="ZL8" s="62"/>
      <c r="ZM8" s="233">
        <v>35636</v>
      </c>
      <c r="ZN8" s="234"/>
      <c r="ZO8" s="61" t="s">
        <v>43</v>
      </c>
      <c r="ZP8" s="62"/>
      <c r="ZQ8" s="62"/>
      <c r="ZR8" s="233">
        <v>29732</v>
      </c>
      <c r="ZS8" s="234"/>
      <c r="ZT8" s="61" t="s">
        <v>43</v>
      </c>
      <c r="ZU8" s="62"/>
      <c r="ZV8" s="62"/>
      <c r="ZW8" s="233">
        <v>44545</v>
      </c>
      <c r="ZX8" s="234"/>
      <c r="ZY8" s="61" t="s">
        <v>43</v>
      </c>
      <c r="ZZ8" s="62"/>
      <c r="AAA8" s="62"/>
      <c r="AAB8" s="233">
        <v>120271.5</v>
      </c>
      <c r="AAC8" s="234"/>
      <c r="AAD8" s="61" t="s">
        <v>43</v>
      </c>
      <c r="AAE8" s="62"/>
      <c r="AAF8" s="62"/>
      <c r="AAG8" s="233">
        <v>139324</v>
      </c>
      <c r="AAH8" s="234"/>
      <c r="AAI8" s="61" t="s">
        <v>43</v>
      </c>
      <c r="AAJ8" s="62"/>
      <c r="AAK8" s="62"/>
      <c r="AAL8" s="233">
        <v>8909</v>
      </c>
      <c r="AAM8" s="234"/>
      <c r="AAN8" s="61" t="s">
        <v>43</v>
      </c>
      <c r="AAO8" s="62"/>
      <c r="AAP8" s="62"/>
      <c r="AAQ8" s="233">
        <v>50573.5</v>
      </c>
      <c r="AAR8" s="234"/>
      <c r="AAS8" s="61" t="s">
        <v>43</v>
      </c>
      <c r="AAT8" s="62"/>
      <c r="AAU8" s="62"/>
      <c r="AAV8" s="233">
        <v>158606</v>
      </c>
      <c r="AAW8" s="234"/>
      <c r="AAX8" s="61" t="s">
        <v>43</v>
      </c>
      <c r="AAY8" s="62"/>
      <c r="AAZ8" s="62"/>
      <c r="ABA8" s="233">
        <v>105109.5</v>
      </c>
      <c r="ABB8" s="234"/>
      <c r="ABC8" s="61" t="s">
        <v>43</v>
      </c>
      <c r="ABD8" s="62"/>
      <c r="ABE8" s="62"/>
      <c r="ABF8" s="233">
        <v>161899</v>
      </c>
      <c r="ABG8" s="234"/>
      <c r="ABH8" s="61" t="s">
        <v>43</v>
      </c>
      <c r="ABI8" s="62"/>
      <c r="ABJ8" s="62"/>
      <c r="ABK8" s="233">
        <v>146500</v>
      </c>
      <c r="ABL8" s="234"/>
      <c r="ABM8" s="61" t="s">
        <v>43</v>
      </c>
      <c r="ABN8" s="62"/>
      <c r="ABO8" s="62"/>
      <c r="ABP8" s="233">
        <v>32030.25</v>
      </c>
      <c r="ABQ8" s="234"/>
      <c r="ABR8" s="61" t="s">
        <v>43</v>
      </c>
      <c r="ABS8" s="62"/>
      <c r="ABT8" s="62"/>
      <c r="ABU8" s="233">
        <v>91013</v>
      </c>
      <c r="ABV8" s="234"/>
      <c r="ABW8" s="61" t="s">
        <v>43</v>
      </c>
      <c r="ABX8" s="62"/>
      <c r="ABY8" s="62"/>
      <c r="ABZ8" s="233">
        <v>143070</v>
      </c>
      <c r="ACA8" s="234"/>
      <c r="ACB8" s="61" t="s">
        <v>43</v>
      </c>
      <c r="ACC8" s="62"/>
      <c r="ACD8" s="62"/>
      <c r="ACE8" s="233">
        <v>120363</v>
      </c>
      <c r="ACF8" s="234"/>
      <c r="ACG8" s="61" t="s">
        <v>43</v>
      </c>
      <c r="ACH8" s="62"/>
      <c r="ACI8" s="62"/>
      <c r="ACJ8" s="233">
        <v>111374.5</v>
      </c>
      <c r="ACK8" s="234"/>
      <c r="ACL8" s="61" t="s">
        <v>43</v>
      </c>
      <c r="ACM8" s="62"/>
      <c r="ACN8" s="62"/>
      <c r="ACO8" s="233">
        <v>247316.5</v>
      </c>
      <c r="ACP8" s="234"/>
      <c r="ACQ8" s="61" t="s">
        <v>43</v>
      </c>
      <c r="ACR8" s="62"/>
      <c r="ACS8" s="62"/>
      <c r="ACT8" s="233">
        <v>247316.5</v>
      </c>
      <c r="ACU8" s="234"/>
      <c r="ACV8" s="61" t="s">
        <v>43</v>
      </c>
      <c r="ACW8" s="62"/>
      <c r="ACX8" s="62"/>
      <c r="ACY8" s="233">
        <v>150370</v>
      </c>
      <c r="ACZ8" s="234"/>
      <c r="ADA8" s="61" t="s">
        <v>43</v>
      </c>
      <c r="ADB8" s="62"/>
      <c r="ADC8" s="62"/>
      <c r="ADD8" s="233">
        <v>276984</v>
      </c>
      <c r="ADE8" s="234"/>
      <c r="ADF8" s="61" t="s">
        <v>43</v>
      </c>
      <c r="ADG8" s="62"/>
      <c r="ADH8" s="62"/>
      <c r="ADI8" s="233">
        <v>249114.66</v>
      </c>
      <c r="ADJ8" s="234"/>
      <c r="ADK8" s="61" t="s">
        <v>43</v>
      </c>
      <c r="ADL8" s="62"/>
      <c r="ADM8" s="62"/>
      <c r="ADN8" s="233">
        <v>128485</v>
      </c>
      <c r="ADO8" s="234"/>
      <c r="ADP8" s="61" t="s">
        <v>43</v>
      </c>
      <c r="ADQ8" s="62"/>
      <c r="ADR8" s="62"/>
      <c r="ADS8" s="233">
        <v>96864.5</v>
      </c>
      <c r="ADT8" s="234"/>
      <c r="ADU8" s="61" t="s">
        <v>43</v>
      </c>
      <c r="ADV8" s="62"/>
      <c r="ADW8" s="62"/>
      <c r="ADX8" s="233">
        <v>120744</v>
      </c>
      <c r="ADY8" s="234"/>
      <c r="ADZ8" s="61" t="s">
        <v>43</v>
      </c>
      <c r="AEA8" s="62"/>
      <c r="AEB8" s="62"/>
      <c r="AEC8" s="233">
        <v>140201.25</v>
      </c>
      <c r="AED8" s="234"/>
      <c r="AEE8" s="61" t="s">
        <v>43</v>
      </c>
      <c r="AEF8" s="62"/>
      <c r="AEG8" s="62"/>
      <c r="AEH8" s="233">
        <v>139424</v>
      </c>
      <c r="AEI8" s="234"/>
      <c r="AEJ8" s="61" t="s">
        <v>43</v>
      </c>
      <c r="AEK8" s="62"/>
      <c r="AEL8" s="62"/>
      <c r="AEM8" s="233">
        <v>203531.25</v>
      </c>
      <c r="AEN8" s="234"/>
      <c r="AEO8" s="61" t="s">
        <v>43</v>
      </c>
      <c r="AEP8" s="62"/>
      <c r="AEQ8" s="62"/>
      <c r="AER8" s="233">
        <v>57289.25</v>
      </c>
      <c r="AES8" s="234"/>
      <c r="AET8" s="61" t="s">
        <v>43</v>
      </c>
      <c r="AEU8" s="62"/>
      <c r="AEV8" s="62"/>
      <c r="AEW8" s="233">
        <v>107610</v>
      </c>
      <c r="AEX8" s="234"/>
      <c r="AEY8" s="61" t="s">
        <v>43</v>
      </c>
      <c r="AEZ8" s="62"/>
      <c r="AFA8" s="62"/>
      <c r="AFB8" s="233">
        <v>79016</v>
      </c>
      <c r="AFC8" s="234"/>
      <c r="AFD8" s="61" t="s">
        <v>43</v>
      </c>
      <c r="AFE8" s="62"/>
      <c r="AFF8" s="62"/>
      <c r="AFG8" s="233">
        <v>176375</v>
      </c>
      <c r="AFH8" s="234"/>
      <c r="AFI8" s="61" t="s">
        <v>43</v>
      </c>
      <c r="AFJ8" s="62"/>
      <c r="AFK8" s="62"/>
      <c r="AFL8" s="233">
        <v>77472.5</v>
      </c>
      <c r="AFM8" s="234"/>
      <c r="AFN8" s="61" t="s">
        <v>43</v>
      </c>
      <c r="AFO8" s="62"/>
      <c r="AFP8" s="62"/>
      <c r="AFQ8" s="233">
        <v>33984.5</v>
      </c>
      <c r="AFR8" s="234"/>
      <c r="AFS8" s="61" t="s">
        <v>43</v>
      </c>
      <c r="AFT8" s="62"/>
      <c r="AFU8" s="62"/>
      <c r="AFV8" s="233">
        <v>82155.5</v>
      </c>
      <c r="AFW8" s="234"/>
      <c r="AFX8" s="61" t="s">
        <v>43</v>
      </c>
      <c r="AFY8" s="62"/>
      <c r="AFZ8" s="62"/>
      <c r="AGA8" s="233">
        <v>133306.5</v>
      </c>
      <c r="AGB8" s="234"/>
      <c r="AGC8" s="61" t="s">
        <v>43</v>
      </c>
      <c r="AGD8" s="62"/>
      <c r="AGE8" s="62"/>
      <c r="AGF8" s="233">
        <v>36644.25</v>
      </c>
      <c r="AGG8" s="234"/>
      <c r="AGH8" s="61" t="s">
        <v>43</v>
      </c>
      <c r="AGI8" s="62"/>
      <c r="AGJ8" s="62"/>
      <c r="AGK8" s="233">
        <v>83731.5</v>
      </c>
      <c r="AGL8" s="234"/>
      <c r="AGM8" s="61" t="s">
        <v>43</v>
      </c>
      <c r="AGN8" s="62"/>
      <c r="AGO8" s="62"/>
      <c r="AGP8" s="233">
        <v>108695</v>
      </c>
      <c r="AGQ8" s="234"/>
      <c r="AGR8" s="61" t="s">
        <v>43</v>
      </c>
      <c r="AGS8" s="62"/>
      <c r="AGT8" s="62"/>
      <c r="AGU8" s="233">
        <v>93835</v>
      </c>
      <c r="AGV8" s="234"/>
      <c r="AGW8" s="61" t="s">
        <v>43</v>
      </c>
      <c r="AGX8" s="62"/>
      <c r="AGY8" s="62"/>
      <c r="AGZ8" s="233">
        <v>0</v>
      </c>
      <c r="AHA8" s="234"/>
      <c r="AHB8" s="61" t="s">
        <v>43</v>
      </c>
      <c r="AHC8" s="62"/>
      <c r="AHD8" s="62"/>
      <c r="AHE8" s="233">
        <v>115957</v>
      </c>
      <c r="AHF8" s="234"/>
      <c r="AHG8" s="61" t="s">
        <v>43</v>
      </c>
      <c r="AHH8" s="62"/>
      <c r="AHI8" s="62"/>
      <c r="AHJ8" s="233">
        <v>82037</v>
      </c>
      <c r="AHK8" s="234"/>
      <c r="AHL8" s="61" t="s">
        <v>43</v>
      </c>
      <c r="AHM8" s="62"/>
      <c r="AHN8" s="62"/>
      <c r="AHO8" s="233">
        <v>142908.5</v>
      </c>
      <c r="AHP8" s="234"/>
      <c r="AHQ8" s="61" t="s">
        <v>43</v>
      </c>
      <c r="AHR8" s="62"/>
      <c r="AHS8" s="62"/>
      <c r="AHT8" s="233">
        <v>121484.25</v>
      </c>
      <c r="AHU8" s="234"/>
      <c r="AHV8" s="61" t="s">
        <v>43</v>
      </c>
      <c r="AHW8" s="62"/>
      <c r="AHX8" s="62"/>
      <c r="AHY8" s="233">
        <v>77923.25</v>
      </c>
      <c r="AHZ8" s="234"/>
      <c r="AIA8" s="61" t="s">
        <v>43</v>
      </c>
      <c r="AIB8" s="62"/>
      <c r="AIC8" s="62"/>
      <c r="AID8" s="233">
        <v>64007</v>
      </c>
      <c r="AIE8" s="234"/>
      <c r="AIF8" s="61" t="s">
        <v>43</v>
      </c>
      <c r="AIG8" s="62"/>
      <c r="AIH8" s="62"/>
      <c r="AII8" s="233">
        <v>87114.5</v>
      </c>
      <c r="AIJ8" s="234"/>
      <c r="AIK8" s="61" t="s">
        <v>43</v>
      </c>
      <c r="AIL8" s="62"/>
      <c r="AIM8" s="62"/>
      <c r="AIN8" s="233">
        <v>58759.25</v>
      </c>
      <c r="AIO8" s="234"/>
      <c r="AIP8" s="61" t="s">
        <v>43</v>
      </c>
      <c r="AIQ8" s="62"/>
      <c r="AIR8" s="62"/>
      <c r="AIS8" s="233">
        <v>122243</v>
      </c>
      <c r="AIT8" s="234"/>
      <c r="AIU8" s="61" t="s">
        <v>43</v>
      </c>
      <c r="AIV8" s="62"/>
      <c r="AIW8" s="62"/>
      <c r="AIX8" s="233">
        <v>101461</v>
      </c>
      <c r="AIY8" s="234"/>
      <c r="AIZ8" s="61" t="s">
        <v>43</v>
      </c>
      <c r="AJA8" s="62"/>
      <c r="AJB8" s="62"/>
      <c r="AJC8" s="233">
        <v>54211</v>
      </c>
      <c r="AJD8" s="234"/>
      <c r="AJE8" s="61" t="s">
        <v>43</v>
      </c>
      <c r="AJF8" s="62"/>
      <c r="AJG8" s="62"/>
      <c r="AJH8" s="233">
        <v>46256.5</v>
      </c>
      <c r="AJI8" s="234"/>
      <c r="AJJ8" s="61" t="s">
        <v>43</v>
      </c>
      <c r="AJK8" s="62"/>
      <c r="AJL8" s="62"/>
      <c r="AJM8" s="233">
        <v>165300.5</v>
      </c>
      <c r="AJN8" s="234"/>
      <c r="AJO8" s="61" t="s">
        <v>43</v>
      </c>
      <c r="AJP8" s="62"/>
      <c r="AJQ8" s="62"/>
      <c r="AJR8" s="233">
        <v>114523.5</v>
      </c>
      <c r="AJS8" s="234"/>
      <c r="AJT8" s="61" t="s">
        <v>43</v>
      </c>
      <c r="AJU8" s="62"/>
      <c r="AJV8" s="62"/>
      <c r="AJW8" s="233">
        <v>71879</v>
      </c>
      <c r="AJX8" s="234"/>
      <c r="AJY8" s="61" t="s">
        <v>43</v>
      </c>
      <c r="AJZ8" s="62"/>
      <c r="AKA8" s="62"/>
      <c r="AKB8" s="233">
        <v>13363.5</v>
      </c>
      <c r="AKC8" s="234"/>
      <c r="AKD8" s="61" t="s">
        <v>43</v>
      </c>
      <c r="AKE8" s="62"/>
      <c r="AKF8" s="62"/>
      <c r="AKG8" s="233">
        <v>7551.5</v>
      </c>
      <c r="AKH8" s="234"/>
      <c r="AKI8" s="61" t="s">
        <v>43</v>
      </c>
      <c r="AKJ8" s="62"/>
      <c r="AKK8" s="62"/>
      <c r="AKL8" s="233">
        <v>62363</v>
      </c>
      <c r="AKM8" s="234"/>
      <c r="AKN8" s="61" t="s">
        <v>43</v>
      </c>
      <c r="AKO8" s="62"/>
      <c r="AKP8" s="62"/>
      <c r="AKQ8" s="233">
        <v>31181.5</v>
      </c>
      <c r="AKR8" s="234"/>
      <c r="AKS8" s="61" t="s">
        <v>43</v>
      </c>
      <c r="AKT8" s="62"/>
      <c r="AKU8" s="62"/>
      <c r="AKV8" s="233">
        <v>30462</v>
      </c>
      <c r="AKW8" s="234"/>
      <c r="AKX8" s="61" t="s">
        <v>43</v>
      </c>
      <c r="AKY8" s="62"/>
      <c r="AKZ8" s="62"/>
      <c r="ALA8" s="233">
        <v>94022</v>
      </c>
      <c r="ALB8" s="234"/>
      <c r="ALC8" s="61" t="s">
        <v>43</v>
      </c>
      <c r="ALD8" s="62"/>
      <c r="ALE8" s="62"/>
      <c r="ALF8" s="233">
        <v>123437.5</v>
      </c>
      <c r="ALG8" s="234"/>
      <c r="ALH8" s="61" t="s">
        <v>43</v>
      </c>
      <c r="ALI8" s="62"/>
      <c r="ALJ8" s="62"/>
      <c r="ALK8" s="233">
        <v>170201.5</v>
      </c>
      <c r="ALL8" s="234"/>
      <c r="ALM8" s="61" t="s">
        <v>43</v>
      </c>
      <c r="ALN8" s="62"/>
      <c r="ALO8" s="62"/>
      <c r="ALP8" s="233">
        <v>103070</v>
      </c>
      <c r="ALQ8" s="234"/>
      <c r="ALR8" s="61" t="s">
        <v>43</v>
      </c>
      <c r="ALS8" s="62"/>
      <c r="ALT8" s="62"/>
      <c r="ALU8" s="233">
        <v>125143.5</v>
      </c>
      <c r="ALV8" s="234"/>
      <c r="ALW8" s="61" t="s">
        <v>43</v>
      </c>
      <c r="ALX8" s="62"/>
      <c r="ALY8" s="62"/>
      <c r="ALZ8" s="233">
        <v>150879.25</v>
      </c>
      <c r="AMA8" s="234"/>
      <c r="AMB8" s="61" t="s">
        <v>43</v>
      </c>
      <c r="AMC8" s="62"/>
      <c r="AMD8" s="62"/>
      <c r="AME8" s="233">
        <v>31181.5</v>
      </c>
      <c r="AMF8" s="234"/>
      <c r="AMG8" s="61" t="s">
        <v>43</v>
      </c>
      <c r="AMH8" s="62"/>
      <c r="AMI8" s="62"/>
      <c r="AMJ8" s="233">
        <v>19789</v>
      </c>
      <c r="AMK8" s="234"/>
      <c r="AML8" s="61" t="s">
        <v>43</v>
      </c>
      <c r="AMM8" s="62"/>
      <c r="AMN8" s="62"/>
      <c r="AMO8" s="233">
        <v>25536</v>
      </c>
      <c r="AMP8" s="234"/>
      <c r="AMQ8" s="61" t="s">
        <v>43</v>
      </c>
      <c r="AMR8" s="62"/>
      <c r="AMS8" s="62"/>
      <c r="AMT8" s="233">
        <v>57549.75</v>
      </c>
      <c r="AMU8" s="234"/>
      <c r="AMV8" s="61" t="s">
        <v>43</v>
      </c>
      <c r="AMW8" s="62"/>
      <c r="AMX8" s="62"/>
      <c r="AMY8" s="233" t="e">
        <v>#VALUE!</v>
      </c>
      <c r="AMZ8" s="234"/>
      <c r="ANA8" s="61" t="s">
        <v>43</v>
      </c>
      <c r="ANB8" s="62"/>
      <c r="ANC8" s="62"/>
      <c r="AND8" s="233">
        <v>48999.5</v>
      </c>
      <c r="ANE8" s="234"/>
      <c r="ANF8" s="61" t="s">
        <v>43</v>
      </c>
      <c r="ANG8" s="62"/>
      <c r="ANH8" s="62"/>
      <c r="ANI8" s="233">
        <v>48554.05</v>
      </c>
      <c r="ANJ8" s="234"/>
      <c r="ANK8" s="61" t="s">
        <v>43</v>
      </c>
      <c r="ANL8" s="62"/>
      <c r="ANM8" s="62"/>
      <c r="ANN8" s="233">
        <v>53032.5</v>
      </c>
      <c r="ANO8" s="234"/>
      <c r="ANP8" s="61" t="s">
        <v>43</v>
      </c>
      <c r="ANQ8" s="62"/>
      <c r="ANR8" s="62"/>
      <c r="ANS8" s="233">
        <v>30671.5</v>
      </c>
      <c r="ANT8" s="234"/>
      <c r="ANU8" s="61" t="s">
        <v>43</v>
      </c>
      <c r="ANV8" s="62"/>
      <c r="ANW8" s="62"/>
      <c r="ANX8" s="233">
        <v>155074</v>
      </c>
      <c r="ANY8" s="234"/>
      <c r="ANZ8" s="61" t="s">
        <v>43</v>
      </c>
      <c r="AOA8" s="62"/>
      <c r="AOB8" s="62"/>
      <c r="AOC8" s="233">
        <v>135626.29999999999</v>
      </c>
      <c r="AOD8" s="234"/>
      <c r="AOE8" s="61" t="s">
        <v>43</v>
      </c>
      <c r="AOF8" s="62"/>
      <c r="AOG8" s="62"/>
      <c r="AOH8" s="233">
        <v>176635.5</v>
      </c>
      <c r="AOI8" s="234"/>
      <c r="AOJ8" s="61" t="s">
        <v>43</v>
      </c>
      <c r="AOK8" s="62"/>
      <c r="AOL8" s="62"/>
      <c r="AOM8" s="233">
        <v>117634</v>
      </c>
      <c r="AON8" s="234"/>
      <c r="AOO8" s="61" t="s">
        <v>43</v>
      </c>
      <c r="AOP8" s="62"/>
      <c r="AOQ8" s="62"/>
      <c r="AOR8" s="233">
        <v>65271</v>
      </c>
      <c r="AOS8" s="234"/>
      <c r="AOT8" s="61" t="s">
        <v>43</v>
      </c>
      <c r="AOU8" s="62"/>
      <c r="AOV8" s="62"/>
      <c r="AOW8" s="233">
        <v>176771</v>
      </c>
      <c r="AOX8" s="234"/>
      <c r="AOY8" s="61" t="s">
        <v>43</v>
      </c>
      <c r="AOZ8" s="62"/>
      <c r="APA8" s="62"/>
      <c r="APB8" s="233">
        <v>251981</v>
      </c>
      <c r="APC8" s="234"/>
      <c r="APD8" s="61" t="s">
        <v>43</v>
      </c>
      <c r="APE8" s="62"/>
      <c r="APF8" s="62"/>
      <c r="APG8" s="233">
        <v>176209.5</v>
      </c>
      <c r="APH8" s="234"/>
      <c r="API8" s="61" t="s">
        <v>43</v>
      </c>
      <c r="APJ8" s="62"/>
      <c r="APK8" s="62"/>
      <c r="APL8" s="233">
        <v>113022</v>
      </c>
      <c r="APM8" s="234"/>
      <c r="APN8" s="61" t="s">
        <v>43</v>
      </c>
      <c r="APO8" s="62"/>
      <c r="APP8" s="62"/>
      <c r="APQ8" s="233">
        <v>87207.5</v>
      </c>
      <c r="APR8" s="234"/>
      <c r="APS8" s="61" t="s">
        <v>43</v>
      </c>
      <c r="APT8" s="62"/>
      <c r="APU8" s="62"/>
      <c r="APV8" s="233">
        <v>121311.5</v>
      </c>
      <c r="APW8" s="234"/>
      <c r="APX8" s="61" t="s">
        <v>43</v>
      </c>
      <c r="APY8" s="62"/>
      <c r="APZ8" s="62"/>
      <c r="AQA8" s="233">
        <v>122985.5</v>
      </c>
      <c r="AQB8" s="234"/>
      <c r="AQC8" s="61" t="s">
        <v>43</v>
      </c>
      <c r="AQD8" s="62"/>
      <c r="AQE8" s="62"/>
      <c r="AQF8" s="233">
        <v>199439.5</v>
      </c>
      <c r="AQG8" s="234"/>
      <c r="AQH8" s="61" t="s">
        <v>43</v>
      </c>
      <c r="AQI8" s="62"/>
      <c r="AQJ8" s="62"/>
      <c r="AQK8" s="233">
        <v>263304.5</v>
      </c>
      <c r="AQL8" s="234"/>
      <c r="AQM8" s="61" t="s">
        <v>43</v>
      </c>
      <c r="AQN8" s="62"/>
      <c r="AQO8" s="62"/>
      <c r="AQP8" s="233">
        <v>206566.5</v>
      </c>
      <c r="AQQ8" s="234"/>
      <c r="AQR8" s="61" t="s">
        <v>43</v>
      </c>
      <c r="AQS8" s="62"/>
      <c r="AQT8" s="62"/>
      <c r="AQU8" s="233">
        <v>92910.5</v>
      </c>
      <c r="AQV8" s="234"/>
      <c r="AQW8" s="61" t="s">
        <v>43</v>
      </c>
      <c r="AQX8" s="62"/>
      <c r="AQY8" s="62"/>
      <c r="AQZ8" s="233">
        <v>99594</v>
      </c>
      <c r="ARA8" s="234"/>
      <c r="ARB8" s="61" t="s">
        <v>43</v>
      </c>
      <c r="ARC8" s="62"/>
      <c r="ARD8" s="62"/>
      <c r="ARE8" s="233">
        <v>88721</v>
      </c>
      <c r="ARF8" s="234"/>
      <c r="ARG8" s="61" t="s">
        <v>43</v>
      </c>
      <c r="ARH8" s="62"/>
      <c r="ARI8" s="62"/>
      <c r="ARJ8" s="233">
        <v>46112.5</v>
      </c>
      <c r="ARK8" s="234"/>
      <c r="ARL8" s="61" t="s">
        <v>43</v>
      </c>
      <c r="ARM8" s="62"/>
      <c r="ARN8" s="62"/>
      <c r="ARO8" s="233">
        <v>153191.5</v>
      </c>
      <c r="ARP8" s="234"/>
      <c r="ARQ8" s="61" t="s">
        <v>43</v>
      </c>
      <c r="ARR8" s="62"/>
      <c r="ARS8" s="62"/>
      <c r="ART8" s="233">
        <v>173809.5</v>
      </c>
      <c r="ARU8" s="234"/>
      <c r="ARV8" s="61" t="s">
        <v>43</v>
      </c>
      <c r="ARW8" s="62"/>
      <c r="ARX8" s="62"/>
      <c r="ARY8" s="233">
        <v>89791.9</v>
      </c>
      <c r="ARZ8" s="234"/>
      <c r="ASA8" s="61" t="s">
        <v>43</v>
      </c>
      <c r="ASB8" s="62"/>
      <c r="ASC8" s="62"/>
      <c r="ASD8" s="233">
        <v>49705</v>
      </c>
      <c r="ASE8" s="234"/>
      <c r="ASF8" s="61" t="s">
        <v>43</v>
      </c>
      <c r="ASG8" s="62"/>
      <c r="ASH8" s="62"/>
      <c r="ASI8" s="233">
        <v>60471.25</v>
      </c>
      <c r="ASJ8" s="234"/>
      <c r="ASK8" s="61" t="s">
        <v>43</v>
      </c>
      <c r="ASL8" s="62"/>
      <c r="ASM8" s="62"/>
      <c r="ASN8" s="233">
        <v>29549</v>
      </c>
      <c r="ASO8" s="234"/>
      <c r="ASP8" s="61" t="s">
        <v>43</v>
      </c>
      <c r="ASQ8" s="62"/>
      <c r="ASR8" s="62"/>
      <c r="ASS8" s="233">
        <v>138046</v>
      </c>
      <c r="AST8" s="234"/>
      <c r="ASU8" s="61" t="s">
        <v>43</v>
      </c>
      <c r="ASV8" s="62"/>
      <c r="ASW8" s="62"/>
      <c r="ASX8" s="233">
        <v>152466.5</v>
      </c>
      <c r="ASY8" s="234"/>
      <c r="ASZ8" s="61" t="s">
        <v>43</v>
      </c>
      <c r="ATA8" s="62"/>
      <c r="ATB8" s="62"/>
      <c r="ATC8" s="233">
        <v>150563.5</v>
      </c>
      <c r="ATD8" s="234"/>
      <c r="ATE8" s="61" t="s">
        <v>43</v>
      </c>
      <c r="ATF8" s="62"/>
      <c r="ATG8" s="62"/>
      <c r="ATH8" s="233">
        <v>56066.2</v>
      </c>
      <c r="ATI8" s="234"/>
      <c r="ATJ8" s="61" t="s">
        <v>43</v>
      </c>
      <c r="ATK8" s="62"/>
      <c r="ATL8" s="62"/>
      <c r="ATM8" s="233">
        <v>89119.85</v>
      </c>
      <c r="ATN8" s="234"/>
      <c r="ATO8" s="61" t="s">
        <v>43</v>
      </c>
      <c r="ATP8" s="62"/>
      <c r="ATQ8" s="62"/>
      <c r="ATR8" s="233">
        <v>103344.4</v>
      </c>
      <c r="ATS8" s="234"/>
      <c r="ATT8" s="61" t="s">
        <v>43</v>
      </c>
      <c r="ATU8" s="62"/>
      <c r="ATV8" s="62"/>
      <c r="ATW8" s="233">
        <v>79045.5</v>
      </c>
      <c r="ATX8" s="234"/>
      <c r="ATY8" s="61" t="s">
        <v>43</v>
      </c>
      <c r="ATZ8" s="62"/>
      <c r="AUA8" s="62"/>
      <c r="AUB8" s="233">
        <v>69418</v>
      </c>
      <c r="AUC8" s="234"/>
      <c r="AUD8" s="61" t="s">
        <v>43</v>
      </c>
      <c r="AUE8" s="62"/>
      <c r="AUF8" s="62"/>
      <c r="AUG8" s="233">
        <v>129421.5</v>
      </c>
      <c r="AUH8" s="234"/>
      <c r="AUI8" s="61" t="s">
        <v>43</v>
      </c>
      <c r="AUJ8" s="62"/>
      <c r="AUK8" s="62"/>
      <c r="AUL8" s="233">
        <v>133195.5</v>
      </c>
      <c r="AUM8" s="234"/>
      <c r="AUN8" s="61" t="s">
        <v>43</v>
      </c>
      <c r="AUO8" s="62"/>
      <c r="AUP8" s="62"/>
      <c r="AUQ8" s="233">
        <v>78783</v>
      </c>
      <c r="AUR8" s="234"/>
      <c r="AUS8" s="61" t="s">
        <v>43</v>
      </c>
      <c r="AUT8" s="62"/>
      <c r="AUU8" s="62"/>
      <c r="AUV8" s="233">
        <v>114608.6</v>
      </c>
      <c r="AUW8" s="234"/>
      <c r="AUX8" s="61" t="s">
        <v>43</v>
      </c>
      <c r="AUY8" s="62"/>
      <c r="AUZ8" s="62"/>
      <c r="AVA8" s="233">
        <v>39762.5</v>
      </c>
      <c r="AVB8" s="234"/>
      <c r="AVC8" s="61" t="s">
        <v>43</v>
      </c>
      <c r="AVD8" s="62"/>
      <c r="AVE8" s="62"/>
      <c r="AVF8" s="233">
        <v>26727</v>
      </c>
      <c r="AVG8" s="234"/>
      <c r="AVH8" s="61" t="s">
        <v>43</v>
      </c>
      <c r="AVI8" s="62"/>
      <c r="AVJ8" s="62"/>
      <c r="AVK8" s="233">
        <v>16975</v>
      </c>
      <c r="AVL8" s="234"/>
      <c r="AVM8" s="61" t="s">
        <v>43</v>
      </c>
      <c r="AVN8" s="62"/>
      <c r="AVO8" s="62"/>
      <c r="AVP8" s="233">
        <v>90143</v>
      </c>
      <c r="AVQ8" s="234"/>
      <c r="AVR8" s="61" t="s">
        <v>43</v>
      </c>
      <c r="AVS8" s="62"/>
      <c r="AVT8" s="62"/>
      <c r="AVU8" s="233">
        <v>119236.5</v>
      </c>
      <c r="AVV8" s="234"/>
      <c r="AVW8" s="61" t="s">
        <v>43</v>
      </c>
      <c r="AVX8" s="62"/>
      <c r="AVY8" s="62"/>
      <c r="AVZ8" s="233">
        <v>76092</v>
      </c>
      <c r="AWA8" s="234"/>
      <c r="AWB8" s="61" t="s">
        <v>43</v>
      </c>
      <c r="AWC8" s="62"/>
      <c r="AWD8" s="62"/>
      <c r="AWE8" s="233">
        <v>72827.3</v>
      </c>
      <c r="AWF8" s="234"/>
      <c r="AWG8" s="61" t="s">
        <v>43</v>
      </c>
      <c r="AWH8" s="62"/>
      <c r="AWI8" s="62"/>
      <c r="AWJ8" s="233">
        <v>64373.5</v>
      </c>
      <c r="AWK8" s="234"/>
      <c r="AWL8" s="61" t="s">
        <v>43</v>
      </c>
      <c r="AWM8" s="62"/>
      <c r="AWN8" s="62"/>
      <c r="AWO8" s="233">
        <v>81469</v>
      </c>
      <c r="AWP8" s="234"/>
      <c r="AWQ8" s="61" t="s">
        <v>43</v>
      </c>
      <c r="AWR8" s="62"/>
      <c r="AWS8" s="62"/>
      <c r="AWT8" s="233">
        <v>37138</v>
      </c>
      <c r="AWU8" s="234"/>
      <c r="AWV8" s="61" t="s">
        <v>43</v>
      </c>
      <c r="AWW8" s="62"/>
      <c r="AWX8" s="62"/>
      <c r="AWY8" s="233">
        <v>63094</v>
      </c>
      <c r="AWZ8" s="234"/>
      <c r="AXA8" s="61" t="s">
        <v>43</v>
      </c>
      <c r="AXB8" s="62"/>
      <c r="AXC8" s="62"/>
      <c r="AXD8" s="233">
        <v>61467</v>
      </c>
      <c r="AXE8" s="234"/>
      <c r="AXF8" s="61" t="s">
        <v>43</v>
      </c>
      <c r="AXG8" s="62"/>
      <c r="AXH8" s="62"/>
      <c r="AXI8" s="233">
        <v>25507</v>
      </c>
      <c r="AXJ8" s="234"/>
      <c r="AXK8" s="61" t="s">
        <v>43</v>
      </c>
      <c r="AXL8" s="62"/>
      <c r="AXM8" s="62"/>
      <c r="AXN8" s="233">
        <v>30508.75</v>
      </c>
      <c r="AXO8" s="234"/>
      <c r="AXP8" s="61" t="s">
        <v>43</v>
      </c>
      <c r="AXQ8" s="62"/>
      <c r="AXR8" s="62"/>
      <c r="AXS8" s="233">
        <v>40143</v>
      </c>
      <c r="AXT8" s="234"/>
      <c r="AXU8" s="61" t="s">
        <v>43</v>
      </c>
      <c r="AXV8" s="62"/>
      <c r="AXW8" s="62"/>
      <c r="AXX8" s="233">
        <v>10752.5</v>
      </c>
      <c r="AXY8" s="234"/>
      <c r="AXZ8" s="61" t="s">
        <v>43</v>
      </c>
      <c r="AYA8" s="62"/>
      <c r="AYB8" s="62"/>
      <c r="AYC8" s="233">
        <v>69700.75</v>
      </c>
      <c r="AYD8" s="234"/>
      <c r="AYE8" s="61" t="s">
        <v>43</v>
      </c>
      <c r="AYF8" s="62"/>
      <c r="AYG8" s="62"/>
      <c r="AYH8" s="233">
        <v>125896</v>
      </c>
      <c r="AYI8" s="234"/>
      <c r="AYJ8" s="61" t="s">
        <v>43</v>
      </c>
      <c r="AYK8" s="62"/>
      <c r="AYL8" s="62"/>
      <c r="AYM8" s="233">
        <v>127612.5</v>
      </c>
      <c r="AYN8" s="234"/>
      <c r="AYO8" s="61" t="s">
        <v>43</v>
      </c>
      <c r="AYP8" s="62"/>
      <c r="AYQ8" s="62"/>
      <c r="AYR8" s="233">
        <v>37349</v>
      </c>
      <c r="AYS8" s="234"/>
      <c r="AYT8" s="61" t="s">
        <v>43</v>
      </c>
      <c r="AYU8" s="62"/>
      <c r="AYV8" s="62"/>
      <c r="AYW8" s="233">
        <v>39993.9</v>
      </c>
      <c r="AYX8" s="234"/>
      <c r="AYY8" s="61" t="s">
        <v>43</v>
      </c>
      <c r="AYZ8" s="62"/>
      <c r="AZA8" s="62"/>
      <c r="AZB8" s="233">
        <v>14958.5</v>
      </c>
      <c r="AZC8" s="234"/>
      <c r="AZD8" s="61" t="s">
        <v>43</v>
      </c>
      <c r="AZE8" s="62"/>
      <c r="AZF8" s="62"/>
      <c r="AZG8" s="233">
        <v>117348</v>
      </c>
      <c r="AZH8" s="234"/>
      <c r="AZI8" s="61" t="s">
        <v>43</v>
      </c>
      <c r="AZJ8" s="62"/>
      <c r="AZK8" s="62"/>
      <c r="AZL8" s="233">
        <v>121246.5</v>
      </c>
      <c r="AZM8" s="234"/>
      <c r="AZN8" s="61" t="s">
        <v>43</v>
      </c>
      <c r="AZO8" s="62"/>
      <c r="AZP8" s="62"/>
      <c r="AZQ8" s="233">
        <v>112471</v>
      </c>
      <c r="AZR8" s="234"/>
      <c r="AZS8" s="61" t="s">
        <v>43</v>
      </c>
      <c r="AZT8" s="62"/>
      <c r="AZU8" s="62"/>
      <c r="AZV8" s="233">
        <v>46433</v>
      </c>
      <c r="AZW8" s="234"/>
      <c r="AZX8" s="61" t="s">
        <v>43</v>
      </c>
      <c r="AZY8" s="62"/>
      <c r="AZZ8" s="62"/>
      <c r="BAA8" s="233">
        <v>109912</v>
      </c>
      <c r="BAB8" s="234"/>
      <c r="BAC8" s="61" t="s">
        <v>43</v>
      </c>
      <c r="BAD8" s="62"/>
      <c r="BAE8" s="62"/>
      <c r="BAF8" s="233">
        <v>55769</v>
      </c>
      <c r="BAG8" s="234"/>
      <c r="BAH8" s="61" t="s">
        <v>43</v>
      </c>
      <c r="BAI8" s="62"/>
      <c r="BAJ8" s="62"/>
      <c r="BAK8" s="233">
        <v>46199.4</v>
      </c>
      <c r="BAL8" s="234"/>
      <c r="BAM8" s="61" t="s">
        <v>43</v>
      </c>
      <c r="BAN8" s="62"/>
      <c r="BAO8" s="62"/>
      <c r="BAP8" s="233">
        <v>125874</v>
      </c>
      <c r="BAQ8" s="234"/>
      <c r="BAR8" s="61" t="s">
        <v>43</v>
      </c>
      <c r="BAS8" s="62"/>
      <c r="BAT8" s="62"/>
      <c r="BAU8" s="233">
        <v>74853.5</v>
      </c>
      <c r="BAV8" s="234"/>
      <c r="BAW8" s="61" t="s">
        <v>43</v>
      </c>
      <c r="BAX8" s="62"/>
      <c r="BAY8" s="62"/>
      <c r="BAZ8" s="233">
        <v>158752</v>
      </c>
      <c r="BBA8" s="234"/>
      <c r="BBB8" s="61" t="s">
        <v>43</v>
      </c>
      <c r="BBC8" s="62"/>
      <c r="BBD8" s="62"/>
      <c r="BBE8" s="233">
        <v>119275.8</v>
      </c>
      <c r="BBF8" s="234"/>
      <c r="BBG8" s="61" t="s">
        <v>43</v>
      </c>
      <c r="BBH8" s="62"/>
      <c r="BBI8" s="62"/>
      <c r="BBJ8" s="233" t="e">
        <v>#VALUE!</v>
      </c>
      <c r="BBK8" s="234"/>
      <c r="BBL8" s="61" t="s">
        <v>43</v>
      </c>
      <c r="BBM8" s="62"/>
      <c r="BBN8" s="62"/>
      <c r="BBO8" s="233">
        <v>74510.700000000012</v>
      </c>
      <c r="BBP8" s="234"/>
      <c r="BBQ8" s="61" t="s">
        <v>43</v>
      </c>
      <c r="BBR8" s="62"/>
      <c r="BBS8" s="62"/>
      <c r="BBT8" s="233">
        <v>76149.5</v>
      </c>
      <c r="BBU8" s="234"/>
      <c r="BBV8" s="61" t="s">
        <v>43</v>
      </c>
      <c r="BBW8" s="62"/>
      <c r="BBX8" s="62"/>
      <c r="BBY8" s="233">
        <v>75633</v>
      </c>
      <c r="BBZ8" s="234"/>
      <c r="BCA8" s="61" t="s">
        <v>43</v>
      </c>
      <c r="BCB8" s="62"/>
      <c r="BCC8" s="62"/>
      <c r="BCD8" s="233">
        <v>26168.400000000001</v>
      </c>
      <c r="BCE8" s="234"/>
      <c r="BCF8" s="61" t="s">
        <v>43</v>
      </c>
      <c r="BCG8" s="62"/>
      <c r="BCH8" s="62"/>
      <c r="BCI8" s="233">
        <v>19033.5</v>
      </c>
      <c r="BCJ8" s="234"/>
      <c r="BCK8" s="61" t="s">
        <v>43</v>
      </c>
      <c r="BCL8" s="62"/>
      <c r="BCM8" s="62"/>
      <c r="BCN8" s="233">
        <v>58746</v>
      </c>
      <c r="BCO8" s="234"/>
      <c r="BCP8" s="61" t="s">
        <v>43</v>
      </c>
      <c r="BCQ8" s="62"/>
      <c r="BCR8" s="62"/>
      <c r="BCS8" s="233">
        <v>47778.5</v>
      </c>
      <c r="BCT8" s="234"/>
      <c r="BCU8" s="61" t="s">
        <v>43</v>
      </c>
      <c r="BCV8" s="62"/>
      <c r="BCW8" s="62"/>
      <c r="BCX8" s="233">
        <v>40901</v>
      </c>
      <c r="BCY8" s="234"/>
      <c r="BCZ8" s="61" t="s">
        <v>43</v>
      </c>
      <c r="BDA8" s="62"/>
      <c r="BDB8" s="62"/>
      <c r="BDC8" s="233">
        <v>28743.5</v>
      </c>
      <c r="BDD8" s="234"/>
      <c r="BDE8" s="61" t="s">
        <v>43</v>
      </c>
      <c r="BDF8" s="62"/>
      <c r="BDG8" s="62"/>
      <c r="BDH8" s="233">
        <v>60051</v>
      </c>
      <c r="BDI8" s="234"/>
      <c r="BDJ8" s="61" t="s">
        <v>43</v>
      </c>
      <c r="BDK8" s="62"/>
      <c r="BDL8" s="62"/>
      <c r="BDM8" s="233">
        <v>56896.75</v>
      </c>
      <c r="BDN8" s="234"/>
      <c r="BDO8" s="61" t="s">
        <v>43</v>
      </c>
      <c r="BDP8" s="62"/>
      <c r="BDQ8" s="62"/>
      <c r="BDR8" s="233">
        <v>67258</v>
      </c>
      <c r="BDS8" s="234"/>
      <c r="BDT8" s="61" t="s">
        <v>43</v>
      </c>
      <c r="BDU8" s="62"/>
      <c r="BDV8" s="62"/>
      <c r="BDW8" s="233">
        <v>68810</v>
      </c>
      <c r="BDX8" s="234"/>
      <c r="BDY8" s="61" t="s">
        <v>43</v>
      </c>
      <c r="BDZ8" s="62"/>
      <c r="BEA8" s="62"/>
      <c r="BEB8" s="233">
        <v>81683</v>
      </c>
      <c r="BEC8" s="234"/>
      <c r="BED8" s="61" t="s">
        <v>43</v>
      </c>
      <c r="BEE8" s="62"/>
      <c r="BEF8" s="62"/>
      <c r="BEG8" s="233">
        <v>38974</v>
      </c>
      <c r="BEH8" s="234"/>
      <c r="BEI8" s="61" t="s">
        <v>43</v>
      </c>
      <c r="BEJ8" s="62"/>
      <c r="BEK8" s="62"/>
      <c r="BEL8" s="233">
        <v>12735.75</v>
      </c>
      <c r="BEM8" s="234"/>
      <c r="BEN8" s="61" t="s">
        <v>43</v>
      </c>
      <c r="BEO8" s="62"/>
      <c r="BEP8" s="62"/>
      <c r="BEQ8" s="233">
        <v>120778</v>
      </c>
      <c r="BER8" s="234"/>
      <c r="BES8" s="61" t="s">
        <v>43</v>
      </c>
      <c r="BET8" s="62"/>
      <c r="BEU8" s="62"/>
      <c r="BEV8" s="233">
        <v>87015</v>
      </c>
      <c r="BEW8" s="234"/>
      <c r="BEX8" s="61" t="s">
        <v>43</v>
      </c>
      <c r="BEY8" s="62"/>
      <c r="BEZ8" s="62"/>
      <c r="BFA8" s="233">
        <v>90405</v>
      </c>
      <c r="BFB8" s="234"/>
      <c r="BFC8" s="61" t="s">
        <v>43</v>
      </c>
      <c r="BFD8" s="62"/>
      <c r="BFE8" s="62"/>
      <c r="BFF8" s="233">
        <v>29889.5</v>
      </c>
      <c r="BFG8" s="234"/>
      <c r="BFH8" s="61" t="s">
        <v>43</v>
      </c>
      <c r="BFI8" s="62"/>
      <c r="BFJ8" s="62"/>
      <c r="BFK8" s="233">
        <v>2835</v>
      </c>
      <c r="BFL8" s="234"/>
      <c r="BFM8" s="61" t="s">
        <v>43</v>
      </c>
      <c r="BFN8" s="62"/>
      <c r="BFO8" s="62"/>
      <c r="BFP8" s="233">
        <v>24128.5</v>
      </c>
      <c r="BFQ8" s="234"/>
      <c r="BFR8" s="61" t="s">
        <v>43</v>
      </c>
      <c r="BFS8" s="62"/>
      <c r="BFT8" s="62"/>
      <c r="BFU8" s="233">
        <v>19108.25</v>
      </c>
      <c r="BFV8" s="234"/>
      <c r="BFW8" s="61" t="s">
        <v>43</v>
      </c>
      <c r="BFX8" s="62"/>
      <c r="BFY8" s="62"/>
      <c r="BFZ8" s="233">
        <v>107355.25</v>
      </c>
      <c r="BGA8" s="234"/>
      <c r="BGB8" s="61" t="s">
        <v>43</v>
      </c>
      <c r="BGC8" s="62"/>
      <c r="BGD8" s="62"/>
      <c r="BGE8" s="233">
        <v>56941.25</v>
      </c>
      <c r="BGF8" s="234"/>
      <c r="BGG8" s="61" t="s">
        <v>43</v>
      </c>
      <c r="BGH8" s="62"/>
      <c r="BGI8" s="62"/>
      <c r="BGJ8" s="233">
        <v>70466</v>
      </c>
      <c r="BGK8" s="234"/>
      <c r="BGL8" s="61" t="s">
        <v>43</v>
      </c>
      <c r="BGM8" s="62"/>
      <c r="BGN8" s="62"/>
      <c r="BGO8" s="233">
        <v>22432.9</v>
      </c>
      <c r="BGP8" s="234"/>
      <c r="BGQ8" s="61" t="s">
        <v>43</v>
      </c>
      <c r="BGR8" s="62"/>
      <c r="BGS8" s="62"/>
      <c r="BGT8" s="233">
        <v>29453.5</v>
      </c>
      <c r="BGU8" s="234"/>
      <c r="BGV8" s="61" t="s">
        <v>43</v>
      </c>
      <c r="BGW8" s="62"/>
      <c r="BGX8" s="62"/>
      <c r="BGY8" s="233">
        <v>60703.5</v>
      </c>
      <c r="BGZ8" s="234"/>
      <c r="BHA8" s="61" t="s">
        <v>43</v>
      </c>
      <c r="BHB8" s="62"/>
      <c r="BHC8" s="62"/>
      <c r="BHD8" s="233">
        <v>170483.25</v>
      </c>
      <c r="BHE8" s="234"/>
      <c r="BHF8" s="61" t="s">
        <v>43</v>
      </c>
      <c r="BHG8" s="62"/>
      <c r="BHH8" s="62"/>
      <c r="BHI8" s="233">
        <v>127116.25</v>
      </c>
      <c r="BHJ8" s="234"/>
      <c r="BHK8" s="61" t="s">
        <v>43</v>
      </c>
      <c r="BHL8" s="62"/>
      <c r="BHM8" s="62"/>
      <c r="BHN8" s="233">
        <v>134735</v>
      </c>
      <c r="BHO8" s="234"/>
      <c r="BHP8" s="61" t="s">
        <v>43</v>
      </c>
      <c r="BHQ8" s="62"/>
      <c r="BHR8" s="62"/>
      <c r="BHS8" s="233">
        <v>80566.3</v>
      </c>
      <c r="BHT8" s="234"/>
      <c r="BHU8" s="61" t="s">
        <v>43</v>
      </c>
      <c r="BHV8" s="62"/>
      <c r="BHW8" s="62"/>
      <c r="BHX8" s="233">
        <v>72437</v>
      </c>
      <c r="BHY8" s="234"/>
      <c r="BHZ8" s="61" t="s">
        <v>43</v>
      </c>
      <c r="BIA8" s="62"/>
      <c r="BIB8" s="62"/>
      <c r="BIC8" s="233">
        <v>52872</v>
      </c>
      <c r="BID8" s="234"/>
      <c r="BIE8" s="61" t="s">
        <v>43</v>
      </c>
      <c r="BIF8" s="62"/>
      <c r="BIG8" s="62"/>
      <c r="BIH8" s="233">
        <v>31956.5</v>
      </c>
      <c r="BII8" s="234"/>
      <c r="BIJ8" s="61" t="s">
        <v>43</v>
      </c>
      <c r="BIK8" s="62"/>
      <c r="BIL8" s="62"/>
      <c r="BIM8" s="233">
        <v>84940</v>
      </c>
      <c r="BIN8" s="234"/>
      <c r="BIO8" s="61" t="s">
        <v>43</v>
      </c>
      <c r="BIP8" s="62"/>
      <c r="BIQ8" s="62"/>
      <c r="BIR8" s="233">
        <v>54225</v>
      </c>
      <c r="BIS8" s="234"/>
      <c r="BIT8" s="61" t="s">
        <v>43</v>
      </c>
      <c r="BIU8" s="62"/>
      <c r="BIV8" s="62"/>
      <c r="BIW8" s="233">
        <v>45250.5</v>
      </c>
      <c r="BIX8" s="234"/>
      <c r="BIY8" s="61" t="s">
        <v>43</v>
      </c>
      <c r="BIZ8" s="62"/>
      <c r="BJA8" s="62"/>
      <c r="BJB8" s="233">
        <v>15023</v>
      </c>
      <c r="BJC8" s="234"/>
      <c r="BJD8" s="61" t="s">
        <v>43</v>
      </c>
      <c r="BJE8" s="62"/>
      <c r="BJF8" s="62"/>
      <c r="BJG8" s="233">
        <v>84908</v>
      </c>
      <c r="BJH8" s="234"/>
      <c r="BJI8" s="61" t="s">
        <v>43</v>
      </c>
      <c r="BJJ8" s="62"/>
      <c r="BJK8" s="62"/>
      <c r="BJL8" s="233">
        <v>35352.25</v>
      </c>
      <c r="BJM8" s="234"/>
      <c r="BJN8" s="61" t="s">
        <v>43</v>
      </c>
      <c r="BJO8" s="62"/>
      <c r="BJP8" s="62"/>
      <c r="BJQ8" s="233">
        <v>70829</v>
      </c>
      <c r="BJR8" s="234"/>
      <c r="BJS8" s="61" t="s">
        <v>43</v>
      </c>
      <c r="BJT8" s="62"/>
      <c r="BJU8" s="62"/>
      <c r="BJV8" s="233">
        <v>15024</v>
      </c>
      <c r="BJW8" s="234"/>
      <c r="BJX8" s="61" t="s">
        <v>43</v>
      </c>
      <c r="BJY8" s="62"/>
      <c r="BJZ8" s="62"/>
      <c r="BKA8" s="233">
        <v>3005</v>
      </c>
      <c r="BKB8" s="234"/>
      <c r="BKC8" s="61" t="s">
        <v>43</v>
      </c>
      <c r="BKD8" s="62"/>
      <c r="BKE8" s="62"/>
      <c r="BKF8" s="233">
        <v>88243.5</v>
      </c>
      <c r="BKG8" s="234"/>
      <c r="BKH8" s="61" t="s">
        <v>43</v>
      </c>
      <c r="BKI8" s="62"/>
      <c r="BKJ8" s="62"/>
      <c r="BKK8" s="233">
        <v>49367</v>
      </c>
      <c r="BKL8" s="234"/>
      <c r="BKM8" s="61" t="s">
        <v>43</v>
      </c>
      <c r="BKN8" s="62"/>
      <c r="BKO8" s="62"/>
      <c r="BKP8" s="233">
        <v>35445.9</v>
      </c>
      <c r="BKQ8" s="234"/>
      <c r="BKR8" s="61" t="s">
        <v>43</v>
      </c>
      <c r="BKS8" s="62"/>
      <c r="BKT8" s="62"/>
      <c r="BKU8" s="233">
        <v>21599.75</v>
      </c>
      <c r="BKV8" s="234"/>
      <c r="BKW8" s="61" t="s">
        <v>43</v>
      </c>
      <c r="BKX8" s="62"/>
      <c r="BKY8" s="62"/>
      <c r="BKZ8" s="233">
        <v>92347.3</v>
      </c>
      <c r="BLA8" s="234"/>
      <c r="BLB8" s="61" t="s">
        <v>43</v>
      </c>
      <c r="BLC8" s="62"/>
      <c r="BLD8" s="62"/>
      <c r="BLE8" s="233">
        <v>42770.5</v>
      </c>
      <c r="BLF8" s="234"/>
      <c r="BLG8" s="61" t="s">
        <v>43</v>
      </c>
      <c r="BLH8" s="62"/>
      <c r="BLI8" s="62"/>
      <c r="BLJ8" s="233">
        <v>21528.5</v>
      </c>
      <c r="BLK8" s="234"/>
      <c r="BLL8" s="61" t="s">
        <v>43</v>
      </c>
      <c r="BLM8" s="62"/>
      <c r="BLN8" s="62"/>
      <c r="BLO8" s="233">
        <v>47933.8</v>
      </c>
      <c r="BLP8" s="234"/>
      <c r="BLQ8" s="61" t="s">
        <v>43</v>
      </c>
      <c r="BLR8" s="62"/>
      <c r="BLS8" s="62"/>
      <c r="BLT8" s="233">
        <v>6009</v>
      </c>
      <c r="BLU8" s="234"/>
      <c r="BLV8" s="61" t="s">
        <v>43</v>
      </c>
      <c r="BLW8" s="62"/>
      <c r="BLX8" s="62"/>
      <c r="BLY8" s="233">
        <v>84024.8</v>
      </c>
      <c r="BLZ8" s="234"/>
      <c r="BMA8" s="61" t="s">
        <v>43</v>
      </c>
      <c r="BMB8" s="62"/>
      <c r="BMC8" s="62"/>
      <c r="BMD8" s="233">
        <v>80518.5</v>
      </c>
      <c r="BME8" s="234"/>
      <c r="BMF8" s="61" t="s">
        <v>43</v>
      </c>
      <c r="BMG8" s="62"/>
      <c r="BMH8" s="62"/>
      <c r="BMI8" s="233">
        <v>52412.75</v>
      </c>
      <c r="BMJ8" s="234"/>
      <c r="BMK8" s="61" t="s">
        <v>43</v>
      </c>
      <c r="BML8" s="62"/>
      <c r="BMM8" s="62"/>
      <c r="BMN8" s="233">
        <v>8909</v>
      </c>
      <c r="BMO8" s="234"/>
      <c r="BMP8" s="61" t="s">
        <v>43</v>
      </c>
      <c r="BMQ8" s="62"/>
      <c r="BMR8" s="62"/>
      <c r="BMS8" s="233">
        <v>114003.75</v>
      </c>
      <c r="BMT8" s="234"/>
      <c r="BMU8" s="61" t="s">
        <v>43</v>
      </c>
      <c r="BMV8" s="62"/>
      <c r="BMW8" s="62"/>
      <c r="BMX8" s="233">
        <v>57530</v>
      </c>
      <c r="BMY8" s="234"/>
      <c r="BMZ8" s="61" t="s">
        <v>43</v>
      </c>
      <c r="BNA8" s="62"/>
      <c r="BNB8" s="62"/>
      <c r="BNC8" s="233">
        <v>39810.699999999997</v>
      </c>
      <c r="BND8" s="234"/>
      <c r="BNE8" s="61" t="s">
        <v>43</v>
      </c>
      <c r="BNF8" s="62"/>
      <c r="BNG8" s="62"/>
      <c r="BNH8" s="233">
        <v>4454.5</v>
      </c>
      <c r="BNI8" s="234"/>
      <c r="BNJ8" s="61" t="s">
        <v>43</v>
      </c>
      <c r="BNK8" s="62"/>
      <c r="BNL8" s="62"/>
      <c r="BNM8" s="233">
        <v>30065</v>
      </c>
      <c r="BNN8" s="234"/>
      <c r="BNO8" s="61" t="s">
        <v>43</v>
      </c>
      <c r="BNP8" s="62"/>
      <c r="BNQ8" s="62"/>
      <c r="BNR8" s="233">
        <v>0</v>
      </c>
      <c r="BNS8" s="234"/>
      <c r="BNT8" s="61" t="s">
        <v>43</v>
      </c>
      <c r="BNU8" s="62"/>
      <c r="BNV8" s="62"/>
      <c r="BNW8" s="233">
        <v>46099.5</v>
      </c>
      <c r="BNX8" s="234"/>
      <c r="BNY8" s="61" t="s">
        <v>43</v>
      </c>
      <c r="BNZ8" s="62"/>
      <c r="BOA8" s="62"/>
      <c r="BOB8" s="233">
        <v>57973.5</v>
      </c>
      <c r="BOC8" s="234"/>
      <c r="BOD8" s="61" t="s">
        <v>43</v>
      </c>
      <c r="BOE8" s="62"/>
      <c r="BOF8" s="62"/>
      <c r="BOG8" s="233">
        <v>25420.5</v>
      </c>
      <c r="BOH8" s="234"/>
      <c r="BOI8" s="61" t="s">
        <v>43</v>
      </c>
      <c r="BOJ8" s="62"/>
      <c r="BOK8" s="62"/>
      <c r="BOL8" s="233">
        <v>22272.5</v>
      </c>
      <c r="BOM8" s="234"/>
      <c r="BON8" s="61" t="s">
        <v>43</v>
      </c>
      <c r="BOO8" s="62"/>
      <c r="BOP8" s="62"/>
      <c r="BOQ8" s="233">
        <v>5956.5</v>
      </c>
      <c r="BOR8" s="234"/>
      <c r="BOS8" s="61" t="s">
        <v>43</v>
      </c>
      <c r="BOT8" s="62"/>
      <c r="BOU8" s="62"/>
      <c r="BOV8" s="233">
        <v>112553.5</v>
      </c>
      <c r="BOW8" s="234"/>
      <c r="BOX8" s="61" t="s">
        <v>43</v>
      </c>
      <c r="BOY8" s="62"/>
      <c r="BOZ8" s="62"/>
      <c r="BPA8" s="233">
        <v>102693</v>
      </c>
      <c r="BPB8" s="234"/>
      <c r="BPC8" s="61" t="s">
        <v>43</v>
      </c>
      <c r="BPD8" s="62"/>
      <c r="BPE8" s="62"/>
      <c r="BPF8" s="233">
        <v>91795.5</v>
      </c>
      <c r="BPG8" s="234"/>
      <c r="BPH8" s="61" t="s">
        <v>43</v>
      </c>
      <c r="BPI8" s="62"/>
      <c r="BPJ8" s="62"/>
      <c r="BPK8" s="233">
        <v>138554</v>
      </c>
      <c r="BPL8" s="234"/>
      <c r="BPM8" s="61" t="s">
        <v>43</v>
      </c>
      <c r="BPN8" s="62"/>
      <c r="BPO8" s="62"/>
      <c r="BPP8" s="233">
        <v>28508.799999999999</v>
      </c>
      <c r="BPQ8" s="234"/>
      <c r="BPR8" s="61" t="s">
        <v>43</v>
      </c>
      <c r="BPS8" s="62"/>
      <c r="BPT8" s="62"/>
      <c r="BPU8" s="233">
        <v>18101</v>
      </c>
      <c r="BPV8" s="234"/>
      <c r="BPW8" s="61" t="s">
        <v>43</v>
      </c>
      <c r="BPX8" s="62"/>
      <c r="BPY8" s="62"/>
      <c r="BPZ8" s="233">
        <v>22139.5</v>
      </c>
      <c r="BQA8" s="234"/>
      <c r="BQB8" s="61" t="s">
        <v>43</v>
      </c>
      <c r="BQC8" s="62"/>
      <c r="BQD8" s="62"/>
      <c r="BQE8" s="233">
        <v>54610</v>
      </c>
      <c r="BQF8" s="234"/>
      <c r="BQG8" s="61" t="s">
        <v>43</v>
      </c>
      <c r="BQH8" s="62"/>
      <c r="BQI8" s="62"/>
      <c r="BQJ8" s="233">
        <v>88722.3</v>
      </c>
      <c r="BQK8" s="234"/>
      <c r="BQL8" s="61" t="s">
        <v>43</v>
      </c>
      <c r="BQM8" s="62"/>
      <c r="BQN8" s="62"/>
      <c r="BQO8" s="233">
        <v>95835</v>
      </c>
      <c r="BQP8" s="234"/>
      <c r="BQQ8" s="61" t="s">
        <v>43</v>
      </c>
      <c r="BQR8" s="62"/>
      <c r="BQS8" s="62"/>
      <c r="BQT8" s="233">
        <v>149341.5</v>
      </c>
      <c r="BQU8" s="234"/>
      <c r="BQV8" s="61" t="s">
        <v>43</v>
      </c>
      <c r="BQW8" s="62"/>
      <c r="BQX8" s="62"/>
      <c r="BQY8" s="233">
        <v>21438.5</v>
      </c>
      <c r="BQZ8" s="234"/>
      <c r="BRA8" s="61" t="s">
        <v>43</v>
      </c>
      <c r="BRB8" s="62"/>
      <c r="BRC8" s="62"/>
      <c r="BRD8" s="233">
        <v>20823</v>
      </c>
      <c r="BRE8" s="234"/>
      <c r="BRF8" s="61" t="s">
        <v>43</v>
      </c>
      <c r="BRG8" s="62"/>
      <c r="BRH8" s="62"/>
      <c r="BRI8" s="233">
        <v>19004.5</v>
      </c>
      <c r="BRJ8" s="234"/>
      <c r="BRK8" s="61" t="s">
        <v>43</v>
      </c>
      <c r="BRL8" s="62"/>
      <c r="BRM8" s="62"/>
      <c r="BRN8" s="233">
        <v>84988.5</v>
      </c>
      <c r="BRO8" s="234"/>
      <c r="BRP8" s="61" t="s">
        <v>43</v>
      </c>
      <c r="BRQ8" s="62"/>
      <c r="BRR8" s="62"/>
      <c r="BRS8" s="233">
        <v>78940.5</v>
      </c>
      <c r="BRT8" s="234"/>
      <c r="BRU8" s="61" t="s">
        <v>43</v>
      </c>
      <c r="BRV8" s="62"/>
      <c r="BRW8" s="62"/>
      <c r="BRX8" s="233">
        <v>82043.5</v>
      </c>
      <c r="BRY8" s="234"/>
      <c r="BRZ8" s="61" t="s">
        <v>43</v>
      </c>
      <c r="BSA8" s="62"/>
      <c r="BSB8" s="62"/>
      <c r="BSC8" s="233">
        <v>67940</v>
      </c>
      <c r="BSD8" s="234"/>
      <c r="BSE8" s="61" t="s">
        <v>43</v>
      </c>
      <c r="BSF8" s="62"/>
      <c r="BSG8" s="62"/>
      <c r="BSH8" s="233">
        <v>43095.5</v>
      </c>
      <c r="BSI8" s="234"/>
      <c r="BSJ8" s="61" t="s">
        <v>43</v>
      </c>
      <c r="BSK8" s="62"/>
      <c r="BSL8" s="62"/>
      <c r="BSM8" s="233">
        <v>14444</v>
      </c>
      <c r="BSN8" s="234"/>
      <c r="BSO8" s="61" t="s">
        <v>43</v>
      </c>
      <c r="BSP8" s="62"/>
      <c r="BSQ8" s="62"/>
      <c r="BSR8" s="233">
        <v>6964.75</v>
      </c>
      <c r="BSS8" s="234"/>
      <c r="BST8" s="61" t="s">
        <v>43</v>
      </c>
      <c r="BSU8" s="62"/>
      <c r="BSV8" s="62"/>
      <c r="BSW8" s="233">
        <v>94727</v>
      </c>
      <c r="BSX8" s="234"/>
      <c r="BSY8" s="61" t="s">
        <v>43</v>
      </c>
      <c r="BSZ8" s="62"/>
      <c r="BTA8" s="62"/>
      <c r="BTB8" s="233">
        <v>68319.5</v>
      </c>
      <c r="BTC8" s="234"/>
      <c r="BTD8" s="61" t="s">
        <v>43</v>
      </c>
      <c r="BTE8" s="62"/>
      <c r="BTF8" s="62"/>
      <c r="BTG8" s="233">
        <v>20924</v>
      </c>
      <c r="BTH8" s="234"/>
      <c r="BTI8" s="61" t="s">
        <v>43</v>
      </c>
      <c r="BTJ8" s="62"/>
      <c r="BTK8" s="62"/>
      <c r="BTL8" s="233">
        <v>50290</v>
      </c>
      <c r="BTM8" s="234"/>
      <c r="BTN8" s="61" t="s">
        <v>43</v>
      </c>
      <c r="BTO8" s="62"/>
      <c r="BTP8" s="62"/>
      <c r="BTQ8" s="233">
        <v>53454</v>
      </c>
      <c r="BTR8" s="234"/>
      <c r="BTS8" s="61" t="s">
        <v>43</v>
      </c>
      <c r="BTT8" s="62"/>
      <c r="BTU8" s="62"/>
      <c r="BTV8" s="233">
        <v>12592</v>
      </c>
      <c r="BTW8" s="234"/>
      <c r="BTX8" s="61" t="s">
        <v>43</v>
      </c>
      <c r="BTY8" s="62"/>
      <c r="BTZ8" s="62"/>
      <c r="BUA8" s="233">
        <v>67389.5</v>
      </c>
      <c r="BUB8" s="234"/>
      <c r="BUC8" s="61" t="s">
        <v>43</v>
      </c>
      <c r="BUD8" s="62"/>
      <c r="BUE8" s="62"/>
      <c r="BUF8" s="233">
        <v>144131.25</v>
      </c>
      <c r="BUG8" s="234"/>
      <c r="BUH8" s="61" t="s">
        <v>43</v>
      </c>
      <c r="BUI8" s="62"/>
      <c r="BUJ8" s="62"/>
      <c r="BUK8" s="233">
        <v>124752</v>
      </c>
      <c r="BUL8" s="234"/>
      <c r="BUM8" s="61" t="s">
        <v>43</v>
      </c>
      <c r="BUN8" s="62"/>
      <c r="BUO8" s="62"/>
      <c r="BUP8" s="233">
        <v>171875</v>
      </c>
      <c r="BUQ8" s="234"/>
      <c r="BUR8" s="61" t="s">
        <v>43</v>
      </c>
      <c r="BUS8" s="62"/>
      <c r="BUT8" s="62"/>
      <c r="BUU8" s="233">
        <v>204890</v>
      </c>
      <c r="BUV8" s="234"/>
      <c r="BUW8" s="61" t="s">
        <v>43</v>
      </c>
      <c r="BUX8" s="62"/>
      <c r="BUY8" s="62"/>
      <c r="BUZ8" s="233">
        <v>158195</v>
      </c>
      <c r="BVA8" s="234"/>
      <c r="BVB8" s="61" t="s">
        <v>43</v>
      </c>
      <c r="BVC8" s="62"/>
      <c r="BVD8" s="62"/>
      <c r="BVE8" s="233">
        <v>46151</v>
      </c>
      <c r="BVF8" s="234"/>
      <c r="BVG8" s="61" t="s">
        <v>43</v>
      </c>
      <c r="BVH8" s="62"/>
      <c r="BVI8" s="62"/>
      <c r="BVJ8" s="233">
        <v>0</v>
      </c>
      <c r="BVK8" s="234"/>
      <c r="BVL8" s="61" t="s">
        <v>43</v>
      </c>
      <c r="BVM8" s="62"/>
      <c r="BVN8" s="62"/>
      <c r="BVO8" s="233">
        <v>31181.5</v>
      </c>
      <c r="BVP8" s="234"/>
      <c r="BVQ8" s="61" t="s">
        <v>43</v>
      </c>
      <c r="BVR8" s="62"/>
      <c r="BVS8" s="62"/>
      <c r="BVT8" s="233">
        <v>5956.5</v>
      </c>
      <c r="BVU8" s="234"/>
      <c r="BVV8" s="61" t="s">
        <v>43</v>
      </c>
      <c r="BVW8" s="62"/>
      <c r="BVX8" s="62"/>
      <c r="BVY8" s="233">
        <v>90737</v>
      </c>
      <c r="BVZ8" s="234"/>
      <c r="BWA8" s="61" t="s">
        <v>43</v>
      </c>
      <c r="BWB8" s="62"/>
      <c r="BWC8" s="62"/>
      <c r="BWD8" s="233">
        <v>169517</v>
      </c>
      <c r="BWE8" s="234"/>
      <c r="BWF8" s="61" t="s">
        <v>43</v>
      </c>
      <c r="BWG8" s="62"/>
      <c r="BWH8" s="62"/>
      <c r="BWI8" s="233">
        <v>193991.5</v>
      </c>
      <c r="BWJ8" s="234"/>
      <c r="BWK8" s="61" t="s">
        <v>43</v>
      </c>
      <c r="BWL8" s="62"/>
      <c r="BWM8" s="62"/>
      <c r="BWN8" s="233">
        <v>201790.4</v>
      </c>
      <c r="BWO8" s="234"/>
      <c r="BWP8" s="61" t="s">
        <v>43</v>
      </c>
      <c r="BWQ8" s="62"/>
      <c r="BWR8" s="62"/>
      <c r="BWS8" s="233">
        <v>174586</v>
      </c>
      <c r="BWT8" s="234"/>
      <c r="BWU8" s="61" t="s">
        <v>43</v>
      </c>
      <c r="BWV8" s="62"/>
      <c r="BWW8" s="62"/>
      <c r="BWX8" s="233">
        <v>28945.15</v>
      </c>
      <c r="BWY8" s="234"/>
      <c r="BWZ8" s="61" t="s">
        <v>43</v>
      </c>
      <c r="BXA8" s="62"/>
      <c r="BXB8" s="62"/>
      <c r="BXC8" s="233">
        <v>60992.5</v>
      </c>
      <c r="BXD8" s="234"/>
      <c r="BXE8" s="61" t="s">
        <v>43</v>
      </c>
      <c r="BXF8" s="62"/>
      <c r="BXG8" s="62"/>
      <c r="BXH8" s="233">
        <v>114211</v>
      </c>
      <c r="BXI8" s="234"/>
      <c r="BXJ8" s="61" t="s">
        <v>43</v>
      </c>
      <c r="BXK8" s="62"/>
      <c r="BXL8" s="62"/>
      <c r="BXM8" s="233">
        <v>66618</v>
      </c>
      <c r="BXN8" s="234"/>
      <c r="BXO8" s="61" t="s">
        <v>43</v>
      </c>
      <c r="BXP8" s="62"/>
      <c r="BXQ8" s="62"/>
      <c r="BXR8" s="233">
        <v>89812.5</v>
      </c>
      <c r="BXS8" s="234"/>
      <c r="BXT8" s="61" t="s">
        <v>43</v>
      </c>
      <c r="BXU8" s="62"/>
      <c r="BXV8" s="62"/>
      <c r="BXW8" s="233">
        <v>0</v>
      </c>
      <c r="BXX8" s="234"/>
      <c r="BXY8" s="61" t="s">
        <v>43</v>
      </c>
      <c r="BXZ8" s="62"/>
      <c r="BYA8" s="62"/>
      <c r="BYB8" s="233">
        <v>51783.549999999996</v>
      </c>
      <c r="BYC8" s="234"/>
      <c r="BYD8" s="61" t="s">
        <v>43</v>
      </c>
      <c r="BYE8" s="62"/>
      <c r="BYF8" s="62"/>
      <c r="BYG8" s="233" t="e">
        <v>#VALUE!</v>
      </c>
      <c r="BYH8" s="234"/>
      <c r="BYI8" s="61" t="s">
        <v>43</v>
      </c>
      <c r="BYJ8" s="62"/>
      <c r="BYK8" s="62"/>
      <c r="BYL8" s="233">
        <v>53874</v>
      </c>
      <c r="BYM8" s="234"/>
      <c r="BYN8" s="61" t="s">
        <v>43</v>
      </c>
      <c r="BYO8" s="62"/>
      <c r="BYP8" s="62"/>
      <c r="BYQ8" s="233">
        <v>35636</v>
      </c>
      <c r="BYR8" s="234"/>
      <c r="BYS8" s="61" t="s">
        <v>43</v>
      </c>
      <c r="BYT8" s="62"/>
      <c r="BYU8" s="62"/>
      <c r="BYV8" s="233">
        <v>18898.5</v>
      </c>
      <c r="BYW8" s="234"/>
      <c r="BYX8" s="61" t="s">
        <v>43</v>
      </c>
      <c r="BYY8" s="62"/>
      <c r="BYZ8" s="62"/>
      <c r="BZA8" s="233">
        <v>62045.5</v>
      </c>
      <c r="BZB8" s="234"/>
      <c r="BZC8" s="61" t="s">
        <v>43</v>
      </c>
      <c r="BZD8" s="62"/>
      <c r="BZE8" s="62"/>
      <c r="BZF8" s="233">
        <v>133993.5</v>
      </c>
      <c r="BZG8" s="234"/>
      <c r="BZH8" s="61" t="s">
        <v>43</v>
      </c>
      <c r="BZI8" s="62"/>
      <c r="BZJ8" s="62"/>
      <c r="BZK8" s="233">
        <v>122285</v>
      </c>
      <c r="BZL8" s="234"/>
      <c r="BZM8" s="61" t="s">
        <v>43</v>
      </c>
      <c r="BZN8" s="62"/>
      <c r="BZO8" s="62"/>
      <c r="BZP8" s="233">
        <v>88189.25</v>
      </c>
      <c r="BZQ8" s="234"/>
      <c r="BZR8" s="61" t="s">
        <v>43</v>
      </c>
      <c r="BZS8" s="62"/>
      <c r="BZT8" s="62"/>
      <c r="BZU8" s="233">
        <v>204372</v>
      </c>
      <c r="BZV8" s="234"/>
      <c r="BZW8" s="61" t="s">
        <v>43</v>
      </c>
      <c r="BZX8" s="62"/>
      <c r="BZY8" s="62"/>
      <c r="BZZ8" s="233">
        <v>78761.5</v>
      </c>
      <c r="CAA8" s="234"/>
      <c r="CAB8" s="61" t="s">
        <v>43</v>
      </c>
      <c r="CAC8" s="62"/>
      <c r="CAD8" s="62"/>
      <c r="CAE8" s="233">
        <v>89447.5</v>
      </c>
      <c r="CAF8" s="234"/>
      <c r="CAG8" s="61" t="s">
        <v>43</v>
      </c>
      <c r="CAH8" s="62"/>
      <c r="CAI8" s="62"/>
      <c r="CAJ8" s="233">
        <v>132892.5</v>
      </c>
      <c r="CAK8" s="234"/>
      <c r="CAL8" s="61" t="s">
        <v>43</v>
      </c>
      <c r="CAM8" s="62"/>
      <c r="CAN8" s="62"/>
      <c r="CAO8" s="233">
        <v>135712.5</v>
      </c>
      <c r="CAP8" s="234"/>
      <c r="CAQ8" s="61" t="s">
        <v>43</v>
      </c>
      <c r="CAR8" s="62"/>
      <c r="CAS8" s="62"/>
      <c r="CAT8" s="233">
        <v>53104.5</v>
      </c>
      <c r="CAU8" s="234"/>
      <c r="CAV8" s="61" t="s">
        <v>43</v>
      </c>
      <c r="CAW8" s="62"/>
      <c r="CAX8" s="62"/>
      <c r="CAY8" s="233">
        <v>40090.5</v>
      </c>
      <c r="CAZ8" s="234"/>
      <c r="CBA8" s="61" t="s">
        <v>43</v>
      </c>
      <c r="CBB8" s="62"/>
      <c r="CBC8" s="62"/>
      <c r="CBD8" s="233">
        <v>35636</v>
      </c>
      <c r="CBE8" s="234"/>
      <c r="CBF8" s="61" t="s">
        <v>43</v>
      </c>
      <c r="CBG8" s="62"/>
      <c r="CBH8" s="62"/>
      <c r="CBI8" s="233">
        <v>37857</v>
      </c>
      <c r="CBJ8" s="234"/>
      <c r="CBK8" s="61" t="s">
        <v>43</v>
      </c>
      <c r="CBL8" s="62"/>
      <c r="CBM8" s="62"/>
      <c r="CBN8" s="233">
        <v>121983.5</v>
      </c>
      <c r="CBO8" s="234"/>
      <c r="CBP8" s="61" t="s">
        <v>43</v>
      </c>
      <c r="CBQ8" s="62"/>
      <c r="CBR8" s="62"/>
      <c r="CBS8" s="233">
        <v>85418</v>
      </c>
      <c r="CBT8" s="234"/>
      <c r="CBU8" s="61" t="s">
        <v>43</v>
      </c>
      <c r="CBV8" s="62"/>
      <c r="CBW8" s="62"/>
      <c r="CBX8" s="233">
        <v>97118</v>
      </c>
      <c r="CBY8" s="234"/>
      <c r="CBZ8" s="61" t="s">
        <v>43</v>
      </c>
      <c r="CCA8" s="62"/>
      <c r="CCB8" s="62"/>
      <c r="CCC8" s="233">
        <v>55669.5</v>
      </c>
      <c r="CCD8" s="234"/>
      <c r="CCE8" s="61" t="s">
        <v>43</v>
      </c>
      <c r="CCF8" s="62"/>
      <c r="CCG8" s="62"/>
      <c r="CCH8" s="233">
        <v>41698.5</v>
      </c>
      <c r="CCI8" s="234"/>
      <c r="CCJ8" s="61" t="s">
        <v>43</v>
      </c>
      <c r="CCK8" s="62"/>
      <c r="CCL8" s="62"/>
      <c r="CCM8" s="233">
        <v>53558</v>
      </c>
      <c r="CCN8" s="234"/>
      <c r="CCO8" s="61" t="s">
        <v>43</v>
      </c>
      <c r="CCP8" s="62"/>
      <c r="CCQ8" s="62"/>
      <c r="CCR8" s="233">
        <v>62467</v>
      </c>
      <c r="CCS8" s="234"/>
      <c r="CCT8" s="61" t="s">
        <v>43</v>
      </c>
      <c r="CCU8" s="62"/>
      <c r="CCV8" s="62"/>
      <c r="CCW8" s="233">
        <v>46219.5</v>
      </c>
      <c r="CCX8" s="234"/>
      <c r="CCY8" s="61" t="s">
        <v>43</v>
      </c>
      <c r="CCZ8" s="62"/>
      <c r="CDA8" s="62"/>
      <c r="CDB8" s="233">
        <v>44510.25</v>
      </c>
      <c r="CDC8" s="234"/>
      <c r="CDD8" s="61" t="s">
        <v>43</v>
      </c>
      <c r="CDE8" s="62"/>
      <c r="CDF8" s="62"/>
      <c r="CDG8" s="233">
        <v>74537.5</v>
      </c>
      <c r="CDH8" s="234"/>
      <c r="CDI8" s="61" t="s">
        <v>43</v>
      </c>
      <c r="CDJ8" s="62"/>
      <c r="CDK8" s="62"/>
      <c r="CDL8" s="233">
        <v>55008.5</v>
      </c>
      <c r="CDM8" s="234"/>
      <c r="CDN8" s="61" t="s">
        <v>43</v>
      </c>
      <c r="CDO8" s="62"/>
      <c r="CDP8" s="62"/>
      <c r="CDQ8" s="233">
        <v>25433</v>
      </c>
      <c r="CDR8" s="234"/>
      <c r="CDS8" s="61" t="s">
        <v>43</v>
      </c>
      <c r="CDT8" s="62"/>
      <c r="CDU8" s="62"/>
      <c r="CDV8" s="233">
        <v>80828.5</v>
      </c>
      <c r="CDW8" s="234"/>
      <c r="CDX8" s="61" t="s">
        <v>43</v>
      </c>
      <c r="CDY8" s="62"/>
      <c r="CDZ8" s="62"/>
      <c r="CEA8" s="233">
        <v>217630.5</v>
      </c>
      <c r="CEB8" s="234"/>
      <c r="CEC8" s="61" t="s">
        <v>43</v>
      </c>
      <c r="CED8" s="62"/>
      <c r="CEE8" s="62"/>
      <c r="CEF8" s="233">
        <v>135477.5</v>
      </c>
      <c r="CEG8" s="234"/>
      <c r="CEH8" s="61" t="s">
        <v>43</v>
      </c>
      <c r="CEI8" s="62"/>
      <c r="CEJ8" s="62"/>
      <c r="CEK8" s="233">
        <v>209450.5</v>
      </c>
      <c r="CEL8" s="234"/>
      <c r="CEM8" s="61" t="s">
        <v>43</v>
      </c>
      <c r="CEN8" s="62"/>
      <c r="CEO8" s="62"/>
      <c r="CEP8" s="233">
        <v>0</v>
      </c>
      <c r="CEQ8" s="234"/>
      <c r="CER8" s="61" t="s">
        <v>43</v>
      </c>
      <c r="CES8" s="62"/>
      <c r="CET8" s="62"/>
      <c r="CEU8" s="233">
        <v>109965.5</v>
      </c>
      <c r="CEV8" s="234"/>
      <c r="CEW8" s="61" t="s">
        <v>43</v>
      </c>
      <c r="CEX8" s="62"/>
      <c r="CEY8" s="62"/>
      <c r="CEZ8" s="233">
        <v>178391</v>
      </c>
      <c r="CFA8" s="234"/>
      <c r="CFB8" s="61" t="s">
        <v>43</v>
      </c>
      <c r="CFC8" s="62"/>
      <c r="CFD8" s="62"/>
      <c r="CFE8" s="233">
        <v>185920.5</v>
      </c>
      <c r="CFF8" s="234"/>
      <c r="CFG8" s="61" t="s">
        <v>43</v>
      </c>
      <c r="CFH8" s="62"/>
      <c r="CFI8" s="62"/>
      <c r="CFJ8" s="233">
        <v>114016.5</v>
      </c>
      <c r="CFK8" s="234"/>
      <c r="CFL8" s="61" t="s">
        <v>43</v>
      </c>
      <c r="CFM8" s="62"/>
      <c r="CFN8" s="62"/>
      <c r="CFO8" s="233">
        <v>235399.5</v>
      </c>
      <c r="CFP8" s="234"/>
      <c r="CFQ8" s="61" t="s">
        <v>43</v>
      </c>
      <c r="CFR8" s="62"/>
      <c r="CFS8" s="62"/>
      <c r="CFT8" s="233">
        <v>163220.35</v>
      </c>
      <c r="CFU8" s="234"/>
      <c r="CFV8" s="61" t="s">
        <v>43</v>
      </c>
      <c r="CFW8" s="62"/>
      <c r="CFX8" s="62"/>
      <c r="CFY8" s="233">
        <v>48999.5</v>
      </c>
      <c r="CFZ8" s="234"/>
      <c r="CGA8" s="61" t="s">
        <v>43</v>
      </c>
      <c r="CGB8" s="62"/>
      <c r="CGC8" s="62"/>
      <c r="CGD8" s="233">
        <v>10061.5</v>
      </c>
      <c r="CGE8" s="234"/>
      <c r="CGF8" s="61" t="s">
        <v>43</v>
      </c>
      <c r="CGG8" s="62"/>
      <c r="CGH8" s="62"/>
      <c r="CGI8" s="233">
        <v>69131.5</v>
      </c>
      <c r="CGJ8" s="234"/>
      <c r="CGK8" s="61" t="s">
        <v>43</v>
      </c>
      <c r="CGL8" s="62"/>
      <c r="CGM8" s="62"/>
      <c r="CGN8" s="233">
        <v>159934.5</v>
      </c>
      <c r="CGO8" s="234"/>
      <c r="CGP8" s="61" t="s">
        <v>43</v>
      </c>
      <c r="CGQ8" s="62"/>
      <c r="CGR8" s="62"/>
      <c r="CGS8" s="233">
        <v>154992</v>
      </c>
      <c r="CGT8" s="234"/>
      <c r="CGU8" s="61" t="s">
        <v>43</v>
      </c>
      <c r="CGV8" s="62"/>
      <c r="CGW8" s="62"/>
      <c r="CGX8" s="233">
        <v>31286.5</v>
      </c>
      <c r="CGY8" s="234"/>
      <c r="CGZ8" s="61" t="s">
        <v>43</v>
      </c>
      <c r="CHA8" s="62"/>
      <c r="CHB8" s="62"/>
      <c r="CHC8" s="233">
        <v>2833.2</v>
      </c>
      <c r="CHD8" s="234"/>
      <c r="CHE8" s="61" t="s">
        <v>43</v>
      </c>
      <c r="CHF8" s="62"/>
      <c r="CHG8" s="62"/>
      <c r="CHH8" s="233">
        <v>14579</v>
      </c>
      <c r="CHI8" s="234"/>
      <c r="CHJ8" s="61" t="s">
        <v>43</v>
      </c>
      <c r="CHK8" s="62"/>
      <c r="CHL8" s="62"/>
      <c r="CHM8" s="233">
        <v>12052.5</v>
      </c>
      <c r="CHN8" s="234"/>
      <c r="CHO8" s="61" t="s">
        <v>43</v>
      </c>
      <c r="CHP8" s="62"/>
      <c r="CHQ8" s="62"/>
      <c r="CHR8" s="233">
        <v>82639.25</v>
      </c>
      <c r="CHS8" s="234"/>
      <c r="CHT8" s="61" t="s">
        <v>43</v>
      </c>
      <c r="CHU8" s="62"/>
      <c r="CHV8" s="62"/>
      <c r="CHW8" s="233">
        <v>61159</v>
      </c>
      <c r="CHX8" s="234"/>
      <c r="CHY8" s="61" t="s">
        <v>43</v>
      </c>
      <c r="CHZ8" s="62"/>
      <c r="CIA8" s="62"/>
      <c r="CIB8" s="233">
        <v>24577</v>
      </c>
      <c r="CIC8" s="234"/>
      <c r="CID8" s="61" t="s">
        <v>43</v>
      </c>
      <c r="CIE8" s="62"/>
      <c r="CIF8" s="62"/>
      <c r="CIG8" s="233">
        <v>50553</v>
      </c>
      <c r="CIH8" s="234"/>
      <c r="CII8" s="61" t="s">
        <v>43</v>
      </c>
      <c r="CIJ8" s="62"/>
      <c r="CIK8" s="62"/>
      <c r="CIL8" s="233">
        <v>74102.2</v>
      </c>
      <c r="CIM8" s="234"/>
      <c r="CIN8" s="61" t="s">
        <v>43</v>
      </c>
      <c r="CIO8" s="62"/>
      <c r="CIP8" s="62"/>
      <c r="CIQ8" s="233">
        <v>44648</v>
      </c>
      <c r="CIR8" s="234"/>
      <c r="CIS8" s="61" t="s">
        <v>43</v>
      </c>
      <c r="CIT8" s="62"/>
      <c r="CIU8" s="62"/>
      <c r="CIV8" s="233">
        <v>38691.5</v>
      </c>
      <c r="CIW8" s="234"/>
      <c r="CIX8" s="61" t="s">
        <v>43</v>
      </c>
      <c r="CIY8" s="62"/>
      <c r="CIZ8" s="62"/>
      <c r="CJA8" s="233">
        <v>148285.5</v>
      </c>
      <c r="CJB8" s="234"/>
      <c r="CJC8" s="61" t="s">
        <v>43</v>
      </c>
      <c r="CJD8" s="62"/>
      <c r="CJE8" s="62"/>
      <c r="CJF8" s="233">
        <v>57467.25</v>
      </c>
      <c r="CJG8" s="234"/>
      <c r="CJH8" s="61" t="s">
        <v>43</v>
      </c>
      <c r="CJI8" s="62"/>
      <c r="CJJ8" s="62"/>
      <c r="CJK8" s="233">
        <v>26727</v>
      </c>
      <c r="CJL8" s="234"/>
      <c r="CJM8" s="61" t="s">
        <v>43</v>
      </c>
      <c r="CJN8" s="62"/>
      <c r="CJO8" s="62"/>
      <c r="CJP8" s="233">
        <v>44545</v>
      </c>
      <c r="CJQ8" s="234"/>
      <c r="CJR8" s="61" t="s">
        <v>43</v>
      </c>
      <c r="CJS8" s="62"/>
      <c r="CJT8" s="62"/>
      <c r="CJU8" s="233">
        <v>83202.5</v>
      </c>
      <c r="CJV8" s="234"/>
      <c r="CJW8" s="61" t="s">
        <v>43</v>
      </c>
      <c r="CJX8" s="62"/>
      <c r="CJY8" s="62"/>
      <c r="CJZ8" s="233">
        <v>90008.1</v>
      </c>
      <c r="CKA8" s="234"/>
      <c r="CKB8" s="61" t="s">
        <v>43</v>
      </c>
      <c r="CKC8" s="62"/>
      <c r="CKD8" s="62"/>
      <c r="CKE8" s="233">
        <v>193420.7</v>
      </c>
      <c r="CKF8" s="234"/>
      <c r="CKG8" s="61" t="s">
        <v>43</v>
      </c>
      <c r="CKH8" s="62"/>
      <c r="CKI8" s="62"/>
      <c r="CKJ8" s="233">
        <v>162021.5</v>
      </c>
      <c r="CKK8" s="234"/>
      <c r="CKL8" s="61" t="s">
        <v>43</v>
      </c>
      <c r="CKM8" s="62"/>
      <c r="CKN8" s="62"/>
      <c r="CKO8" s="233">
        <v>138371.5</v>
      </c>
      <c r="CKP8" s="234"/>
      <c r="CKQ8" s="61" t="s">
        <v>43</v>
      </c>
      <c r="CKR8" s="62"/>
      <c r="CKS8" s="62"/>
      <c r="CKT8" s="233">
        <v>110121</v>
      </c>
      <c r="CKU8" s="234"/>
      <c r="CKV8" s="61" t="s">
        <v>43</v>
      </c>
      <c r="CKW8" s="62"/>
      <c r="CKX8" s="62"/>
      <c r="CKY8" s="233">
        <v>75694.5</v>
      </c>
      <c r="CKZ8" s="234"/>
      <c r="CLA8" s="61" t="s">
        <v>43</v>
      </c>
      <c r="CLB8" s="62"/>
      <c r="CLC8" s="62"/>
      <c r="CLD8" s="233">
        <v>110122</v>
      </c>
      <c r="CLE8" s="234"/>
      <c r="CLF8" s="61" t="s">
        <v>43</v>
      </c>
      <c r="CLG8" s="62"/>
      <c r="CLH8" s="62"/>
      <c r="CLI8" s="233">
        <v>134919.9</v>
      </c>
      <c r="CLJ8" s="234"/>
      <c r="CLK8" s="61" t="s">
        <v>43</v>
      </c>
      <c r="CLL8" s="62"/>
      <c r="CLM8" s="62"/>
      <c r="CLN8" s="233">
        <v>246582.7</v>
      </c>
      <c r="CLO8" s="234"/>
      <c r="CLP8" s="61" t="s">
        <v>43</v>
      </c>
      <c r="CLQ8" s="62"/>
      <c r="CLR8" s="62"/>
      <c r="CLS8" s="233">
        <v>143648.5</v>
      </c>
      <c r="CLT8" s="234"/>
      <c r="CLU8" s="61" t="s">
        <v>43</v>
      </c>
      <c r="CLV8" s="62"/>
      <c r="CLW8" s="62"/>
      <c r="CLX8" s="233">
        <v>93792</v>
      </c>
      <c r="CLY8" s="234"/>
      <c r="CLZ8" s="61" t="s">
        <v>43</v>
      </c>
      <c r="CMA8" s="62"/>
      <c r="CMB8" s="62"/>
      <c r="CMC8" s="233">
        <v>32683.5</v>
      </c>
      <c r="CMD8" s="234"/>
      <c r="CME8" s="61" t="s">
        <v>43</v>
      </c>
      <c r="CMF8" s="62"/>
      <c r="CMG8" s="62"/>
      <c r="CMH8" s="233">
        <v>118722</v>
      </c>
      <c r="CMI8" s="234"/>
      <c r="CMJ8" s="61" t="s">
        <v>43</v>
      </c>
      <c r="CMK8" s="62"/>
      <c r="CML8" s="62"/>
      <c r="CMM8" s="233">
        <v>163682</v>
      </c>
      <c r="CMN8" s="234"/>
      <c r="CMO8" s="61" t="s">
        <v>43</v>
      </c>
      <c r="CMP8" s="62"/>
      <c r="CMQ8" s="62"/>
      <c r="CMR8" s="233">
        <v>245600</v>
      </c>
      <c r="CMS8" s="234"/>
      <c r="CMT8" s="61" t="s">
        <v>43</v>
      </c>
      <c r="CMU8" s="62"/>
      <c r="CMV8" s="62"/>
      <c r="CMW8" s="233">
        <v>191700.5</v>
      </c>
      <c r="CMX8" s="234"/>
      <c r="CMY8" s="61" t="s">
        <v>43</v>
      </c>
      <c r="CMZ8" s="62"/>
      <c r="CNA8" s="62"/>
      <c r="CNB8" s="233">
        <v>130715.25</v>
      </c>
      <c r="CNC8" s="234"/>
      <c r="CND8" s="61" t="s">
        <v>43</v>
      </c>
      <c r="CNE8" s="62"/>
      <c r="CNF8" s="62"/>
      <c r="CNG8" s="233">
        <v>117098</v>
      </c>
      <c r="CNH8" s="234"/>
      <c r="CNI8" s="61" t="s">
        <v>43</v>
      </c>
      <c r="CNJ8" s="62"/>
      <c r="CNK8" s="62"/>
      <c r="CNL8" s="233">
        <v>150056</v>
      </c>
      <c r="CNM8" s="234"/>
      <c r="CNN8" s="61" t="s">
        <v>43</v>
      </c>
      <c r="CNO8" s="62"/>
      <c r="CNP8" s="62"/>
      <c r="CNQ8" s="233">
        <v>164420</v>
      </c>
      <c r="CNR8" s="234"/>
      <c r="CNS8" s="61" t="s">
        <v>43</v>
      </c>
      <c r="CNT8" s="62"/>
      <c r="CNU8" s="62"/>
      <c r="CNV8" s="233">
        <v>151869</v>
      </c>
      <c r="CNW8" s="234"/>
      <c r="CNX8" s="61" t="s">
        <v>43</v>
      </c>
      <c r="CNY8" s="62"/>
      <c r="CNZ8" s="62"/>
      <c r="COA8" s="233">
        <v>308882.40000000002</v>
      </c>
      <c r="COB8" s="234"/>
      <c r="COC8" s="61" t="s">
        <v>43</v>
      </c>
      <c r="COD8" s="62"/>
      <c r="COE8" s="62"/>
      <c r="COF8" s="233">
        <v>382085.4</v>
      </c>
      <c r="COG8" s="234"/>
      <c r="COH8" s="61" t="s">
        <v>43</v>
      </c>
      <c r="COI8" s="62"/>
      <c r="COJ8" s="62"/>
      <c r="COK8" s="233">
        <v>281717</v>
      </c>
      <c r="COL8" s="234"/>
      <c r="COM8" s="61" t="s">
        <v>43</v>
      </c>
      <c r="CON8" s="62"/>
      <c r="COO8" s="62"/>
      <c r="COP8" s="233">
        <v>184089</v>
      </c>
      <c r="COQ8" s="234"/>
      <c r="COR8" s="61" t="s">
        <v>43</v>
      </c>
      <c r="COS8" s="62"/>
      <c r="COT8" s="62"/>
      <c r="COU8" s="233">
        <v>0</v>
      </c>
      <c r="COV8" s="234"/>
      <c r="COW8" s="61" t="s">
        <v>43</v>
      </c>
      <c r="COX8" s="62"/>
      <c r="COY8" s="62"/>
      <c r="COZ8" s="233">
        <v>79586.5</v>
      </c>
      <c r="CPA8" s="234"/>
      <c r="CPB8" s="61" t="s">
        <v>43</v>
      </c>
      <c r="CPC8" s="62"/>
      <c r="CPD8" s="62"/>
      <c r="CPE8" s="233">
        <v>81520.5</v>
      </c>
      <c r="CPF8" s="234"/>
      <c r="CPG8" s="61" t="s">
        <v>43</v>
      </c>
      <c r="CPH8" s="62"/>
      <c r="CPI8" s="62"/>
      <c r="CPJ8" s="233">
        <v>172670.5</v>
      </c>
      <c r="CPK8" s="234"/>
      <c r="CPL8" s="61" t="s">
        <v>43</v>
      </c>
      <c r="CPM8" s="62"/>
      <c r="CPN8" s="62"/>
      <c r="CPO8" s="233">
        <v>50891.78</v>
      </c>
      <c r="CPP8" s="234"/>
      <c r="CPQ8" s="61" t="s">
        <v>43</v>
      </c>
      <c r="CPR8" s="62"/>
      <c r="CPS8" s="62"/>
      <c r="CPT8" s="233">
        <v>159259</v>
      </c>
      <c r="CPU8" s="234"/>
      <c r="CPV8" s="61" t="s">
        <v>43</v>
      </c>
      <c r="CPW8" s="62"/>
      <c r="CPX8" s="62"/>
      <c r="CPY8" s="233">
        <v>76968.5</v>
      </c>
      <c r="CPZ8" s="234"/>
      <c r="CQA8" s="61" t="s">
        <v>43</v>
      </c>
      <c r="CQB8" s="62"/>
      <c r="CQC8" s="62"/>
      <c r="CQD8" s="233">
        <v>61302.25</v>
      </c>
      <c r="CQE8" s="234"/>
      <c r="CQF8" s="61" t="s">
        <v>43</v>
      </c>
      <c r="CQG8" s="62"/>
      <c r="CQH8" s="62"/>
      <c r="CQI8" s="233">
        <v>107615.5</v>
      </c>
      <c r="CQJ8" s="234"/>
      <c r="CQK8" s="61" t="s">
        <v>43</v>
      </c>
      <c r="CQL8" s="62"/>
      <c r="CQM8" s="62"/>
      <c r="CQN8" s="233">
        <v>170416</v>
      </c>
      <c r="CQO8" s="234"/>
      <c r="CQP8" s="61" t="s">
        <v>43</v>
      </c>
      <c r="CQQ8" s="62"/>
      <c r="CQR8" s="62"/>
      <c r="CQS8" s="233">
        <v>147195</v>
      </c>
      <c r="CQT8" s="234"/>
      <c r="CQU8" s="61" t="s">
        <v>43</v>
      </c>
      <c r="CQV8" s="62"/>
      <c r="CQW8" s="62"/>
      <c r="CQX8" s="233">
        <v>111624</v>
      </c>
      <c r="CQY8" s="234"/>
      <c r="CQZ8" s="61" t="s">
        <v>43</v>
      </c>
      <c r="CRA8" s="62"/>
      <c r="CRB8" s="62"/>
      <c r="CRC8" s="233">
        <v>115341.5</v>
      </c>
      <c r="CRD8" s="234"/>
      <c r="CRE8" s="8" t="s">
        <v>43</v>
      </c>
      <c r="CRF8" s="2"/>
      <c r="CRG8" s="2"/>
      <c r="CRH8" s="294">
        <v>206459.25</v>
      </c>
      <c r="CRI8" s="295"/>
      <c r="CRJ8" s="8" t="s">
        <v>43</v>
      </c>
      <c r="CRK8" s="2"/>
      <c r="CRL8" s="2"/>
      <c r="CRM8" s="294">
        <v>112254</v>
      </c>
      <c r="CRN8" s="295"/>
      <c r="CRO8" s="8" t="s">
        <v>43</v>
      </c>
      <c r="CRP8" s="2"/>
      <c r="CRQ8" s="2"/>
      <c r="CRR8" s="294">
        <v>64678.5</v>
      </c>
      <c r="CRS8" s="295"/>
      <c r="CRT8" s="8" t="s">
        <v>43</v>
      </c>
      <c r="CRU8" s="2"/>
      <c r="CRV8" s="2"/>
      <c r="CRW8" s="294">
        <v>28820.25</v>
      </c>
      <c r="CRX8" s="295"/>
      <c r="CRY8" s="8" t="s">
        <v>43</v>
      </c>
      <c r="CRZ8" s="2"/>
      <c r="CSA8" s="2"/>
      <c r="CSB8" s="22">
        <v>30128</v>
      </c>
      <c r="CSC8" s="8" t="s">
        <v>43</v>
      </c>
      <c r="CSD8" s="2"/>
      <c r="CSE8" s="2"/>
      <c r="CSF8" s="22">
        <v>45149</v>
      </c>
      <c r="CSG8" s="8" t="s">
        <v>43</v>
      </c>
      <c r="CSH8" s="2"/>
      <c r="CSI8" s="2"/>
      <c r="CSJ8" s="22">
        <v>66582</v>
      </c>
      <c r="CSK8" s="8" t="s">
        <v>43</v>
      </c>
      <c r="CSL8" s="2"/>
      <c r="CSM8" s="2"/>
      <c r="CSN8" s="22">
        <v>89903</v>
      </c>
      <c r="CSO8" s="8" t="s">
        <v>43</v>
      </c>
      <c r="CSP8" s="2"/>
      <c r="CSQ8" s="2"/>
      <c r="CSR8" s="22">
        <v>61522.5</v>
      </c>
      <c r="CSS8" s="8" t="s">
        <v>43</v>
      </c>
      <c r="CST8" s="2"/>
      <c r="CSU8" s="2"/>
      <c r="CSV8" s="22">
        <v>52482.5</v>
      </c>
      <c r="CSW8" s="8" t="s">
        <v>43</v>
      </c>
      <c r="CSX8" s="2"/>
      <c r="CSY8" s="2"/>
      <c r="CSZ8" s="22">
        <v>108658.75</v>
      </c>
      <c r="CTA8" s="8" t="s">
        <v>43</v>
      </c>
      <c r="CTB8" s="2"/>
      <c r="CTC8" s="2"/>
      <c r="CTD8" s="22">
        <v>59159.75</v>
      </c>
      <c r="CTE8" s="8" t="s">
        <v>43</v>
      </c>
      <c r="CTF8" s="2"/>
      <c r="CTG8" s="2"/>
      <c r="CTH8" s="22">
        <v>139217.5</v>
      </c>
      <c r="CTI8" s="8" t="s">
        <v>43</v>
      </c>
      <c r="CTJ8" s="2"/>
      <c r="CTK8" s="2"/>
      <c r="CTL8" s="22">
        <v>75207.5</v>
      </c>
      <c r="CTM8" s="8" t="s">
        <v>43</v>
      </c>
      <c r="CTN8" s="2"/>
      <c r="CTO8" s="2"/>
      <c r="CTP8" s="22">
        <v>50816.5</v>
      </c>
      <c r="CTQ8" s="8" t="s">
        <v>43</v>
      </c>
      <c r="CTR8" s="2"/>
      <c r="CTS8" s="2"/>
      <c r="CTT8" s="22">
        <v>28111.5</v>
      </c>
      <c r="CTU8" s="8" t="s">
        <v>43</v>
      </c>
      <c r="CTV8" s="2"/>
      <c r="CTW8" s="2"/>
      <c r="CTX8" s="22">
        <v>43398.25</v>
      </c>
      <c r="CTY8" s="8" t="s">
        <v>43</v>
      </c>
      <c r="CTZ8" s="2"/>
      <c r="CUA8" s="2"/>
      <c r="CUB8" s="22">
        <v>114552.5</v>
      </c>
      <c r="CUC8" s="8" t="s">
        <v>43</v>
      </c>
      <c r="CUD8" s="2"/>
      <c r="CUE8" s="2"/>
      <c r="CUF8" s="22">
        <v>50156</v>
      </c>
      <c r="CUG8" s="8" t="s">
        <v>43</v>
      </c>
      <c r="CUH8" s="2"/>
      <c r="CUI8" s="2"/>
      <c r="CUJ8" s="22">
        <v>68753.5</v>
      </c>
      <c r="CUK8" s="8" t="s">
        <v>43</v>
      </c>
      <c r="CUL8" s="2"/>
      <c r="CUM8" s="2"/>
      <c r="CUN8" s="22">
        <v>802</v>
      </c>
      <c r="CUO8" s="8" t="s">
        <v>43</v>
      </c>
      <c r="CUP8" s="2"/>
      <c r="CUQ8" s="2"/>
      <c r="CUR8" s="22">
        <v>6868</v>
      </c>
      <c r="CUS8" s="8" t="s">
        <v>43</v>
      </c>
      <c r="CUT8" s="2"/>
      <c r="CUU8" s="2"/>
      <c r="CUV8" s="22">
        <v>22061</v>
      </c>
      <c r="CUW8" s="8" t="s">
        <v>43</v>
      </c>
      <c r="CUX8" s="2"/>
      <c r="CUY8" s="2"/>
      <c r="CUZ8" s="22">
        <v>76055.5</v>
      </c>
      <c r="CVA8" s="8" t="s">
        <v>43</v>
      </c>
      <c r="CVB8" s="2"/>
      <c r="CVC8" s="2"/>
      <c r="CVD8" s="22">
        <v>5163.25</v>
      </c>
      <c r="CVE8" s="8" t="s">
        <v>43</v>
      </c>
      <c r="CVF8" s="2"/>
      <c r="CVG8" s="2"/>
      <c r="CVH8" s="22">
        <v>0</v>
      </c>
      <c r="CVI8" s="8" t="s">
        <v>43</v>
      </c>
      <c r="CVJ8" s="2"/>
      <c r="CVK8" s="2"/>
      <c r="CVL8" s="22">
        <v>8183.75</v>
      </c>
      <c r="CVM8" s="8" t="s">
        <v>43</v>
      </c>
      <c r="CVN8" s="2"/>
      <c r="CVO8" s="2"/>
      <c r="CVP8" s="22">
        <v>16578.5</v>
      </c>
      <c r="CVQ8" s="8" t="s">
        <v>43</v>
      </c>
      <c r="CVR8" s="2"/>
      <c r="CVS8" s="2"/>
      <c r="CVT8" s="22">
        <v>92034</v>
      </c>
      <c r="CVU8" s="8" t="s">
        <v>43</v>
      </c>
      <c r="CVV8" s="2"/>
      <c r="CVW8" s="2"/>
      <c r="CVX8" s="22">
        <v>0</v>
      </c>
      <c r="CVY8" s="8" t="s">
        <v>43</v>
      </c>
      <c r="CVZ8" s="2"/>
      <c r="CWA8" s="2"/>
      <c r="CWB8" s="22">
        <v>86658.5</v>
      </c>
      <c r="CWC8" s="8" t="s">
        <v>43</v>
      </c>
      <c r="CWD8" s="2"/>
      <c r="CWE8" s="2"/>
      <c r="CWF8" s="22">
        <v>100528.97</v>
      </c>
      <c r="CWG8" s="8" t="s">
        <v>43</v>
      </c>
      <c r="CWH8" s="2"/>
      <c r="CWI8" s="2"/>
      <c r="CWJ8" s="22">
        <v>7655</v>
      </c>
      <c r="CWK8" s="8" t="s">
        <v>43</v>
      </c>
      <c r="CWL8" s="2"/>
      <c r="CWM8" s="2"/>
      <c r="CWN8" s="22">
        <v>11811.14</v>
      </c>
      <c r="CWO8" s="8" t="s">
        <v>43</v>
      </c>
      <c r="CWP8" s="2"/>
      <c r="CWQ8" s="2"/>
      <c r="CWR8" s="22">
        <v>45624.5</v>
      </c>
      <c r="CWS8" s="8" t="s">
        <v>43</v>
      </c>
      <c r="CWT8" s="2"/>
      <c r="CWU8" s="2"/>
      <c r="CWV8" s="22">
        <v>0</v>
      </c>
      <c r="CWW8" s="8" t="s">
        <v>43</v>
      </c>
      <c r="CWX8" s="2"/>
      <c r="CWY8" s="2"/>
      <c r="CWZ8" s="22">
        <v>97043.5</v>
      </c>
      <c r="CXA8" s="31" t="s">
        <v>43</v>
      </c>
      <c r="CXB8" s="32"/>
      <c r="CXC8" s="32"/>
      <c r="CXD8" s="33">
        <v>19940.5</v>
      </c>
      <c r="CXE8" s="31" t="s">
        <v>43</v>
      </c>
      <c r="CXF8" s="32"/>
      <c r="CXG8" s="32"/>
      <c r="CXH8" s="33">
        <v>11618.64</v>
      </c>
      <c r="CXI8" s="31" t="s">
        <v>43</v>
      </c>
      <c r="CXJ8" s="32"/>
      <c r="CXK8" s="32"/>
      <c r="CXL8" s="33">
        <v>44911</v>
      </c>
      <c r="CXM8" s="31" t="s">
        <v>43</v>
      </c>
      <c r="CXN8" s="32"/>
      <c r="CXO8" s="32"/>
      <c r="CXP8" s="33">
        <v>66568.5</v>
      </c>
      <c r="CXQ8" s="31" t="s">
        <v>43</v>
      </c>
      <c r="CXR8" s="32"/>
      <c r="CXS8" s="32"/>
      <c r="CXT8" s="33">
        <v>127123.5</v>
      </c>
      <c r="CXU8" s="26" t="s">
        <v>43</v>
      </c>
      <c r="CXX8" s="26">
        <v>19600.75</v>
      </c>
      <c r="CXY8" s="26" t="s">
        <v>43</v>
      </c>
      <c r="CYB8" s="26">
        <v>7662.5</v>
      </c>
      <c r="CYC8" s="26" t="s">
        <v>43</v>
      </c>
      <c r="CYF8" s="26">
        <v>146273</v>
      </c>
      <c r="CYG8" s="26" t="s">
        <v>4</v>
      </c>
      <c r="CYK8" s="26" t="s">
        <v>4</v>
      </c>
      <c r="CYO8" s="26" t="s">
        <v>4</v>
      </c>
      <c r="CYS8" s="26" t="s">
        <v>4</v>
      </c>
      <c r="CYW8" s="26" t="s">
        <v>4</v>
      </c>
      <c r="CZA8" s="26" t="s">
        <v>4</v>
      </c>
      <c r="CZE8" s="26" t="s">
        <v>4</v>
      </c>
      <c r="CZI8" s="26" t="s">
        <v>4</v>
      </c>
      <c r="CZM8" s="26" t="s">
        <v>4</v>
      </c>
      <c r="CZQ8" s="26" t="s">
        <v>4</v>
      </c>
      <c r="CZU8" s="26" t="s">
        <v>4</v>
      </c>
      <c r="CZY8" s="26" t="s">
        <v>4</v>
      </c>
      <c r="DAC8" s="26" t="s">
        <v>4</v>
      </c>
      <c r="DAG8" s="26" t="s">
        <v>4</v>
      </c>
      <c r="DAK8" s="26" t="s">
        <v>4</v>
      </c>
      <c r="DAO8" s="26" t="s">
        <v>4</v>
      </c>
      <c r="DAS8" s="26" t="s">
        <v>4</v>
      </c>
      <c r="DAW8" s="26" t="s">
        <v>4</v>
      </c>
      <c r="DBA8" s="26" t="s">
        <v>4</v>
      </c>
      <c r="DBE8" s="26" t="s">
        <v>4</v>
      </c>
      <c r="DBI8" s="26" t="s">
        <v>4</v>
      </c>
      <c r="DBM8" s="26" t="s">
        <v>4</v>
      </c>
      <c r="DBQ8" s="26" t="s">
        <v>4</v>
      </c>
      <c r="DBU8" s="26" t="s">
        <v>4</v>
      </c>
      <c r="DBY8" s="26" t="s">
        <v>4</v>
      </c>
      <c r="DCC8" s="26" t="s">
        <v>4</v>
      </c>
      <c r="DCG8" s="26" t="s">
        <v>4</v>
      </c>
      <c r="DCK8" s="26" t="s">
        <v>4</v>
      </c>
      <c r="DCO8" s="26" t="s">
        <v>4</v>
      </c>
      <c r="DCS8" s="26" t="s">
        <v>4</v>
      </c>
      <c r="DCW8" s="26" t="s">
        <v>4</v>
      </c>
      <c r="DDA8" s="26" t="s">
        <v>4</v>
      </c>
      <c r="DDE8" s="26" t="s">
        <v>34</v>
      </c>
      <c r="DDG8" s="26">
        <v>0</v>
      </c>
      <c r="DDI8" s="26" t="s">
        <v>41</v>
      </c>
      <c r="DDK8" s="26">
        <v>0</v>
      </c>
      <c r="DDM8" s="26" t="s">
        <v>37</v>
      </c>
      <c r="DDO8" s="26">
        <v>0</v>
      </c>
      <c r="DDQ8" s="26" t="s">
        <v>35</v>
      </c>
      <c r="DDS8" s="26">
        <v>0</v>
      </c>
    </row>
    <row r="9" spans="1:2828" x14ac:dyDescent="0.25">
      <c r="A9" s="267" t="s">
        <v>2</v>
      </c>
      <c r="B9" s="268"/>
      <c r="C9" s="269"/>
      <c r="D9" s="231">
        <v>40090.5</v>
      </c>
      <c r="E9" s="232"/>
      <c r="F9" s="267" t="s">
        <v>2</v>
      </c>
      <c r="G9" s="268"/>
      <c r="H9" s="269"/>
      <c r="I9" s="231">
        <v>80181</v>
      </c>
      <c r="J9" s="232"/>
      <c r="K9" s="267" t="s">
        <v>2</v>
      </c>
      <c r="L9" s="268"/>
      <c r="M9" s="269"/>
      <c r="N9" s="231">
        <v>26727</v>
      </c>
      <c r="O9" s="232"/>
      <c r="P9" s="267" t="s">
        <v>2</v>
      </c>
      <c r="Q9" s="268"/>
      <c r="R9" s="269"/>
      <c r="S9" s="231">
        <v>48999.5</v>
      </c>
      <c r="T9" s="232"/>
      <c r="U9" s="267" t="s">
        <v>2</v>
      </c>
      <c r="V9" s="268"/>
      <c r="W9" s="269"/>
      <c r="X9" s="231">
        <v>0</v>
      </c>
      <c r="Y9" s="232"/>
      <c r="Z9" s="267" t="s">
        <v>2</v>
      </c>
      <c r="AA9" s="268"/>
      <c r="AB9" s="269"/>
      <c r="AC9" s="231">
        <v>53454</v>
      </c>
      <c r="AD9" s="232"/>
      <c r="AE9" s="267" t="s">
        <v>2</v>
      </c>
      <c r="AF9" s="268"/>
      <c r="AG9" s="269"/>
      <c r="AH9" s="231">
        <v>35636</v>
      </c>
      <c r="AI9" s="232"/>
      <c r="AJ9" s="267" t="s">
        <v>2</v>
      </c>
      <c r="AK9" s="268"/>
      <c r="AL9" s="269"/>
      <c r="AM9" s="231">
        <v>16036.2</v>
      </c>
      <c r="AN9" s="232"/>
      <c r="AO9" s="267" t="s">
        <v>2</v>
      </c>
      <c r="AP9" s="268"/>
      <c r="AQ9" s="269"/>
      <c r="AR9" s="231">
        <v>48999.5</v>
      </c>
      <c r="AS9" s="232"/>
      <c r="AT9" s="267" t="s">
        <v>2</v>
      </c>
      <c r="AU9" s="268"/>
      <c r="AV9" s="269"/>
      <c r="AW9" s="231">
        <v>22272.5</v>
      </c>
      <c r="AX9" s="232"/>
      <c r="AY9" s="267" t="s">
        <v>2</v>
      </c>
      <c r="AZ9" s="268"/>
      <c r="BA9" s="269"/>
      <c r="BB9" s="231">
        <v>48999.5</v>
      </c>
      <c r="BC9" s="232"/>
      <c r="BD9" s="267" t="s">
        <v>2</v>
      </c>
      <c r="BE9" s="268"/>
      <c r="BF9" s="269"/>
      <c r="BG9" s="231">
        <v>61436</v>
      </c>
      <c r="BH9" s="232"/>
      <c r="BI9" s="267" t="s">
        <v>2</v>
      </c>
      <c r="BJ9" s="268"/>
      <c r="BK9" s="269"/>
      <c r="BL9" s="231">
        <v>62363</v>
      </c>
      <c r="BM9" s="232"/>
      <c r="BN9" s="267" t="s">
        <v>2</v>
      </c>
      <c r="BO9" s="268"/>
      <c r="BP9" s="269"/>
      <c r="BQ9" s="231">
        <v>40090.5</v>
      </c>
      <c r="BR9" s="232"/>
      <c r="BS9" s="267" t="s">
        <v>2</v>
      </c>
      <c r="BT9" s="268"/>
      <c r="BU9" s="269"/>
      <c r="BV9" s="231">
        <v>35636</v>
      </c>
      <c r="BW9" s="232"/>
      <c r="BX9" s="267" t="s">
        <v>2</v>
      </c>
      <c r="BY9" s="268"/>
      <c r="BZ9" s="269"/>
      <c r="CA9" s="231">
        <v>48314.5</v>
      </c>
      <c r="CB9" s="232"/>
      <c r="CC9" s="267" t="s">
        <v>2</v>
      </c>
      <c r="CD9" s="268"/>
      <c r="CE9" s="269"/>
      <c r="CF9" s="231">
        <v>113499.5</v>
      </c>
      <c r="CG9" s="232"/>
      <c r="CH9" s="267" t="s">
        <v>2</v>
      </c>
      <c r="CI9" s="268"/>
      <c r="CJ9" s="269"/>
      <c r="CK9" s="231">
        <v>106908</v>
      </c>
      <c r="CL9" s="232"/>
      <c r="CM9" s="267" t="s">
        <v>2</v>
      </c>
      <c r="CN9" s="268"/>
      <c r="CO9" s="269"/>
      <c r="CP9" s="231">
        <v>92617.5</v>
      </c>
      <c r="CQ9" s="232"/>
      <c r="CR9" s="267" t="s">
        <v>2</v>
      </c>
      <c r="CS9" s="268"/>
      <c r="CT9" s="269"/>
      <c r="CU9" s="231">
        <v>53454</v>
      </c>
      <c r="CV9" s="232"/>
      <c r="CW9" s="267" t="s">
        <v>2</v>
      </c>
      <c r="CX9" s="268"/>
      <c r="CY9" s="269"/>
      <c r="CZ9" s="231">
        <v>164816.5</v>
      </c>
      <c r="DA9" s="232"/>
      <c r="DB9" s="267" t="s">
        <v>2</v>
      </c>
      <c r="DC9" s="268"/>
      <c r="DD9" s="269"/>
      <c r="DE9" s="231">
        <v>65648.5</v>
      </c>
      <c r="DF9" s="232"/>
      <c r="DG9" s="267" t="s">
        <v>2</v>
      </c>
      <c r="DH9" s="268"/>
      <c r="DI9" s="269"/>
      <c r="DJ9" s="231">
        <v>26727</v>
      </c>
      <c r="DK9" s="232"/>
      <c r="DL9" s="267" t="s">
        <v>2</v>
      </c>
      <c r="DM9" s="268"/>
      <c r="DN9" s="269"/>
      <c r="DO9" s="231">
        <v>13363.5</v>
      </c>
      <c r="DP9" s="232"/>
      <c r="DQ9" s="267" t="s">
        <v>2</v>
      </c>
      <c r="DR9" s="268"/>
      <c r="DS9" s="269"/>
      <c r="DT9" s="231">
        <v>47217.7</v>
      </c>
      <c r="DU9" s="232"/>
      <c r="DV9" s="267" t="s">
        <v>2</v>
      </c>
      <c r="DW9" s="268"/>
      <c r="DX9" s="269"/>
      <c r="DY9" s="231">
        <v>48999.5</v>
      </c>
      <c r="DZ9" s="232"/>
      <c r="EA9" s="267" t="s">
        <v>2</v>
      </c>
      <c r="EB9" s="268"/>
      <c r="EC9" s="269"/>
      <c r="ED9" s="231">
        <v>66817.5</v>
      </c>
      <c r="EE9" s="232"/>
      <c r="EF9" s="267" t="s">
        <v>2</v>
      </c>
      <c r="EG9" s="268"/>
      <c r="EH9" s="269"/>
      <c r="EI9" s="231">
        <v>100228.7</v>
      </c>
      <c r="EJ9" s="232"/>
      <c r="EK9" s="267" t="s">
        <v>2</v>
      </c>
      <c r="EL9" s="268"/>
      <c r="EM9" s="269"/>
      <c r="EN9" s="231">
        <v>75726.5</v>
      </c>
      <c r="EO9" s="232"/>
      <c r="EP9" s="267" t="s">
        <v>2</v>
      </c>
      <c r="EQ9" s="268"/>
      <c r="ER9" s="269"/>
      <c r="ES9" s="231">
        <v>15590.75</v>
      </c>
      <c r="ET9" s="232"/>
      <c r="EU9" s="267" t="s">
        <v>2</v>
      </c>
      <c r="EV9" s="268"/>
      <c r="EW9" s="269"/>
      <c r="EX9" s="231">
        <v>31181.5</v>
      </c>
      <c r="EY9" s="232"/>
      <c r="EZ9" s="267" t="s">
        <v>2</v>
      </c>
      <c r="FA9" s="268"/>
      <c r="FB9" s="269"/>
      <c r="FC9" s="231">
        <v>8909</v>
      </c>
      <c r="FD9" s="232"/>
      <c r="FE9" s="267" t="s">
        <v>2</v>
      </c>
      <c r="FF9" s="268"/>
      <c r="FG9" s="269"/>
      <c r="FH9" s="231">
        <v>35636</v>
      </c>
      <c r="FI9" s="232"/>
      <c r="FJ9" s="267" t="s">
        <v>2</v>
      </c>
      <c r="FK9" s="268"/>
      <c r="FL9" s="269"/>
      <c r="FM9" s="231">
        <v>43376</v>
      </c>
      <c r="FN9" s="232"/>
      <c r="FO9" s="267" t="s">
        <v>2</v>
      </c>
      <c r="FP9" s="268"/>
      <c r="FQ9" s="269"/>
      <c r="FR9" s="231">
        <v>66817.5</v>
      </c>
      <c r="FS9" s="232"/>
      <c r="FT9" s="267" t="s">
        <v>2</v>
      </c>
      <c r="FU9" s="268"/>
      <c r="FV9" s="269"/>
      <c r="FW9" s="231">
        <v>31181.5</v>
      </c>
      <c r="FX9" s="232"/>
      <c r="FY9" s="267" t="s">
        <v>2</v>
      </c>
      <c r="FZ9" s="268"/>
      <c r="GA9" s="269"/>
      <c r="GB9" s="231">
        <v>31181.5</v>
      </c>
      <c r="GC9" s="232"/>
      <c r="GD9" s="267" t="s">
        <v>2</v>
      </c>
      <c r="GE9" s="268"/>
      <c r="GF9" s="269"/>
      <c r="GG9" s="231">
        <v>48999.5</v>
      </c>
      <c r="GH9" s="232"/>
      <c r="GI9" s="267" t="s">
        <v>2</v>
      </c>
      <c r="GJ9" s="268"/>
      <c r="GK9" s="269"/>
      <c r="GL9" s="231">
        <v>37047</v>
      </c>
      <c r="GM9" s="232"/>
      <c r="GN9" s="267" t="s">
        <v>2</v>
      </c>
      <c r="GO9" s="268"/>
      <c r="GP9" s="269"/>
      <c r="GQ9" s="231">
        <v>40090.5</v>
      </c>
      <c r="GR9" s="232"/>
      <c r="GS9" s="267" t="s">
        <v>2</v>
      </c>
      <c r="GT9" s="268"/>
      <c r="GU9" s="269"/>
      <c r="GV9" s="231">
        <v>8909</v>
      </c>
      <c r="GW9" s="232"/>
      <c r="GX9" s="267" t="s">
        <v>2</v>
      </c>
      <c r="GY9" s="268"/>
      <c r="GZ9" s="269"/>
      <c r="HA9" s="231">
        <v>89090</v>
      </c>
      <c r="HB9" s="232"/>
      <c r="HC9" s="267" t="s">
        <v>2</v>
      </c>
      <c r="HD9" s="268"/>
      <c r="HE9" s="269"/>
      <c r="HF9" s="231">
        <v>97999</v>
      </c>
      <c r="HG9" s="232"/>
      <c r="HH9" s="267" t="s">
        <v>2</v>
      </c>
      <c r="HI9" s="268"/>
      <c r="HJ9" s="269"/>
      <c r="HK9" s="231">
        <v>22272.5</v>
      </c>
      <c r="HL9" s="232"/>
      <c r="HM9" s="267" t="s">
        <v>2</v>
      </c>
      <c r="HN9" s="268"/>
      <c r="HO9" s="269"/>
      <c r="HP9" s="231">
        <v>31181.5</v>
      </c>
      <c r="HQ9" s="232"/>
      <c r="HR9" s="267" t="s">
        <v>2</v>
      </c>
      <c r="HS9" s="268"/>
      <c r="HT9" s="269"/>
      <c r="HU9" s="231">
        <v>33408.75</v>
      </c>
      <c r="HV9" s="232"/>
      <c r="HW9" s="267" t="s">
        <v>2</v>
      </c>
      <c r="HX9" s="268"/>
      <c r="HY9" s="269"/>
      <c r="HZ9" s="231">
        <v>64500</v>
      </c>
      <c r="IA9" s="232"/>
      <c r="IB9" s="267" t="s">
        <v>2</v>
      </c>
      <c r="IC9" s="268"/>
      <c r="ID9" s="269"/>
      <c r="IE9" s="231">
        <v>111383</v>
      </c>
      <c r="IF9" s="232"/>
      <c r="IG9" s="267" t="s">
        <v>2</v>
      </c>
      <c r="IH9" s="268"/>
      <c r="II9" s="269"/>
      <c r="IJ9" s="231">
        <v>44545</v>
      </c>
      <c r="IK9" s="232"/>
      <c r="IL9" s="267" t="s">
        <v>2</v>
      </c>
      <c r="IM9" s="268"/>
      <c r="IN9" s="269"/>
      <c r="IO9" s="231">
        <v>44545</v>
      </c>
      <c r="IP9" s="232"/>
      <c r="IQ9" s="267" t="s">
        <v>2</v>
      </c>
      <c r="IR9" s="268"/>
      <c r="IS9" s="269"/>
      <c r="IT9" s="231">
        <v>44545</v>
      </c>
      <c r="IU9" s="232"/>
      <c r="IV9" s="267" t="s">
        <v>2</v>
      </c>
      <c r="IW9" s="268"/>
      <c r="IX9" s="269"/>
      <c r="IY9" s="231">
        <v>13363.5</v>
      </c>
      <c r="IZ9" s="232"/>
      <c r="JA9" s="267" t="s">
        <v>2</v>
      </c>
      <c r="JB9" s="268"/>
      <c r="JC9" s="269"/>
      <c r="JD9" s="231">
        <v>26727</v>
      </c>
      <c r="JE9" s="232"/>
      <c r="JF9" s="267" t="s">
        <v>2</v>
      </c>
      <c r="JG9" s="268"/>
      <c r="JH9" s="269"/>
      <c r="JI9" s="231">
        <v>80181</v>
      </c>
      <c r="JJ9" s="232"/>
      <c r="JK9" s="267" t="s">
        <v>2</v>
      </c>
      <c r="JL9" s="268"/>
      <c r="JM9" s="269"/>
      <c r="JN9" s="231">
        <v>17818</v>
      </c>
      <c r="JO9" s="232"/>
      <c r="JP9" s="267" t="s">
        <v>2</v>
      </c>
      <c r="JQ9" s="268"/>
      <c r="JR9" s="269"/>
      <c r="JS9" s="231">
        <v>44545</v>
      </c>
      <c r="JT9" s="232"/>
      <c r="JU9" s="267" t="s">
        <v>2</v>
      </c>
      <c r="JV9" s="268"/>
      <c r="JW9" s="269"/>
      <c r="JX9" s="231">
        <v>35636</v>
      </c>
      <c r="JY9" s="232"/>
      <c r="JZ9" s="267" t="s">
        <v>2</v>
      </c>
      <c r="KA9" s="268"/>
      <c r="KB9" s="269"/>
      <c r="KC9" s="231">
        <v>35636</v>
      </c>
      <c r="KD9" s="232"/>
      <c r="KE9" s="267" t="s">
        <v>2</v>
      </c>
      <c r="KF9" s="268"/>
      <c r="KG9" s="269"/>
      <c r="KH9" s="231">
        <v>40090.5</v>
      </c>
      <c r="KI9" s="232"/>
      <c r="KJ9" s="267" t="s">
        <v>2</v>
      </c>
      <c r="KK9" s="268"/>
      <c r="KL9" s="269"/>
      <c r="KM9" s="231">
        <v>8909</v>
      </c>
      <c r="KN9" s="232"/>
      <c r="KO9" s="267" t="s">
        <v>2</v>
      </c>
      <c r="KP9" s="268"/>
      <c r="KQ9" s="269"/>
      <c r="KR9" s="231">
        <v>22272.5</v>
      </c>
      <c r="KS9" s="232"/>
      <c r="KT9" s="267" t="s">
        <v>2</v>
      </c>
      <c r="KU9" s="268"/>
      <c r="KV9" s="269"/>
      <c r="KW9" s="231">
        <v>48999.5</v>
      </c>
      <c r="KX9" s="232"/>
      <c r="KY9" s="267" t="s">
        <v>2</v>
      </c>
      <c r="KZ9" s="268"/>
      <c r="LA9" s="269"/>
      <c r="LB9" s="231">
        <v>57908.5</v>
      </c>
      <c r="LC9" s="232"/>
      <c r="LD9" s="267" t="s">
        <v>2</v>
      </c>
      <c r="LE9" s="268"/>
      <c r="LF9" s="269"/>
      <c r="LG9" s="231">
        <v>35636</v>
      </c>
      <c r="LH9" s="232"/>
      <c r="LI9" s="267" t="s">
        <v>2</v>
      </c>
      <c r="LJ9" s="268"/>
      <c r="LK9" s="269"/>
      <c r="LL9" s="231">
        <v>57908.5</v>
      </c>
      <c r="LM9" s="232"/>
      <c r="LN9" s="267" t="s">
        <v>2</v>
      </c>
      <c r="LO9" s="268"/>
      <c r="LP9" s="269"/>
      <c r="LQ9" s="231">
        <v>75726.5</v>
      </c>
      <c r="LR9" s="232"/>
      <c r="LS9" s="267" t="s">
        <v>2</v>
      </c>
      <c r="LT9" s="268"/>
      <c r="LU9" s="269"/>
      <c r="LV9" s="231">
        <v>65890.5</v>
      </c>
      <c r="LW9" s="232"/>
      <c r="LX9" s="267" t="s">
        <v>2</v>
      </c>
      <c r="LY9" s="268"/>
      <c r="LZ9" s="269"/>
      <c r="MA9" s="231">
        <v>40796</v>
      </c>
      <c r="MB9" s="232"/>
      <c r="MC9" s="267" t="s">
        <v>2</v>
      </c>
      <c r="MD9" s="268"/>
      <c r="ME9" s="269"/>
      <c r="MF9" s="231">
        <v>30012.5</v>
      </c>
      <c r="MG9" s="232"/>
      <c r="MH9" s="267" t="s">
        <v>2</v>
      </c>
      <c r="MI9" s="268"/>
      <c r="MJ9" s="269"/>
      <c r="MK9" s="231">
        <v>75726.5</v>
      </c>
      <c r="ML9" s="232"/>
      <c r="MM9" s="267" t="s">
        <v>2</v>
      </c>
      <c r="MN9" s="268"/>
      <c r="MO9" s="269"/>
      <c r="MP9" s="231">
        <v>124726</v>
      </c>
      <c r="MQ9" s="232"/>
      <c r="MR9" s="267" t="s">
        <v>2</v>
      </c>
      <c r="MS9" s="268"/>
      <c r="MT9" s="269"/>
      <c r="MU9" s="231">
        <v>44545</v>
      </c>
      <c r="MV9" s="232"/>
      <c r="MW9" s="267" t="s">
        <v>2</v>
      </c>
      <c r="MX9" s="268"/>
      <c r="MY9" s="269"/>
      <c r="MZ9" s="231">
        <v>44545</v>
      </c>
      <c r="NA9" s="232"/>
      <c r="NB9" s="267" t="s">
        <v>2</v>
      </c>
      <c r="NC9" s="268"/>
      <c r="ND9" s="269"/>
      <c r="NE9" s="231">
        <v>19229</v>
      </c>
      <c r="NF9" s="232"/>
      <c r="NG9" s="267" t="s">
        <v>2</v>
      </c>
      <c r="NH9" s="268"/>
      <c r="NI9" s="269"/>
      <c r="NJ9" s="231">
        <v>26263.5</v>
      </c>
      <c r="NK9" s="232"/>
      <c r="NL9" s="267" t="s">
        <v>2</v>
      </c>
      <c r="NM9" s="268"/>
      <c r="NN9" s="269"/>
      <c r="NO9" s="231">
        <v>121461</v>
      </c>
      <c r="NP9" s="232"/>
      <c r="NQ9" s="267" t="s">
        <v>2</v>
      </c>
      <c r="NR9" s="268"/>
      <c r="NS9" s="269"/>
      <c r="NT9" s="231">
        <v>94028.5</v>
      </c>
      <c r="NU9" s="232"/>
      <c r="NV9" s="267" t="s">
        <v>2</v>
      </c>
      <c r="NW9" s="268"/>
      <c r="NX9" s="269"/>
      <c r="NY9" s="231">
        <v>73499.25</v>
      </c>
      <c r="NZ9" s="232"/>
      <c r="OA9" s="267" t="s">
        <v>2</v>
      </c>
      <c r="OB9" s="268"/>
      <c r="OC9" s="269"/>
      <c r="OD9" s="231">
        <v>53454</v>
      </c>
      <c r="OE9" s="232"/>
      <c r="OF9" s="267" t="s">
        <v>2</v>
      </c>
      <c r="OG9" s="268"/>
      <c r="OH9" s="269"/>
      <c r="OI9" s="231">
        <v>53454</v>
      </c>
      <c r="OJ9" s="232"/>
      <c r="OK9" s="267" t="s">
        <v>2</v>
      </c>
      <c r="OL9" s="268"/>
      <c r="OM9" s="269"/>
      <c r="ON9" s="231">
        <v>35636</v>
      </c>
      <c r="OO9" s="232"/>
      <c r="OP9" s="267" t="s">
        <v>2</v>
      </c>
      <c r="OQ9" s="268"/>
      <c r="OR9" s="269"/>
      <c r="OS9" s="231">
        <v>26727</v>
      </c>
      <c r="OT9" s="232"/>
      <c r="OU9" s="267" t="s">
        <v>2</v>
      </c>
      <c r="OV9" s="268"/>
      <c r="OW9" s="269"/>
      <c r="OX9" s="231">
        <v>44545</v>
      </c>
      <c r="OY9" s="232"/>
      <c r="OZ9" s="267" t="s">
        <v>2</v>
      </c>
      <c r="PA9" s="268"/>
      <c r="PB9" s="269"/>
      <c r="PC9" s="231">
        <v>57687</v>
      </c>
      <c r="PD9" s="232"/>
      <c r="PE9" s="267" t="s">
        <v>2</v>
      </c>
      <c r="PF9" s="268"/>
      <c r="PG9" s="269"/>
      <c r="PH9" s="231">
        <v>73872.5</v>
      </c>
      <c r="PI9" s="232"/>
      <c r="PJ9" s="267" t="s">
        <v>2</v>
      </c>
      <c r="PK9" s="268"/>
      <c r="PL9" s="269"/>
      <c r="PM9" s="231">
        <v>89090</v>
      </c>
      <c r="PN9" s="232"/>
      <c r="PO9" s="267" t="s">
        <v>2</v>
      </c>
      <c r="PP9" s="268"/>
      <c r="PQ9" s="269"/>
      <c r="PR9" s="231">
        <v>98967</v>
      </c>
      <c r="PS9" s="232"/>
      <c r="PT9" s="267" t="s">
        <v>2</v>
      </c>
      <c r="PU9" s="268"/>
      <c r="PV9" s="269"/>
      <c r="PW9" s="231">
        <v>35636</v>
      </c>
      <c r="PX9" s="232"/>
      <c r="PY9" s="267" t="s">
        <v>2</v>
      </c>
      <c r="PZ9" s="268"/>
      <c r="QA9" s="269"/>
      <c r="QB9" s="231">
        <v>49705</v>
      </c>
      <c r="QC9" s="232"/>
      <c r="QD9" s="267" t="s">
        <v>2</v>
      </c>
      <c r="QE9" s="268"/>
      <c r="QF9" s="269"/>
      <c r="QG9" s="231">
        <v>166248</v>
      </c>
      <c r="QH9" s="232"/>
      <c r="QI9" s="267" t="s">
        <v>2</v>
      </c>
      <c r="QJ9" s="268"/>
      <c r="QK9" s="269"/>
      <c r="QL9" s="231">
        <v>180780.5</v>
      </c>
      <c r="QM9" s="232"/>
      <c r="QN9" s="267" t="s">
        <v>2</v>
      </c>
      <c r="QO9" s="268"/>
      <c r="QP9" s="269"/>
      <c r="QQ9" s="231">
        <v>180780.5</v>
      </c>
      <c r="QR9" s="232"/>
      <c r="QS9" s="267" t="s">
        <v>2</v>
      </c>
      <c r="QT9" s="268"/>
      <c r="QU9" s="269"/>
      <c r="QV9" s="231">
        <v>193479.5</v>
      </c>
      <c r="QW9" s="232"/>
      <c r="QX9" s="267" t="s">
        <v>2</v>
      </c>
      <c r="QY9" s="268"/>
      <c r="QZ9" s="269"/>
      <c r="RA9" s="231">
        <v>89090</v>
      </c>
      <c r="RB9" s="232"/>
      <c r="RC9" s="267" t="s">
        <v>2</v>
      </c>
      <c r="RD9" s="268"/>
      <c r="RE9" s="269"/>
      <c r="RF9" s="231">
        <v>116707.9</v>
      </c>
      <c r="RG9" s="232"/>
      <c r="RH9" s="267" t="s">
        <v>2</v>
      </c>
      <c r="RI9" s="268"/>
      <c r="RJ9" s="269"/>
      <c r="RK9" s="231">
        <v>93544.5</v>
      </c>
      <c r="RL9" s="232"/>
      <c r="RM9" s="267" t="s">
        <v>2</v>
      </c>
      <c r="RN9" s="268"/>
      <c r="RO9" s="269"/>
      <c r="RP9" s="231">
        <v>142544</v>
      </c>
      <c r="RQ9" s="232"/>
      <c r="RR9" s="267" t="s">
        <v>2</v>
      </c>
      <c r="RS9" s="268"/>
      <c r="RT9" s="269"/>
      <c r="RU9" s="231">
        <v>130612</v>
      </c>
      <c r="RV9" s="232"/>
      <c r="RW9" s="267" t="s">
        <v>2</v>
      </c>
      <c r="RX9" s="268"/>
      <c r="RY9" s="269"/>
      <c r="RZ9" s="231">
        <v>130612</v>
      </c>
      <c r="SA9" s="232"/>
      <c r="SB9" s="267" t="s">
        <v>2</v>
      </c>
      <c r="SC9" s="268"/>
      <c r="SD9" s="269"/>
      <c r="SE9" s="231">
        <v>57445</v>
      </c>
      <c r="SF9" s="232"/>
      <c r="SG9" s="267" t="s">
        <v>2</v>
      </c>
      <c r="SH9" s="268"/>
      <c r="SI9" s="269"/>
      <c r="SJ9" s="231">
        <v>21103.5</v>
      </c>
      <c r="SK9" s="232"/>
      <c r="SL9" s="267" t="s">
        <v>2</v>
      </c>
      <c r="SM9" s="268"/>
      <c r="SN9" s="269"/>
      <c r="SO9" s="231">
        <v>53454</v>
      </c>
      <c r="SP9" s="232"/>
      <c r="SQ9" s="267" t="s">
        <v>2</v>
      </c>
      <c r="SR9" s="268"/>
      <c r="SS9" s="269"/>
      <c r="ST9" s="231">
        <v>62363</v>
      </c>
      <c r="SU9" s="232"/>
      <c r="SV9" s="267" t="s">
        <v>2</v>
      </c>
      <c r="SW9" s="268"/>
      <c r="SX9" s="269"/>
      <c r="SY9" s="231">
        <v>96145</v>
      </c>
      <c r="SZ9" s="232"/>
      <c r="TA9" s="267" t="s">
        <v>2</v>
      </c>
      <c r="TB9" s="268"/>
      <c r="TC9" s="269"/>
      <c r="TD9" s="231">
        <v>65185</v>
      </c>
      <c r="TE9" s="232"/>
      <c r="TF9" s="267" t="s">
        <v>2</v>
      </c>
      <c r="TG9" s="268"/>
      <c r="TH9" s="269"/>
      <c r="TI9" s="231">
        <v>45029</v>
      </c>
      <c r="TJ9" s="232"/>
      <c r="TK9" s="267" t="s">
        <v>2</v>
      </c>
      <c r="TL9" s="268"/>
      <c r="TM9" s="269"/>
      <c r="TN9" s="231">
        <v>127548</v>
      </c>
      <c r="TO9" s="232"/>
      <c r="TP9" s="267" t="s">
        <v>2</v>
      </c>
      <c r="TQ9" s="268"/>
      <c r="TR9" s="269"/>
      <c r="TS9" s="231">
        <v>116059</v>
      </c>
      <c r="TT9" s="232"/>
      <c r="TU9" s="267" t="s">
        <v>2</v>
      </c>
      <c r="TV9" s="268"/>
      <c r="TW9" s="269"/>
      <c r="TX9" s="231">
        <v>142544</v>
      </c>
      <c r="TY9" s="232"/>
      <c r="TZ9" s="267" t="s">
        <v>2</v>
      </c>
      <c r="UA9" s="268"/>
      <c r="UB9" s="269"/>
      <c r="UC9" s="231">
        <v>115817</v>
      </c>
      <c r="UD9" s="232"/>
      <c r="UE9" s="267" t="s">
        <v>2</v>
      </c>
      <c r="UF9" s="268"/>
      <c r="UG9" s="269"/>
      <c r="UH9" s="231">
        <v>0</v>
      </c>
      <c r="UI9" s="232"/>
      <c r="UJ9" s="267" t="s">
        <v>2</v>
      </c>
      <c r="UK9" s="268"/>
      <c r="UL9" s="269"/>
      <c r="UM9" s="231">
        <v>4454.5</v>
      </c>
      <c r="UN9" s="232"/>
      <c r="UO9" s="267" t="s">
        <v>2</v>
      </c>
      <c r="UP9" s="268"/>
      <c r="UQ9" s="269"/>
      <c r="UR9" s="231">
        <v>2227.25</v>
      </c>
      <c r="US9" s="232"/>
      <c r="UT9" s="267" t="s">
        <v>2</v>
      </c>
      <c r="UU9" s="268"/>
      <c r="UV9" s="269"/>
      <c r="UW9" s="231">
        <v>26727</v>
      </c>
      <c r="UX9" s="232"/>
      <c r="UY9" s="267" t="s">
        <v>2</v>
      </c>
      <c r="UZ9" s="268"/>
      <c r="VA9" s="269"/>
      <c r="VB9" s="231">
        <v>44545</v>
      </c>
      <c r="VC9" s="232"/>
      <c r="VD9" s="267" t="s">
        <v>2</v>
      </c>
      <c r="VE9" s="268"/>
      <c r="VF9" s="269"/>
      <c r="VG9" s="231">
        <v>62363</v>
      </c>
      <c r="VH9" s="232"/>
      <c r="VI9" s="267" t="s">
        <v>2</v>
      </c>
      <c r="VJ9" s="268"/>
      <c r="VK9" s="269"/>
      <c r="VL9" s="231">
        <v>80181</v>
      </c>
      <c r="VM9" s="232"/>
      <c r="VN9" s="267" t="s">
        <v>2</v>
      </c>
      <c r="VO9" s="268"/>
      <c r="VP9" s="269"/>
      <c r="VQ9" s="231">
        <v>6681.75</v>
      </c>
      <c r="VR9" s="232"/>
      <c r="VS9" s="267" t="s">
        <v>2</v>
      </c>
      <c r="VT9" s="268"/>
      <c r="VU9" s="269"/>
      <c r="VV9" s="231">
        <v>8909</v>
      </c>
      <c r="VW9" s="232"/>
      <c r="VX9" s="267" t="s">
        <v>2</v>
      </c>
      <c r="VY9" s="268"/>
      <c r="VZ9" s="269"/>
      <c r="WA9" s="231">
        <v>73167</v>
      </c>
      <c r="WB9" s="232"/>
      <c r="WC9" s="267" t="s">
        <v>2</v>
      </c>
      <c r="WD9" s="268"/>
      <c r="WE9" s="269"/>
      <c r="WF9" s="231">
        <v>49020</v>
      </c>
      <c r="WG9" s="232"/>
      <c r="WH9" s="267" t="s">
        <v>2</v>
      </c>
      <c r="WI9" s="268"/>
      <c r="WJ9" s="269"/>
      <c r="WK9" s="231">
        <v>53454</v>
      </c>
      <c r="WL9" s="232"/>
      <c r="WM9" s="267" t="s">
        <v>2</v>
      </c>
      <c r="WN9" s="268"/>
      <c r="WO9" s="269"/>
      <c r="WP9" s="231">
        <v>48999.5</v>
      </c>
      <c r="WQ9" s="232"/>
      <c r="WR9" s="267" t="s">
        <v>2</v>
      </c>
      <c r="WS9" s="268"/>
      <c r="WT9" s="269"/>
      <c r="WU9" s="231">
        <v>2672.7</v>
      </c>
      <c r="WV9" s="232"/>
      <c r="WW9" s="267" t="s">
        <v>2</v>
      </c>
      <c r="WX9" s="268"/>
      <c r="WY9" s="269"/>
      <c r="WZ9" s="231">
        <v>8909</v>
      </c>
      <c r="XA9" s="232"/>
      <c r="XB9" s="267" t="s">
        <v>2</v>
      </c>
      <c r="XC9" s="268"/>
      <c r="XD9" s="269"/>
      <c r="XE9" s="231">
        <v>26727</v>
      </c>
      <c r="XF9" s="232"/>
      <c r="XG9" s="267" t="s">
        <v>2</v>
      </c>
      <c r="XH9" s="268"/>
      <c r="XI9" s="269"/>
      <c r="XJ9" s="231">
        <v>144660.5</v>
      </c>
      <c r="XK9" s="232"/>
      <c r="XL9" s="267" t="s">
        <v>2</v>
      </c>
      <c r="XM9" s="268"/>
      <c r="XN9" s="269"/>
      <c r="XO9" s="231">
        <v>133635</v>
      </c>
      <c r="XP9" s="232"/>
      <c r="XQ9" s="267" t="s">
        <v>2</v>
      </c>
      <c r="XR9" s="268"/>
      <c r="XS9" s="269"/>
      <c r="XT9" s="231">
        <v>93544.5</v>
      </c>
      <c r="XU9" s="232"/>
      <c r="XV9" s="267" t="s">
        <v>2</v>
      </c>
      <c r="XW9" s="268"/>
      <c r="XX9" s="269"/>
      <c r="XY9" s="231">
        <v>13363.5</v>
      </c>
      <c r="XZ9" s="232"/>
      <c r="YA9" s="267" t="s">
        <v>2</v>
      </c>
      <c r="YB9" s="268"/>
      <c r="YC9" s="269"/>
      <c r="YD9" s="231">
        <v>0</v>
      </c>
      <c r="YE9" s="232"/>
      <c r="YF9" s="267" t="s">
        <v>2</v>
      </c>
      <c r="YG9" s="268"/>
      <c r="YH9" s="269"/>
      <c r="YI9" s="231">
        <v>0</v>
      </c>
      <c r="YJ9" s="232"/>
      <c r="YK9" s="267" t="s">
        <v>2</v>
      </c>
      <c r="YL9" s="268"/>
      <c r="YM9" s="269"/>
      <c r="YN9" s="231">
        <v>8909</v>
      </c>
      <c r="YO9" s="232"/>
      <c r="YP9" s="267" t="s">
        <v>2</v>
      </c>
      <c r="YQ9" s="268"/>
      <c r="YR9" s="269"/>
      <c r="YS9" s="231">
        <v>26727</v>
      </c>
      <c r="YT9" s="232"/>
      <c r="YU9" s="267" t="s">
        <v>2</v>
      </c>
      <c r="YV9" s="268"/>
      <c r="YW9" s="269"/>
      <c r="YX9" s="231">
        <v>26727</v>
      </c>
      <c r="YY9" s="232"/>
      <c r="YZ9" s="267" t="s">
        <v>2</v>
      </c>
      <c r="ZA9" s="268"/>
      <c r="ZB9" s="269"/>
      <c r="ZC9" s="231">
        <v>0</v>
      </c>
      <c r="ZD9" s="232"/>
      <c r="ZE9" s="267" t="s">
        <v>2</v>
      </c>
      <c r="ZF9" s="268"/>
      <c r="ZG9" s="269"/>
      <c r="ZH9" s="231">
        <v>44545</v>
      </c>
      <c r="ZI9" s="232"/>
      <c r="ZJ9" s="267" t="s">
        <v>2</v>
      </c>
      <c r="ZK9" s="268"/>
      <c r="ZL9" s="269"/>
      <c r="ZM9" s="231">
        <v>35636</v>
      </c>
      <c r="ZN9" s="232"/>
      <c r="ZO9" s="267" t="s">
        <v>2</v>
      </c>
      <c r="ZP9" s="268"/>
      <c r="ZQ9" s="269"/>
      <c r="ZR9" s="231">
        <v>26727</v>
      </c>
      <c r="ZS9" s="232"/>
      <c r="ZT9" s="267" t="s">
        <v>2</v>
      </c>
      <c r="ZU9" s="268"/>
      <c r="ZV9" s="269"/>
      <c r="ZW9" s="231">
        <v>44545</v>
      </c>
      <c r="ZX9" s="232"/>
      <c r="ZY9" s="267" t="s">
        <v>2</v>
      </c>
      <c r="ZZ9" s="268"/>
      <c r="AAA9" s="269"/>
      <c r="AAB9" s="231">
        <v>120271.5</v>
      </c>
      <c r="AAC9" s="232"/>
      <c r="AAD9" s="267" t="s">
        <v>2</v>
      </c>
      <c r="AAE9" s="268"/>
      <c r="AAF9" s="269"/>
      <c r="AAG9" s="231">
        <v>123799</v>
      </c>
      <c r="AAH9" s="232"/>
      <c r="AAI9" s="267" t="s">
        <v>2</v>
      </c>
      <c r="AAJ9" s="268"/>
      <c r="AAK9" s="269"/>
      <c r="AAL9" s="231">
        <v>8909</v>
      </c>
      <c r="AAM9" s="232"/>
      <c r="AAN9" s="267" t="s">
        <v>2</v>
      </c>
      <c r="AAO9" s="268"/>
      <c r="AAP9" s="269"/>
      <c r="AAQ9" s="231">
        <v>48999.5</v>
      </c>
      <c r="AAR9" s="232"/>
      <c r="AAS9" s="267" t="s">
        <v>2</v>
      </c>
      <c r="AAT9" s="268"/>
      <c r="AAU9" s="269"/>
      <c r="AAV9" s="231">
        <v>83487</v>
      </c>
      <c r="AAW9" s="232"/>
      <c r="AAX9" s="267" t="s">
        <v>2</v>
      </c>
      <c r="AAY9" s="268"/>
      <c r="AAZ9" s="269"/>
      <c r="ABA9" s="231">
        <v>4454.5</v>
      </c>
      <c r="ABB9" s="232"/>
      <c r="ABC9" s="267" t="s">
        <v>2</v>
      </c>
      <c r="ABD9" s="268"/>
      <c r="ABE9" s="269"/>
      <c r="ABF9" s="231">
        <v>62605</v>
      </c>
      <c r="ABG9" s="232"/>
      <c r="ABH9" s="267" t="s">
        <v>2</v>
      </c>
      <c r="ABI9" s="268"/>
      <c r="ABJ9" s="269"/>
      <c r="ABK9" s="231">
        <v>48778</v>
      </c>
      <c r="ABL9" s="232"/>
      <c r="ABM9" s="267" t="s">
        <v>2</v>
      </c>
      <c r="ABN9" s="268"/>
      <c r="ABO9" s="269"/>
      <c r="ABP9" s="231">
        <v>15590.75</v>
      </c>
      <c r="ABQ9" s="232"/>
      <c r="ABR9" s="267" t="s">
        <v>2</v>
      </c>
      <c r="ABS9" s="268"/>
      <c r="ABT9" s="269"/>
      <c r="ABU9" s="231">
        <v>53454</v>
      </c>
      <c r="ABV9" s="232"/>
      <c r="ABW9" s="267" t="s">
        <v>2</v>
      </c>
      <c r="ABX9" s="268"/>
      <c r="ABY9" s="269"/>
      <c r="ABZ9" s="231">
        <v>97999</v>
      </c>
      <c r="ACA9" s="232"/>
      <c r="ACB9" s="267" t="s">
        <v>2</v>
      </c>
      <c r="ACC9" s="268"/>
      <c r="ACD9" s="269"/>
      <c r="ACE9" s="231">
        <v>97999</v>
      </c>
      <c r="ACF9" s="232"/>
      <c r="ACG9" s="267" t="s">
        <v>2</v>
      </c>
      <c r="ACH9" s="268"/>
      <c r="ACI9" s="269"/>
      <c r="ACJ9" s="231">
        <v>84192.5</v>
      </c>
      <c r="ACK9" s="232"/>
      <c r="ACL9" s="267" t="s">
        <v>2</v>
      </c>
      <c r="ACM9" s="268"/>
      <c r="ACN9" s="269"/>
      <c r="ACO9" s="231">
        <v>202368</v>
      </c>
      <c r="ACP9" s="232"/>
      <c r="ACQ9" s="267" t="s">
        <v>2</v>
      </c>
      <c r="ACR9" s="268"/>
      <c r="ACS9" s="269"/>
      <c r="ACT9" s="231">
        <v>202368</v>
      </c>
      <c r="ACU9" s="232"/>
      <c r="ACV9" s="267" t="s">
        <v>2</v>
      </c>
      <c r="ACW9" s="268"/>
      <c r="ACX9" s="269"/>
      <c r="ACY9" s="231">
        <v>115817</v>
      </c>
      <c r="ACZ9" s="232"/>
      <c r="ADA9" s="267" t="s">
        <v>2</v>
      </c>
      <c r="ADB9" s="268"/>
      <c r="ADC9" s="269"/>
      <c r="ADD9" s="231">
        <v>225830</v>
      </c>
      <c r="ADE9" s="232"/>
      <c r="ADF9" s="267" t="s">
        <v>2</v>
      </c>
      <c r="ADG9" s="268"/>
      <c r="ADH9" s="269"/>
      <c r="ADI9" s="231">
        <v>226577.66</v>
      </c>
      <c r="ADJ9" s="232"/>
      <c r="ADK9" s="267" t="s">
        <v>2</v>
      </c>
      <c r="ADL9" s="268"/>
      <c r="ADM9" s="269"/>
      <c r="ADN9" s="231">
        <v>110456</v>
      </c>
      <c r="ADO9" s="232"/>
      <c r="ADP9" s="267" t="s">
        <v>2</v>
      </c>
      <c r="ADQ9" s="268"/>
      <c r="ADR9" s="269"/>
      <c r="ADS9" s="231">
        <v>66817.5</v>
      </c>
      <c r="ADT9" s="232"/>
      <c r="ADU9" s="267" t="s">
        <v>2</v>
      </c>
      <c r="ADV9" s="268"/>
      <c r="ADW9" s="269"/>
      <c r="ADX9" s="231">
        <v>80181</v>
      </c>
      <c r="ADY9" s="232"/>
      <c r="ADZ9" s="267" t="s">
        <v>2</v>
      </c>
      <c r="AEA9" s="268"/>
      <c r="AEB9" s="269"/>
      <c r="AEC9" s="231">
        <v>100710.25</v>
      </c>
      <c r="AED9" s="232"/>
      <c r="AEE9" s="267" t="s">
        <v>2</v>
      </c>
      <c r="AEF9" s="268"/>
      <c r="AEG9" s="269"/>
      <c r="AEH9" s="231">
        <v>134845</v>
      </c>
      <c r="AEI9" s="232"/>
      <c r="AEJ9" s="267" t="s">
        <v>2</v>
      </c>
      <c r="AEK9" s="268"/>
      <c r="AEL9" s="269"/>
      <c r="AEM9" s="231">
        <v>194517.25</v>
      </c>
      <c r="AEN9" s="232"/>
      <c r="AEO9" s="267" t="s">
        <v>2</v>
      </c>
      <c r="AEP9" s="268"/>
      <c r="AEQ9" s="269"/>
      <c r="AER9" s="231">
        <v>46772.25</v>
      </c>
      <c r="AES9" s="232"/>
      <c r="AET9" s="267" t="s">
        <v>2</v>
      </c>
      <c r="AEU9" s="268"/>
      <c r="AEV9" s="269"/>
      <c r="AEW9" s="231">
        <v>53454</v>
      </c>
      <c r="AEX9" s="232"/>
      <c r="AEY9" s="267" t="s">
        <v>2</v>
      </c>
      <c r="AEZ9" s="268"/>
      <c r="AFA9" s="269"/>
      <c r="AFB9" s="231">
        <v>46440</v>
      </c>
      <c r="AFC9" s="232"/>
      <c r="AFD9" s="267" t="s">
        <v>2</v>
      </c>
      <c r="AFE9" s="268"/>
      <c r="AFF9" s="269"/>
      <c r="AFG9" s="231">
        <v>108097.5</v>
      </c>
      <c r="AFH9" s="232"/>
      <c r="AFI9" s="267" t="s">
        <v>2</v>
      </c>
      <c r="AFJ9" s="268"/>
      <c r="AFK9" s="269"/>
      <c r="AFL9" s="231">
        <v>62363</v>
      </c>
      <c r="AFM9" s="232"/>
      <c r="AFN9" s="267" t="s">
        <v>2</v>
      </c>
      <c r="AFO9" s="268"/>
      <c r="AFP9" s="269"/>
      <c r="AFQ9" s="231">
        <v>26727</v>
      </c>
      <c r="AFR9" s="232"/>
      <c r="AFS9" s="267" t="s">
        <v>2</v>
      </c>
      <c r="AFT9" s="268"/>
      <c r="AFU9" s="269"/>
      <c r="AFV9" s="231">
        <v>40090.5</v>
      </c>
      <c r="AFW9" s="232"/>
      <c r="AFX9" s="267" t="s">
        <v>2</v>
      </c>
      <c r="AFY9" s="268"/>
      <c r="AFZ9" s="269"/>
      <c r="AGA9" s="231">
        <v>65185</v>
      </c>
      <c r="AGB9" s="232"/>
      <c r="AGC9" s="267" t="s">
        <v>2</v>
      </c>
      <c r="AGD9" s="268"/>
      <c r="AGE9" s="269"/>
      <c r="AGF9" s="231">
        <v>35636</v>
      </c>
      <c r="AGG9" s="232"/>
      <c r="AGH9" s="267" t="s">
        <v>2</v>
      </c>
      <c r="AGI9" s="268"/>
      <c r="AGJ9" s="269"/>
      <c r="AGK9" s="231">
        <v>40090.5</v>
      </c>
      <c r="AGL9" s="232"/>
      <c r="AGM9" s="267" t="s">
        <v>2</v>
      </c>
      <c r="AGN9" s="268"/>
      <c r="AGO9" s="269"/>
      <c r="AGP9" s="231">
        <v>84656</v>
      </c>
      <c r="AGQ9" s="232"/>
      <c r="AGR9" s="267" t="s">
        <v>2</v>
      </c>
      <c r="AGS9" s="268"/>
      <c r="AGT9" s="269"/>
      <c r="AGU9" s="231">
        <v>56276</v>
      </c>
      <c r="AGV9" s="232"/>
      <c r="AGW9" s="267" t="s">
        <v>2</v>
      </c>
      <c r="AGX9" s="268"/>
      <c r="AGY9" s="269"/>
      <c r="AGZ9" s="231">
        <v>0</v>
      </c>
      <c r="AHA9" s="232"/>
      <c r="AHB9" s="267" t="s">
        <v>2</v>
      </c>
      <c r="AHC9" s="268"/>
      <c r="AHD9" s="269"/>
      <c r="AHE9" s="231">
        <v>65669</v>
      </c>
      <c r="AHF9" s="232"/>
      <c r="AHG9" s="267" t="s">
        <v>2</v>
      </c>
      <c r="AHH9" s="268"/>
      <c r="AHI9" s="269"/>
      <c r="AHJ9" s="231">
        <v>62363</v>
      </c>
      <c r="AHK9" s="232"/>
      <c r="AHL9" s="267" t="s">
        <v>2</v>
      </c>
      <c r="AHM9" s="268"/>
      <c r="AHN9" s="269"/>
      <c r="AHO9" s="231">
        <v>111362.5</v>
      </c>
      <c r="AHP9" s="232"/>
      <c r="AHQ9" s="267" t="s">
        <v>2</v>
      </c>
      <c r="AHR9" s="268"/>
      <c r="AHS9" s="269"/>
      <c r="AHT9" s="231">
        <v>74910.25</v>
      </c>
      <c r="AHU9" s="232"/>
      <c r="AHV9" s="267" t="s">
        <v>2</v>
      </c>
      <c r="AHW9" s="268"/>
      <c r="AHX9" s="269"/>
      <c r="AHY9" s="231">
        <v>35636</v>
      </c>
      <c r="AHZ9" s="232"/>
      <c r="AIA9" s="267" t="s">
        <v>2</v>
      </c>
      <c r="AIB9" s="268"/>
      <c r="AIC9" s="269"/>
      <c r="AID9" s="231">
        <v>26727</v>
      </c>
      <c r="AIE9" s="232"/>
      <c r="AIF9" s="267" t="s">
        <v>2</v>
      </c>
      <c r="AIG9" s="268"/>
      <c r="AIH9" s="269"/>
      <c r="AII9" s="231">
        <v>48999.5</v>
      </c>
      <c r="AIJ9" s="232"/>
      <c r="AIK9" s="267" t="s">
        <v>2</v>
      </c>
      <c r="AIL9" s="268"/>
      <c r="AIM9" s="269"/>
      <c r="AIN9" s="231">
        <v>44545</v>
      </c>
      <c r="AIO9" s="232"/>
      <c r="AIP9" s="267" t="s">
        <v>2</v>
      </c>
      <c r="AIQ9" s="268"/>
      <c r="AIR9" s="269"/>
      <c r="AIS9" s="231">
        <v>80181</v>
      </c>
      <c r="AIT9" s="232"/>
      <c r="AIU9" s="267" t="s">
        <v>2</v>
      </c>
      <c r="AIV9" s="268"/>
      <c r="AIW9" s="269"/>
      <c r="AIX9" s="231">
        <v>52285</v>
      </c>
      <c r="AIY9" s="232"/>
      <c r="AIZ9" s="267" t="s">
        <v>2</v>
      </c>
      <c r="AJA9" s="268"/>
      <c r="AJB9" s="269"/>
      <c r="AJC9" s="231">
        <v>49705</v>
      </c>
      <c r="AJD9" s="232"/>
      <c r="AJE9" s="267" t="s">
        <v>2</v>
      </c>
      <c r="AJF9" s="268"/>
      <c r="AJG9" s="269"/>
      <c r="AJH9" s="231">
        <v>40090.5</v>
      </c>
      <c r="AJI9" s="232"/>
      <c r="AJJ9" s="267" t="s">
        <v>2</v>
      </c>
      <c r="AJK9" s="268"/>
      <c r="AJL9" s="269"/>
      <c r="AJM9" s="231">
        <v>151453</v>
      </c>
      <c r="AJN9" s="232"/>
      <c r="AJO9" s="267" t="s">
        <v>2</v>
      </c>
      <c r="AJP9" s="268"/>
      <c r="AJQ9" s="269"/>
      <c r="AJR9" s="231">
        <v>71272</v>
      </c>
      <c r="AJS9" s="232"/>
      <c r="AJT9" s="267" t="s">
        <v>2</v>
      </c>
      <c r="AJU9" s="268"/>
      <c r="AJV9" s="269"/>
      <c r="AJW9" s="231">
        <v>26727</v>
      </c>
      <c r="AJX9" s="232"/>
      <c r="AJY9" s="267" t="s">
        <v>2</v>
      </c>
      <c r="AJZ9" s="268"/>
      <c r="AKA9" s="269"/>
      <c r="AKB9" s="231">
        <v>13363.5</v>
      </c>
      <c r="AKC9" s="232"/>
      <c r="AKD9" s="267" t="s">
        <v>2</v>
      </c>
      <c r="AKE9" s="268"/>
      <c r="AKF9" s="269"/>
      <c r="AKG9" s="231">
        <v>0</v>
      </c>
      <c r="AKH9" s="232"/>
      <c r="AKI9" s="267" t="s">
        <v>2</v>
      </c>
      <c r="AKJ9" s="268"/>
      <c r="AKK9" s="269"/>
      <c r="AKL9" s="231">
        <v>62363</v>
      </c>
      <c r="AKM9" s="232"/>
      <c r="AKN9" s="267" t="s">
        <v>2</v>
      </c>
      <c r="AKO9" s="268"/>
      <c r="AKP9" s="269"/>
      <c r="AKQ9" s="231">
        <v>31181.5</v>
      </c>
      <c r="AKR9" s="232"/>
      <c r="AKS9" s="267" t="s">
        <v>2</v>
      </c>
      <c r="AKT9" s="268"/>
      <c r="AKU9" s="269"/>
      <c r="AKV9" s="231">
        <v>17818</v>
      </c>
      <c r="AKW9" s="232"/>
      <c r="AKX9" s="267" t="s">
        <v>2</v>
      </c>
      <c r="AKY9" s="268"/>
      <c r="AKZ9" s="269"/>
      <c r="ALA9" s="231">
        <v>57908.5</v>
      </c>
      <c r="ALB9" s="232"/>
      <c r="ALC9" s="267" t="s">
        <v>2</v>
      </c>
      <c r="ALD9" s="268"/>
      <c r="ALE9" s="269"/>
      <c r="ALF9" s="231">
        <v>57908.5</v>
      </c>
      <c r="ALG9" s="232"/>
      <c r="ALH9" s="267" t="s">
        <v>2</v>
      </c>
      <c r="ALI9" s="268"/>
      <c r="ALJ9" s="269"/>
      <c r="ALK9" s="231">
        <v>102453.5</v>
      </c>
      <c r="ALL9" s="232"/>
      <c r="ALM9" s="267" t="s">
        <v>2</v>
      </c>
      <c r="ALN9" s="268"/>
      <c r="ALO9" s="269"/>
      <c r="ALP9" s="231">
        <v>62363</v>
      </c>
      <c r="ALQ9" s="232"/>
      <c r="ALR9" s="267" t="s">
        <v>2</v>
      </c>
      <c r="ALS9" s="268"/>
      <c r="ALT9" s="269"/>
      <c r="ALU9" s="231">
        <v>80181</v>
      </c>
      <c r="ALV9" s="232"/>
      <c r="ALW9" s="267" t="s">
        <v>2</v>
      </c>
      <c r="ALX9" s="268"/>
      <c r="ALY9" s="269"/>
      <c r="ALZ9" s="231">
        <v>96961.25</v>
      </c>
      <c r="AMA9" s="232"/>
      <c r="AMB9" s="267" t="s">
        <v>2</v>
      </c>
      <c r="AMC9" s="268"/>
      <c r="AMD9" s="269"/>
      <c r="AME9" s="231">
        <v>31181.5</v>
      </c>
      <c r="AMF9" s="232"/>
      <c r="AMG9" s="267" t="s">
        <v>2</v>
      </c>
      <c r="AMH9" s="268"/>
      <c r="AMI9" s="269"/>
      <c r="AMJ9" s="231">
        <v>13363.5</v>
      </c>
      <c r="AMK9" s="232"/>
      <c r="AML9" s="267" t="s">
        <v>2</v>
      </c>
      <c r="AMM9" s="268"/>
      <c r="AMN9" s="269"/>
      <c r="AMO9" s="231">
        <v>0</v>
      </c>
      <c r="AMP9" s="232"/>
      <c r="AMQ9" s="267" t="s">
        <v>2</v>
      </c>
      <c r="AMR9" s="268"/>
      <c r="AMS9" s="269"/>
      <c r="AMT9" s="231">
        <v>24499.75</v>
      </c>
      <c r="AMU9" s="232"/>
      <c r="AMV9" s="267" t="s">
        <v>2</v>
      </c>
      <c r="AMW9" s="268"/>
      <c r="AMX9" s="269"/>
      <c r="AMY9" s="231">
        <v>15590.75</v>
      </c>
      <c r="AMZ9" s="232"/>
      <c r="ANA9" s="267" t="s">
        <v>2</v>
      </c>
      <c r="ANB9" s="268"/>
      <c r="ANC9" s="269"/>
      <c r="AND9" s="231">
        <v>48999.5</v>
      </c>
      <c r="ANE9" s="232"/>
      <c r="ANF9" s="267" t="s">
        <v>2</v>
      </c>
      <c r="ANG9" s="268"/>
      <c r="ANH9" s="269"/>
      <c r="ANI9" s="231">
        <v>48554.05</v>
      </c>
      <c r="ANJ9" s="232"/>
      <c r="ANK9" s="267" t="s">
        <v>2</v>
      </c>
      <c r="ANL9" s="268"/>
      <c r="ANM9" s="269"/>
      <c r="ANN9" s="231">
        <v>48999.5</v>
      </c>
      <c r="ANO9" s="232"/>
      <c r="ANP9" s="267" t="s">
        <v>2</v>
      </c>
      <c r="ANQ9" s="268"/>
      <c r="ANR9" s="269"/>
      <c r="ANS9" s="231">
        <v>21103.5</v>
      </c>
      <c r="ANT9" s="232"/>
      <c r="ANU9" s="267" t="s">
        <v>2</v>
      </c>
      <c r="ANV9" s="268"/>
      <c r="ANW9" s="269"/>
      <c r="ANX9" s="231">
        <v>102453.5</v>
      </c>
      <c r="ANY9" s="232"/>
      <c r="ANZ9" s="267" t="s">
        <v>2</v>
      </c>
      <c r="AOA9" s="268"/>
      <c r="AOB9" s="269"/>
      <c r="AOC9" s="231">
        <v>133635</v>
      </c>
      <c r="AOD9" s="232"/>
      <c r="AOE9" s="267" t="s">
        <v>2</v>
      </c>
      <c r="AOF9" s="268"/>
      <c r="AOG9" s="269"/>
      <c r="AOH9" s="231">
        <v>111362.5</v>
      </c>
      <c r="AOI9" s="232"/>
      <c r="AOJ9" s="267" t="s">
        <v>2</v>
      </c>
      <c r="AOK9" s="268"/>
      <c r="AOL9" s="269"/>
      <c r="AOM9" s="231">
        <v>89090</v>
      </c>
      <c r="AON9" s="232"/>
      <c r="AOO9" s="267" t="s">
        <v>2</v>
      </c>
      <c r="AOP9" s="268"/>
      <c r="AOQ9" s="269"/>
      <c r="AOR9" s="231">
        <v>48072.5</v>
      </c>
      <c r="AOS9" s="232"/>
      <c r="AOT9" s="267" t="s">
        <v>2</v>
      </c>
      <c r="AOU9" s="268"/>
      <c r="AOV9" s="269"/>
      <c r="AOW9" s="231">
        <v>145366</v>
      </c>
      <c r="AOX9" s="232"/>
      <c r="AOY9" s="267" t="s">
        <v>2</v>
      </c>
      <c r="AOZ9" s="268"/>
      <c r="APA9" s="269"/>
      <c r="APB9" s="231">
        <v>172134</v>
      </c>
      <c r="APC9" s="232"/>
      <c r="APD9" s="267" t="s">
        <v>2</v>
      </c>
      <c r="APE9" s="268"/>
      <c r="APF9" s="269"/>
      <c r="APG9" s="231">
        <v>115817</v>
      </c>
      <c r="APH9" s="232"/>
      <c r="API9" s="267" t="s">
        <v>2</v>
      </c>
      <c r="APJ9" s="268"/>
      <c r="APK9" s="269"/>
      <c r="APL9" s="231">
        <v>97999</v>
      </c>
      <c r="APM9" s="232"/>
      <c r="APN9" s="267" t="s">
        <v>2</v>
      </c>
      <c r="APO9" s="268"/>
      <c r="APP9" s="269"/>
      <c r="APQ9" s="231">
        <v>77863.5</v>
      </c>
      <c r="APR9" s="232"/>
      <c r="APS9" s="267" t="s">
        <v>2</v>
      </c>
      <c r="APT9" s="268"/>
      <c r="APU9" s="269"/>
      <c r="APV9" s="231">
        <v>105296</v>
      </c>
      <c r="APW9" s="232"/>
      <c r="APX9" s="267" t="s">
        <v>2</v>
      </c>
      <c r="APY9" s="268"/>
      <c r="APZ9" s="269"/>
      <c r="AQA9" s="231">
        <v>97777.5</v>
      </c>
      <c r="AQB9" s="232"/>
      <c r="AQC9" s="267" t="s">
        <v>2</v>
      </c>
      <c r="AQD9" s="268"/>
      <c r="AQE9" s="269"/>
      <c r="AQF9" s="231">
        <v>146777</v>
      </c>
      <c r="AQG9" s="232"/>
      <c r="AQH9" s="267" t="s">
        <v>2</v>
      </c>
      <c r="AQI9" s="268"/>
      <c r="AQJ9" s="269"/>
      <c r="AQK9" s="231">
        <v>209140</v>
      </c>
      <c r="AQL9" s="232"/>
      <c r="AQM9" s="267" t="s">
        <v>2</v>
      </c>
      <c r="AQN9" s="268"/>
      <c r="AQO9" s="269"/>
      <c r="AQP9" s="231">
        <v>191543.5</v>
      </c>
      <c r="AQQ9" s="232"/>
      <c r="AQR9" s="267" t="s">
        <v>2</v>
      </c>
      <c r="AQS9" s="268"/>
      <c r="AQT9" s="269"/>
      <c r="AQU9" s="231">
        <v>66817.5</v>
      </c>
      <c r="AQV9" s="232"/>
      <c r="AQW9" s="267" t="s">
        <v>2</v>
      </c>
      <c r="AQX9" s="268"/>
      <c r="AQY9" s="269"/>
      <c r="AQZ9" s="231">
        <v>93544.5</v>
      </c>
      <c r="ARA9" s="232"/>
      <c r="ARB9" s="267" t="s">
        <v>2</v>
      </c>
      <c r="ARC9" s="268"/>
      <c r="ARD9" s="269"/>
      <c r="ARE9" s="231">
        <v>80181</v>
      </c>
      <c r="ARF9" s="232"/>
      <c r="ARG9" s="267" t="s">
        <v>2</v>
      </c>
      <c r="ARH9" s="268"/>
      <c r="ARI9" s="269"/>
      <c r="ARJ9" s="231">
        <v>32592.5</v>
      </c>
      <c r="ARK9" s="232"/>
      <c r="ARL9" s="267" t="s">
        <v>2</v>
      </c>
      <c r="ARM9" s="268"/>
      <c r="ARN9" s="269"/>
      <c r="ARO9" s="231">
        <v>132002.5</v>
      </c>
      <c r="ARP9" s="232"/>
      <c r="ARQ9" s="267" t="s">
        <v>2</v>
      </c>
      <c r="ARR9" s="268"/>
      <c r="ARS9" s="269"/>
      <c r="ART9" s="231">
        <v>129180.5</v>
      </c>
      <c r="ARU9" s="232"/>
      <c r="ARV9" s="267" t="s">
        <v>2</v>
      </c>
      <c r="ARW9" s="268"/>
      <c r="ARX9" s="269"/>
      <c r="ARY9" s="231">
        <v>52527</v>
      </c>
      <c r="ARZ9" s="232"/>
      <c r="ASA9" s="267" t="s">
        <v>2</v>
      </c>
      <c r="ASB9" s="268"/>
      <c r="ASC9" s="269"/>
      <c r="ASD9" s="231">
        <v>49705</v>
      </c>
      <c r="ASE9" s="232"/>
      <c r="ASF9" s="267" t="s">
        <v>2</v>
      </c>
      <c r="ASG9" s="268"/>
      <c r="ASH9" s="269"/>
      <c r="ASI9" s="231">
        <v>53454</v>
      </c>
      <c r="ASJ9" s="232"/>
      <c r="ASK9" s="267" t="s">
        <v>2</v>
      </c>
      <c r="ASL9" s="268"/>
      <c r="ASM9" s="269"/>
      <c r="ASN9" s="231">
        <v>29549</v>
      </c>
      <c r="ASO9" s="232"/>
      <c r="ASP9" s="267" t="s">
        <v>2</v>
      </c>
      <c r="ASQ9" s="268"/>
      <c r="ASR9" s="269"/>
      <c r="ASS9" s="231">
        <v>103885</v>
      </c>
      <c r="AST9" s="232"/>
      <c r="ASU9" s="267" t="s">
        <v>2</v>
      </c>
      <c r="ASV9" s="268"/>
      <c r="ASW9" s="269"/>
      <c r="ASX9" s="231">
        <v>105296</v>
      </c>
      <c r="ASY9" s="232"/>
      <c r="ASZ9" s="267" t="s">
        <v>2</v>
      </c>
      <c r="ATA9" s="268"/>
      <c r="ATB9" s="269"/>
      <c r="ATC9" s="231">
        <v>122166.5</v>
      </c>
      <c r="ATD9" s="232"/>
      <c r="ATE9" s="267" t="s">
        <v>2</v>
      </c>
      <c r="ATF9" s="268"/>
      <c r="ATG9" s="269"/>
      <c r="ATH9" s="231">
        <v>17818</v>
      </c>
      <c r="ATI9" s="232"/>
      <c r="ATJ9" s="267" t="s">
        <v>2</v>
      </c>
      <c r="ATK9" s="268"/>
      <c r="ATL9" s="269"/>
      <c r="ATM9" s="231">
        <v>85971.85</v>
      </c>
      <c r="ATN9" s="232"/>
      <c r="ATO9" s="267" t="s">
        <v>2</v>
      </c>
      <c r="ATP9" s="268"/>
      <c r="ATQ9" s="269"/>
      <c r="ATR9" s="231">
        <v>103344.4</v>
      </c>
      <c r="ATS9" s="232"/>
      <c r="ATT9" s="267" t="s">
        <v>2</v>
      </c>
      <c r="ATU9" s="268"/>
      <c r="ATV9" s="269"/>
      <c r="ATW9" s="231">
        <v>76210.5</v>
      </c>
      <c r="ATX9" s="232"/>
      <c r="ATY9" s="267" t="s">
        <v>2</v>
      </c>
      <c r="ATZ9" s="268"/>
      <c r="AUA9" s="269"/>
      <c r="AUB9" s="231">
        <v>69418</v>
      </c>
      <c r="AUC9" s="232"/>
      <c r="AUD9" s="267" t="s">
        <v>2</v>
      </c>
      <c r="AUE9" s="268"/>
      <c r="AUF9" s="269"/>
      <c r="AUG9" s="231">
        <v>117228</v>
      </c>
      <c r="AUH9" s="232"/>
      <c r="AUI9" s="267" t="s">
        <v>2</v>
      </c>
      <c r="AUJ9" s="268"/>
      <c r="AUK9" s="269"/>
      <c r="AUL9" s="231">
        <v>106908</v>
      </c>
      <c r="AUM9" s="232"/>
      <c r="AUN9" s="267" t="s">
        <v>2</v>
      </c>
      <c r="AUO9" s="268"/>
      <c r="AUP9" s="269"/>
      <c r="AUQ9" s="231">
        <v>71272</v>
      </c>
      <c r="AUR9" s="232"/>
      <c r="AUS9" s="267" t="s">
        <v>2</v>
      </c>
      <c r="AUT9" s="268"/>
      <c r="AUU9" s="269"/>
      <c r="AUV9" s="231">
        <v>101562.6</v>
      </c>
      <c r="AUW9" s="232"/>
      <c r="AUX9" s="267" t="s">
        <v>2</v>
      </c>
      <c r="AUY9" s="268"/>
      <c r="AUZ9" s="269"/>
      <c r="AVA9" s="231">
        <v>13363.5</v>
      </c>
      <c r="AVB9" s="232"/>
      <c r="AVC9" s="267" t="s">
        <v>2</v>
      </c>
      <c r="AVD9" s="268"/>
      <c r="AVE9" s="269"/>
      <c r="AVF9" s="231">
        <v>26727</v>
      </c>
      <c r="AVG9" s="232"/>
      <c r="AVH9" s="267" t="s">
        <v>2</v>
      </c>
      <c r="AVI9" s="268"/>
      <c r="AVJ9" s="269"/>
      <c r="AVK9" s="231">
        <v>8909</v>
      </c>
      <c r="AVL9" s="232"/>
      <c r="AVM9" s="267" t="s">
        <v>2</v>
      </c>
      <c r="AVN9" s="268"/>
      <c r="AVO9" s="269"/>
      <c r="AVP9" s="231">
        <v>53454</v>
      </c>
      <c r="AVQ9" s="232"/>
      <c r="AVR9" s="267" t="s">
        <v>2</v>
      </c>
      <c r="AVS9" s="268"/>
      <c r="AVT9" s="269"/>
      <c r="AVU9" s="231">
        <v>80181</v>
      </c>
      <c r="AVV9" s="232"/>
      <c r="AVW9" s="267" t="s">
        <v>2</v>
      </c>
      <c r="AVX9" s="268"/>
      <c r="AVY9" s="269"/>
      <c r="AVZ9" s="231">
        <v>44545</v>
      </c>
      <c r="AWA9" s="232"/>
      <c r="AWB9" s="267" t="s">
        <v>2</v>
      </c>
      <c r="AWC9" s="268"/>
      <c r="AWD9" s="269"/>
      <c r="AWE9" s="231">
        <v>22272.5</v>
      </c>
      <c r="AWF9" s="232"/>
      <c r="AWG9" s="267" t="s">
        <v>2</v>
      </c>
      <c r="AWH9" s="268"/>
      <c r="AWI9" s="269"/>
      <c r="AWJ9" s="231">
        <v>60972.5</v>
      </c>
      <c r="AWK9" s="232"/>
      <c r="AWL9" s="267" t="s">
        <v>2</v>
      </c>
      <c r="AWM9" s="268"/>
      <c r="AWN9" s="269"/>
      <c r="AWO9" s="231">
        <v>72240</v>
      </c>
      <c r="AWP9" s="232"/>
      <c r="AWQ9" s="267" t="s">
        <v>2</v>
      </c>
      <c r="AWR9" s="268"/>
      <c r="AWS9" s="269"/>
      <c r="AWT9" s="231">
        <v>35636</v>
      </c>
      <c r="AWU9" s="232"/>
      <c r="AWV9" s="267" t="s">
        <v>2</v>
      </c>
      <c r="AWW9" s="268"/>
      <c r="AWX9" s="269"/>
      <c r="AWY9" s="231">
        <v>40796</v>
      </c>
      <c r="AWZ9" s="232"/>
      <c r="AXA9" s="267" t="s">
        <v>2</v>
      </c>
      <c r="AXB9" s="268"/>
      <c r="AXC9" s="269"/>
      <c r="AXD9" s="231">
        <v>26727</v>
      </c>
      <c r="AXE9" s="232"/>
      <c r="AXF9" s="267" t="s">
        <v>2</v>
      </c>
      <c r="AXG9" s="268"/>
      <c r="AXH9" s="269"/>
      <c r="AXI9" s="231">
        <v>8909</v>
      </c>
      <c r="AXJ9" s="232"/>
      <c r="AXK9" s="267" t="s">
        <v>2</v>
      </c>
      <c r="AXL9" s="268"/>
      <c r="AXM9" s="269"/>
      <c r="AXN9" s="231">
        <v>22978</v>
      </c>
      <c r="AXO9" s="232"/>
      <c r="AXP9" s="267" t="s">
        <v>2</v>
      </c>
      <c r="AXQ9" s="268"/>
      <c r="AXR9" s="269"/>
      <c r="AXS9" s="231">
        <v>35636</v>
      </c>
      <c r="AXT9" s="232"/>
      <c r="AXU9" s="267" t="s">
        <v>2</v>
      </c>
      <c r="AXV9" s="268"/>
      <c r="AXW9" s="269"/>
      <c r="AXX9" s="231">
        <v>4454.5</v>
      </c>
      <c r="AXY9" s="232"/>
      <c r="AXZ9" s="267" t="s">
        <v>2</v>
      </c>
      <c r="AYA9" s="268"/>
      <c r="AYB9" s="269"/>
      <c r="AYC9" s="231">
        <v>43154.5</v>
      </c>
      <c r="AYD9" s="232"/>
      <c r="AYE9" s="267" t="s">
        <v>2</v>
      </c>
      <c r="AYF9" s="268"/>
      <c r="AYG9" s="269"/>
      <c r="AYH9" s="231">
        <v>106908</v>
      </c>
      <c r="AYI9" s="232"/>
      <c r="AYJ9" s="267" t="s">
        <v>2</v>
      </c>
      <c r="AYK9" s="268"/>
      <c r="AYL9" s="269"/>
      <c r="AYM9" s="231">
        <v>97999</v>
      </c>
      <c r="AYN9" s="232"/>
      <c r="AYO9" s="267" t="s">
        <v>2</v>
      </c>
      <c r="AYP9" s="268"/>
      <c r="AYQ9" s="269"/>
      <c r="AYR9" s="231">
        <v>17818</v>
      </c>
      <c r="AYS9" s="232"/>
      <c r="AYT9" s="267" t="s">
        <v>2</v>
      </c>
      <c r="AYU9" s="268"/>
      <c r="AYV9" s="269"/>
      <c r="AYW9" s="231">
        <v>35636</v>
      </c>
      <c r="AYX9" s="232"/>
      <c r="AYY9" s="267" t="s">
        <v>2</v>
      </c>
      <c r="AYZ9" s="268"/>
      <c r="AZA9" s="269"/>
      <c r="AZB9" s="231">
        <v>8909</v>
      </c>
      <c r="AZC9" s="232"/>
      <c r="AZD9" s="267" t="s">
        <v>2</v>
      </c>
      <c r="AZE9" s="268"/>
      <c r="AZF9" s="269"/>
      <c r="AZG9" s="231">
        <v>89090</v>
      </c>
      <c r="AZH9" s="232"/>
      <c r="AZI9" s="267" t="s">
        <v>2</v>
      </c>
      <c r="AZJ9" s="268"/>
      <c r="AZK9" s="269"/>
      <c r="AZL9" s="231">
        <v>84635.5</v>
      </c>
      <c r="AZM9" s="232"/>
      <c r="AZN9" s="267" t="s">
        <v>2</v>
      </c>
      <c r="AZO9" s="268"/>
      <c r="AZP9" s="269"/>
      <c r="AZQ9" s="231">
        <v>51672.2</v>
      </c>
      <c r="AZR9" s="232"/>
      <c r="AZS9" s="267" t="s">
        <v>2</v>
      </c>
      <c r="AZT9" s="268"/>
      <c r="AZU9" s="269"/>
      <c r="AZV9" s="231">
        <v>0</v>
      </c>
      <c r="AZW9" s="232"/>
      <c r="AZX9" s="267" t="s">
        <v>2</v>
      </c>
      <c r="AZY9" s="268"/>
      <c r="AZZ9" s="269"/>
      <c r="BAA9" s="231">
        <v>106908</v>
      </c>
      <c r="BAB9" s="232"/>
      <c r="BAC9" s="267" t="s">
        <v>2</v>
      </c>
      <c r="BAD9" s="268"/>
      <c r="BAE9" s="269"/>
      <c r="BAF9" s="231">
        <v>22272.5</v>
      </c>
      <c r="BAG9" s="232"/>
      <c r="BAH9" s="267" t="s">
        <v>2</v>
      </c>
      <c r="BAI9" s="268"/>
      <c r="BAJ9" s="269"/>
      <c r="BAK9" s="231">
        <v>37010.9</v>
      </c>
      <c r="BAL9" s="232"/>
      <c r="BAM9" s="267" t="s">
        <v>2</v>
      </c>
      <c r="BAN9" s="268"/>
      <c r="BAO9" s="269"/>
      <c r="BAP9" s="231">
        <v>108319</v>
      </c>
      <c r="BAQ9" s="232"/>
      <c r="BAR9" s="267" t="s">
        <v>2</v>
      </c>
      <c r="BAS9" s="268"/>
      <c r="BAT9" s="269"/>
      <c r="BAU9" s="231">
        <v>7740</v>
      </c>
      <c r="BAV9" s="232"/>
      <c r="BAW9" s="267" t="s">
        <v>2</v>
      </c>
      <c r="BAX9" s="268"/>
      <c r="BAY9" s="269"/>
      <c r="BAZ9" s="231">
        <v>112109</v>
      </c>
      <c r="BBA9" s="232"/>
      <c r="BBB9" s="267" t="s">
        <v>2</v>
      </c>
      <c r="BBC9" s="268"/>
      <c r="BBD9" s="269"/>
      <c r="BBE9" s="231">
        <v>72240</v>
      </c>
      <c r="BBF9" s="232"/>
      <c r="BBG9" s="267" t="s">
        <v>2</v>
      </c>
      <c r="BBH9" s="268"/>
      <c r="BBI9" s="269"/>
      <c r="BBJ9" s="231" t="e">
        <v>#VALUE!</v>
      </c>
      <c r="BBK9" s="232"/>
      <c r="BBL9" s="267" t="s">
        <v>2</v>
      </c>
      <c r="BBM9" s="268"/>
      <c r="BBN9" s="269"/>
      <c r="BBO9" s="231">
        <v>69490.200000000012</v>
      </c>
      <c r="BBP9" s="232"/>
      <c r="BBQ9" s="267" t="s">
        <v>2</v>
      </c>
      <c r="BBR9" s="268"/>
      <c r="BBS9" s="269"/>
      <c r="BBT9" s="231">
        <v>51600</v>
      </c>
      <c r="BBU9" s="232"/>
      <c r="BBV9" s="267" t="s">
        <v>2</v>
      </c>
      <c r="BBW9" s="268"/>
      <c r="BBX9" s="269"/>
      <c r="BBY9" s="231">
        <v>64016</v>
      </c>
      <c r="BBZ9" s="232"/>
      <c r="BCA9" s="267" t="s">
        <v>2</v>
      </c>
      <c r="BCB9" s="268"/>
      <c r="BCC9" s="269"/>
      <c r="BCD9" s="231">
        <v>23163.4</v>
      </c>
      <c r="BCE9" s="232"/>
      <c r="BCF9" s="267" t="s">
        <v>2</v>
      </c>
      <c r="BCG9" s="268"/>
      <c r="BCH9" s="269"/>
      <c r="BCI9" s="231">
        <v>13363.5</v>
      </c>
      <c r="BCJ9" s="232"/>
      <c r="BCK9" s="267" t="s">
        <v>2</v>
      </c>
      <c r="BCL9" s="268"/>
      <c r="BCM9" s="269"/>
      <c r="BCN9" s="231">
        <v>34709</v>
      </c>
      <c r="BCO9" s="232"/>
      <c r="BCP9" s="267" t="s">
        <v>2</v>
      </c>
      <c r="BCQ9" s="268"/>
      <c r="BCR9" s="269"/>
      <c r="BCS9" s="231">
        <v>31181.5</v>
      </c>
      <c r="BCT9" s="232"/>
      <c r="BCU9" s="267" t="s">
        <v>2</v>
      </c>
      <c r="BCV9" s="268"/>
      <c r="BCW9" s="269"/>
      <c r="BCX9" s="231">
        <v>31887</v>
      </c>
      <c r="BCY9" s="232"/>
      <c r="BCZ9" s="267" t="s">
        <v>2</v>
      </c>
      <c r="BDA9" s="268"/>
      <c r="BDB9" s="269"/>
      <c r="BDC9" s="231">
        <v>26727</v>
      </c>
      <c r="BDD9" s="232"/>
      <c r="BDE9" s="267" t="s">
        <v>2</v>
      </c>
      <c r="BDF9" s="268"/>
      <c r="BDG9" s="269"/>
      <c r="BDH9" s="231">
        <v>45029</v>
      </c>
      <c r="BDI9" s="232"/>
      <c r="BDJ9" s="267" t="s">
        <v>2</v>
      </c>
      <c r="BDK9" s="268"/>
      <c r="BDL9" s="269"/>
      <c r="BDM9" s="231">
        <v>51226.75</v>
      </c>
      <c r="BDN9" s="232"/>
      <c r="BDO9" s="267" t="s">
        <v>2</v>
      </c>
      <c r="BDP9" s="268"/>
      <c r="BDQ9" s="269"/>
      <c r="BDR9" s="231">
        <v>49705</v>
      </c>
      <c r="BDS9" s="232"/>
      <c r="BDT9" s="267" t="s">
        <v>2</v>
      </c>
      <c r="BDU9" s="268"/>
      <c r="BDV9" s="269"/>
      <c r="BDW9" s="231">
        <v>52285</v>
      </c>
      <c r="BDX9" s="232"/>
      <c r="BDY9" s="267" t="s">
        <v>2</v>
      </c>
      <c r="BDZ9" s="268"/>
      <c r="BEA9" s="269"/>
      <c r="BEB9" s="231">
        <v>80181</v>
      </c>
      <c r="BEC9" s="232"/>
      <c r="BED9" s="267" t="s">
        <v>2</v>
      </c>
      <c r="BEE9" s="268"/>
      <c r="BEF9" s="269"/>
      <c r="BEG9" s="231">
        <v>34467</v>
      </c>
      <c r="BEH9" s="232"/>
      <c r="BEI9" s="267" t="s">
        <v>2</v>
      </c>
      <c r="BEJ9" s="268"/>
      <c r="BEK9" s="269"/>
      <c r="BEL9" s="231">
        <v>8909</v>
      </c>
      <c r="BEM9" s="232"/>
      <c r="BEN9" s="267" t="s">
        <v>2</v>
      </c>
      <c r="BEO9" s="268"/>
      <c r="BEP9" s="269"/>
      <c r="BEQ9" s="231">
        <v>71272</v>
      </c>
      <c r="BER9" s="232"/>
      <c r="BES9" s="267" t="s">
        <v>2</v>
      </c>
      <c r="BET9" s="268"/>
      <c r="BEU9" s="269"/>
      <c r="BEV9" s="231">
        <v>44545</v>
      </c>
      <c r="BEW9" s="232"/>
      <c r="BEX9" s="267" t="s">
        <v>2</v>
      </c>
      <c r="BEY9" s="268"/>
      <c r="BEZ9" s="269"/>
      <c r="BFA9" s="231">
        <v>58856</v>
      </c>
      <c r="BFB9" s="232"/>
      <c r="BFC9" s="267" t="s">
        <v>2</v>
      </c>
      <c r="BFD9" s="268"/>
      <c r="BFE9" s="269"/>
      <c r="BFF9" s="231">
        <v>13363.5</v>
      </c>
      <c r="BFG9" s="232"/>
      <c r="BFH9" s="267" t="s">
        <v>2</v>
      </c>
      <c r="BFI9" s="268"/>
      <c r="BFJ9" s="269"/>
      <c r="BFK9" s="231">
        <v>0</v>
      </c>
      <c r="BFL9" s="232"/>
      <c r="BFM9" s="267" t="s">
        <v>2</v>
      </c>
      <c r="BFN9" s="268"/>
      <c r="BFO9" s="269"/>
      <c r="BFP9" s="231">
        <v>4454.5</v>
      </c>
      <c r="BFQ9" s="232"/>
      <c r="BFR9" s="267" t="s">
        <v>2</v>
      </c>
      <c r="BFS9" s="268"/>
      <c r="BFT9" s="269"/>
      <c r="BFU9" s="231">
        <v>2227.25</v>
      </c>
      <c r="BFV9" s="232"/>
      <c r="BFW9" s="267" t="s">
        <v>2</v>
      </c>
      <c r="BFX9" s="268"/>
      <c r="BFY9" s="269"/>
      <c r="BFZ9" s="231">
        <v>77953.75</v>
      </c>
      <c r="BGA9" s="232"/>
      <c r="BGB9" s="267" t="s">
        <v>2</v>
      </c>
      <c r="BGC9" s="268"/>
      <c r="BGD9" s="269"/>
      <c r="BGE9" s="231">
        <v>31181.5</v>
      </c>
      <c r="BGF9" s="232"/>
      <c r="BGG9" s="267" t="s">
        <v>2</v>
      </c>
      <c r="BGH9" s="268"/>
      <c r="BGI9" s="269"/>
      <c r="BGJ9" s="231">
        <v>52769</v>
      </c>
      <c r="BGK9" s="232"/>
      <c r="BGL9" s="267" t="s">
        <v>2</v>
      </c>
      <c r="BGM9" s="268"/>
      <c r="BGN9" s="269"/>
      <c r="BGO9" s="231">
        <v>22272.5</v>
      </c>
      <c r="BGP9" s="232"/>
      <c r="BGQ9" s="267" t="s">
        <v>2</v>
      </c>
      <c r="BGR9" s="268"/>
      <c r="BGS9" s="269"/>
      <c r="BGT9" s="231">
        <v>22272.5</v>
      </c>
      <c r="BGU9" s="232"/>
      <c r="BGV9" s="267" t="s">
        <v>2</v>
      </c>
      <c r="BGW9" s="268"/>
      <c r="BGX9" s="269"/>
      <c r="BGY9" s="231">
        <v>40332.5</v>
      </c>
      <c r="BGZ9" s="232"/>
      <c r="BHA9" s="267" t="s">
        <v>2</v>
      </c>
      <c r="BHB9" s="268"/>
      <c r="BHC9" s="269"/>
      <c r="BHD9" s="231">
        <v>125210</v>
      </c>
      <c r="BHE9" s="232"/>
      <c r="BHF9" s="267" t="s">
        <v>2</v>
      </c>
      <c r="BHG9" s="268"/>
      <c r="BHH9" s="269"/>
      <c r="BHI9" s="231">
        <v>88515.75</v>
      </c>
      <c r="BHJ9" s="232"/>
      <c r="BHK9" s="267" t="s">
        <v>2</v>
      </c>
      <c r="BHL9" s="268"/>
      <c r="BHM9" s="269"/>
      <c r="BHN9" s="231">
        <v>110698</v>
      </c>
      <c r="BHO9" s="232"/>
      <c r="BHP9" s="267" t="s">
        <v>2</v>
      </c>
      <c r="BHQ9" s="268"/>
      <c r="BHR9" s="269"/>
      <c r="BHS9" s="231">
        <v>61920</v>
      </c>
      <c r="BHT9" s="232"/>
      <c r="BHU9" s="267" t="s">
        <v>2</v>
      </c>
      <c r="BHV9" s="268"/>
      <c r="BHW9" s="269"/>
      <c r="BHX9" s="231">
        <v>61920</v>
      </c>
      <c r="BHY9" s="232"/>
      <c r="BHZ9" s="267" t="s">
        <v>2</v>
      </c>
      <c r="BIA9" s="268"/>
      <c r="BIB9" s="269"/>
      <c r="BIC9" s="231">
        <v>43860</v>
      </c>
      <c r="BID9" s="232"/>
      <c r="BIE9" s="267" t="s">
        <v>2</v>
      </c>
      <c r="BIF9" s="268"/>
      <c r="BIG9" s="269"/>
      <c r="BIH9" s="231">
        <v>8909</v>
      </c>
      <c r="BII9" s="232"/>
      <c r="BIJ9" s="267" t="s">
        <v>2</v>
      </c>
      <c r="BIK9" s="268"/>
      <c r="BIL9" s="269"/>
      <c r="BIM9" s="231">
        <v>39869</v>
      </c>
      <c r="BIN9" s="232"/>
      <c r="BIO9" s="267" t="s">
        <v>2</v>
      </c>
      <c r="BIP9" s="268"/>
      <c r="BIQ9" s="269"/>
      <c r="BIR9" s="231">
        <v>42207</v>
      </c>
      <c r="BIS9" s="232"/>
      <c r="BIT9" s="267" t="s">
        <v>2</v>
      </c>
      <c r="BIU9" s="268"/>
      <c r="BIV9" s="269"/>
      <c r="BIW9" s="231">
        <v>45250.5</v>
      </c>
      <c r="BIX9" s="232"/>
      <c r="BIY9" s="267" t="s">
        <v>2</v>
      </c>
      <c r="BIZ9" s="268"/>
      <c r="BJA9" s="269"/>
      <c r="BJB9" s="231">
        <v>0</v>
      </c>
      <c r="BJC9" s="232"/>
      <c r="BJD9" s="267" t="s">
        <v>2</v>
      </c>
      <c r="BJE9" s="268"/>
      <c r="BJF9" s="269"/>
      <c r="BJG9" s="231">
        <v>62847</v>
      </c>
      <c r="BJH9" s="232"/>
      <c r="BJI9" s="267" t="s">
        <v>2</v>
      </c>
      <c r="BJJ9" s="268"/>
      <c r="BJK9" s="269"/>
      <c r="BJL9" s="231">
        <v>17818</v>
      </c>
      <c r="BJM9" s="232"/>
      <c r="BJN9" s="267" t="s">
        <v>2</v>
      </c>
      <c r="BJO9" s="268"/>
      <c r="BJP9" s="269"/>
      <c r="BJQ9" s="231">
        <v>70829</v>
      </c>
      <c r="BJR9" s="232"/>
      <c r="BJS9" s="267" t="s">
        <v>2</v>
      </c>
      <c r="BJT9" s="268"/>
      <c r="BJU9" s="269"/>
      <c r="BJV9" s="231">
        <v>0</v>
      </c>
      <c r="BJW9" s="232"/>
      <c r="BJX9" s="267" t="s">
        <v>2</v>
      </c>
      <c r="BJY9" s="268"/>
      <c r="BJZ9" s="269"/>
      <c r="BKA9" s="231">
        <v>0</v>
      </c>
      <c r="BKB9" s="232"/>
      <c r="BKC9" s="267" t="s">
        <v>2</v>
      </c>
      <c r="BKD9" s="268"/>
      <c r="BKE9" s="269"/>
      <c r="BKF9" s="231">
        <v>63552.5</v>
      </c>
      <c r="BKG9" s="232"/>
      <c r="BKH9" s="267" t="s">
        <v>2</v>
      </c>
      <c r="BKI9" s="268"/>
      <c r="BKJ9" s="269"/>
      <c r="BKK9" s="231">
        <v>17818</v>
      </c>
      <c r="BKL9" s="232"/>
      <c r="BKM9" s="267" t="s">
        <v>2</v>
      </c>
      <c r="BKN9" s="268"/>
      <c r="BKO9" s="269"/>
      <c r="BKP9" s="231">
        <v>890.90000000000009</v>
      </c>
      <c r="BKQ9" s="232"/>
      <c r="BKR9" s="267" t="s">
        <v>2</v>
      </c>
      <c r="BKS9" s="268"/>
      <c r="BKT9" s="269"/>
      <c r="BKU9" s="231">
        <v>15590.75</v>
      </c>
      <c r="BKV9" s="232"/>
      <c r="BKW9" s="267" t="s">
        <v>2</v>
      </c>
      <c r="BKX9" s="268"/>
      <c r="BKY9" s="269"/>
      <c r="BKZ9" s="231">
        <v>46772.25</v>
      </c>
      <c r="BLA9" s="232"/>
      <c r="BLB9" s="267" t="s">
        <v>2</v>
      </c>
      <c r="BLC9" s="268"/>
      <c r="BLD9" s="269"/>
      <c r="BLE9" s="231">
        <v>4454.5</v>
      </c>
      <c r="BLF9" s="232"/>
      <c r="BLG9" s="267" t="s">
        <v>2</v>
      </c>
      <c r="BLH9" s="268"/>
      <c r="BLI9" s="269"/>
      <c r="BLJ9" s="231">
        <v>18523.5</v>
      </c>
      <c r="BLK9" s="232"/>
      <c r="BLL9" s="267" t="s">
        <v>2</v>
      </c>
      <c r="BLM9" s="268"/>
      <c r="BLN9" s="269"/>
      <c r="BLO9" s="231">
        <v>37417.800000000003</v>
      </c>
      <c r="BLP9" s="232"/>
      <c r="BLQ9" s="267" t="s">
        <v>2</v>
      </c>
      <c r="BLR9" s="268"/>
      <c r="BLS9" s="269"/>
      <c r="BLT9" s="231">
        <v>0</v>
      </c>
      <c r="BLU9" s="232"/>
      <c r="BLV9" s="267" t="s">
        <v>2</v>
      </c>
      <c r="BLW9" s="268"/>
      <c r="BLX9" s="269"/>
      <c r="BLY9" s="231">
        <v>16649</v>
      </c>
      <c r="BLZ9" s="232"/>
      <c r="BMA9" s="267" t="s">
        <v>2</v>
      </c>
      <c r="BMB9" s="268"/>
      <c r="BMC9" s="269"/>
      <c r="BMD9" s="231">
        <v>35636</v>
      </c>
      <c r="BME9" s="232"/>
      <c r="BMF9" s="267" t="s">
        <v>2</v>
      </c>
      <c r="BMG9" s="268"/>
      <c r="BMH9" s="269"/>
      <c r="BMI9" s="231">
        <v>17001.75</v>
      </c>
      <c r="BMJ9" s="232"/>
      <c r="BMK9" s="267" t="s">
        <v>2</v>
      </c>
      <c r="BML9" s="268"/>
      <c r="BMM9" s="269"/>
      <c r="BMN9" s="231">
        <v>8909</v>
      </c>
      <c r="BMO9" s="232"/>
      <c r="BMP9" s="267" t="s">
        <v>2</v>
      </c>
      <c r="BMQ9" s="268"/>
      <c r="BMR9" s="269"/>
      <c r="BMS9" s="231">
        <v>48536</v>
      </c>
      <c r="BMT9" s="232"/>
      <c r="BMU9" s="267" t="s">
        <v>2</v>
      </c>
      <c r="BMV9" s="268"/>
      <c r="BMW9" s="269"/>
      <c r="BMX9" s="231">
        <v>22978</v>
      </c>
      <c r="BMY9" s="232"/>
      <c r="BMZ9" s="267" t="s">
        <v>2</v>
      </c>
      <c r="BNA9" s="268"/>
      <c r="BNB9" s="269"/>
      <c r="BNC9" s="231">
        <v>38308.699999999997</v>
      </c>
      <c r="BND9" s="232"/>
      <c r="BNE9" s="267" t="s">
        <v>2</v>
      </c>
      <c r="BNF9" s="268"/>
      <c r="BNG9" s="269"/>
      <c r="BNH9" s="231">
        <v>4454.5</v>
      </c>
      <c r="BNI9" s="232"/>
      <c r="BNJ9" s="267" t="s">
        <v>2</v>
      </c>
      <c r="BNK9" s="268"/>
      <c r="BNL9" s="269"/>
      <c r="BNM9" s="231">
        <v>25558</v>
      </c>
      <c r="BNN9" s="232"/>
      <c r="BNO9" s="267" t="s">
        <v>2</v>
      </c>
      <c r="BNP9" s="268"/>
      <c r="BNQ9" s="269"/>
      <c r="BNR9" s="231">
        <v>0</v>
      </c>
      <c r="BNS9" s="232"/>
      <c r="BNT9" s="267" t="s">
        <v>2</v>
      </c>
      <c r="BNU9" s="268"/>
      <c r="BNV9" s="269"/>
      <c r="BNW9" s="231">
        <v>40090.5</v>
      </c>
      <c r="BNX9" s="232"/>
      <c r="BNY9" s="267" t="s">
        <v>2</v>
      </c>
      <c r="BNZ9" s="268"/>
      <c r="BOA9" s="269"/>
      <c r="BOB9" s="231">
        <v>35172.5</v>
      </c>
      <c r="BOC9" s="232"/>
      <c r="BOD9" s="267" t="s">
        <v>2</v>
      </c>
      <c r="BOE9" s="268"/>
      <c r="BOF9" s="269"/>
      <c r="BOG9" s="231">
        <v>22272.5</v>
      </c>
      <c r="BOH9" s="232"/>
      <c r="BOI9" s="267" t="s">
        <v>2</v>
      </c>
      <c r="BOJ9" s="268"/>
      <c r="BOK9" s="269"/>
      <c r="BOL9" s="231">
        <v>22272.5</v>
      </c>
      <c r="BOM9" s="232"/>
      <c r="BON9" s="267" t="s">
        <v>2</v>
      </c>
      <c r="BOO9" s="268"/>
      <c r="BOP9" s="269"/>
      <c r="BOQ9" s="231">
        <v>4454.5</v>
      </c>
      <c r="BOR9" s="232"/>
      <c r="BOS9" s="267" t="s">
        <v>2</v>
      </c>
      <c r="BOT9" s="268"/>
      <c r="BOU9" s="269"/>
      <c r="BOV9" s="231">
        <v>97999</v>
      </c>
      <c r="BOW9" s="232"/>
      <c r="BOX9" s="267" t="s">
        <v>2</v>
      </c>
      <c r="BOY9" s="268"/>
      <c r="BOZ9" s="269"/>
      <c r="BPA9" s="231">
        <v>84635.5</v>
      </c>
      <c r="BPB9" s="232"/>
      <c r="BPC9" s="267" t="s">
        <v>2</v>
      </c>
      <c r="BPD9" s="268"/>
      <c r="BPE9" s="269"/>
      <c r="BPF9" s="231">
        <v>82781.5</v>
      </c>
      <c r="BPG9" s="232"/>
      <c r="BPH9" s="267" t="s">
        <v>2</v>
      </c>
      <c r="BPI9" s="268"/>
      <c r="BPJ9" s="269"/>
      <c r="BPK9" s="231">
        <v>115817</v>
      </c>
      <c r="BPL9" s="232"/>
      <c r="BPM9" s="267" t="s">
        <v>2</v>
      </c>
      <c r="BPN9" s="268"/>
      <c r="BPO9" s="269"/>
      <c r="BPP9" s="231">
        <v>28508.799999999999</v>
      </c>
      <c r="BPQ9" s="232"/>
      <c r="BPR9" s="267" t="s">
        <v>2</v>
      </c>
      <c r="BPS9" s="268"/>
      <c r="BPT9" s="269"/>
      <c r="BPU9" s="231">
        <v>15590.75</v>
      </c>
      <c r="BPV9" s="232"/>
      <c r="BPW9" s="267" t="s">
        <v>2</v>
      </c>
      <c r="BPX9" s="268"/>
      <c r="BPY9" s="269"/>
      <c r="BPZ9" s="231">
        <v>13363.5</v>
      </c>
      <c r="BQA9" s="232"/>
      <c r="BQB9" s="267" t="s">
        <v>2</v>
      </c>
      <c r="BQC9" s="268"/>
      <c r="BQD9" s="269"/>
      <c r="BQE9" s="231">
        <v>26727</v>
      </c>
      <c r="BQF9" s="232"/>
      <c r="BQG9" s="267" t="s">
        <v>2</v>
      </c>
      <c r="BQH9" s="268"/>
      <c r="BQI9" s="269"/>
      <c r="BQJ9" s="231">
        <v>32963.300000000003</v>
      </c>
      <c r="BQK9" s="232"/>
      <c r="BQL9" s="267" t="s">
        <v>2</v>
      </c>
      <c r="BQM9" s="268"/>
      <c r="BQN9" s="269"/>
      <c r="BQO9" s="231">
        <v>26727</v>
      </c>
      <c r="BQP9" s="232"/>
      <c r="BQQ9" s="267" t="s">
        <v>2</v>
      </c>
      <c r="BQR9" s="268"/>
      <c r="BQS9" s="269"/>
      <c r="BQT9" s="231">
        <v>75726.5</v>
      </c>
      <c r="BQU9" s="232"/>
      <c r="BQV9" s="267" t="s">
        <v>2</v>
      </c>
      <c r="BQW9" s="268"/>
      <c r="BQX9" s="269"/>
      <c r="BQY9" s="231">
        <v>17818</v>
      </c>
      <c r="BQZ9" s="232"/>
      <c r="BRA9" s="267" t="s">
        <v>2</v>
      </c>
      <c r="BRB9" s="268"/>
      <c r="BRC9" s="269"/>
      <c r="BRD9" s="231">
        <v>17818</v>
      </c>
      <c r="BRE9" s="232"/>
      <c r="BRF9" s="267" t="s">
        <v>2</v>
      </c>
      <c r="BRG9" s="268"/>
      <c r="BRH9" s="269"/>
      <c r="BRI9" s="231">
        <v>4454.5</v>
      </c>
      <c r="BRJ9" s="232"/>
      <c r="BRK9" s="267" t="s">
        <v>2</v>
      </c>
      <c r="BRL9" s="268"/>
      <c r="BRM9" s="269"/>
      <c r="BRN9" s="231">
        <v>66817.5</v>
      </c>
      <c r="BRO9" s="232"/>
      <c r="BRP9" s="267" t="s">
        <v>2</v>
      </c>
      <c r="BRQ9" s="268"/>
      <c r="BRR9" s="269"/>
      <c r="BRS9" s="231">
        <v>57908.5</v>
      </c>
      <c r="BRT9" s="232"/>
      <c r="BRU9" s="267" t="s">
        <v>2</v>
      </c>
      <c r="BRV9" s="268"/>
      <c r="BRW9" s="269"/>
      <c r="BRX9" s="231">
        <v>66817.5</v>
      </c>
      <c r="BRY9" s="232"/>
      <c r="BRZ9" s="267" t="s">
        <v>2</v>
      </c>
      <c r="BSA9" s="268"/>
      <c r="BSB9" s="269"/>
      <c r="BSC9" s="231">
        <v>40796</v>
      </c>
      <c r="BSD9" s="232"/>
      <c r="BSE9" s="267" t="s">
        <v>2</v>
      </c>
      <c r="BSF9" s="268"/>
      <c r="BSG9" s="269"/>
      <c r="BSH9" s="231">
        <v>40090.5</v>
      </c>
      <c r="BSI9" s="232"/>
      <c r="BSJ9" s="267" t="s">
        <v>2</v>
      </c>
      <c r="BSK9" s="268"/>
      <c r="BSL9" s="269"/>
      <c r="BSM9" s="231">
        <v>8909</v>
      </c>
      <c r="BSN9" s="232"/>
      <c r="BSO9" s="267" t="s">
        <v>2</v>
      </c>
      <c r="BSP9" s="268"/>
      <c r="BSQ9" s="269"/>
      <c r="BSR9" s="231">
        <v>4454.5</v>
      </c>
      <c r="BSS9" s="232"/>
      <c r="BST9" s="267" t="s">
        <v>2</v>
      </c>
      <c r="BSU9" s="268"/>
      <c r="BSV9" s="269"/>
      <c r="BSW9" s="231">
        <v>89090</v>
      </c>
      <c r="BSX9" s="232"/>
      <c r="BSY9" s="267" t="s">
        <v>2</v>
      </c>
      <c r="BSZ9" s="268"/>
      <c r="BTA9" s="269"/>
      <c r="BTB9" s="231">
        <v>66817.5</v>
      </c>
      <c r="BTC9" s="232"/>
      <c r="BTD9" s="267" t="s">
        <v>2</v>
      </c>
      <c r="BTE9" s="268"/>
      <c r="BTF9" s="269"/>
      <c r="BTG9" s="231">
        <v>17818</v>
      </c>
      <c r="BTH9" s="232"/>
      <c r="BTI9" s="267" t="s">
        <v>2</v>
      </c>
      <c r="BTJ9" s="268"/>
      <c r="BTK9" s="269"/>
      <c r="BTL9" s="231">
        <v>26727</v>
      </c>
      <c r="BTM9" s="232"/>
      <c r="BTN9" s="267" t="s">
        <v>2</v>
      </c>
      <c r="BTO9" s="268"/>
      <c r="BTP9" s="269"/>
      <c r="BTQ9" s="231">
        <v>53454</v>
      </c>
      <c r="BTR9" s="232"/>
      <c r="BTS9" s="267" t="s">
        <v>2</v>
      </c>
      <c r="BTT9" s="268"/>
      <c r="BTU9" s="269"/>
      <c r="BTV9" s="231">
        <v>0</v>
      </c>
      <c r="BTW9" s="232"/>
      <c r="BTX9" s="267" t="s">
        <v>2</v>
      </c>
      <c r="BTY9" s="268"/>
      <c r="BTZ9" s="269"/>
      <c r="BUA9" s="231">
        <v>53454</v>
      </c>
      <c r="BUB9" s="232"/>
      <c r="BUC9" s="267" t="s">
        <v>2</v>
      </c>
      <c r="BUD9" s="268"/>
      <c r="BUE9" s="269"/>
      <c r="BUF9" s="231">
        <v>124726</v>
      </c>
      <c r="BUG9" s="232"/>
      <c r="BUH9" s="267" t="s">
        <v>2</v>
      </c>
      <c r="BUI9" s="268"/>
      <c r="BUJ9" s="269"/>
      <c r="BUK9" s="231">
        <v>89090</v>
      </c>
      <c r="BUL9" s="232"/>
      <c r="BUM9" s="267" t="s">
        <v>2</v>
      </c>
      <c r="BUN9" s="268"/>
      <c r="BUO9" s="269"/>
      <c r="BUP9" s="231">
        <v>115817</v>
      </c>
      <c r="BUQ9" s="232"/>
      <c r="BUR9" s="267" t="s">
        <v>2</v>
      </c>
      <c r="BUS9" s="268"/>
      <c r="BUT9" s="269"/>
      <c r="BUU9" s="231">
        <v>89090</v>
      </c>
      <c r="BUV9" s="232"/>
      <c r="BUW9" s="267" t="s">
        <v>2</v>
      </c>
      <c r="BUX9" s="268"/>
      <c r="BUY9" s="269"/>
      <c r="BUZ9" s="231">
        <v>89090</v>
      </c>
      <c r="BVA9" s="232"/>
      <c r="BVB9" s="267" t="s">
        <v>2</v>
      </c>
      <c r="BVC9" s="268"/>
      <c r="BVD9" s="269"/>
      <c r="BVE9" s="231">
        <v>35636</v>
      </c>
      <c r="BVF9" s="232"/>
      <c r="BVG9" s="267" t="s">
        <v>2</v>
      </c>
      <c r="BVH9" s="268"/>
      <c r="BVI9" s="269"/>
      <c r="BVJ9" s="231">
        <v>0</v>
      </c>
      <c r="BVK9" s="232"/>
      <c r="BVL9" s="267" t="s">
        <v>2</v>
      </c>
      <c r="BVM9" s="268"/>
      <c r="BVN9" s="269"/>
      <c r="BVO9" s="231">
        <v>31181.5</v>
      </c>
      <c r="BVP9" s="232"/>
      <c r="BVQ9" s="267" t="s">
        <v>2</v>
      </c>
      <c r="BVR9" s="268"/>
      <c r="BVS9" s="269"/>
      <c r="BVT9" s="231">
        <v>4454.5</v>
      </c>
      <c r="BVU9" s="232"/>
      <c r="BVV9" s="267" t="s">
        <v>2</v>
      </c>
      <c r="BVW9" s="268"/>
      <c r="BVX9" s="269"/>
      <c r="BVY9" s="231">
        <v>62363</v>
      </c>
      <c r="BVZ9" s="232"/>
      <c r="BWA9" s="267" t="s">
        <v>2</v>
      </c>
      <c r="BWB9" s="268"/>
      <c r="BWC9" s="269"/>
      <c r="BWD9" s="231">
        <v>142544</v>
      </c>
      <c r="BWE9" s="232"/>
      <c r="BWF9" s="267" t="s">
        <v>2</v>
      </c>
      <c r="BWG9" s="268"/>
      <c r="BWH9" s="269"/>
      <c r="BWI9" s="231">
        <v>138089.5</v>
      </c>
      <c r="BWJ9" s="232"/>
      <c r="BWK9" s="267" t="s">
        <v>2</v>
      </c>
      <c r="BWL9" s="268"/>
      <c r="BWM9" s="269"/>
      <c r="BWN9" s="231">
        <v>124726</v>
      </c>
      <c r="BWO9" s="232"/>
      <c r="BWP9" s="267" t="s">
        <v>2</v>
      </c>
      <c r="BWQ9" s="268"/>
      <c r="BWR9" s="269"/>
      <c r="BWS9" s="231">
        <v>93544.5</v>
      </c>
      <c r="BWT9" s="232"/>
      <c r="BWU9" s="267" t="s">
        <v>2</v>
      </c>
      <c r="BWV9" s="268"/>
      <c r="BWW9" s="269"/>
      <c r="BWX9" s="231">
        <v>26727</v>
      </c>
      <c r="BWY9" s="232"/>
      <c r="BWZ9" s="267" t="s">
        <v>2</v>
      </c>
      <c r="BXA9" s="268"/>
      <c r="BXB9" s="269"/>
      <c r="BXC9" s="231">
        <v>48999.5</v>
      </c>
      <c r="BXD9" s="232"/>
      <c r="BXE9" s="267" t="s">
        <v>2</v>
      </c>
      <c r="BXF9" s="268"/>
      <c r="BXG9" s="269"/>
      <c r="BXH9" s="231">
        <v>89090</v>
      </c>
      <c r="BXI9" s="232"/>
      <c r="BXJ9" s="267" t="s">
        <v>2</v>
      </c>
      <c r="BXK9" s="268"/>
      <c r="BXL9" s="269"/>
      <c r="BXM9" s="231">
        <v>53454</v>
      </c>
      <c r="BXN9" s="232"/>
      <c r="BXO9" s="267" t="s">
        <v>2</v>
      </c>
      <c r="BXP9" s="268"/>
      <c r="BXQ9" s="269"/>
      <c r="BXR9" s="231">
        <v>71272</v>
      </c>
      <c r="BXS9" s="232"/>
      <c r="BXT9" s="267" t="s">
        <v>2</v>
      </c>
      <c r="BXU9" s="268"/>
      <c r="BXV9" s="269"/>
      <c r="BXW9" s="231">
        <v>0</v>
      </c>
      <c r="BXX9" s="232"/>
      <c r="BXY9" s="267" t="s">
        <v>2</v>
      </c>
      <c r="BXZ9" s="268"/>
      <c r="BYA9" s="269"/>
      <c r="BYB9" s="231">
        <v>44099.549999999996</v>
      </c>
      <c r="BYC9" s="232"/>
      <c r="BYD9" s="267" t="s">
        <v>2</v>
      </c>
      <c r="BYE9" s="268"/>
      <c r="BYF9" s="269"/>
      <c r="BYG9" s="231" t="e">
        <v>#VALUE!</v>
      </c>
      <c r="BYH9" s="232"/>
      <c r="BYI9" s="267" t="s">
        <v>2</v>
      </c>
      <c r="BYJ9" s="268"/>
      <c r="BYK9" s="269"/>
      <c r="BYL9" s="231">
        <v>17818</v>
      </c>
      <c r="BYM9" s="232"/>
      <c r="BYN9" s="267" t="s">
        <v>2</v>
      </c>
      <c r="BYO9" s="268"/>
      <c r="BYP9" s="269"/>
      <c r="BYQ9" s="231">
        <v>35636</v>
      </c>
      <c r="BYR9" s="232"/>
      <c r="BYS9" s="267" t="s">
        <v>2</v>
      </c>
      <c r="BYT9" s="268"/>
      <c r="BYU9" s="269"/>
      <c r="BYV9" s="231">
        <v>13363.5</v>
      </c>
      <c r="BYW9" s="232"/>
      <c r="BYX9" s="267" t="s">
        <v>2</v>
      </c>
      <c r="BYY9" s="268"/>
      <c r="BYZ9" s="269"/>
      <c r="BZA9" s="231">
        <v>48999.5</v>
      </c>
      <c r="BZB9" s="232"/>
      <c r="BZC9" s="267" t="s">
        <v>2</v>
      </c>
      <c r="BZD9" s="268"/>
      <c r="BZE9" s="269"/>
      <c r="BZF9" s="231">
        <v>120271.5</v>
      </c>
      <c r="BZG9" s="232"/>
      <c r="BZH9" s="267" t="s">
        <v>2</v>
      </c>
      <c r="BZI9" s="268"/>
      <c r="BZJ9" s="269"/>
      <c r="BZK9" s="231">
        <v>89090</v>
      </c>
      <c r="BZL9" s="232"/>
      <c r="BZM9" s="267" t="s">
        <v>2</v>
      </c>
      <c r="BZN9" s="268"/>
      <c r="BZO9" s="269"/>
      <c r="BZP9" s="231">
        <v>57908.5</v>
      </c>
      <c r="BZQ9" s="232"/>
      <c r="BZR9" s="267" t="s">
        <v>2</v>
      </c>
      <c r="BZS9" s="268"/>
      <c r="BZT9" s="269"/>
      <c r="BZU9" s="231">
        <v>187089</v>
      </c>
      <c r="BZV9" s="232"/>
      <c r="BZW9" s="267" t="s">
        <v>2</v>
      </c>
      <c r="BZX9" s="268"/>
      <c r="BZY9" s="269"/>
      <c r="BZZ9" s="231">
        <v>48999.5</v>
      </c>
      <c r="CAA9" s="232"/>
      <c r="CAB9" s="267" t="s">
        <v>2</v>
      </c>
      <c r="CAC9" s="268"/>
      <c r="CAD9" s="269"/>
      <c r="CAE9" s="231">
        <v>84635.5</v>
      </c>
      <c r="CAF9" s="232"/>
      <c r="CAG9" s="267" t="s">
        <v>2</v>
      </c>
      <c r="CAH9" s="268"/>
      <c r="CAI9" s="269"/>
      <c r="CAJ9" s="231">
        <v>75726.5</v>
      </c>
      <c r="CAK9" s="232"/>
      <c r="CAL9" s="267" t="s">
        <v>2</v>
      </c>
      <c r="CAM9" s="268"/>
      <c r="CAN9" s="269"/>
      <c r="CAO9" s="231">
        <v>84635.5</v>
      </c>
      <c r="CAP9" s="232"/>
      <c r="CAQ9" s="267" t="s">
        <v>2</v>
      </c>
      <c r="CAR9" s="268"/>
      <c r="CAS9" s="269"/>
      <c r="CAT9" s="231">
        <v>35636</v>
      </c>
      <c r="CAU9" s="232"/>
      <c r="CAV9" s="267" t="s">
        <v>2</v>
      </c>
      <c r="CAW9" s="268"/>
      <c r="CAX9" s="269"/>
      <c r="CAY9" s="231">
        <v>40090.5</v>
      </c>
      <c r="CAZ9" s="232"/>
      <c r="CBA9" s="267" t="s">
        <v>2</v>
      </c>
      <c r="CBB9" s="268"/>
      <c r="CBC9" s="269"/>
      <c r="CBD9" s="231">
        <v>35636</v>
      </c>
      <c r="CBE9" s="232"/>
      <c r="CBF9" s="267" t="s">
        <v>2</v>
      </c>
      <c r="CBG9" s="268"/>
      <c r="CBH9" s="269"/>
      <c r="CBI9" s="231">
        <v>13363.5</v>
      </c>
      <c r="CBJ9" s="232"/>
      <c r="CBK9" s="267" t="s">
        <v>2</v>
      </c>
      <c r="CBL9" s="268"/>
      <c r="CBM9" s="269"/>
      <c r="CBN9" s="231">
        <v>102453.5</v>
      </c>
      <c r="CBO9" s="232"/>
      <c r="CBP9" s="267" t="s">
        <v>2</v>
      </c>
      <c r="CBQ9" s="268"/>
      <c r="CBR9" s="269"/>
      <c r="CBS9" s="231">
        <v>62363</v>
      </c>
      <c r="CBT9" s="232"/>
      <c r="CBU9" s="267" t="s">
        <v>2</v>
      </c>
      <c r="CBV9" s="268"/>
      <c r="CBW9" s="269"/>
      <c r="CBX9" s="231">
        <v>62363</v>
      </c>
      <c r="CBY9" s="232"/>
      <c r="CBZ9" s="267" t="s">
        <v>2</v>
      </c>
      <c r="CCA9" s="268"/>
      <c r="CCB9" s="269"/>
      <c r="CCC9" s="231">
        <v>22272.5</v>
      </c>
      <c r="CCD9" s="232"/>
      <c r="CCE9" s="267" t="s">
        <v>2</v>
      </c>
      <c r="CCF9" s="268"/>
      <c r="CCG9" s="269"/>
      <c r="CCH9" s="231">
        <v>31181.5</v>
      </c>
      <c r="CCI9" s="232"/>
      <c r="CCJ9" s="267" t="s">
        <v>2</v>
      </c>
      <c r="CCK9" s="268"/>
      <c r="CCL9" s="269"/>
      <c r="CCM9" s="231">
        <v>44545</v>
      </c>
      <c r="CCN9" s="232"/>
      <c r="CCO9" s="267" t="s">
        <v>2</v>
      </c>
      <c r="CCP9" s="268"/>
      <c r="CCQ9" s="269"/>
      <c r="CCR9" s="231">
        <v>53454</v>
      </c>
      <c r="CCS9" s="232"/>
      <c r="CCT9" s="267" t="s">
        <v>2</v>
      </c>
      <c r="CCU9" s="268"/>
      <c r="CCV9" s="269"/>
      <c r="CCW9" s="231">
        <v>22272.5</v>
      </c>
      <c r="CCX9" s="232"/>
      <c r="CCY9" s="267" t="s">
        <v>2</v>
      </c>
      <c r="CCZ9" s="268"/>
      <c r="CDA9" s="269"/>
      <c r="CDB9" s="231">
        <v>17818</v>
      </c>
      <c r="CDC9" s="232"/>
      <c r="CDD9" s="267" t="s">
        <v>2</v>
      </c>
      <c r="CDE9" s="268"/>
      <c r="CDF9" s="269"/>
      <c r="CDG9" s="231">
        <v>48999.5</v>
      </c>
      <c r="CDH9" s="232"/>
      <c r="CDI9" s="267" t="s">
        <v>2</v>
      </c>
      <c r="CDJ9" s="268"/>
      <c r="CDK9" s="269"/>
      <c r="CDL9" s="231">
        <v>48999.5</v>
      </c>
      <c r="CDM9" s="232"/>
      <c r="CDN9" s="267" t="s">
        <v>2</v>
      </c>
      <c r="CDO9" s="268"/>
      <c r="CDP9" s="269"/>
      <c r="CDQ9" s="231">
        <v>8909</v>
      </c>
      <c r="CDR9" s="232"/>
      <c r="CDS9" s="267" t="s">
        <v>2</v>
      </c>
      <c r="CDT9" s="268"/>
      <c r="CDU9" s="269"/>
      <c r="CDV9" s="231">
        <v>48999.5</v>
      </c>
      <c r="CDW9" s="232"/>
      <c r="CDX9" s="267" t="s">
        <v>2</v>
      </c>
      <c r="CDY9" s="268"/>
      <c r="CDZ9" s="269"/>
      <c r="CEA9" s="231">
        <v>173725.5</v>
      </c>
      <c r="CEB9" s="232"/>
      <c r="CEC9" s="267" t="s">
        <v>2</v>
      </c>
      <c r="CED9" s="268"/>
      <c r="CEE9" s="269"/>
      <c r="CEF9" s="231">
        <v>80181</v>
      </c>
      <c r="CEG9" s="232"/>
      <c r="CEH9" s="267" t="s">
        <v>2</v>
      </c>
      <c r="CEI9" s="268"/>
      <c r="CEJ9" s="269"/>
      <c r="CEK9" s="231">
        <v>173725.5</v>
      </c>
      <c r="CEL9" s="232"/>
      <c r="CEM9" s="267" t="s">
        <v>2</v>
      </c>
      <c r="CEN9" s="268"/>
      <c r="CEO9" s="269"/>
      <c r="CEP9" s="231">
        <v>0</v>
      </c>
      <c r="CEQ9" s="232"/>
      <c r="CER9" s="267" t="s">
        <v>2</v>
      </c>
      <c r="CES9" s="268"/>
      <c r="CET9" s="269"/>
      <c r="CEU9" s="231">
        <v>102453.5</v>
      </c>
      <c r="CEV9" s="232"/>
      <c r="CEW9" s="267" t="s">
        <v>2</v>
      </c>
      <c r="CEX9" s="268"/>
      <c r="CEY9" s="269"/>
      <c r="CEZ9" s="231">
        <v>160362</v>
      </c>
      <c r="CFA9" s="232"/>
      <c r="CFB9" s="267" t="s">
        <v>2</v>
      </c>
      <c r="CFC9" s="268"/>
      <c r="CFD9" s="269"/>
      <c r="CFE9" s="231">
        <v>164816.5</v>
      </c>
      <c r="CFF9" s="232"/>
      <c r="CFG9" s="267" t="s">
        <v>2</v>
      </c>
      <c r="CFH9" s="268"/>
      <c r="CFI9" s="269"/>
      <c r="CFJ9" s="231">
        <v>53454</v>
      </c>
      <c r="CFK9" s="232"/>
      <c r="CFL9" s="267" t="s">
        <v>2</v>
      </c>
      <c r="CFM9" s="268"/>
      <c r="CFN9" s="269"/>
      <c r="CFO9" s="231">
        <v>173725.5</v>
      </c>
      <c r="CFP9" s="232"/>
      <c r="CFQ9" s="267" t="s">
        <v>2</v>
      </c>
      <c r="CFR9" s="268"/>
      <c r="CFS9" s="269"/>
      <c r="CFT9" s="231">
        <v>99335.35</v>
      </c>
      <c r="CFU9" s="232"/>
      <c r="CFV9" s="267" t="s">
        <v>2</v>
      </c>
      <c r="CFW9" s="268"/>
      <c r="CFX9" s="269"/>
      <c r="CFY9" s="231">
        <v>48999.5</v>
      </c>
      <c r="CFZ9" s="232"/>
      <c r="CGA9" s="267" t="s">
        <v>2</v>
      </c>
      <c r="CGB9" s="268"/>
      <c r="CGC9" s="269"/>
      <c r="CGD9" s="231">
        <v>4454.5</v>
      </c>
      <c r="CGE9" s="232"/>
      <c r="CGF9" s="267" t="s">
        <v>2</v>
      </c>
      <c r="CGG9" s="268"/>
      <c r="CGH9" s="269"/>
      <c r="CGI9" s="231">
        <v>22272.5</v>
      </c>
      <c r="CGJ9" s="232"/>
      <c r="CGK9" s="267" t="s">
        <v>2</v>
      </c>
      <c r="CGL9" s="268"/>
      <c r="CGM9" s="269"/>
      <c r="CGN9" s="231">
        <v>75726.5</v>
      </c>
      <c r="CGO9" s="232"/>
      <c r="CGP9" s="267" t="s">
        <v>2</v>
      </c>
      <c r="CGQ9" s="268"/>
      <c r="CGR9" s="269"/>
      <c r="CGS9" s="231">
        <v>106908</v>
      </c>
      <c r="CGT9" s="232"/>
      <c r="CGU9" s="267" t="s">
        <v>2</v>
      </c>
      <c r="CGV9" s="268"/>
      <c r="CGW9" s="269"/>
      <c r="CGX9" s="231">
        <v>22272.5</v>
      </c>
      <c r="CGY9" s="232"/>
      <c r="CGZ9" s="267" t="s">
        <v>2</v>
      </c>
      <c r="CHA9" s="268"/>
      <c r="CHB9" s="269"/>
      <c r="CHC9" s="231">
        <v>0</v>
      </c>
      <c r="CHD9" s="232"/>
      <c r="CHE9" s="267" t="s">
        <v>2</v>
      </c>
      <c r="CHF9" s="268"/>
      <c r="CHG9" s="269"/>
      <c r="CHH9" s="231">
        <v>8909</v>
      </c>
      <c r="CHI9" s="232"/>
      <c r="CHJ9" s="267" t="s">
        <v>2</v>
      </c>
      <c r="CHK9" s="268"/>
      <c r="CHL9" s="269"/>
      <c r="CHM9" s="231">
        <v>4454.5</v>
      </c>
      <c r="CHN9" s="232"/>
      <c r="CHO9" s="267" t="s">
        <v>2</v>
      </c>
      <c r="CHP9" s="268"/>
      <c r="CHQ9" s="269"/>
      <c r="CHR9" s="231">
        <v>69044.75</v>
      </c>
      <c r="CHS9" s="232"/>
      <c r="CHT9" s="267" t="s">
        <v>2</v>
      </c>
      <c r="CHU9" s="268"/>
      <c r="CHV9" s="269"/>
      <c r="CHW9" s="231">
        <v>48999.5</v>
      </c>
      <c r="CHX9" s="232"/>
      <c r="CHY9" s="267" t="s">
        <v>2</v>
      </c>
      <c r="CHZ9" s="268"/>
      <c r="CIA9" s="269"/>
      <c r="CIB9" s="231">
        <v>8909</v>
      </c>
      <c r="CIC9" s="232"/>
      <c r="CID9" s="267" t="s">
        <v>2</v>
      </c>
      <c r="CIE9" s="268"/>
      <c r="CIF9" s="269"/>
      <c r="CIG9" s="231">
        <v>44545</v>
      </c>
      <c r="CIH9" s="232"/>
      <c r="CII9" s="267" t="s">
        <v>2</v>
      </c>
      <c r="CIJ9" s="268"/>
      <c r="CIK9" s="269"/>
      <c r="CIL9" s="231">
        <v>60581.2</v>
      </c>
      <c r="CIM9" s="232"/>
      <c r="CIN9" s="267" t="s">
        <v>2</v>
      </c>
      <c r="CIO9" s="268"/>
      <c r="CIP9" s="269"/>
      <c r="CIQ9" s="231">
        <v>35636</v>
      </c>
      <c r="CIR9" s="232"/>
      <c r="CIS9" s="267" t="s">
        <v>2</v>
      </c>
      <c r="CIT9" s="268"/>
      <c r="CIU9" s="269"/>
      <c r="CIV9" s="231">
        <v>31181.5</v>
      </c>
      <c r="CIW9" s="232"/>
      <c r="CIX9" s="267" t="s">
        <v>2</v>
      </c>
      <c r="CIY9" s="268"/>
      <c r="CIZ9" s="269"/>
      <c r="CJA9" s="231">
        <v>124726</v>
      </c>
      <c r="CJB9" s="232"/>
      <c r="CJC9" s="267" t="s">
        <v>2</v>
      </c>
      <c r="CJD9" s="268"/>
      <c r="CJE9" s="269"/>
      <c r="CJF9" s="231">
        <v>53454</v>
      </c>
      <c r="CJG9" s="232"/>
      <c r="CJH9" s="267" t="s">
        <v>2</v>
      </c>
      <c r="CJI9" s="268"/>
      <c r="CJJ9" s="269"/>
      <c r="CJK9" s="231">
        <v>26727</v>
      </c>
      <c r="CJL9" s="232"/>
      <c r="CJM9" s="267" t="s">
        <v>2</v>
      </c>
      <c r="CJN9" s="268"/>
      <c r="CJO9" s="269"/>
      <c r="CJP9" s="231">
        <v>44545</v>
      </c>
      <c r="CJQ9" s="232"/>
      <c r="CJR9" s="267" t="s">
        <v>2</v>
      </c>
      <c r="CJS9" s="268"/>
      <c r="CJT9" s="269"/>
      <c r="CJU9" s="231">
        <v>80181</v>
      </c>
      <c r="CJV9" s="232"/>
      <c r="CJW9" s="267" t="s">
        <v>2</v>
      </c>
      <c r="CJX9" s="268"/>
      <c r="CJY9" s="269"/>
      <c r="CJZ9" s="231">
        <v>80181</v>
      </c>
      <c r="CKA9" s="232"/>
      <c r="CKB9" s="267" t="s">
        <v>2</v>
      </c>
      <c r="CKC9" s="268"/>
      <c r="CKD9" s="269"/>
      <c r="CKE9" s="231">
        <v>180852.7</v>
      </c>
      <c r="CKF9" s="232"/>
      <c r="CKG9" s="267" t="s">
        <v>2</v>
      </c>
      <c r="CKH9" s="268"/>
      <c r="CKI9" s="269"/>
      <c r="CKJ9" s="231">
        <v>146998.5</v>
      </c>
      <c r="CKK9" s="232"/>
      <c r="CKL9" s="267" t="s">
        <v>2</v>
      </c>
      <c r="CKM9" s="268"/>
      <c r="CKN9" s="269"/>
      <c r="CKO9" s="231">
        <v>120271.5</v>
      </c>
      <c r="CKP9" s="232"/>
      <c r="CKQ9" s="267" t="s">
        <v>2</v>
      </c>
      <c r="CKR9" s="268"/>
      <c r="CKS9" s="269"/>
      <c r="CKT9" s="231">
        <v>89090</v>
      </c>
      <c r="CKU9" s="232"/>
      <c r="CKV9" s="267" t="s">
        <v>2</v>
      </c>
      <c r="CKW9" s="268"/>
      <c r="CKX9" s="269"/>
      <c r="CKY9" s="231">
        <v>71272</v>
      </c>
      <c r="CKZ9" s="232"/>
      <c r="CLA9" s="267" t="s">
        <v>2</v>
      </c>
      <c r="CLB9" s="268"/>
      <c r="CLC9" s="269"/>
      <c r="CLD9" s="231">
        <v>89090</v>
      </c>
      <c r="CLE9" s="232"/>
      <c r="CLF9" s="267" t="s">
        <v>2</v>
      </c>
      <c r="CLG9" s="268"/>
      <c r="CLH9" s="269"/>
      <c r="CLI9" s="231">
        <v>53454</v>
      </c>
      <c r="CLJ9" s="232"/>
      <c r="CLK9" s="267" t="s">
        <v>2</v>
      </c>
      <c r="CLL9" s="268"/>
      <c r="CLM9" s="269"/>
      <c r="CLN9" s="231">
        <v>155907.5</v>
      </c>
      <c r="CLO9" s="232"/>
      <c r="CLP9" s="267" t="s">
        <v>2</v>
      </c>
      <c r="CLQ9" s="268"/>
      <c r="CLR9" s="269"/>
      <c r="CLS9" s="231">
        <v>57908.5</v>
      </c>
      <c r="CLT9" s="232"/>
      <c r="CLU9" s="267" t="s">
        <v>2</v>
      </c>
      <c r="CLV9" s="268"/>
      <c r="CLW9" s="269"/>
      <c r="CLX9" s="231">
        <v>59098</v>
      </c>
      <c r="CLY9" s="232"/>
      <c r="CLZ9" s="267" t="s">
        <v>2</v>
      </c>
      <c r="CMA9" s="268"/>
      <c r="CMB9" s="269"/>
      <c r="CMC9" s="231">
        <v>31181.5</v>
      </c>
      <c r="CMD9" s="232"/>
      <c r="CME9" s="267" t="s">
        <v>2</v>
      </c>
      <c r="CMF9" s="268"/>
      <c r="CMG9" s="269"/>
      <c r="CMH9" s="231">
        <v>71272</v>
      </c>
      <c r="CMI9" s="232"/>
      <c r="CMJ9" s="267" t="s">
        <v>2</v>
      </c>
      <c r="CMK9" s="268"/>
      <c r="CML9" s="269"/>
      <c r="CMM9" s="231">
        <v>133635</v>
      </c>
      <c r="CMN9" s="232"/>
      <c r="CMO9" s="267" t="s">
        <v>2</v>
      </c>
      <c r="CMP9" s="268"/>
      <c r="CMQ9" s="269"/>
      <c r="CMR9" s="231">
        <v>209361.5</v>
      </c>
      <c r="CMS9" s="232"/>
      <c r="CMT9" s="267" t="s">
        <v>2</v>
      </c>
      <c r="CMU9" s="268"/>
      <c r="CMV9" s="269"/>
      <c r="CMW9" s="231">
        <v>146998.5</v>
      </c>
      <c r="CMX9" s="232"/>
      <c r="CMY9" s="267" t="s">
        <v>2</v>
      </c>
      <c r="CMZ9" s="268"/>
      <c r="CNA9" s="269"/>
      <c r="CNB9" s="231">
        <v>102453.5</v>
      </c>
      <c r="CNC9" s="232"/>
      <c r="CND9" s="267" t="s">
        <v>2</v>
      </c>
      <c r="CNE9" s="268"/>
      <c r="CNF9" s="269"/>
      <c r="CNG9" s="231">
        <v>102453.5</v>
      </c>
      <c r="CNH9" s="232"/>
      <c r="CNI9" s="267" t="s">
        <v>2</v>
      </c>
      <c r="CNJ9" s="268"/>
      <c r="CNK9" s="269"/>
      <c r="CNL9" s="231">
        <v>142544</v>
      </c>
      <c r="CNM9" s="232"/>
      <c r="CNN9" s="267" t="s">
        <v>2</v>
      </c>
      <c r="CNO9" s="268"/>
      <c r="CNP9" s="269"/>
      <c r="CNQ9" s="231">
        <v>142544</v>
      </c>
      <c r="CNR9" s="232"/>
      <c r="CNS9" s="267" t="s">
        <v>2</v>
      </c>
      <c r="CNT9" s="268"/>
      <c r="CNU9" s="269"/>
      <c r="CNV9" s="231">
        <v>124726</v>
      </c>
      <c r="CNW9" s="232"/>
      <c r="CNX9" s="267" t="s">
        <v>2</v>
      </c>
      <c r="CNY9" s="268"/>
      <c r="CNZ9" s="269"/>
      <c r="COA9" s="231">
        <v>258361</v>
      </c>
      <c r="COB9" s="232"/>
      <c r="COC9" s="267" t="s">
        <v>2</v>
      </c>
      <c r="COD9" s="268"/>
      <c r="COE9" s="269"/>
      <c r="COF9" s="231">
        <v>291983</v>
      </c>
      <c r="COG9" s="232"/>
      <c r="COH9" s="267" t="s">
        <v>2</v>
      </c>
      <c r="COI9" s="268"/>
      <c r="COJ9" s="269"/>
      <c r="COK9" s="231">
        <v>252799</v>
      </c>
      <c r="COL9" s="232"/>
      <c r="COM9" s="267" t="s">
        <v>2</v>
      </c>
      <c r="CON9" s="268"/>
      <c r="COO9" s="269"/>
      <c r="COP9" s="231">
        <v>147704</v>
      </c>
      <c r="COQ9" s="232"/>
      <c r="COR9" s="267" t="s">
        <v>2</v>
      </c>
      <c r="COS9" s="268"/>
      <c r="COT9" s="269"/>
      <c r="COU9" s="231">
        <v>0</v>
      </c>
      <c r="COV9" s="232"/>
      <c r="COW9" s="267" t="s">
        <v>2</v>
      </c>
      <c r="COX9" s="268"/>
      <c r="COY9" s="269"/>
      <c r="COZ9" s="231">
        <v>71272</v>
      </c>
      <c r="CPA9" s="232"/>
      <c r="CPB9" s="267" t="s">
        <v>2</v>
      </c>
      <c r="CPC9" s="268"/>
      <c r="CPD9" s="269"/>
      <c r="CPE9" s="231">
        <v>53454</v>
      </c>
      <c r="CPF9" s="232"/>
      <c r="CPG9" s="267" t="s">
        <v>2</v>
      </c>
      <c r="CPH9" s="268"/>
      <c r="CPI9" s="269"/>
      <c r="CPJ9" s="231">
        <v>155907.5</v>
      </c>
      <c r="CPK9" s="232"/>
      <c r="CPL9" s="267" t="s">
        <v>2</v>
      </c>
      <c r="CPM9" s="268"/>
      <c r="CPN9" s="269"/>
      <c r="CPO9" s="231">
        <v>34709</v>
      </c>
      <c r="CPP9" s="232"/>
      <c r="CPQ9" s="267" t="s">
        <v>2</v>
      </c>
      <c r="CPR9" s="268"/>
      <c r="CPS9" s="269"/>
      <c r="CPT9" s="231">
        <v>125452</v>
      </c>
      <c r="CPU9" s="232"/>
      <c r="CPV9" s="267" t="s">
        <v>2</v>
      </c>
      <c r="CPW9" s="268"/>
      <c r="CPX9" s="269"/>
      <c r="CPY9" s="231">
        <v>44545</v>
      </c>
      <c r="CPZ9" s="232"/>
      <c r="CQA9" s="267" t="s">
        <v>2</v>
      </c>
      <c r="CQB9" s="268"/>
      <c r="CQC9" s="269"/>
      <c r="CQD9" s="231">
        <v>55681.25</v>
      </c>
      <c r="CQE9" s="232"/>
      <c r="CQF9" s="267" t="s">
        <v>2</v>
      </c>
      <c r="CQG9" s="268"/>
      <c r="CQH9" s="269"/>
      <c r="CQI9" s="231">
        <v>84635.5</v>
      </c>
      <c r="CQJ9" s="232"/>
      <c r="CQK9" s="267" t="s">
        <v>2</v>
      </c>
      <c r="CQL9" s="268"/>
      <c r="CQM9" s="269"/>
      <c r="CQN9" s="231">
        <v>109045</v>
      </c>
      <c r="CQO9" s="232"/>
      <c r="CQP9" s="267" t="s">
        <v>2</v>
      </c>
      <c r="CQQ9" s="268"/>
      <c r="CQR9" s="269"/>
      <c r="CQS9" s="231">
        <v>93544.5</v>
      </c>
      <c r="CQT9" s="232"/>
      <c r="CQU9" s="267" t="s">
        <v>2</v>
      </c>
      <c r="CQV9" s="268"/>
      <c r="CQW9" s="269"/>
      <c r="CQX9" s="231">
        <v>89090</v>
      </c>
      <c r="CQY9" s="232"/>
      <c r="CQZ9" s="267" t="s">
        <v>2</v>
      </c>
      <c r="CRA9" s="268"/>
      <c r="CRB9" s="269"/>
      <c r="CRC9" s="231">
        <v>71272</v>
      </c>
      <c r="CRD9" s="232"/>
      <c r="CRE9" s="300" t="s">
        <v>2</v>
      </c>
      <c r="CRF9" s="301"/>
      <c r="CRG9" s="302"/>
      <c r="CRH9" s="303">
        <v>138089.5</v>
      </c>
      <c r="CRI9" s="304"/>
      <c r="CRJ9" s="300" t="s">
        <v>2</v>
      </c>
      <c r="CRK9" s="301"/>
      <c r="CRL9" s="302"/>
      <c r="CRM9" s="303">
        <v>100136</v>
      </c>
      <c r="CRN9" s="304"/>
      <c r="CRO9" s="300" t="s">
        <v>2</v>
      </c>
      <c r="CRP9" s="301"/>
      <c r="CRQ9" s="302"/>
      <c r="CRR9" s="303">
        <v>53454</v>
      </c>
      <c r="CRS9" s="304"/>
      <c r="CRT9" s="300" t="s">
        <v>2</v>
      </c>
      <c r="CRU9" s="301"/>
      <c r="CRV9" s="302"/>
      <c r="CRW9" s="303">
        <v>115817</v>
      </c>
      <c r="CRX9" s="304"/>
      <c r="CRY9" s="300" t="s">
        <v>2</v>
      </c>
      <c r="CRZ9" s="301"/>
      <c r="CSA9" s="302"/>
      <c r="CSB9" s="19">
        <v>57908.5</v>
      </c>
      <c r="CSC9" s="300" t="s">
        <v>2</v>
      </c>
      <c r="CSD9" s="301"/>
      <c r="CSE9" s="302"/>
      <c r="CSF9" s="19">
        <v>17818</v>
      </c>
      <c r="CSG9" s="300" t="s">
        <v>2</v>
      </c>
      <c r="CSH9" s="301"/>
      <c r="CSI9" s="302"/>
      <c r="CSJ9" s="19">
        <v>26727</v>
      </c>
      <c r="CSK9" s="300" t="s">
        <v>2</v>
      </c>
      <c r="CSL9" s="301"/>
      <c r="CSM9" s="302"/>
      <c r="CSN9" s="19">
        <v>44545</v>
      </c>
      <c r="CSO9" s="300" t="s">
        <v>2</v>
      </c>
      <c r="CSP9" s="301"/>
      <c r="CSQ9" s="302"/>
      <c r="CSR9" s="19">
        <v>22272.5</v>
      </c>
      <c r="CSS9" s="300" t="s">
        <v>2</v>
      </c>
      <c r="CST9" s="301"/>
      <c r="CSU9" s="302"/>
      <c r="CSV9" s="19">
        <v>31181.5</v>
      </c>
      <c r="CSW9" s="300" t="s">
        <v>2</v>
      </c>
      <c r="CSX9" s="301"/>
      <c r="CSY9" s="302"/>
      <c r="CSZ9" s="19">
        <v>71272</v>
      </c>
      <c r="CTA9" s="300" t="s">
        <v>2</v>
      </c>
      <c r="CTB9" s="301"/>
      <c r="CTC9" s="302"/>
      <c r="CTD9" s="19">
        <v>37863.25</v>
      </c>
      <c r="CTE9" s="300" t="s">
        <v>2</v>
      </c>
      <c r="CTF9" s="301"/>
      <c r="CTG9" s="302"/>
      <c r="CTH9" s="19">
        <v>84635.5</v>
      </c>
      <c r="CTI9" s="300" t="s">
        <v>2</v>
      </c>
      <c r="CTJ9" s="301"/>
      <c r="CTK9" s="302"/>
      <c r="CTL9" s="19">
        <v>50224.5</v>
      </c>
      <c r="CTM9" s="300" t="s">
        <v>2</v>
      </c>
      <c r="CTN9" s="301"/>
      <c r="CTO9" s="302"/>
      <c r="CTP9" s="19">
        <v>22272.5</v>
      </c>
      <c r="CTQ9" s="300" t="s">
        <v>2</v>
      </c>
      <c r="CTR9" s="301"/>
      <c r="CTS9" s="302"/>
      <c r="CTT9" s="19">
        <v>22272.5</v>
      </c>
      <c r="CTU9" s="300" t="s">
        <v>2</v>
      </c>
      <c r="CTV9" s="301"/>
      <c r="CTW9" s="302"/>
      <c r="CTX9" s="19">
        <v>37863.25</v>
      </c>
      <c r="CTY9" s="300" t="s">
        <v>2</v>
      </c>
      <c r="CTZ9" s="301"/>
      <c r="CUA9" s="302"/>
      <c r="CUB9" s="19">
        <v>102453.5</v>
      </c>
      <c r="CUC9" s="300" t="s">
        <v>2</v>
      </c>
      <c r="CUD9" s="301"/>
      <c r="CUE9" s="302"/>
      <c r="CUF9" s="19">
        <v>32008</v>
      </c>
      <c r="CUG9" s="300" t="s">
        <v>2</v>
      </c>
      <c r="CUH9" s="301"/>
      <c r="CUI9" s="302"/>
      <c r="CUJ9" s="19">
        <v>23683.5</v>
      </c>
      <c r="CUK9" s="300" t="s">
        <v>2</v>
      </c>
      <c r="CUL9" s="301"/>
      <c r="CUM9" s="302"/>
      <c r="CUN9" s="19"/>
      <c r="CUO9" s="300" t="s">
        <v>2</v>
      </c>
      <c r="CUP9" s="301"/>
      <c r="CUQ9" s="302"/>
      <c r="CUR9" s="19"/>
      <c r="CUS9" s="300" t="s">
        <v>2</v>
      </c>
      <c r="CUT9" s="301"/>
      <c r="CUU9" s="302"/>
      <c r="CUV9" s="19"/>
      <c r="CUW9" s="300" t="s">
        <v>2</v>
      </c>
      <c r="CUX9" s="301"/>
      <c r="CUY9" s="302"/>
      <c r="CUZ9" s="19">
        <v>41501.5</v>
      </c>
      <c r="CVA9" s="300" t="s">
        <v>2</v>
      </c>
      <c r="CVB9" s="301"/>
      <c r="CVC9" s="302"/>
      <c r="CVD9" s="19">
        <v>4454.5</v>
      </c>
      <c r="CVE9" s="300" t="s">
        <v>2</v>
      </c>
      <c r="CVF9" s="301"/>
      <c r="CVG9" s="302"/>
      <c r="CVH9" s="19">
        <v>0</v>
      </c>
      <c r="CVI9" s="300" t="s">
        <v>2</v>
      </c>
      <c r="CVJ9" s="301"/>
      <c r="CVK9" s="302"/>
      <c r="CVL9" s="19">
        <v>6681.75</v>
      </c>
      <c r="CVM9" s="300" t="s">
        <v>2</v>
      </c>
      <c r="CVN9" s="301"/>
      <c r="CVO9" s="302"/>
      <c r="CVP9" s="19">
        <v>11018</v>
      </c>
      <c r="CVQ9" s="300" t="s">
        <v>2</v>
      </c>
      <c r="CVR9" s="301"/>
      <c r="CVS9" s="302"/>
      <c r="CVT9" s="19">
        <v>71272</v>
      </c>
      <c r="CVU9" s="300" t="s">
        <v>2</v>
      </c>
      <c r="CVV9" s="301"/>
      <c r="CVW9" s="302"/>
      <c r="CVX9" s="19">
        <v>0</v>
      </c>
      <c r="CVY9" s="300" t="s">
        <v>2</v>
      </c>
      <c r="CVZ9" s="301"/>
      <c r="CWA9" s="302"/>
      <c r="CWB9" s="19">
        <v>51203.5</v>
      </c>
      <c r="CWC9" s="300" t="s">
        <v>2</v>
      </c>
      <c r="CWD9" s="301"/>
      <c r="CWE9" s="302"/>
      <c r="CWF9" s="19">
        <v>31783.47</v>
      </c>
      <c r="CWG9" s="300" t="s">
        <v>2</v>
      </c>
      <c r="CWH9" s="301"/>
      <c r="CWI9" s="302"/>
      <c r="CWJ9" s="19">
        <v>0</v>
      </c>
      <c r="CWK9" s="300" t="s">
        <v>2</v>
      </c>
      <c r="CWL9" s="301"/>
      <c r="CWM9" s="302"/>
      <c r="CWN9" s="19">
        <v>4454.5</v>
      </c>
      <c r="CWO9" s="300" t="s">
        <v>2</v>
      </c>
      <c r="CWP9" s="301"/>
      <c r="CWQ9" s="302"/>
      <c r="CWR9" s="19">
        <v>17818</v>
      </c>
      <c r="CWS9" s="300" t="s">
        <v>2</v>
      </c>
      <c r="CWT9" s="301"/>
      <c r="CWU9" s="302"/>
      <c r="CWV9" s="19">
        <v>0</v>
      </c>
      <c r="CWW9" s="300" t="s">
        <v>2</v>
      </c>
      <c r="CWX9" s="301"/>
      <c r="CWY9" s="302"/>
      <c r="CWZ9" s="19">
        <v>66817.5</v>
      </c>
      <c r="CXA9" s="361" t="s">
        <v>2</v>
      </c>
      <c r="CXB9" s="362"/>
      <c r="CXC9" s="363"/>
      <c r="CXD9" s="37">
        <v>8909</v>
      </c>
      <c r="CXE9" s="361" t="s">
        <v>2</v>
      </c>
      <c r="CXF9" s="362"/>
      <c r="CXG9" s="363"/>
      <c r="CXH9" s="37">
        <v>1548</v>
      </c>
      <c r="CXI9" s="361" t="s">
        <v>2</v>
      </c>
      <c r="CXJ9" s="362"/>
      <c r="CXK9" s="363"/>
      <c r="CXL9" s="37">
        <v>31181.5</v>
      </c>
      <c r="CXM9" s="361" t="s">
        <v>2</v>
      </c>
      <c r="CXN9" s="362"/>
      <c r="CXO9" s="363"/>
      <c r="CXP9" s="37">
        <v>40090.5</v>
      </c>
      <c r="CXQ9" s="361" t="s">
        <v>2</v>
      </c>
      <c r="CXR9" s="362"/>
      <c r="CXS9" s="363"/>
      <c r="CXT9" s="37">
        <v>81128.5</v>
      </c>
      <c r="CXU9" s="26" t="s">
        <v>2</v>
      </c>
      <c r="CXX9" s="26">
        <v>15590.75</v>
      </c>
      <c r="CXY9" s="26" t="s">
        <v>2</v>
      </c>
      <c r="CYB9" s="26">
        <v>4454.5</v>
      </c>
      <c r="CYC9" s="26" t="s">
        <v>2</v>
      </c>
      <c r="CYF9" s="26">
        <v>98483</v>
      </c>
      <c r="CYG9" s="26" t="s">
        <v>45</v>
      </c>
      <c r="CYI9" s="26">
        <v>0</v>
      </c>
      <c r="CYK9" s="26" t="s">
        <v>42</v>
      </c>
      <c r="CYM9" s="26">
        <v>0</v>
      </c>
      <c r="CYO9" s="26" t="s">
        <v>35</v>
      </c>
      <c r="CYQ9" s="26">
        <v>0</v>
      </c>
      <c r="CYS9" s="26" t="s">
        <v>42</v>
      </c>
      <c r="CYU9" s="26">
        <v>0</v>
      </c>
      <c r="CYW9" s="26" t="s">
        <v>36</v>
      </c>
      <c r="CYY9" s="26">
        <v>0</v>
      </c>
      <c r="CZA9" s="26" t="s">
        <v>36</v>
      </c>
      <c r="CZC9" s="26">
        <v>0</v>
      </c>
      <c r="CZE9" s="26" t="s">
        <v>45</v>
      </c>
      <c r="CZG9" s="26">
        <v>0</v>
      </c>
      <c r="CZI9" s="26" t="s">
        <v>42</v>
      </c>
      <c r="CZK9" s="26">
        <v>0</v>
      </c>
      <c r="CZM9" s="26" t="s">
        <v>36</v>
      </c>
      <c r="CZO9" s="26">
        <v>0</v>
      </c>
      <c r="CZQ9" s="26" t="s">
        <v>35</v>
      </c>
      <c r="CZS9" s="26">
        <v>0</v>
      </c>
      <c r="CZU9" s="26" t="s">
        <v>42</v>
      </c>
      <c r="CZW9" s="26">
        <v>0</v>
      </c>
      <c r="CZY9" s="26" t="s">
        <v>36</v>
      </c>
      <c r="DAA9" s="26">
        <v>0</v>
      </c>
      <c r="DAC9" s="26" t="s">
        <v>35</v>
      </c>
      <c r="DAE9" s="26">
        <v>22272.5</v>
      </c>
      <c r="DAG9" s="26" t="s">
        <v>45</v>
      </c>
      <c r="DAI9" s="26">
        <v>0</v>
      </c>
      <c r="DAK9" s="26" t="s">
        <v>34</v>
      </c>
      <c r="DAM9" s="26">
        <v>8909</v>
      </c>
      <c r="DAO9" s="26" t="s">
        <v>41</v>
      </c>
      <c r="DAQ9" s="26">
        <v>0</v>
      </c>
      <c r="DAS9" s="26" t="s">
        <v>37</v>
      </c>
      <c r="DAU9" s="26">
        <v>0</v>
      </c>
      <c r="DAW9" s="26" t="s">
        <v>35</v>
      </c>
      <c r="DAY9" s="26">
        <v>89090</v>
      </c>
      <c r="DBA9" s="26" t="s">
        <v>35</v>
      </c>
      <c r="DBC9" s="26">
        <v>71272</v>
      </c>
      <c r="DBE9" s="26" t="s">
        <v>34</v>
      </c>
      <c r="DBG9" s="26">
        <v>0</v>
      </c>
      <c r="DBI9" s="26" t="s">
        <v>41</v>
      </c>
      <c r="DBK9" s="26">
        <v>0</v>
      </c>
      <c r="DBM9" s="26" t="s">
        <v>37</v>
      </c>
      <c r="DBO9" s="26">
        <v>0</v>
      </c>
      <c r="DBQ9" s="26" t="s">
        <v>35</v>
      </c>
      <c r="DBS9" s="26">
        <v>35636</v>
      </c>
      <c r="DBU9" s="26" t="s">
        <v>34</v>
      </c>
      <c r="DBW9" s="26">
        <v>44545</v>
      </c>
      <c r="DBY9" s="26" t="s">
        <v>34</v>
      </c>
      <c r="DCA9" s="26">
        <v>4454.5</v>
      </c>
      <c r="DCC9" s="26" t="s">
        <v>41</v>
      </c>
      <c r="DCE9" s="26">
        <v>75726.5</v>
      </c>
      <c r="DCG9" s="26" t="s">
        <v>35</v>
      </c>
      <c r="DCI9" s="26">
        <v>0</v>
      </c>
      <c r="DCK9" s="26" t="s">
        <v>35</v>
      </c>
      <c r="DCM9" s="26">
        <v>8909</v>
      </c>
      <c r="DCO9" s="26" t="s">
        <v>34</v>
      </c>
      <c r="DCQ9" s="26">
        <v>0</v>
      </c>
      <c r="DCS9" s="26" t="s">
        <v>41</v>
      </c>
      <c r="DCU9" s="26">
        <v>13363.5</v>
      </c>
      <c r="DCW9" s="26" t="s">
        <v>37</v>
      </c>
      <c r="DCY9" s="26">
        <v>0</v>
      </c>
      <c r="DDA9" s="26" t="s">
        <v>35</v>
      </c>
      <c r="DDC9" s="26">
        <v>48999.5</v>
      </c>
      <c r="DDE9" s="26" t="s">
        <v>35</v>
      </c>
      <c r="DDG9" s="26">
        <v>57908.5</v>
      </c>
      <c r="DDI9" s="26" t="s">
        <v>34</v>
      </c>
      <c r="DDK9" s="26">
        <v>0</v>
      </c>
      <c r="DDM9" s="26" t="s">
        <v>41</v>
      </c>
      <c r="DDO9" s="26">
        <v>0</v>
      </c>
      <c r="DDQ9" s="26" t="s">
        <v>36</v>
      </c>
      <c r="DDS9" s="26">
        <v>29307</v>
      </c>
    </row>
    <row r="10" spans="1:2828" x14ac:dyDescent="0.25">
      <c r="A10" s="252" t="s">
        <v>4</v>
      </c>
      <c r="B10" s="253"/>
      <c r="C10" s="228"/>
      <c r="D10" s="229"/>
      <c r="E10" s="230"/>
      <c r="F10" s="252" t="s">
        <v>4</v>
      </c>
      <c r="G10" s="253"/>
      <c r="H10" s="228"/>
      <c r="I10" s="229"/>
      <c r="J10" s="230"/>
      <c r="K10" s="252" t="s">
        <v>4</v>
      </c>
      <c r="L10" s="253"/>
      <c r="M10" s="228"/>
      <c r="N10" s="229"/>
      <c r="O10" s="230"/>
      <c r="P10" s="252" t="s">
        <v>4</v>
      </c>
      <c r="Q10" s="253"/>
      <c r="R10" s="228"/>
      <c r="S10" s="229"/>
      <c r="T10" s="230"/>
      <c r="U10" s="252" t="s">
        <v>4</v>
      </c>
      <c r="V10" s="253"/>
      <c r="W10" s="228"/>
      <c r="X10" s="229"/>
      <c r="Y10" s="230"/>
      <c r="Z10" s="252" t="s">
        <v>4</v>
      </c>
      <c r="AA10" s="253"/>
      <c r="AB10" s="228"/>
      <c r="AC10" s="229"/>
      <c r="AD10" s="230"/>
      <c r="AE10" s="252" t="s">
        <v>4</v>
      </c>
      <c r="AF10" s="253"/>
      <c r="AG10" s="228"/>
      <c r="AH10" s="229"/>
      <c r="AI10" s="230"/>
      <c r="AJ10" s="252" t="s">
        <v>4</v>
      </c>
      <c r="AK10" s="253"/>
      <c r="AL10" s="228"/>
      <c r="AM10" s="229"/>
      <c r="AN10" s="230"/>
      <c r="AO10" s="252" t="s">
        <v>4</v>
      </c>
      <c r="AP10" s="253"/>
      <c r="AQ10" s="228"/>
      <c r="AR10" s="229"/>
      <c r="AS10" s="230"/>
      <c r="AT10" s="252" t="s">
        <v>4</v>
      </c>
      <c r="AU10" s="253"/>
      <c r="AV10" s="228"/>
      <c r="AW10" s="229"/>
      <c r="AX10" s="230"/>
      <c r="AY10" s="252" t="s">
        <v>4</v>
      </c>
      <c r="AZ10" s="253"/>
      <c r="BA10" s="228"/>
      <c r="BB10" s="229"/>
      <c r="BC10" s="230"/>
      <c r="BD10" s="252" t="s">
        <v>4</v>
      </c>
      <c r="BE10" s="253"/>
      <c r="BF10" s="228"/>
      <c r="BG10" s="229"/>
      <c r="BH10" s="230"/>
      <c r="BI10" s="252" t="s">
        <v>4</v>
      </c>
      <c r="BJ10" s="253"/>
      <c r="BK10" s="228"/>
      <c r="BL10" s="229"/>
      <c r="BM10" s="230"/>
      <c r="BN10" s="252" t="s">
        <v>4</v>
      </c>
      <c r="BO10" s="253"/>
      <c r="BP10" s="228"/>
      <c r="BQ10" s="229"/>
      <c r="BR10" s="230"/>
      <c r="BS10" s="252" t="s">
        <v>4</v>
      </c>
      <c r="BT10" s="253"/>
      <c r="BU10" s="228"/>
      <c r="BV10" s="229"/>
      <c r="BW10" s="230"/>
      <c r="BX10" s="252" t="s">
        <v>4</v>
      </c>
      <c r="BY10" s="253"/>
      <c r="BZ10" s="228"/>
      <c r="CA10" s="229"/>
      <c r="CB10" s="230"/>
      <c r="CC10" s="252" t="s">
        <v>4</v>
      </c>
      <c r="CD10" s="253"/>
      <c r="CE10" s="228"/>
      <c r="CF10" s="229"/>
      <c r="CG10" s="230"/>
      <c r="CH10" s="252" t="s">
        <v>4</v>
      </c>
      <c r="CI10" s="253"/>
      <c r="CJ10" s="228"/>
      <c r="CK10" s="229"/>
      <c r="CL10" s="230"/>
      <c r="CM10" s="252" t="s">
        <v>4</v>
      </c>
      <c r="CN10" s="253"/>
      <c r="CO10" s="228"/>
      <c r="CP10" s="229"/>
      <c r="CQ10" s="230"/>
      <c r="CR10" s="252" t="s">
        <v>4</v>
      </c>
      <c r="CS10" s="253"/>
      <c r="CT10" s="228"/>
      <c r="CU10" s="229"/>
      <c r="CV10" s="230"/>
      <c r="CW10" s="252" t="s">
        <v>4</v>
      </c>
      <c r="CX10" s="253"/>
      <c r="CY10" s="228"/>
      <c r="CZ10" s="229"/>
      <c r="DA10" s="230"/>
      <c r="DB10" s="252" t="s">
        <v>4</v>
      </c>
      <c r="DC10" s="253"/>
      <c r="DD10" s="228"/>
      <c r="DE10" s="229"/>
      <c r="DF10" s="230"/>
      <c r="DG10" s="252" t="s">
        <v>4</v>
      </c>
      <c r="DH10" s="253"/>
      <c r="DI10" s="228"/>
      <c r="DJ10" s="229"/>
      <c r="DK10" s="230"/>
      <c r="DL10" s="252" t="s">
        <v>4</v>
      </c>
      <c r="DM10" s="253"/>
      <c r="DN10" s="228"/>
      <c r="DO10" s="229"/>
      <c r="DP10" s="230"/>
      <c r="DQ10" s="252" t="s">
        <v>4</v>
      </c>
      <c r="DR10" s="253"/>
      <c r="DS10" s="228"/>
      <c r="DT10" s="229"/>
      <c r="DU10" s="230"/>
      <c r="DV10" s="252" t="s">
        <v>4</v>
      </c>
      <c r="DW10" s="253"/>
      <c r="DX10" s="228"/>
      <c r="DY10" s="229"/>
      <c r="DZ10" s="230"/>
      <c r="EA10" s="252" t="s">
        <v>4</v>
      </c>
      <c r="EB10" s="253"/>
      <c r="EC10" s="228"/>
      <c r="ED10" s="229"/>
      <c r="EE10" s="230"/>
      <c r="EF10" s="252" t="s">
        <v>4</v>
      </c>
      <c r="EG10" s="253"/>
      <c r="EH10" s="228"/>
      <c r="EI10" s="229"/>
      <c r="EJ10" s="230"/>
      <c r="EK10" s="252" t="s">
        <v>4</v>
      </c>
      <c r="EL10" s="253"/>
      <c r="EM10" s="228"/>
      <c r="EN10" s="229"/>
      <c r="EO10" s="230"/>
      <c r="EP10" s="252" t="s">
        <v>4</v>
      </c>
      <c r="EQ10" s="253"/>
      <c r="ER10" s="228"/>
      <c r="ES10" s="229"/>
      <c r="ET10" s="230"/>
      <c r="EU10" s="252" t="s">
        <v>4</v>
      </c>
      <c r="EV10" s="253"/>
      <c r="EW10" s="228"/>
      <c r="EX10" s="229"/>
      <c r="EY10" s="230"/>
      <c r="EZ10" s="252" t="s">
        <v>4</v>
      </c>
      <c r="FA10" s="253"/>
      <c r="FB10" s="228"/>
      <c r="FC10" s="229"/>
      <c r="FD10" s="230"/>
      <c r="FE10" s="252" t="s">
        <v>4</v>
      </c>
      <c r="FF10" s="253"/>
      <c r="FG10" s="228"/>
      <c r="FH10" s="229"/>
      <c r="FI10" s="230"/>
      <c r="FJ10" s="252" t="s">
        <v>4</v>
      </c>
      <c r="FK10" s="253"/>
      <c r="FL10" s="228"/>
      <c r="FM10" s="229"/>
      <c r="FN10" s="230"/>
      <c r="FO10" s="252" t="s">
        <v>4</v>
      </c>
      <c r="FP10" s="253"/>
      <c r="FQ10" s="228"/>
      <c r="FR10" s="229"/>
      <c r="FS10" s="230"/>
      <c r="FT10" s="252" t="s">
        <v>4</v>
      </c>
      <c r="FU10" s="253"/>
      <c r="FV10" s="228"/>
      <c r="FW10" s="229"/>
      <c r="FX10" s="230"/>
      <c r="FY10" s="252" t="s">
        <v>4</v>
      </c>
      <c r="FZ10" s="253"/>
      <c r="GA10" s="228"/>
      <c r="GB10" s="229"/>
      <c r="GC10" s="230"/>
      <c r="GD10" s="252" t="s">
        <v>4</v>
      </c>
      <c r="GE10" s="253"/>
      <c r="GF10" s="228"/>
      <c r="GG10" s="229"/>
      <c r="GH10" s="230"/>
      <c r="GI10" s="252" t="s">
        <v>4</v>
      </c>
      <c r="GJ10" s="253"/>
      <c r="GK10" s="228"/>
      <c r="GL10" s="229"/>
      <c r="GM10" s="230"/>
      <c r="GN10" s="252" t="s">
        <v>4</v>
      </c>
      <c r="GO10" s="253"/>
      <c r="GP10" s="228"/>
      <c r="GQ10" s="229"/>
      <c r="GR10" s="230"/>
      <c r="GS10" s="252" t="s">
        <v>4</v>
      </c>
      <c r="GT10" s="253"/>
      <c r="GU10" s="228"/>
      <c r="GV10" s="229"/>
      <c r="GW10" s="230"/>
      <c r="GX10" s="252" t="s">
        <v>4</v>
      </c>
      <c r="GY10" s="253"/>
      <c r="GZ10" s="228"/>
      <c r="HA10" s="229"/>
      <c r="HB10" s="230"/>
      <c r="HC10" s="252" t="s">
        <v>4</v>
      </c>
      <c r="HD10" s="253"/>
      <c r="HE10" s="228"/>
      <c r="HF10" s="229"/>
      <c r="HG10" s="230"/>
      <c r="HH10" s="252" t="s">
        <v>4</v>
      </c>
      <c r="HI10" s="253"/>
      <c r="HJ10" s="228"/>
      <c r="HK10" s="229"/>
      <c r="HL10" s="230"/>
      <c r="HM10" s="252" t="s">
        <v>4</v>
      </c>
      <c r="HN10" s="253"/>
      <c r="HO10" s="228"/>
      <c r="HP10" s="229"/>
      <c r="HQ10" s="230"/>
      <c r="HR10" s="252" t="s">
        <v>4</v>
      </c>
      <c r="HS10" s="253"/>
      <c r="HT10" s="228"/>
      <c r="HU10" s="229"/>
      <c r="HV10" s="230"/>
      <c r="HW10" s="252" t="s">
        <v>4</v>
      </c>
      <c r="HX10" s="253"/>
      <c r="HY10" s="228"/>
      <c r="HZ10" s="229"/>
      <c r="IA10" s="230"/>
      <c r="IB10" s="252" t="s">
        <v>4</v>
      </c>
      <c r="IC10" s="253"/>
      <c r="ID10" s="228"/>
      <c r="IE10" s="229"/>
      <c r="IF10" s="230"/>
      <c r="IG10" s="252" t="s">
        <v>4</v>
      </c>
      <c r="IH10" s="253"/>
      <c r="II10" s="228"/>
      <c r="IJ10" s="229"/>
      <c r="IK10" s="230"/>
      <c r="IL10" s="252" t="s">
        <v>4</v>
      </c>
      <c r="IM10" s="253"/>
      <c r="IN10" s="228"/>
      <c r="IO10" s="229"/>
      <c r="IP10" s="230"/>
      <c r="IQ10" s="252" t="s">
        <v>4</v>
      </c>
      <c r="IR10" s="253"/>
      <c r="IS10" s="228"/>
      <c r="IT10" s="229"/>
      <c r="IU10" s="230"/>
      <c r="IV10" s="252" t="s">
        <v>4</v>
      </c>
      <c r="IW10" s="253"/>
      <c r="IX10" s="228"/>
      <c r="IY10" s="229"/>
      <c r="IZ10" s="230"/>
      <c r="JA10" s="252" t="s">
        <v>4</v>
      </c>
      <c r="JB10" s="253"/>
      <c r="JC10" s="228"/>
      <c r="JD10" s="229"/>
      <c r="JE10" s="230"/>
      <c r="JF10" s="252" t="s">
        <v>4</v>
      </c>
      <c r="JG10" s="253"/>
      <c r="JH10" s="228"/>
      <c r="JI10" s="229"/>
      <c r="JJ10" s="230"/>
      <c r="JK10" s="252" t="s">
        <v>4</v>
      </c>
      <c r="JL10" s="253"/>
      <c r="JM10" s="228"/>
      <c r="JN10" s="229"/>
      <c r="JO10" s="230"/>
      <c r="JP10" s="252" t="s">
        <v>4</v>
      </c>
      <c r="JQ10" s="253"/>
      <c r="JR10" s="228"/>
      <c r="JS10" s="229"/>
      <c r="JT10" s="230"/>
      <c r="JU10" s="252" t="s">
        <v>4</v>
      </c>
      <c r="JV10" s="253"/>
      <c r="JW10" s="228"/>
      <c r="JX10" s="229"/>
      <c r="JY10" s="230"/>
      <c r="JZ10" s="252" t="s">
        <v>4</v>
      </c>
      <c r="KA10" s="253"/>
      <c r="KB10" s="228"/>
      <c r="KC10" s="229"/>
      <c r="KD10" s="230"/>
      <c r="KE10" s="252" t="s">
        <v>4</v>
      </c>
      <c r="KF10" s="253"/>
      <c r="KG10" s="228"/>
      <c r="KH10" s="229"/>
      <c r="KI10" s="230"/>
      <c r="KJ10" s="252" t="s">
        <v>4</v>
      </c>
      <c r="KK10" s="253"/>
      <c r="KL10" s="228"/>
      <c r="KM10" s="229"/>
      <c r="KN10" s="230"/>
      <c r="KO10" s="252" t="s">
        <v>4</v>
      </c>
      <c r="KP10" s="253"/>
      <c r="KQ10" s="228"/>
      <c r="KR10" s="229"/>
      <c r="KS10" s="230"/>
      <c r="KT10" s="252" t="s">
        <v>4</v>
      </c>
      <c r="KU10" s="253"/>
      <c r="KV10" s="228"/>
      <c r="KW10" s="229"/>
      <c r="KX10" s="230"/>
      <c r="KY10" s="252" t="s">
        <v>4</v>
      </c>
      <c r="KZ10" s="253"/>
      <c r="LA10" s="228"/>
      <c r="LB10" s="229"/>
      <c r="LC10" s="230"/>
      <c r="LD10" s="252" t="s">
        <v>4</v>
      </c>
      <c r="LE10" s="253"/>
      <c r="LF10" s="228"/>
      <c r="LG10" s="229"/>
      <c r="LH10" s="230"/>
      <c r="LI10" s="252" t="s">
        <v>4</v>
      </c>
      <c r="LJ10" s="253"/>
      <c r="LK10" s="228"/>
      <c r="LL10" s="229"/>
      <c r="LM10" s="230"/>
      <c r="LN10" s="252" t="s">
        <v>4</v>
      </c>
      <c r="LO10" s="253"/>
      <c r="LP10" s="228"/>
      <c r="LQ10" s="229"/>
      <c r="LR10" s="230"/>
      <c r="LS10" s="252" t="s">
        <v>4</v>
      </c>
      <c r="LT10" s="253"/>
      <c r="LU10" s="228"/>
      <c r="LV10" s="229"/>
      <c r="LW10" s="230"/>
      <c r="LX10" s="252" t="s">
        <v>4</v>
      </c>
      <c r="LY10" s="253"/>
      <c r="LZ10" s="228"/>
      <c r="MA10" s="229"/>
      <c r="MB10" s="230"/>
      <c r="MC10" s="252" t="s">
        <v>4</v>
      </c>
      <c r="MD10" s="253"/>
      <c r="ME10" s="228"/>
      <c r="MF10" s="229"/>
      <c r="MG10" s="230"/>
      <c r="MH10" s="252" t="s">
        <v>4</v>
      </c>
      <c r="MI10" s="253"/>
      <c r="MJ10" s="228"/>
      <c r="MK10" s="229"/>
      <c r="ML10" s="230"/>
      <c r="MM10" s="252" t="s">
        <v>4</v>
      </c>
      <c r="MN10" s="253"/>
      <c r="MO10" s="228"/>
      <c r="MP10" s="229"/>
      <c r="MQ10" s="230"/>
      <c r="MR10" s="252" t="s">
        <v>4</v>
      </c>
      <c r="MS10" s="253"/>
      <c r="MT10" s="228"/>
      <c r="MU10" s="229"/>
      <c r="MV10" s="230"/>
      <c r="MW10" s="252" t="s">
        <v>4</v>
      </c>
      <c r="MX10" s="253"/>
      <c r="MY10" s="228"/>
      <c r="MZ10" s="229"/>
      <c r="NA10" s="230"/>
      <c r="NB10" s="252" t="s">
        <v>4</v>
      </c>
      <c r="NC10" s="253"/>
      <c r="ND10" s="228"/>
      <c r="NE10" s="229"/>
      <c r="NF10" s="230"/>
      <c r="NG10" s="252" t="s">
        <v>4</v>
      </c>
      <c r="NH10" s="253"/>
      <c r="NI10" s="228"/>
      <c r="NJ10" s="229"/>
      <c r="NK10" s="230"/>
      <c r="NL10" s="252" t="s">
        <v>4</v>
      </c>
      <c r="NM10" s="253"/>
      <c r="NN10" s="228"/>
      <c r="NO10" s="229"/>
      <c r="NP10" s="230"/>
      <c r="NQ10" s="252" t="s">
        <v>4</v>
      </c>
      <c r="NR10" s="253"/>
      <c r="NS10" s="228"/>
      <c r="NT10" s="229"/>
      <c r="NU10" s="230"/>
      <c r="NV10" s="252" t="s">
        <v>4</v>
      </c>
      <c r="NW10" s="253"/>
      <c r="NX10" s="228"/>
      <c r="NY10" s="229"/>
      <c r="NZ10" s="230"/>
      <c r="OA10" s="252" t="s">
        <v>4</v>
      </c>
      <c r="OB10" s="253"/>
      <c r="OC10" s="228"/>
      <c r="OD10" s="229"/>
      <c r="OE10" s="230"/>
      <c r="OF10" s="252" t="s">
        <v>4</v>
      </c>
      <c r="OG10" s="253"/>
      <c r="OH10" s="228"/>
      <c r="OI10" s="229"/>
      <c r="OJ10" s="230"/>
      <c r="OK10" s="252" t="s">
        <v>4</v>
      </c>
      <c r="OL10" s="253"/>
      <c r="OM10" s="228"/>
      <c r="ON10" s="229"/>
      <c r="OO10" s="230"/>
      <c r="OP10" s="252" t="s">
        <v>4</v>
      </c>
      <c r="OQ10" s="253"/>
      <c r="OR10" s="228"/>
      <c r="OS10" s="229"/>
      <c r="OT10" s="230"/>
      <c r="OU10" s="252" t="s">
        <v>4</v>
      </c>
      <c r="OV10" s="253"/>
      <c r="OW10" s="228"/>
      <c r="OX10" s="229"/>
      <c r="OY10" s="230"/>
      <c r="OZ10" s="252" t="s">
        <v>4</v>
      </c>
      <c r="PA10" s="253"/>
      <c r="PB10" s="228"/>
      <c r="PC10" s="229"/>
      <c r="PD10" s="230"/>
      <c r="PE10" s="252" t="s">
        <v>4</v>
      </c>
      <c r="PF10" s="253"/>
      <c r="PG10" s="228"/>
      <c r="PH10" s="229"/>
      <c r="PI10" s="230"/>
      <c r="PJ10" s="252" t="s">
        <v>4</v>
      </c>
      <c r="PK10" s="253"/>
      <c r="PL10" s="228"/>
      <c r="PM10" s="229"/>
      <c r="PN10" s="230"/>
      <c r="PO10" s="252" t="s">
        <v>4</v>
      </c>
      <c r="PP10" s="253"/>
      <c r="PQ10" s="228"/>
      <c r="PR10" s="229"/>
      <c r="PS10" s="230"/>
      <c r="PT10" s="252" t="s">
        <v>4</v>
      </c>
      <c r="PU10" s="253"/>
      <c r="PV10" s="228"/>
      <c r="PW10" s="229"/>
      <c r="PX10" s="230"/>
      <c r="PY10" s="252" t="s">
        <v>4</v>
      </c>
      <c r="PZ10" s="253"/>
      <c r="QA10" s="228"/>
      <c r="QB10" s="229"/>
      <c r="QC10" s="230"/>
      <c r="QD10" s="252" t="s">
        <v>4</v>
      </c>
      <c r="QE10" s="253"/>
      <c r="QF10" s="228"/>
      <c r="QG10" s="229"/>
      <c r="QH10" s="230"/>
      <c r="QI10" s="252" t="s">
        <v>4</v>
      </c>
      <c r="QJ10" s="253"/>
      <c r="QK10" s="228"/>
      <c r="QL10" s="229"/>
      <c r="QM10" s="230"/>
      <c r="QN10" s="252" t="s">
        <v>4</v>
      </c>
      <c r="QO10" s="253"/>
      <c r="QP10" s="228"/>
      <c r="QQ10" s="229"/>
      <c r="QR10" s="230"/>
      <c r="QS10" s="252" t="s">
        <v>4</v>
      </c>
      <c r="QT10" s="253"/>
      <c r="QU10" s="228"/>
      <c r="QV10" s="229"/>
      <c r="QW10" s="230"/>
      <c r="QX10" s="252" t="s">
        <v>4</v>
      </c>
      <c r="QY10" s="253"/>
      <c r="QZ10" s="228"/>
      <c r="RA10" s="229"/>
      <c r="RB10" s="230"/>
      <c r="RC10" s="252" t="s">
        <v>4</v>
      </c>
      <c r="RD10" s="253"/>
      <c r="RE10" s="228"/>
      <c r="RF10" s="229"/>
      <c r="RG10" s="230"/>
      <c r="RH10" s="252" t="s">
        <v>4</v>
      </c>
      <c r="RI10" s="253"/>
      <c r="RJ10" s="228"/>
      <c r="RK10" s="229"/>
      <c r="RL10" s="230"/>
      <c r="RM10" s="252" t="s">
        <v>4</v>
      </c>
      <c r="RN10" s="253"/>
      <c r="RO10" s="228"/>
      <c r="RP10" s="229"/>
      <c r="RQ10" s="230"/>
      <c r="RR10" s="252" t="s">
        <v>4</v>
      </c>
      <c r="RS10" s="253"/>
      <c r="RT10" s="228"/>
      <c r="RU10" s="229"/>
      <c r="RV10" s="230"/>
      <c r="RW10" s="252" t="s">
        <v>4</v>
      </c>
      <c r="RX10" s="253"/>
      <c r="RY10" s="228"/>
      <c r="RZ10" s="229"/>
      <c r="SA10" s="230"/>
      <c r="SB10" s="252" t="s">
        <v>4</v>
      </c>
      <c r="SC10" s="253"/>
      <c r="SD10" s="228"/>
      <c r="SE10" s="229"/>
      <c r="SF10" s="230"/>
      <c r="SG10" s="252" t="s">
        <v>4</v>
      </c>
      <c r="SH10" s="253"/>
      <c r="SI10" s="228"/>
      <c r="SJ10" s="229"/>
      <c r="SK10" s="230"/>
      <c r="SL10" s="252" t="s">
        <v>4</v>
      </c>
      <c r="SM10" s="253"/>
      <c r="SN10" s="228"/>
      <c r="SO10" s="229"/>
      <c r="SP10" s="230"/>
      <c r="SQ10" s="252" t="s">
        <v>4</v>
      </c>
      <c r="SR10" s="253"/>
      <c r="SS10" s="228"/>
      <c r="ST10" s="229"/>
      <c r="SU10" s="230"/>
      <c r="SV10" s="252" t="s">
        <v>4</v>
      </c>
      <c r="SW10" s="253"/>
      <c r="SX10" s="228"/>
      <c r="SY10" s="229"/>
      <c r="SZ10" s="230"/>
      <c r="TA10" s="252" t="s">
        <v>4</v>
      </c>
      <c r="TB10" s="253"/>
      <c r="TC10" s="228"/>
      <c r="TD10" s="229"/>
      <c r="TE10" s="230"/>
      <c r="TF10" s="252" t="s">
        <v>4</v>
      </c>
      <c r="TG10" s="253"/>
      <c r="TH10" s="228"/>
      <c r="TI10" s="229"/>
      <c r="TJ10" s="230"/>
      <c r="TK10" s="252" t="s">
        <v>4</v>
      </c>
      <c r="TL10" s="253"/>
      <c r="TM10" s="228"/>
      <c r="TN10" s="229"/>
      <c r="TO10" s="230"/>
      <c r="TP10" s="252" t="s">
        <v>4</v>
      </c>
      <c r="TQ10" s="253"/>
      <c r="TR10" s="228"/>
      <c r="TS10" s="229"/>
      <c r="TT10" s="230"/>
      <c r="TU10" s="252" t="s">
        <v>4</v>
      </c>
      <c r="TV10" s="253"/>
      <c r="TW10" s="228"/>
      <c r="TX10" s="229"/>
      <c r="TY10" s="230"/>
      <c r="TZ10" s="252" t="s">
        <v>4</v>
      </c>
      <c r="UA10" s="253"/>
      <c r="UB10" s="228"/>
      <c r="UC10" s="229"/>
      <c r="UD10" s="230"/>
      <c r="UE10" s="252" t="s">
        <v>4</v>
      </c>
      <c r="UF10" s="253"/>
      <c r="UG10" s="228"/>
      <c r="UH10" s="229"/>
      <c r="UI10" s="230"/>
      <c r="UJ10" s="252" t="s">
        <v>4</v>
      </c>
      <c r="UK10" s="253"/>
      <c r="UL10" s="228"/>
      <c r="UM10" s="229"/>
      <c r="UN10" s="230"/>
      <c r="UO10" s="252" t="s">
        <v>4</v>
      </c>
      <c r="UP10" s="253"/>
      <c r="UQ10" s="228"/>
      <c r="UR10" s="229"/>
      <c r="US10" s="230"/>
      <c r="UT10" s="252" t="s">
        <v>4</v>
      </c>
      <c r="UU10" s="253"/>
      <c r="UV10" s="228"/>
      <c r="UW10" s="229"/>
      <c r="UX10" s="230"/>
      <c r="UY10" s="252" t="s">
        <v>4</v>
      </c>
      <c r="UZ10" s="253"/>
      <c r="VA10" s="228"/>
      <c r="VB10" s="229"/>
      <c r="VC10" s="230"/>
      <c r="VD10" s="252" t="s">
        <v>4</v>
      </c>
      <c r="VE10" s="253"/>
      <c r="VF10" s="228"/>
      <c r="VG10" s="229"/>
      <c r="VH10" s="230"/>
      <c r="VI10" s="252" t="s">
        <v>4</v>
      </c>
      <c r="VJ10" s="253"/>
      <c r="VK10" s="228"/>
      <c r="VL10" s="229"/>
      <c r="VM10" s="230"/>
      <c r="VN10" s="252" t="s">
        <v>4</v>
      </c>
      <c r="VO10" s="253"/>
      <c r="VP10" s="228"/>
      <c r="VQ10" s="229"/>
      <c r="VR10" s="230"/>
      <c r="VS10" s="252" t="s">
        <v>4</v>
      </c>
      <c r="VT10" s="253"/>
      <c r="VU10" s="228"/>
      <c r="VV10" s="229"/>
      <c r="VW10" s="230"/>
      <c r="VX10" s="252" t="s">
        <v>4</v>
      </c>
      <c r="VY10" s="253"/>
      <c r="VZ10" s="228"/>
      <c r="WA10" s="229"/>
      <c r="WB10" s="230"/>
      <c r="WC10" s="252" t="s">
        <v>4</v>
      </c>
      <c r="WD10" s="253"/>
      <c r="WE10" s="228"/>
      <c r="WF10" s="229"/>
      <c r="WG10" s="230"/>
      <c r="WH10" s="252" t="s">
        <v>4</v>
      </c>
      <c r="WI10" s="253"/>
      <c r="WJ10" s="228"/>
      <c r="WK10" s="229"/>
      <c r="WL10" s="230"/>
      <c r="WM10" s="252" t="s">
        <v>4</v>
      </c>
      <c r="WN10" s="253"/>
      <c r="WO10" s="228"/>
      <c r="WP10" s="229"/>
      <c r="WQ10" s="230"/>
      <c r="WR10" s="252" t="s">
        <v>4</v>
      </c>
      <c r="WS10" s="253"/>
      <c r="WT10" s="228"/>
      <c r="WU10" s="229"/>
      <c r="WV10" s="230"/>
      <c r="WW10" s="252" t="s">
        <v>4</v>
      </c>
      <c r="WX10" s="253"/>
      <c r="WY10" s="228"/>
      <c r="WZ10" s="229"/>
      <c r="XA10" s="230"/>
      <c r="XB10" s="252" t="s">
        <v>4</v>
      </c>
      <c r="XC10" s="253"/>
      <c r="XD10" s="228"/>
      <c r="XE10" s="229"/>
      <c r="XF10" s="230"/>
      <c r="XG10" s="252" t="s">
        <v>4</v>
      </c>
      <c r="XH10" s="253"/>
      <c r="XI10" s="228"/>
      <c r="XJ10" s="229"/>
      <c r="XK10" s="230"/>
      <c r="XL10" s="252" t="s">
        <v>4</v>
      </c>
      <c r="XM10" s="253"/>
      <c r="XN10" s="228"/>
      <c r="XO10" s="229"/>
      <c r="XP10" s="230"/>
      <c r="XQ10" s="252" t="s">
        <v>4</v>
      </c>
      <c r="XR10" s="253"/>
      <c r="XS10" s="228"/>
      <c r="XT10" s="229"/>
      <c r="XU10" s="230"/>
      <c r="XV10" s="252" t="s">
        <v>4</v>
      </c>
      <c r="XW10" s="253"/>
      <c r="XX10" s="228"/>
      <c r="XY10" s="229"/>
      <c r="XZ10" s="230"/>
      <c r="YA10" s="252" t="s">
        <v>4</v>
      </c>
      <c r="YB10" s="253"/>
      <c r="YC10" s="228"/>
      <c r="YD10" s="229"/>
      <c r="YE10" s="230"/>
      <c r="YF10" s="252" t="s">
        <v>4</v>
      </c>
      <c r="YG10" s="253"/>
      <c r="YH10" s="228"/>
      <c r="YI10" s="229"/>
      <c r="YJ10" s="230"/>
      <c r="YK10" s="252" t="s">
        <v>4</v>
      </c>
      <c r="YL10" s="253"/>
      <c r="YM10" s="228"/>
      <c r="YN10" s="229"/>
      <c r="YO10" s="230"/>
      <c r="YP10" s="252" t="s">
        <v>4</v>
      </c>
      <c r="YQ10" s="253"/>
      <c r="YR10" s="228"/>
      <c r="YS10" s="229"/>
      <c r="YT10" s="230"/>
      <c r="YU10" s="252" t="s">
        <v>4</v>
      </c>
      <c r="YV10" s="253"/>
      <c r="YW10" s="228"/>
      <c r="YX10" s="229"/>
      <c r="YY10" s="230"/>
      <c r="YZ10" s="252" t="s">
        <v>4</v>
      </c>
      <c r="ZA10" s="253"/>
      <c r="ZB10" s="228"/>
      <c r="ZC10" s="229"/>
      <c r="ZD10" s="230"/>
      <c r="ZE10" s="252" t="s">
        <v>4</v>
      </c>
      <c r="ZF10" s="253"/>
      <c r="ZG10" s="228"/>
      <c r="ZH10" s="229"/>
      <c r="ZI10" s="230"/>
      <c r="ZJ10" s="252" t="s">
        <v>4</v>
      </c>
      <c r="ZK10" s="253"/>
      <c r="ZL10" s="228"/>
      <c r="ZM10" s="229"/>
      <c r="ZN10" s="230"/>
      <c r="ZO10" s="252" t="s">
        <v>4</v>
      </c>
      <c r="ZP10" s="253"/>
      <c r="ZQ10" s="228"/>
      <c r="ZR10" s="229"/>
      <c r="ZS10" s="230"/>
      <c r="ZT10" s="252" t="s">
        <v>4</v>
      </c>
      <c r="ZU10" s="253"/>
      <c r="ZV10" s="228"/>
      <c r="ZW10" s="229"/>
      <c r="ZX10" s="230"/>
      <c r="ZY10" s="252" t="s">
        <v>4</v>
      </c>
      <c r="ZZ10" s="253"/>
      <c r="AAA10" s="228"/>
      <c r="AAB10" s="229"/>
      <c r="AAC10" s="230"/>
      <c r="AAD10" s="252" t="s">
        <v>4</v>
      </c>
      <c r="AAE10" s="253"/>
      <c r="AAF10" s="228"/>
      <c r="AAG10" s="229"/>
      <c r="AAH10" s="230"/>
      <c r="AAI10" s="252" t="s">
        <v>4</v>
      </c>
      <c r="AAJ10" s="253"/>
      <c r="AAK10" s="228"/>
      <c r="AAL10" s="229"/>
      <c r="AAM10" s="230"/>
      <c r="AAN10" s="252" t="s">
        <v>4</v>
      </c>
      <c r="AAO10" s="253"/>
      <c r="AAP10" s="228"/>
      <c r="AAQ10" s="229"/>
      <c r="AAR10" s="230"/>
      <c r="AAS10" s="252" t="s">
        <v>4</v>
      </c>
      <c r="AAT10" s="253"/>
      <c r="AAU10" s="228"/>
      <c r="AAV10" s="229"/>
      <c r="AAW10" s="230"/>
      <c r="AAX10" s="252" t="s">
        <v>4</v>
      </c>
      <c r="AAY10" s="253"/>
      <c r="AAZ10" s="228"/>
      <c r="ABA10" s="229"/>
      <c r="ABB10" s="230"/>
      <c r="ABC10" s="252" t="s">
        <v>4</v>
      </c>
      <c r="ABD10" s="253"/>
      <c r="ABE10" s="228"/>
      <c r="ABF10" s="229"/>
      <c r="ABG10" s="230"/>
      <c r="ABH10" s="252" t="s">
        <v>4</v>
      </c>
      <c r="ABI10" s="253"/>
      <c r="ABJ10" s="228"/>
      <c r="ABK10" s="229"/>
      <c r="ABL10" s="230"/>
      <c r="ABM10" s="252" t="s">
        <v>4</v>
      </c>
      <c r="ABN10" s="253"/>
      <c r="ABO10" s="228"/>
      <c r="ABP10" s="229"/>
      <c r="ABQ10" s="230"/>
      <c r="ABR10" s="252" t="s">
        <v>4</v>
      </c>
      <c r="ABS10" s="253"/>
      <c r="ABT10" s="228"/>
      <c r="ABU10" s="229"/>
      <c r="ABV10" s="230"/>
      <c r="ABW10" s="252" t="s">
        <v>4</v>
      </c>
      <c r="ABX10" s="253"/>
      <c r="ABY10" s="228"/>
      <c r="ABZ10" s="229"/>
      <c r="ACA10" s="230"/>
      <c r="ACB10" s="252" t="s">
        <v>4</v>
      </c>
      <c r="ACC10" s="253"/>
      <c r="ACD10" s="228"/>
      <c r="ACE10" s="229"/>
      <c r="ACF10" s="230"/>
      <c r="ACG10" s="252" t="s">
        <v>4</v>
      </c>
      <c r="ACH10" s="253"/>
      <c r="ACI10" s="228"/>
      <c r="ACJ10" s="229"/>
      <c r="ACK10" s="230"/>
      <c r="ACL10" s="252" t="s">
        <v>4</v>
      </c>
      <c r="ACM10" s="253"/>
      <c r="ACN10" s="228"/>
      <c r="ACO10" s="229"/>
      <c r="ACP10" s="230"/>
      <c r="ACQ10" s="252" t="s">
        <v>4</v>
      </c>
      <c r="ACR10" s="253"/>
      <c r="ACS10" s="228"/>
      <c r="ACT10" s="229"/>
      <c r="ACU10" s="230"/>
      <c r="ACV10" s="252" t="s">
        <v>4</v>
      </c>
      <c r="ACW10" s="253"/>
      <c r="ACX10" s="228"/>
      <c r="ACY10" s="229"/>
      <c r="ACZ10" s="230"/>
      <c r="ADA10" s="252" t="s">
        <v>4</v>
      </c>
      <c r="ADB10" s="253"/>
      <c r="ADC10" s="228"/>
      <c r="ADD10" s="229"/>
      <c r="ADE10" s="230"/>
      <c r="ADF10" s="252" t="s">
        <v>4</v>
      </c>
      <c r="ADG10" s="253"/>
      <c r="ADH10" s="228"/>
      <c r="ADI10" s="229"/>
      <c r="ADJ10" s="230"/>
      <c r="ADK10" s="252" t="s">
        <v>4</v>
      </c>
      <c r="ADL10" s="253"/>
      <c r="ADM10" s="228"/>
      <c r="ADN10" s="229"/>
      <c r="ADO10" s="230"/>
      <c r="ADP10" s="252" t="s">
        <v>4</v>
      </c>
      <c r="ADQ10" s="253"/>
      <c r="ADR10" s="228"/>
      <c r="ADS10" s="229"/>
      <c r="ADT10" s="230"/>
      <c r="ADU10" s="252" t="s">
        <v>4</v>
      </c>
      <c r="ADV10" s="253"/>
      <c r="ADW10" s="228"/>
      <c r="ADX10" s="229"/>
      <c r="ADY10" s="230"/>
      <c r="ADZ10" s="252" t="s">
        <v>4</v>
      </c>
      <c r="AEA10" s="253"/>
      <c r="AEB10" s="228"/>
      <c r="AEC10" s="229"/>
      <c r="AED10" s="230"/>
      <c r="AEE10" s="252" t="s">
        <v>4</v>
      </c>
      <c r="AEF10" s="253"/>
      <c r="AEG10" s="228"/>
      <c r="AEH10" s="229"/>
      <c r="AEI10" s="230"/>
      <c r="AEJ10" s="252" t="s">
        <v>4</v>
      </c>
      <c r="AEK10" s="253"/>
      <c r="AEL10" s="228"/>
      <c r="AEM10" s="229"/>
      <c r="AEN10" s="230"/>
      <c r="AEO10" s="252" t="s">
        <v>4</v>
      </c>
      <c r="AEP10" s="253"/>
      <c r="AEQ10" s="228"/>
      <c r="AER10" s="229"/>
      <c r="AES10" s="230"/>
      <c r="AET10" s="252" t="s">
        <v>4</v>
      </c>
      <c r="AEU10" s="253"/>
      <c r="AEV10" s="228"/>
      <c r="AEW10" s="229"/>
      <c r="AEX10" s="230"/>
      <c r="AEY10" s="252" t="s">
        <v>4</v>
      </c>
      <c r="AEZ10" s="253"/>
      <c r="AFA10" s="228"/>
      <c r="AFB10" s="229"/>
      <c r="AFC10" s="230"/>
      <c r="AFD10" s="252" t="s">
        <v>4</v>
      </c>
      <c r="AFE10" s="253"/>
      <c r="AFF10" s="228"/>
      <c r="AFG10" s="229"/>
      <c r="AFH10" s="230"/>
      <c r="AFI10" s="252" t="s">
        <v>4</v>
      </c>
      <c r="AFJ10" s="253"/>
      <c r="AFK10" s="228"/>
      <c r="AFL10" s="229"/>
      <c r="AFM10" s="230"/>
      <c r="AFN10" s="252" t="s">
        <v>4</v>
      </c>
      <c r="AFO10" s="253"/>
      <c r="AFP10" s="228"/>
      <c r="AFQ10" s="229"/>
      <c r="AFR10" s="230"/>
      <c r="AFS10" s="252" t="s">
        <v>4</v>
      </c>
      <c r="AFT10" s="253"/>
      <c r="AFU10" s="228"/>
      <c r="AFV10" s="229"/>
      <c r="AFW10" s="230"/>
      <c r="AFX10" s="252" t="s">
        <v>4</v>
      </c>
      <c r="AFY10" s="253"/>
      <c r="AFZ10" s="228"/>
      <c r="AGA10" s="229"/>
      <c r="AGB10" s="230"/>
      <c r="AGC10" s="252" t="s">
        <v>4</v>
      </c>
      <c r="AGD10" s="253"/>
      <c r="AGE10" s="228"/>
      <c r="AGF10" s="229"/>
      <c r="AGG10" s="230"/>
      <c r="AGH10" s="252" t="s">
        <v>4</v>
      </c>
      <c r="AGI10" s="253"/>
      <c r="AGJ10" s="228"/>
      <c r="AGK10" s="229"/>
      <c r="AGL10" s="230"/>
      <c r="AGM10" s="252" t="s">
        <v>4</v>
      </c>
      <c r="AGN10" s="253"/>
      <c r="AGO10" s="228"/>
      <c r="AGP10" s="229"/>
      <c r="AGQ10" s="230"/>
      <c r="AGR10" s="252" t="s">
        <v>4</v>
      </c>
      <c r="AGS10" s="253"/>
      <c r="AGT10" s="228"/>
      <c r="AGU10" s="229"/>
      <c r="AGV10" s="230"/>
      <c r="AGW10" s="252" t="s">
        <v>4</v>
      </c>
      <c r="AGX10" s="253"/>
      <c r="AGY10" s="228"/>
      <c r="AGZ10" s="229"/>
      <c r="AHA10" s="230"/>
      <c r="AHB10" s="252" t="s">
        <v>4</v>
      </c>
      <c r="AHC10" s="253"/>
      <c r="AHD10" s="228"/>
      <c r="AHE10" s="229"/>
      <c r="AHF10" s="230"/>
      <c r="AHG10" s="252" t="s">
        <v>4</v>
      </c>
      <c r="AHH10" s="253"/>
      <c r="AHI10" s="228"/>
      <c r="AHJ10" s="229"/>
      <c r="AHK10" s="230"/>
      <c r="AHL10" s="252" t="s">
        <v>4</v>
      </c>
      <c r="AHM10" s="253"/>
      <c r="AHN10" s="228"/>
      <c r="AHO10" s="229"/>
      <c r="AHP10" s="230"/>
      <c r="AHQ10" s="252" t="s">
        <v>4</v>
      </c>
      <c r="AHR10" s="253"/>
      <c r="AHS10" s="228"/>
      <c r="AHT10" s="229"/>
      <c r="AHU10" s="230"/>
      <c r="AHV10" s="252" t="s">
        <v>4</v>
      </c>
      <c r="AHW10" s="253"/>
      <c r="AHX10" s="228"/>
      <c r="AHY10" s="229"/>
      <c r="AHZ10" s="230"/>
      <c r="AIA10" s="252" t="s">
        <v>4</v>
      </c>
      <c r="AIB10" s="253"/>
      <c r="AIC10" s="228"/>
      <c r="AID10" s="229"/>
      <c r="AIE10" s="230"/>
      <c r="AIF10" s="252" t="s">
        <v>4</v>
      </c>
      <c r="AIG10" s="253"/>
      <c r="AIH10" s="228"/>
      <c r="AII10" s="229"/>
      <c r="AIJ10" s="230"/>
      <c r="AIK10" s="252" t="s">
        <v>4</v>
      </c>
      <c r="AIL10" s="253"/>
      <c r="AIM10" s="228"/>
      <c r="AIN10" s="229"/>
      <c r="AIO10" s="230"/>
      <c r="AIP10" s="252" t="s">
        <v>4</v>
      </c>
      <c r="AIQ10" s="253"/>
      <c r="AIR10" s="228"/>
      <c r="AIS10" s="229"/>
      <c r="AIT10" s="230"/>
      <c r="AIU10" s="252" t="s">
        <v>4</v>
      </c>
      <c r="AIV10" s="253"/>
      <c r="AIW10" s="228"/>
      <c r="AIX10" s="229"/>
      <c r="AIY10" s="230"/>
      <c r="AIZ10" s="252" t="s">
        <v>4</v>
      </c>
      <c r="AJA10" s="253"/>
      <c r="AJB10" s="228"/>
      <c r="AJC10" s="229"/>
      <c r="AJD10" s="230"/>
      <c r="AJE10" s="252" t="s">
        <v>4</v>
      </c>
      <c r="AJF10" s="253"/>
      <c r="AJG10" s="228"/>
      <c r="AJH10" s="229"/>
      <c r="AJI10" s="230"/>
      <c r="AJJ10" s="252" t="s">
        <v>4</v>
      </c>
      <c r="AJK10" s="253"/>
      <c r="AJL10" s="228"/>
      <c r="AJM10" s="229"/>
      <c r="AJN10" s="230"/>
      <c r="AJO10" s="252" t="s">
        <v>4</v>
      </c>
      <c r="AJP10" s="253"/>
      <c r="AJQ10" s="228"/>
      <c r="AJR10" s="229"/>
      <c r="AJS10" s="230"/>
      <c r="AJT10" s="252" t="s">
        <v>4</v>
      </c>
      <c r="AJU10" s="253"/>
      <c r="AJV10" s="228"/>
      <c r="AJW10" s="229"/>
      <c r="AJX10" s="230"/>
      <c r="AJY10" s="252" t="s">
        <v>4</v>
      </c>
      <c r="AJZ10" s="253"/>
      <c r="AKA10" s="228"/>
      <c r="AKB10" s="229"/>
      <c r="AKC10" s="230"/>
      <c r="AKD10" s="252" t="s">
        <v>4</v>
      </c>
      <c r="AKE10" s="253"/>
      <c r="AKF10" s="228"/>
      <c r="AKG10" s="229"/>
      <c r="AKH10" s="230"/>
      <c r="AKI10" s="252" t="s">
        <v>4</v>
      </c>
      <c r="AKJ10" s="253"/>
      <c r="AKK10" s="228"/>
      <c r="AKL10" s="229"/>
      <c r="AKM10" s="230"/>
      <c r="AKN10" s="252" t="s">
        <v>4</v>
      </c>
      <c r="AKO10" s="253"/>
      <c r="AKP10" s="228"/>
      <c r="AKQ10" s="229"/>
      <c r="AKR10" s="230"/>
      <c r="AKS10" s="252" t="s">
        <v>4</v>
      </c>
      <c r="AKT10" s="253"/>
      <c r="AKU10" s="228"/>
      <c r="AKV10" s="229"/>
      <c r="AKW10" s="230"/>
      <c r="AKX10" s="252" t="s">
        <v>4</v>
      </c>
      <c r="AKY10" s="253"/>
      <c r="AKZ10" s="228"/>
      <c r="ALA10" s="229"/>
      <c r="ALB10" s="230"/>
      <c r="ALC10" s="252" t="s">
        <v>4</v>
      </c>
      <c r="ALD10" s="253"/>
      <c r="ALE10" s="228"/>
      <c r="ALF10" s="229"/>
      <c r="ALG10" s="230"/>
      <c r="ALH10" s="252" t="s">
        <v>4</v>
      </c>
      <c r="ALI10" s="253"/>
      <c r="ALJ10" s="228"/>
      <c r="ALK10" s="229"/>
      <c r="ALL10" s="230"/>
      <c r="ALM10" s="252" t="s">
        <v>4</v>
      </c>
      <c r="ALN10" s="253"/>
      <c r="ALO10" s="228"/>
      <c r="ALP10" s="229"/>
      <c r="ALQ10" s="230"/>
      <c r="ALR10" s="252" t="s">
        <v>4</v>
      </c>
      <c r="ALS10" s="253"/>
      <c r="ALT10" s="228"/>
      <c r="ALU10" s="229"/>
      <c r="ALV10" s="230"/>
      <c r="ALW10" s="252" t="s">
        <v>4</v>
      </c>
      <c r="ALX10" s="253"/>
      <c r="ALY10" s="228"/>
      <c r="ALZ10" s="229"/>
      <c r="AMA10" s="230"/>
      <c r="AMB10" s="252" t="s">
        <v>4</v>
      </c>
      <c r="AMC10" s="253"/>
      <c r="AMD10" s="228"/>
      <c r="AME10" s="229"/>
      <c r="AMF10" s="230"/>
      <c r="AMG10" s="252" t="s">
        <v>4</v>
      </c>
      <c r="AMH10" s="253"/>
      <c r="AMI10" s="228"/>
      <c r="AMJ10" s="229"/>
      <c r="AMK10" s="230"/>
      <c r="AML10" s="252" t="s">
        <v>4</v>
      </c>
      <c r="AMM10" s="253"/>
      <c r="AMN10" s="228"/>
      <c r="AMO10" s="229"/>
      <c r="AMP10" s="230"/>
      <c r="AMQ10" s="252" t="s">
        <v>4</v>
      </c>
      <c r="AMR10" s="253"/>
      <c r="AMS10" s="228"/>
      <c r="AMT10" s="229"/>
      <c r="AMU10" s="230"/>
      <c r="AMV10" s="252" t="s">
        <v>4</v>
      </c>
      <c r="AMW10" s="253"/>
      <c r="AMX10" s="228"/>
      <c r="AMY10" s="229"/>
      <c r="AMZ10" s="230"/>
      <c r="ANA10" s="252" t="s">
        <v>4</v>
      </c>
      <c r="ANB10" s="253"/>
      <c r="ANC10" s="228"/>
      <c r="AND10" s="229"/>
      <c r="ANE10" s="230"/>
      <c r="ANF10" s="252" t="s">
        <v>4</v>
      </c>
      <c r="ANG10" s="253"/>
      <c r="ANH10" s="228"/>
      <c r="ANI10" s="229"/>
      <c r="ANJ10" s="230"/>
      <c r="ANK10" s="252" t="s">
        <v>4</v>
      </c>
      <c r="ANL10" s="253"/>
      <c r="ANM10" s="228"/>
      <c r="ANN10" s="229"/>
      <c r="ANO10" s="230"/>
      <c r="ANP10" s="252" t="s">
        <v>4</v>
      </c>
      <c r="ANQ10" s="253"/>
      <c r="ANR10" s="228"/>
      <c r="ANS10" s="229"/>
      <c r="ANT10" s="230"/>
      <c r="ANU10" s="252" t="s">
        <v>4</v>
      </c>
      <c r="ANV10" s="253"/>
      <c r="ANW10" s="228"/>
      <c r="ANX10" s="229"/>
      <c r="ANY10" s="230"/>
      <c r="ANZ10" s="252" t="s">
        <v>4</v>
      </c>
      <c r="AOA10" s="253"/>
      <c r="AOB10" s="228"/>
      <c r="AOC10" s="229"/>
      <c r="AOD10" s="230"/>
      <c r="AOE10" s="252" t="s">
        <v>4</v>
      </c>
      <c r="AOF10" s="253"/>
      <c r="AOG10" s="228"/>
      <c r="AOH10" s="229"/>
      <c r="AOI10" s="230"/>
      <c r="AOJ10" s="252" t="s">
        <v>4</v>
      </c>
      <c r="AOK10" s="253"/>
      <c r="AOL10" s="228"/>
      <c r="AOM10" s="229"/>
      <c r="AON10" s="230"/>
      <c r="AOO10" s="252" t="s">
        <v>4</v>
      </c>
      <c r="AOP10" s="253"/>
      <c r="AOQ10" s="228"/>
      <c r="AOR10" s="229"/>
      <c r="AOS10" s="230"/>
      <c r="AOT10" s="252" t="s">
        <v>4</v>
      </c>
      <c r="AOU10" s="253"/>
      <c r="AOV10" s="228"/>
      <c r="AOW10" s="229"/>
      <c r="AOX10" s="230"/>
      <c r="AOY10" s="252" t="s">
        <v>4</v>
      </c>
      <c r="AOZ10" s="253"/>
      <c r="APA10" s="228"/>
      <c r="APB10" s="229"/>
      <c r="APC10" s="230"/>
      <c r="APD10" s="252" t="s">
        <v>4</v>
      </c>
      <c r="APE10" s="253"/>
      <c r="APF10" s="228"/>
      <c r="APG10" s="229"/>
      <c r="APH10" s="230"/>
      <c r="API10" s="252" t="s">
        <v>4</v>
      </c>
      <c r="APJ10" s="253"/>
      <c r="APK10" s="228"/>
      <c r="APL10" s="229"/>
      <c r="APM10" s="230"/>
      <c r="APN10" s="252" t="s">
        <v>4</v>
      </c>
      <c r="APO10" s="253"/>
      <c r="APP10" s="228"/>
      <c r="APQ10" s="229"/>
      <c r="APR10" s="230"/>
      <c r="APS10" s="252" t="s">
        <v>4</v>
      </c>
      <c r="APT10" s="253"/>
      <c r="APU10" s="228"/>
      <c r="APV10" s="229"/>
      <c r="APW10" s="230"/>
      <c r="APX10" s="252" t="s">
        <v>4</v>
      </c>
      <c r="APY10" s="253"/>
      <c r="APZ10" s="228"/>
      <c r="AQA10" s="229"/>
      <c r="AQB10" s="230"/>
      <c r="AQC10" s="252" t="s">
        <v>4</v>
      </c>
      <c r="AQD10" s="253"/>
      <c r="AQE10" s="228"/>
      <c r="AQF10" s="229"/>
      <c r="AQG10" s="230"/>
      <c r="AQH10" s="252" t="s">
        <v>4</v>
      </c>
      <c r="AQI10" s="253"/>
      <c r="AQJ10" s="228"/>
      <c r="AQK10" s="229"/>
      <c r="AQL10" s="230"/>
      <c r="AQM10" s="252" t="s">
        <v>4</v>
      </c>
      <c r="AQN10" s="253"/>
      <c r="AQO10" s="228"/>
      <c r="AQP10" s="229"/>
      <c r="AQQ10" s="230"/>
      <c r="AQR10" s="252" t="s">
        <v>4</v>
      </c>
      <c r="AQS10" s="253"/>
      <c r="AQT10" s="228"/>
      <c r="AQU10" s="229"/>
      <c r="AQV10" s="230"/>
      <c r="AQW10" s="252" t="s">
        <v>4</v>
      </c>
      <c r="AQX10" s="253"/>
      <c r="AQY10" s="228"/>
      <c r="AQZ10" s="229"/>
      <c r="ARA10" s="230"/>
      <c r="ARB10" s="252" t="s">
        <v>4</v>
      </c>
      <c r="ARC10" s="253"/>
      <c r="ARD10" s="228"/>
      <c r="ARE10" s="229"/>
      <c r="ARF10" s="230"/>
      <c r="ARG10" s="252" t="s">
        <v>4</v>
      </c>
      <c r="ARH10" s="253"/>
      <c r="ARI10" s="228"/>
      <c r="ARJ10" s="229"/>
      <c r="ARK10" s="230"/>
      <c r="ARL10" s="252" t="s">
        <v>4</v>
      </c>
      <c r="ARM10" s="253"/>
      <c r="ARN10" s="228"/>
      <c r="ARO10" s="229"/>
      <c r="ARP10" s="230"/>
      <c r="ARQ10" s="252" t="s">
        <v>4</v>
      </c>
      <c r="ARR10" s="253"/>
      <c r="ARS10" s="228"/>
      <c r="ART10" s="229"/>
      <c r="ARU10" s="230"/>
      <c r="ARV10" s="252" t="s">
        <v>4</v>
      </c>
      <c r="ARW10" s="253"/>
      <c r="ARX10" s="228"/>
      <c r="ARY10" s="229"/>
      <c r="ARZ10" s="230"/>
      <c r="ASA10" s="252" t="s">
        <v>4</v>
      </c>
      <c r="ASB10" s="253"/>
      <c r="ASC10" s="228"/>
      <c r="ASD10" s="229"/>
      <c r="ASE10" s="230"/>
      <c r="ASF10" s="252" t="s">
        <v>4</v>
      </c>
      <c r="ASG10" s="253"/>
      <c r="ASH10" s="228"/>
      <c r="ASI10" s="229"/>
      <c r="ASJ10" s="230"/>
      <c r="ASK10" s="252" t="s">
        <v>4</v>
      </c>
      <c r="ASL10" s="253"/>
      <c r="ASM10" s="228"/>
      <c r="ASN10" s="229"/>
      <c r="ASO10" s="230"/>
      <c r="ASP10" s="252" t="s">
        <v>4</v>
      </c>
      <c r="ASQ10" s="253"/>
      <c r="ASR10" s="228"/>
      <c r="ASS10" s="229"/>
      <c r="AST10" s="230"/>
      <c r="ASU10" s="252" t="s">
        <v>4</v>
      </c>
      <c r="ASV10" s="253"/>
      <c r="ASW10" s="228"/>
      <c r="ASX10" s="229"/>
      <c r="ASY10" s="230"/>
      <c r="ASZ10" s="252" t="s">
        <v>4</v>
      </c>
      <c r="ATA10" s="253"/>
      <c r="ATB10" s="228"/>
      <c r="ATC10" s="229"/>
      <c r="ATD10" s="230"/>
      <c r="ATE10" s="252" t="s">
        <v>4</v>
      </c>
      <c r="ATF10" s="253"/>
      <c r="ATG10" s="228"/>
      <c r="ATH10" s="229"/>
      <c r="ATI10" s="230"/>
      <c r="ATJ10" s="252" t="s">
        <v>4</v>
      </c>
      <c r="ATK10" s="253"/>
      <c r="ATL10" s="228"/>
      <c r="ATM10" s="229"/>
      <c r="ATN10" s="230"/>
      <c r="ATO10" s="252" t="s">
        <v>4</v>
      </c>
      <c r="ATP10" s="253"/>
      <c r="ATQ10" s="228"/>
      <c r="ATR10" s="229"/>
      <c r="ATS10" s="230"/>
      <c r="ATT10" s="252" t="s">
        <v>4</v>
      </c>
      <c r="ATU10" s="253"/>
      <c r="ATV10" s="228"/>
      <c r="ATW10" s="229"/>
      <c r="ATX10" s="230"/>
      <c r="ATY10" s="252" t="s">
        <v>4</v>
      </c>
      <c r="ATZ10" s="253"/>
      <c r="AUA10" s="228"/>
      <c r="AUB10" s="229"/>
      <c r="AUC10" s="230"/>
      <c r="AUD10" s="252" t="s">
        <v>4</v>
      </c>
      <c r="AUE10" s="253"/>
      <c r="AUF10" s="228"/>
      <c r="AUG10" s="229"/>
      <c r="AUH10" s="230"/>
      <c r="AUI10" s="252" t="s">
        <v>4</v>
      </c>
      <c r="AUJ10" s="253"/>
      <c r="AUK10" s="228"/>
      <c r="AUL10" s="229"/>
      <c r="AUM10" s="230"/>
      <c r="AUN10" s="252" t="s">
        <v>4</v>
      </c>
      <c r="AUO10" s="253"/>
      <c r="AUP10" s="228"/>
      <c r="AUQ10" s="229"/>
      <c r="AUR10" s="230"/>
      <c r="AUS10" s="252" t="s">
        <v>4</v>
      </c>
      <c r="AUT10" s="253"/>
      <c r="AUU10" s="228"/>
      <c r="AUV10" s="229"/>
      <c r="AUW10" s="230"/>
      <c r="AUX10" s="252" t="s">
        <v>4</v>
      </c>
      <c r="AUY10" s="253"/>
      <c r="AUZ10" s="228"/>
      <c r="AVA10" s="229"/>
      <c r="AVB10" s="230"/>
      <c r="AVC10" s="252" t="s">
        <v>4</v>
      </c>
      <c r="AVD10" s="253"/>
      <c r="AVE10" s="228"/>
      <c r="AVF10" s="229"/>
      <c r="AVG10" s="230"/>
      <c r="AVH10" s="252" t="s">
        <v>4</v>
      </c>
      <c r="AVI10" s="253"/>
      <c r="AVJ10" s="228"/>
      <c r="AVK10" s="229"/>
      <c r="AVL10" s="230"/>
      <c r="AVM10" s="252" t="s">
        <v>4</v>
      </c>
      <c r="AVN10" s="253"/>
      <c r="AVO10" s="228"/>
      <c r="AVP10" s="229"/>
      <c r="AVQ10" s="230"/>
      <c r="AVR10" s="252" t="s">
        <v>4</v>
      </c>
      <c r="AVS10" s="253"/>
      <c r="AVT10" s="228"/>
      <c r="AVU10" s="229"/>
      <c r="AVV10" s="230"/>
      <c r="AVW10" s="252" t="s">
        <v>4</v>
      </c>
      <c r="AVX10" s="253"/>
      <c r="AVY10" s="228"/>
      <c r="AVZ10" s="229"/>
      <c r="AWA10" s="230"/>
      <c r="AWB10" s="252" t="s">
        <v>4</v>
      </c>
      <c r="AWC10" s="253"/>
      <c r="AWD10" s="228"/>
      <c r="AWE10" s="229"/>
      <c r="AWF10" s="230"/>
      <c r="AWG10" s="252" t="s">
        <v>4</v>
      </c>
      <c r="AWH10" s="253"/>
      <c r="AWI10" s="228"/>
      <c r="AWJ10" s="229"/>
      <c r="AWK10" s="230"/>
      <c r="AWL10" s="252" t="s">
        <v>4</v>
      </c>
      <c r="AWM10" s="253"/>
      <c r="AWN10" s="228"/>
      <c r="AWO10" s="229"/>
      <c r="AWP10" s="230"/>
      <c r="AWQ10" s="252" t="s">
        <v>4</v>
      </c>
      <c r="AWR10" s="253"/>
      <c r="AWS10" s="228"/>
      <c r="AWT10" s="229"/>
      <c r="AWU10" s="230"/>
      <c r="AWV10" s="252" t="s">
        <v>4</v>
      </c>
      <c r="AWW10" s="253"/>
      <c r="AWX10" s="228"/>
      <c r="AWY10" s="229"/>
      <c r="AWZ10" s="230"/>
      <c r="AXA10" s="252" t="s">
        <v>4</v>
      </c>
      <c r="AXB10" s="253"/>
      <c r="AXC10" s="228"/>
      <c r="AXD10" s="229"/>
      <c r="AXE10" s="230"/>
      <c r="AXF10" s="252" t="s">
        <v>4</v>
      </c>
      <c r="AXG10" s="253"/>
      <c r="AXH10" s="228"/>
      <c r="AXI10" s="229"/>
      <c r="AXJ10" s="230"/>
      <c r="AXK10" s="252" t="s">
        <v>4</v>
      </c>
      <c r="AXL10" s="253"/>
      <c r="AXM10" s="228"/>
      <c r="AXN10" s="229"/>
      <c r="AXO10" s="230"/>
      <c r="AXP10" s="252" t="s">
        <v>4</v>
      </c>
      <c r="AXQ10" s="253"/>
      <c r="AXR10" s="228"/>
      <c r="AXS10" s="229"/>
      <c r="AXT10" s="230"/>
      <c r="AXU10" s="252" t="s">
        <v>4</v>
      </c>
      <c r="AXV10" s="253"/>
      <c r="AXW10" s="228"/>
      <c r="AXX10" s="229"/>
      <c r="AXY10" s="230"/>
      <c r="AXZ10" s="252" t="s">
        <v>4</v>
      </c>
      <c r="AYA10" s="253"/>
      <c r="AYB10" s="228"/>
      <c r="AYC10" s="229"/>
      <c r="AYD10" s="230"/>
      <c r="AYE10" s="252" t="s">
        <v>4</v>
      </c>
      <c r="AYF10" s="253"/>
      <c r="AYG10" s="228"/>
      <c r="AYH10" s="229"/>
      <c r="AYI10" s="230"/>
      <c r="AYJ10" s="252" t="s">
        <v>4</v>
      </c>
      <c r="AYK10" s="253"/>
      <c r="AYL10" s="228"/>
      <c r="AYM10" s="229"/>
      <c r="AYN10" s="230"/>
      <c r="AYO10" s="252" t="s">
        <v>4</v>
      </c>
      <c r="AYP10" s="253"/>
      <c r="AYQ10" s="228"/>
      <c r="AYR10" s="229"/>
      <c r="AYS10" s="230"/>
      <c r="AYT10" s="252" t="s">
        <v>4</v>
      </c>
      <c r="AYU10" s="253"/>
      <c r="AYV10" s="228"/>
      <c r="AYW10" s="229"/>
      <c r="AYX10" s="230"/>
      <c r="AYY10" s="252" t="s">
        <v>4</v>
      </c>
      <c r="AYZ10" s="253"/>
      <c r="AZA10" s="228"/>
      <c r="AZB10" s="229"/>
      <c r="AZC10" s="230"/>
      <c r="AZD10" s="252" t="s">
        <v>4</v>
      </c>
      <c r="AZE10" s="253"/>
      <c r="AZF10" s="228"/>
      <c r="AZG10" s="229"/>
      <c r="AZH10" s="230"/>
      <c r="AZI10" s="252" t="s">
        <v>4</v>
      </c>
      <c r="AZJ10" s="253"/>
      <c r="AZK10" s="228"/>
      <c r="AZL10" s="229"/>
      <c r="AZM10" s="230"/>
      <c r="AZN10" s="252" t="s">
        <v>4</v>
      </c>
      <c r="AZO10" s="253"/>
      <c r="AZP10" s="228"/>
      <c r="AZQ10" s="229"/>
      <c r="AZR10" s="230"/>
      <c r="AZS10" s="252" t="s">
        <v>4</v>
      </c>
      <c r="AZT10" s="253"/>
      <c r="AZU10" s="228"/>
      <c r="AZV10" s="229"/>
      <c r="AZW10" s="230"/>
      <c r="AZX10" s="252" t="s">
        <v>4</v>
      </c>
      <c r="AZY10" s="253"/>
      <c r="AZZ10" s="228"/>
      <c r="BAA10" s="229"/>
      <c r="BAB10" s="230"/>
      <c r="BAC10" s="252" t="s">
        <v>4</v>
      </c>
      <c r="BAD10" s="253"/>
      <c r="BAE10" s="228"/>
      <c r="BAF10" s="229"/>
      <c r="BAG10" s="230"/>
      <c r="BAH10" s="252" t="s">
        <v>4</v>
      </c>
      <c r="BAI10" s="253"/>
      <c r="BAJ10" s="228"/>
      <c r="BAK10" s="229"/>
      <c r="BAL10" s="230"/>
      <c r="BAM10" s="252" t="s">
        <v>4</v>
      </c>
      <c r="BAN10" s="253"/>
      <c r="BAO10" s="228"/>
      <c r="BAP10" s="229"/>
      <c r="BAQ10" s="230"/>
      <c r="BAR10" s="252" t="s">
        <v>4</v>
      </c>
      <c r="BAS10" s="253"/>
      <c r="BAT10" s="228"/>
      <c r="BAU10" s="229"/>
      <c r="BAV10" s="230"/>
      <c r="BAW10" s="252" t="s">
        <v>4</v>
      </c>
      <c r="BAX10" s="253"/>
      <c r="BAY10" s="228"/>
      <c r="BAZ10" s="229"/>
      <c r="BBA10" s="230"/>
      <c r="BBB10" s="252" t="s">
        <v>4</v>
      </c>
      <c r="BBC10" s="253"/>
      <c r="BBD10" s="228"/>
      <c r="BBE10" s="229"/>
      <c r="BBF10" s="230"/>
      <c r="BBG10" s="252" t="s">
        <v>4</v>
      </c>
      <c r="BBH10" s="253"/>
      <c r="BBI10" s="228"/>
      <c r="BBJ10" s="229"/>
      <c r="BBK10" s="230"/>
      <c r="BBL10" s="252" t="s">
        <v>4</v>
      </c>
      <c r="BBM10" s="253"/>
      <c r="BBN10" s="228"/>
      <c r="BBO10" s="229"/>
      <c r="BBP10" s="230"/>
      <c r="BBQ10" s="252" t="s">
        <v>4</v>
      </c>
      <c r="BBR10" s="253"/>
      <c r="BBS10" s="228"/>
      <c r="BBT10" s="229"/>
      <c r="BBU10" s="230"/>
      <c r="BBV10" s="252" t="s">
        <v>4</v>
      </c>
      <c r="BBW10" s="253"/>
      <c r="BBX10" s="228"/>
      <c r="BBY10" s="229"/>
      <c r="BBZ10" s="230"/>
      <c r="BCA10" s="252" t="s">
        <v>4</v>
      </c>
      <c r="BCB10" s="253"/>
      <c r="BCC10" s="228"/>
      <c r="BCD10" s="229"/>
      <c r="BCE10" s="230"/>
      <c r="BCF10" s="252" t="s">
        <v>4</v>
      </c>
      <c r="BCG10" s="253"/>
      <c r="BCH10" s="228"/>
      <c r="BCI10" s="229"/>
      <c r="BCJ10" s="230"/>
      <c r="BCK10" s="252" t="s">
        <v>4</v>
      </c>
      <c r="BCL10" s="253"/>
      <c r="BCM10" s="228"/>
      <c r="BCN10" s="229"/>
      <c r="BCO10" s="230"/>
      <c r="BCP10" s="252" t="s">
        <v>4</v>
      </c>
      <c r="BCQ10" s="253"/>
      <c r="BCR10" s="228"/>
      <c r="BCS10" s="229"/>
      <c r="BCT10" s="230"/>
      <c r="BCU10" s="252" t="s">
        <v>4</v>
      </c>
      <c r="BCV10" s="253"/>
      <c r="BCW10" s="228"/>
      <c r="BCX10" s="229"/>
      <c r="BCY10" s="230"/>
      <c r="BCZ10" s="252" t="s">
        <v>4</v>
      </c>
      <c r="BDA10" s="253"/>
      <c r="BDB10" s="228"/>
      <c r="BDC10" s="229"/>
      <c r="BDD10" s="230"/>
      <c r="BDE10" s="252" t="s">
        <v>4</v>
      </c>
      <c r="BDF10" s="253"/>
      <c r="BDG10" s="228"/>
      <c r="BDH10" s="229"/>
      <c r="BDI10" s="230"/>
      <c r="BDJ10" s="252" t="s">
        <v>4</v>
      </c>
      <c r="BDK10" s="253"/>
      <c r="BDL10" s="228"/>
      <c r="BDM10" s="229"/>
      <c r="BDN10" s="230"/>
      <c r="BDO10" s="252" t="s">
        <v>4</v>
      </c>
      <c r="BDP10" s="253"/>
      <c r="BDQ10" s="228"/>
      <c r="BDR10" s="229"/>
      <c r="BDS10" s="230"/>
      <c r="BDT10" s="252" t="s">
        <v>4</v>
      </c>
      <c r="BDU10" s="253"/>
      <c r="BDV10" s="228"/>
      <c r="BDW10" s="229"/>
      <c r="BDX10" s="230"/>
      <c r="BDY10" s="252" t="s">
        <v>4</v>
      </c>
      <c r="BDZ10" s="253"/>
      <c r="BEA10" s="228"/>
      <c r="BEB10" s="229"/>
      <c r="BEC10" s="230"/>
      <c r="BED10" s="252" t="s">
        <v>4</v>
      </c>
      <c r="BEE10" s="253"/>
      <c r="BEF10" s="228"/>
      <c r="BEG10" s="229"/>
      <c r="BEH10" s="230"/>
      <c r="BEI10" s="252" t="s">
        <v>4</v>
      </c>
      <c r="BEJ10" s="253"/>
      <c r="BEK10" s="228"/>
      <c r="BEL10" s="229"/>
      <c r="BEM10" s="230"/>
      <c r="BEN10" s="252" t="s">
        <v>4</v>
      </c>
      <c r="BEO10" s="253"/>
      <c r="BEP10" s="228"/>
      <c r="BEQ10" s="229"/>
      <c r="BER10" s="230"/>
      <c r="BES10" s="252" t="s">
        <v>4</v>
      </c>
      <c r="BET10" s="253"/>
      <c r="BEU10" s="228"/>
      <c r="BEV10" s="229"/>
      <c r="BEW10" s="230"/>
      <c r="BEX10" s="252" t="s">
        <v>4</v>
      </c>
      <c r="BEY10" s="253"/>
      <c r="BEZ10" s="228"/>
      <c r="BFA10" s="229"/>
      <c r="BFB10" s="230"/>
      <c r="BFC10" s="252" t="s">
        <v>4</v>
      </c>
      <c r="BFD10" s="253"/>
      <c r="BFE10" s="228"/>
      <c r="BFF10" s="229"/>
      <c r="BFG10" s="230"/>
      <c r="BFH10" s="252" t="s">
        <v>4</v>
      </c>
      <c r="BFI10" s="253"/>
      <c r="BFJ10" s="228"/>
      <c r="BFK10" s="229"/>
      <c r="BFL10" s="230"/>
      <c r="BFM10" s="252" t="s">
        <v>4</v>
      </c>
      <c r="BFN10" s="253"/>
      <c r="BFO10" s="228"/>
      <c r="BFP10" s="229"/>
      <c r="BFQ10" s="230"/>
      <c r="BFR10" s="252" t="s">
        <v>4</v>
      </c>
      <c r="BFS10" s="253"/>
      <c r="BFT10" s="228"/>
      <c r="BFU10" s="229"/>
      <c r="BFV10" s="230"/>
      <c r="BFW10" s="252" t="s">
        <v>4</v>
      </c>
      <c r="BFX10" s="253"/>
      <c r="BFY10" s="228"/>
      <c r="BFZ10" s="229"/>
      <c r="BGA10" s="230"/>
      <c r="BGB10" s="252" t="s">
        <v>4</v>
      </c>
      <c r="BGC10" s="253"/>
      <c r="BGD10" s="228"/>
      <c r="BGE10" s="229"/>
      <c r="BGF10" s="230"/>
      <c r="BGG10" s="252" t="s">
        <v>4</v>
      </c>
      <c r="BGH10" s="253"/>
      <c r="BGI10" s="228"/>
      <c r="BGJ10" s="229"/>
      <c r="BGK10" s="230"/>
      <c r="BGL10" s="252" t="s">
        <v>4</v>
      </c>
      <c r="BGM10" s="253"/>
      <c r="BGN10" s="228"/>
      <c r="BGO10" s="229"/>
      <c r="BGP10" s="230"/>
      <c r="BGQ10" s="252" t="s">
        <v>4</v>
      </c>
      <c r="BGR10" s="253"/>
      <c r="BGS10" s="228"/>
      <c r="BGT10" s="229"/>
      <c r="BGU10" s="230"/>
      <c r="BGV10" s="252" t="s">
        <v>4</v>
      </c>
      <c r="BGW10" s="253"/>
      <c r="BGX10" s="228"/>
      <c r="BGY10" s="229"/>
      <c r="BGZ10" s="230"/>
      <c r="BHA10" s="252" t="s">
        <v>4</v>
      </c>
      <c r="BHB10" s="253"/>
      <c r="BHC10" s="228"/>
      <c r="BHD10" s="229"/>
      <c r="BHE10" s="230"/>
      <c r="BHF10" s="252" t="s">
        <v>4</v>
      </c>
      <c r="BHG10" s="253"/>
      <c r="BHH10" s="228"/>
      <c r="BHI10" s="229"/>
      <c r="BHJ10" s="230"/>
      <c r="BHK10" s="252" t="s">
        <v>4</v>
      </c>
      <c r="BHL10" s="253"/>
      <c r="BHM10" s="228"/>
      <c r="BHN10" s="229"/>
      <c r="BHO10" s="230"/>
      <c r="BHP10" s="252" t="s">
        <v>4</v>
      </c>
      <c r="BHQ10" s="253"/>
      <c r="BHR10" s="228"/>
      <c r="BHS10" s="229"/>
      <c r="BHT10" s="230"/>
      <c r="BHU10" s="252" t="s">
        <v>4</v>
      </c>
      <c r="BHV10" s="253"/>
      <c r="BHW10" s="228"/>
      <c r="BHX10" s="229"/>
      <c r="BHY10" s="230"/>
      <c r="BHZ10" s="252" t="s">
        <v>4</v>
      </c>
      <c r="BIA10" s="253"/>
      <c r="BIB10" s="228"/>
      <c r="BIC10" s="229"/>
      <c r="BID10" s="230"/>
      <c r="BIE10" s="252" t="s">
        <v>4</v>
      </c>
      <c r="BIF10" s="253"/>
      <c r="BIG10" s="228"/>
      <c r="BIH10" s="229"/>
      <c r="BII10" s="230"/>
      <c r="BIJ10" s="252" t="s">
        <v>4</v>
      </c>
      <c r="BIK10" s="253"/>
      <c r="BIL10" s="228"/>
      <c r="BIM10" s="229"/>
      <c r="BIN10" s="230"/>
      <c r="BIO10" s="252" t="s">
        <v>4</v>
      </c>
      <c r="BIP10" s="253"/>
      <c r="BIQ10" s="228"/>
      <c r="BIR10" s="229"/>
      <c r="BIS10" s="230"/>
      <c r="BIT10" s="252" t="s">
        <v>4</v>
      </c>
      <c r="BIU10" s="253"/>
      <c r="BIV10" s="228"/>
      <c r="BIW10" s="229"/>
      <c r="BIX10" s="230"/>
      <c r="BIY10" s="252" t="s">
        <v>4</v>
      </c>
      <c r="BIZ10" s="253"/>
      <c r="BJA10" s="228"/>
      <c r="BJB10" s="229"/>
      <c r="BJC10" s="230"/>
      <c r="BJD10" s="252" t="s">
        <v>4</v>
      </c>
      <c r="BJE10" s="253"/>
      <c r="BJF10" s="228"/>
      <c r="BJG10" s="229"/>
      <c r="BJH10" s="230"/>
      <c r="BJI10" s="252" t="s">
        <v>4</v>
      </c>
      <c r="BJJ10" s="253"/>
      <c r="BJK10" s="228"/>
      <c r="BJL10" s="229"/>
      <c r="BJM10" s="230"/>
      <c r="BJN10" s="252" t="s">
        <v>4</v>
      </c>
      <c r="BJO10" s="253"/>
      <c r="BJP10" s="228"/>
      <c r="BJQ10" s="229"/>
      <c r="BJR10" s="230"/>
      <c r="BJS10" s="252" t="s">
        <v>4</v>
      </c>
      <c r="BJT10" s="253"/>
      <c r="BJU10" s="228"/>
      <c r="BJV10" s="229"/>
      <c r="BJW10" s="230"/>
      <c r="BJX10" s="252" t="s">
        <v>4</v>
      </c>
      <c r="BJY10" s="253"/>
      <c r="BJZ10" s="228"/>
      <c r="BKA10" s="229"/>
      <c r="BKB10" s="230"/>
      <c r="BKC10" s="252" t="s">
        <v>4</v>
      </c>
      <c r="BKD10" s="253"/>
      <c r="BKE10" s="228"/>
      <c r="BKF10" s="229"/>
      <c r="BKG10" s="230"/>
      <c r="BKH10" s="252" t="s">
        <v>4</v>
      </c>
      <c r="BKI10" s="253"/>
      <c r="BKJ10" s="228"/>
      <c r="BKK10" s="229"/>
      <c r="BKL10" s="230"/>
      <c r="BKM10" s="252" t="s">
        <v>4</v>
      </c>
      <c r="BKN10" s="253"/>
      <c r="BKO10" s="228"/>
      <c r="BKP10" s="229"/>
      <c r="BKQ10" s="230"/>
      <c r="BKR10" s="252" t="s">
        <v>4</v>
      </c>
      <c r="BKS10" s="253"/>
      <c r="BKT10" s="228"/>
      <c r="BKU10" s="229"/>
      <c r="BKV10" s="230"/>
      <c r="BKW10" s="252" t="s">
        <v>4</v>
      </c>
      <c r="BKX10" s="253"/>
      <c r="BKY10" s="228"/>
      <c r="BKZ10" s="229"/>
      <c r="BLA10" s="230"/>
      <c r="BLB10" s="252" t="s">
        <v>4</v>
      </c>
      <c r="BLC10" s="253"/>
      <c r="BLD10" s="228"/>
      <c r="BLE10" s="229"/>
      <c r="BLF10" s="230"/>
      <c r="BLG10" s="252" t="s">
        <v>4</v>
      </c>
      <c r="BLH10" s="253"/>
      <c r="BLI10" s="228"/>
      <c r="BLJ10" s="229"/>
      <c r="BLK10" s="230"/>
      <c r="BLL10" s="252" t="s">
        <v>4</v>
      </c>
      <c r="BLM10" s="253"/>
      <c r="BLN10" s="228"/>
      <c r="BLO10" s="229"/>
      <c r="BLP10" s="230"/>
      <c r="BLQ10" s="252" t="s">
        <v>4</v>
      </c>
      <c r="BLR10" s="253"/>
      <c r="BLS10" s="228"/>
      <c r="BLT10" s="229"/>
      <c r="BLU10" s="230"/>
      <c r="BLV10" s="252" t="s">
        <v>4</v>
      </c>
      <c r="BLW10" s="253"/>
      <c r="BLX10" s="228"/>
      <c r="BLY10" s="229"/>
      <c r="BLZ10" s="230"/>
      <c r="BMA10" s="252" t="s">
        <v>4</v>
      </c>
      <c r="BMB10" s="253"/>
      <c r="BMC10" s="228"/>
      <c r="BMD10" s="229"/>
      <c r="BME10" s="230"/>
      <c r="BMF10" s="252" t="s">
        <v>4</v>
      </c>
      <c r="BMG10" s="253"/>
      <c r="BMH10" s="228"/>
      <c r="BMI10" s="229"/>
      <c r="BMJ10" s="230"/>
      <c r="BMK10" s="252" t="s">
        <v>4</v>
      </c>
      <c r="BML10" s="253"/>
      <c r="BMM10" s="228"/>
      <c r="BMN10" s="229"/>
      <c r="BMO10" s="230"/>
      <c r="BMP10" s="252" t="s">
        <v>4</v>
      </c>
      <c r="BMQ10" s="253"/>
      <c r="BMR10" s="228"/>
      <c r="BMS10" s="229"/>
      <c r="BMT10" s="230"/>
      <c r="BMU10" s="252" t="s">
        <v>4</v>
      </c>
      <c r="BMV10" s="253"/>
      <c r="BMW10" s="228"/>
      <c r="BMX10" s="229"/>
      <c r="BMY10" s="230"/>
      <c r="BMZ10" s="252" t="s">
        <v>4</v>
      </c>
      <c r="BNA10" s="253"/>
      <c r="BNB10" s="228"/>
      <c r="BNC10" s="229"/>
      <c r="BND10" s="230"/>
      <c r="BNE10" s="252" t="s">
        <v>4</v>
      </c>
      <c r="BNF10" s="253"/>
      <c r="BNG10" s="228"/>
      <c r="BNH10" s="229"/>
      <c r="BNI10" s="230"/>
      <c r="BNJ10" s="252" t="s">
        <v>4</v>
      </c>
      <c r="BNK10" s="253"/>
      <c r="BNL10" s="228"/>
      <c r="BNM10" s="229"/>
      <c r="BNN10" s="230"/>
      <c r="BNO10" s="252" t="s">
        <v>4</v>
      </c>
      <c r="BNP10" s="253"/>
      <c r="BNQ10" s="228"/>
      <c r="BNR10" s="229"/>
      <c r="BNS10" s="230"/>
      <c r="BNT10" s="252" t="s">
        <v>4</v>
      </c>
      <c r="BNU10" s="253"/>
      <c r="BNV10" s="228"/>
      <c r="BNW10" s="229"/>
      <c r="BNX10" s="230"/>
      <c r="BNY10" s="252" t="s">
        <v>4</v>
      </c>
      <c r="BNZ10" s="253"/>
      <c r="BOA10" s="228"/>
      <c r="BOB10" s="229"/>
      <c r="BOC10" s="230"/>
      <c r="BOD10" s="252" t="s">
        <v>4</v>
      </c>
      <c r="BOE10" s="253"/>
      <c r="BOF10" s="228"/>
      <c r="BOG10" s="229"/>
      <c r="BOH10" s="230"/>
      <c r="BOI10" s="252" t="s">
        <v>4</v>
      </c>
      <c r="BOJ10" s="253"/>
      <c r="BOK10" s="228"/>
      <c r="BOL10" s="229"/>
      <c r="BOM10" s="230"/>
      <c r="BON10" s="252" t="s">
        <v>4</v>
      </c>
      <c r="BOO10" s="253"/>
      <c r="BOP10" s="228"/>
      <c r="BOQ10" s="229"/>
      <c r="BOR10" s="230"/>
      <c r="BOS10" s="252" t="s">
        <v>4</v>
      </c>
      <c r="BOT10" s="253"/>
      <c r="BOU10" s="228"/>
      <c r="BOV10" s="229"/>
      <c r="BOW10" s="230"/>
      <c r="BOX10" s="252" t="s">
        <v>4</v>
      </c>
      <c r="BOY10" s="253"/>
      <c r="BOZ10" s="228"/>
      <c r="BPA10" s="229"/>
      <c r="BPB10" s="230"/>
      <c r="BPC10" s="252" t="s">
        <v>4</v>
      </c>
      <c r="BPD10" s="253"/>
      <c r="BPE10" s="228"/>
      <c r="BPF10" s="229"/>
      <c r="BPG10" s="230"/>
      <c r="BPH10" s="252" t="s">
        <v>4</v>
      </c>
      <c r="BPI10" s="253"/>
      <c r="BPJ10" s="228"/>
      <c r="BPK10" s="229"/>
      <c r="BPL10" s="230"/>
      <c r="BPM10" s="252" t="s">
        <v>4</v>
      </c>
      <c r="BPN10" s="253"/>
      <c r="BPO10" s="228"/>
      <c r="BPP10" s="229"/>
      <c r="BPQ10" s="230"/>
      <c r="BPR10" s="252" t="s">
        <v>4</v>
      </c>
      <c r="BPS10" s="253"/>
      <c r="BPT10" s="228"/>
      <c r="BPU10" s="229"/>
      <c r="BPV10" s="230"/>
      <c r="BPW10" s="252" t="s">
        <v>4</v>
      </c>
      <c r="BPX10" s="253"/>
      <c r="BPY10" s="228"/>
      <c r="BPZ10" s="229"/>
      <c r="BQA10" s="230"/>
      <c r="BQB10" s="252" t="s">
        <v>4</v>
      </c>
      <c r="BQC10" s="253"/>
      <c r="BQD10" s="228"/>
      <c r="BQE10" s="229"/>
      <c r="BQF10" s="230"/>
      <c r="BQG10" s="252" t="s">
        <v>4</v>
      </c>
      <c r="BQH10" s="253"/>
      <c r="BQI10" s="228"/>
      <c r="BQJ10" s="229"/>
      <c r="BQK10" s="230"/>
      <c r="BQL10" s="252" t="s">
        <v>4</v>
      </c>
      <c r="BQM10" s="253"/>
      <c r="BQN10" s="228"/>
      <c r="BQO10" s="229"/>
      <c r="BQP10" s="230"/>
      <c r="BQQ10" s="252" t="s">
        <v>4</v>
      </c>
      <c r="BQR10" s="253"/>
      <c r="BQS10" s="228"/>
      <c r="BQT10" s="229"/>
      <c r="BQU10" s="230"/>
      <c r="BQV10" s="252" t="s">
        <v>4</v>
      </c>
      <c r="BQW10" s="253"/>
      <c r="BQX10" s="228"/>
      <c r="BQY10" s="229"/>
      <c r="BQZ10" s="230"/>
      <c r="BRA10" s="252" t="s">
        <v>4</v>
      </c>
      <c r="BRB10" s="253"/>
      <c r="BRC10" s="228"/>
      <c r="BRD10" s="229"/>
      <c r="BRE10" s="230"/>
      <c r="BRF10" s="252" t="s">
        <v>4</v>
      </c>
      <c r="BRG10" s="253"/>
      <c r="BRH10" s="228"/>
      <c r="BRI10" s="229"/>
      <c r="BRJ10" s="230"/>
      <c r="BRK10" s="252" t="s">
        <v>4</v>
      </c>
      <c r="BRL10" s="253"/>
      <c r="BRM10" s="228"/>
      <c r="BRN10" s="229"/>
      <c r="BRO10" s="230"/>
      <c r="BRP10" s="252" t="s">
        <v>4</v>
      </c>
      <c r="BRQ10" s="253"/>
      <c r="BRR10" s="228"/>
      <c r="BRS10" s="229"/>
      <c r="BRT10" s="230"/>
      <c r="BRU10" s="252" t="s">
        <v>4</v>
      </c>
      <c r="BRV10" s="253"/>
      <c r="BRW10" s="228"/>
      <c r="BRX10" s="229"/>
      <c r="BRY10" s="230"/>
      <c r="BRZ10" s="252" t="s">
        <v>4</v>
      </c>
      <c r="BSA10" s="253"/>
      <c r="BSB10" s="228"/>
      <c r="BSC10" s="229"/>
      <c r="BSD10" s="230"/>
      <c r="BSE10" s="252" t="s">
        <v>4</v>
      </c>
      <c r="BSF10" s="253"/>
      <c r="BSG10" s="228"/>
      <c r="BSH10" s="229"/>
      <c r="BSI10" s="230"/>
      <c r="BSJ10" s="252" t="s">
        <v>4</v>
      </c>
      <c r="BSK10" s="253"/>
      <c r="BSL10" s="228"/>
      <c r="BSM10" s="229"/>
      <c r="BSN10" s="230"/>
      <c r="BSO10" s="252" t="s">
        <v>4</v>
      </c>
      <c r="BSP10" s="253"/>
      <c r="BSQ10" s="228"/>
      <c r="BSR10" s="229"/>
      <c r="BSS10" s="230"/>
      <c r="BST10" s="252" t="s">
        <v>4</v>
      </c>
      <c r="BSU10" s="253"/>
      <c r="BSV10" s="228"/>
      <c r="BSW10" s="229"/>
      <c r="BSX10" s="230"/>
      <c r="BSY10" s="252" t="s">
        <v>4</v>
      </c>
      <c r="BSZ10" s="253"/>
      <c r="BTA10" s="228"/>
      <c r="BTB10" s="229"/>
      <c r="BTC10" s="230"/>
      <c r="BTD10" s="252" t="s">
        <v>4</v>
      </c>
      <c r="BTE10" s="253"/>
      <c r="BTF10" s="228"/>
      <c r="BTG10" s="229"/>
      <c r="BTH10" s="230"/>
      <c r="BTI10" s="252" t="s">
        <v>4</v>
      </c>
      <c r="BTJ10" s="253"/>
      <c r="BTK10" s="228"/>
      <c r="BTL10" s="229"/>
      <c r="BTM10" s="230"/>
      <c r="BTN10" s="252" t="s">
        <v>4</v>
      </c>
      <c r="BTO10" s="253"/>
      <c r="BTP10" s="228"/>
      <c r="BTQ10" s="229"/>
      <c r="BTR10" s="230"/>
      <c r="BTS10" s="252" t="s">
        <v>4</v>
      </c>
      <c r="BTT10" s="253"/>
      <c r="BTU10" s="228"/>
      <c r="BTV10" s="229"/>
      <c r="BTW10" s="230"/>
      <c r="BTX10" s="252" t="s">
        <v>4</v>
      </c>
      <c r="BTY10" s="253"/>
      <c r="BTZ10" s="228"/>
      <c r="BUA10" s="229"/>
      <c r="BUB10" s="230"/>
      <c r="BUC10" s="252" t="s">
        <v>4</v>
      </c>
      <c r="BUD10" s="253"/>
      <c r="BUE10" s="228"/>
      <c r="BUF10" s="229"/>
      <c r="BUG10" s="230"/>
      <c r="BUH10" s="252" t="s">
        <v>4</v>
      </c>
      <c r="BUI10" s="253"/>
      <c r="BUJ10" s="228"/>
      <c r="BUK10" s="229"/>
      <c r="BUL10" s="230"/>
      <c r="BUM10" s="252" t="s">
        <v>4</v>
      </c>
      <c r="BUN10" s="253"/>
      <c r="BUO10" s="228"/>
      <c r="BUP10" s="229"/>
      <c r="BUQ10" s="230"/>
      <c r="BUR10" s="252" t="s">
        <v>4</v>
      </c>
      <c r="BUS10" s="253"/>
      <c r="BUT10" s="228"/>
      <c r="BUU10" s="229"/>
      <c r="BUV10" s="230"/>
      <c r="BUW10" s="252" t="s">
        <v>4</v>
      </c>
      <c r="BUX10" s="253"/>
      <c r="BUY10" s="228"/>
      <c r="BUZ10" s="229"/>
      <c r="BVA10" s="230"/>
      <c r="BVB10" s="252" t="s">
        <v>4</v>
      </c>
      <c r="BVC10" s="253"/>
      <c r="BVD10" s="228"/>
      <c r="BVE10" s="229"/>
      <c r="BVF10" s="230"/>
      <c r="BVG10" s="252" t="s">
        <v>4</v>
      </c>
      <c r="BVH10" s="253"/>
      <c r="BVI10" s="228"/>
      <c r="BVJ10" s="229"/>
      <c r="BVK10" s="230"/>
      <c r="BVL10" s="252" t="s">
        <v>4</v>
      </c>
      <c r="BVM10" s="253"/>
      <c r="BVN10" s="228"/>
      <c r="BVO10" s="229"/>
      <c r="BVP10" s="230"/>
      <c r="BVQ10" s="252" t="s">
        <v>4</v>
      </c>
      <c r="BVR10" s="253"/>
      <c r="BVS10" s="228"/>
      <c r="BVT10" s="229"/>
      <c r="BVU10" s="230"/>
      <c r="BVV10" s="252" t="s">
        <v>4</v>
      </c>
      <c r="BVW10" s="253"/>
      <c r="BVX10" s="228"/>
      <c r="BVY10" s="229"/>
      <c r="BVZ10" s="230"/>
      <c r="BWA10" s="252" t="s">
        <v>4</v>
      </c>
      <c r="BWB10" s="253"/>
      <c r="BWC10" s="228"/>
      <c r="BWD10" s="229"/>
      <c r="BWE10" s="230"/>
      <c r="BWF10" s="252" t="s">
        <v>4</v>
      </c>
      <c r="BWG10" s="253"/>
      <c r="BWH10" s="228"/>
      <c r="BWI10" s="229"/>
      <c r="BWJ10" s="230"/>
      <c r="BWK10" s="252" t="s">
        <v>4</v>
      </c>
      <c r="BWL10" s="253"/>
      <c r="BWM10" s="228"/>
      <c r="BWN10" s="229"/>
      <c r="BWO10" s="230"/>
      <c r="BWP10" s="252" t="s">
        <v>4</v>
      </c>
      <c r="BWQ10" s="253"/>
      <c r="BWR10" s="228"/>
      <c r="BWS10" s="229"/>
      <c r="BWT10" s="230"/>
      <c r="BWU10" s="252" t="s">
        <v>4</v>
      </c>
      <c r="BWV10" s="253"/>
      <c r="BWW10" s="228"/>
      <c r="BWX10" s="229"/>
      <c r="BWY10" s="230"/>
      <c r="BWZ10" s="252" t="s">
        <v>4</v>
      </c>
      <c r="BXA10" s="253"/>
      <c r="BXB10" s="228"/>
      <c r="BXC10" s="229"/>
      <c r="BXD10" s="230"/>
      <c r="BXE10" s="252" t="s">
        <v>4</v>
      </c>
      <c r="BXF10" s="253"/>
      <c r="BXG10" s="228"/>
      <c r="BXH10" s="229"/>
      <c r="BXI10" s="230"/>
      <c r="BXJ10" s="252" t="s">
        <v>4</v>
      </c>
      <c r="BXK10" s="253"/>
      <c r="BXL10" s="228"/>
      <c r="BXM10" s="229"/>
      <c r="BXN10" s="230"/>
      <c r="BXO10" s="252" t="s">
        <v>4</v>
      </c>
      <c r="BXP10" s="253"/>
      <c r="BXQ10" s="228"/>
      <c r="BXR10" s="229"/>
      <c r="BXS10" s="230"/>
      <c r="BXT10" s="252" t="s">
        <v>4</v>
      </c>
      <c r="BXU10" s="253"/>
      <c r="BXV10" s="228"/>
      <c r="BXW10" s="229"/>
      <c r="BXX10" s="230"/>
      <c r="BXY10" s="252" t="s">
        <v>4</v>
      </c>
      <c r="BXZ10" s="253"/>
      <c r="BYA10" s="228"/>
      <c r="BYB10" s="229"/>
      <c r="BYC10" s="230"/>
      <c r="BYD10" s="252" t="s">
        <v>4</v>
      </c>
      <c r="BYE10" s="253"/>
      <c r="BYF10" s="228"/>
      <c r="BYG10" s="229"/>
      <c r="BYH10" s="230"/>
      <c r="BYI10" s="252" t="s">
        <v>4</v>
      </c>
      <c r="BYJ10" s="253"/>
      <c r="BYK10" s="228"/>
      <c r="BYL10" s="229"/>
      <c r="BYM10" s="230"/>
      <c r="BYN10" s="252" t="s">
        <v>4</v>
      </c>
      <c r="BYO10" s="253"/>
      <c r="BYP10" s="228"/>
      <c r="BYQ10" s="229"/>
      <c r="BYR10" s="230"/>
      <c r="BYS10" s="252" t="s">
        <v>4</v>
      </c>
      <c r="BYT10" s="253"/>
      <c r="BYU10" s="228"/>
      <c r="BYV10" s="229"/>
      <c r="BYW10" s="230"/>
      <c r="BYX10" s="252" t="s">
        <v>4</v>
      </c>
      <c r="BYY10" s="253"/>
      <c r="BYZ10" s="228"/>
      <c r="BZA10" s="229"/>
      <c r="BZB10" s="230"/>
      <c r="BZC10" s="252" t="s">
        <v>4</v>
      </c>
      <c r="BZD10" s="253"/>
      <c r="BZE10" s="228"/>
      <c r="BZF10" s="229"/>
      <c r="BZG10" s="230"/>
      <c r="BZH10" s="252" t="s">
        <v>4</v>
      </c>
      <c r="BZI10" s="253"/>
      <c r="BZJ10" s="228"/>
      <c r="BZK10" s="229"/>
      <c r="BZL10" s="230"/>
      <c r="BZM10" s="252" t="s">
        <v>4</v>
      </c>
      <c r="BZN10" s="253"/>
      <c r="BZO10" s="228"/>
      <c r="BZP10" s="229"/>
      <c r="BZQ10" s="230"/>
      <c r="BZR10" s="252" t="s">
        <v>4</v>
      </c>
      <c r="BZS10" s="253"/>
      <c r="BZT10" s="228"/>
      <c r="BZU10" s="229"/>
      <c r="BZV10" s="230"/>
      <c r="BZW10" s="252" t="s">
        <v>4</v>
      </c>
      <c r="BZX10" s="253"/>
      <c r="BZY10" s="228"/>
      <c r="BZZ10" s="229"/>
      <c r="CAA10" s="230"/>
      <c r="CAB10" s="252" t="s">
        <v>4</v>
      </c>
      <c r="CAC10" s="253"/>
      <c r="CAD10" s="228"/>
      <c r="CAE10" s="229"/>
      <c r="CAF10" s="230"/>
      <c r="CAG10" s="252" t="s">
        <v>4</v>
      </c>
      <c r="CAH10" s="253"/>
      <c r="CAI10" s="228"/>
      <c r="CAJ10" s="229"/>
      <c r="CAK10" s="230"/>
      <c r="CAL10" s="252" t="s">
        <v>4</v>
      </c>
      <c r="CAM10" s="253"/>
      <c r="CAN10" s="228"/>
      <c r="CAO10" s="229"/>
      <c r="CAP10" s="230"/>
      <c r="CAQ10" s="252" t="s">
        <v>4</v>
      </c>
      <c r="CAR10" s="253"/>
      <c r="CAS10" s="228"/>
      <c r="CAT10" s="229"/>
      <c r="CAU10" s="230"/>
      <c r="CAV10" s="252" t="s">
        <v>4</v>
      </c>
      <c r="CAW10" s="253"/>
      <c r="CAX10" s="228"/>
      <c r="CAY10" s="229"/>
      <c r="CAZ10" s="230"/>
      <c r="CBA10" s="252" t="s">
        <v>4</v>
      </c>
      <c r="CBB10" s="253"/>
      <c r="CBC10" s="228"/>
      <c r="CBD10" s="229"/>
      <c r="CBE10" s="230"/>
      <c r="CBF10" s="252" t="s">
        <v>4</v>
      </c>
      <c r="CBG10" s="253"/>
      <c r="CBH10" s="228"/>
      <c r="CBI10" s="229"/>
      <c r="CBJ10" s="230"/>
      <c r="CBK10" s="252" t="s">
        <v>4</v>
      </c>
      <c r="CBL10" s="253"/>
      <c r="CBM10" s="228"/>
      <c r="CBN10" s="229"/>
      <c r="CBO10" s="230"/>
      <c r="CBP10" s="252" t="s">
        <v>4</v>
      </c>
      <c r="CBQ10" s="253"/>
      <c r="CBR10" s="228"/>
      <c r="CBS10" s="229"/>
      <c r="CBT10" s="230"/>
      <c r="CBU10" s="252" t="s">
        <v>4</v>
      </c>
      <c r="CBV10" s="253"/>
      <c r="CBW10" s="228"/>
      <c r="CBX10" s="229"/>
      <c r="CBY10" s="230"/>
      <c r="CBZ10" s="252" t="s">
        <v>4</v>
      </c>
      <c r="CCA10" s="253"/>
      <c r="CCB10" s="228"/>
      <c r="CCC10" s="229"/>
      <c r="CCD10" s="230"/>
      <c r="CCE10" s="252" t="s">
        <v>4</v>
      </c>
      <c r="CCF10" s="253"/>
      <c r="CCG10" s="228"/>
      <c r="CCH10" s="229"/>
      <c r="CCI10" s="230"/>
      <c r="CCJ10" s="252" t="s">
        <v>4</v>
      </c>
      <c r="CCK10" s="253"/>
      <c r="CCL10" s="228"/>
      <c r="CCM10" s="229"/>
      <c r="CCN10" s="230"/>
      <c r="CCO10" s="252" t="s">
        <v>4</v>
      </c>
      <c r="CCP10" s="253"/>
      <c r="CCQ10" s="228"/>
      <c r="CCR10" s="229"/>
      <c r="CCS10" s="230"/>
      <c r="CCT10" s="252" t="s">
        <v>4</v>
      </c>
      <c r="CCU10" s="253"/>
      <c r="CCV10" s="228"/>
      <c r="CCW10" s="229"/>
      <c r="CCX10" s="230"/>
      <c r="CCY10" s="252" t="s">
        <v>4</v>
      </c>
      <c r="CCZ10" s="253"/>
      <c r="CDA10" s="228"/>
      <c r="CDB10" s="229"/>
      <c r="CDC10" s="230"/>
      <c r="CDD10" s="252" t="s">
        <v>4</v>
      </c>
      <c r="CDE10" s="253"/>
      <c r="CDF10" s="228"/>
      <c r="CDG10" s="229"/>
      <c r="CDH10" s="230"/>
      <c r="CDI10" s="252" t="s">
        <v>4</v>
      </c>
      <c r="CDJ10" s="253"/>
      <c r="CDK10" s="228"/>
      <c r="CDL10" s="229"/>
      <c r="CDM10" s="230"/>
      <c r="CDN10" s="252" t="s">
        <v>4</v>
      </c>
      <c r="CDO10" s="253"/>
      <c r="CDP10" s="228"/>
      <c r="CDQ10" s="229"/>
      <c r="CDR10" s="230"/>
      <c r="CDS10" s="252" t="s">
        <v>4</v>
      </c>
      <c r="CDT10" s="253"/>
      <c r="CDU10" s="228"/>
      <c r="CDV10" s="229"/>
      <c r="CDW10" s="230"/>
      <c r="CDX10" s="252" t="s">
        <v>4</v>
      </c>
      <c r="CDY10" s="253"/>
      <c r="CDZ10" s="228"/>
      <c r="CEA10" s="229"/>
      <c r="CEB10" s="230"/>
      <c r="CEC10" s="252" t="s">
        <v>4</v>
      </c>
      <c r="CED10" s="253"/>
      <c r="CEE10" s="228"/>
      <c r="CEF10" s="229"/>
      <c r="CEG10" s="230"/>
      <c r="CEH10" s="252" t="s">
        <v>4</v>
      </c>
      <c r="CEI10" s="253"/>
      <c r="CEJ10" s="228"/>
      <c r="CEK10" s="229"/>
      <c r="CEL10" s="230"/>
      <c r="CEM10" s="252" t="s">
        <v>4</v>
      </c>
      <c r="CEN10" s="253"/>
      <c r="CEO10" s="228"/>
      <c r="CEP10" s="229"/>
      <c r="CEQ10" s="230"/>
      <c r="CER10" s="252" t="s">
        <v>4</v>
      </c>
      <c r="CES10" s="253"/>
      <c r="CET10" s="228"/>
      <c r="CEU10" s="229"/>
      <c r="CEV10" s="230"/>
      <c r="CEW10" s="252" t="s">
        <v>4</v>
      </c>
      <c r="CEX10" s="253"/>
      <c r="CEY10" s="228"/>
      <c r="CEZ10" s="229"/>
      <c r="CFA10" s="230"/>
      <c r="CFB10" s="252" t="s">
        <v>4</v>
      </c>
      <c r="CFC10" s="253"/>
      <c r="CFD10" s="228"/>
      <c r="CFE10" s="229"/>
      <c r="CFF10" s="230"/>
      <c r="CFG10" s="252" t="s">
        <v>4</v>
      </c>
      <c r="CFH10" s="253"/>
      <c r="CFI10" s="228"/>
      <c r="CFJ10" s="229"/>
      <c r="CFK10" s="230"/>
      <c r="CFL10" s="252" t="s">
        <v>4</v>
      </c>
      <c r="CFM10" s="253"/>
      <c r="CFN10" s="228"/>
      <c r="CFO10" s="229"/>
      <c r="CFP10" s="230"/>
      <c r="CFQ10" s="252" t="s">
        <v>4</v>
      </c>
      <c r="CFR10" s="253"/>
      <c r="CFS10" s="228"/>
      <c r="CFT10" s="229"/>
      <c r="CFU10" s="230"/>
      <c r="CFV10" s="252" t="s">
        <v>4</v>
      </c>
      <c r="CFW10" s="253"/>
      <c r="CFX10" s="228"/>
      <c r="CFY10" s="229"/>
      <c r="CFZ10" s="230"/>
      <c r="CGA10" s="252" t="s">
        <v>4</v>
      </c>
      <c r="CGB10" s="253"/>
      <c r="CGC10" s="228"/>
      <c r="CGD10" s="229"/>
      <c r="CGE10" s="230"/>
      <c r="CGF10" s="252" t="s">
        <v>4</v>
      </c>
      <c r="CGG10" s="253"/>
      <c r="CGH10" s="228"/>
      <c r="CGI10" s="229"/>
      <c r="CGJ10" s="230"/>
      <c r="CGK10" s="252" t="s">
        <v>4</v>
      </c>
      <c r="CGL10" s="253"/>
      <c r="CGM10" s="228"/>
      <c r="CGN10" s="229"/>
      <c r="CGO10" s="230"/>
      <c r="CGP10" s="252" t="s">
        <v>4</v>
      </c>
      <c r="CGQ10" s="253"/>
      <c r="CGR10" s="228"/>
      <c r="CGS10" s="229"/>
      <c r="CGT10" s="230"/>
      <c r="CGU10" s="252" t="s">
        <v>4</v>
      </c>
      <c r="CGV10" s="253"/>
      <c r="CGW10" s="228"/>
      <c r="CGX10" s="229"/>
      <c r="CGY10" s="230"/>
      <c r="CGZ10" s="252" t="s">
        <v>4</v>
      </c>
      <c r="CHA10" s="253"/>
      <c r="CHB10" s="228"/>
      <c r="CHC10" s="229"/>
      <c r="CHD10" s="230"/>
      <c r="CHE10" s="252" t="s">
        <v>4</v>
      </c>
      <c r="CHF10" s="253"/>
      <c r="CHG10" s="228"/>
      <c r="CHH10" s="229"/>
      <c r="CHI10" s="230"/>
      <c r="CHJ10" s="252" t="s">
        <v>4</v>
      </c>
      <c r="CHK10" s="253"/>
      <c r="CHL10" s="228"/>
      <c r="CHM10" s="229"/>
      <c r="CHN10" s="230"/>
      <c r="CHO10" s="252" t="s">
        <v>4</v>
      </c>
      <c r="CHP10" s="253"/>
      <c r="CHQ10" s="228"/>
      <c r="CHR10" s="229"/>
      <c r="CHS10" s="230"/>
      <c r="CHT10" s="252" t="s">
        <v>4</v>
      </c>
      <c r="CHU10" s="253"/>
      <c r="CHV10" s="228"/>
      <c r="CHW10" s="229"/>
      <c r="CHX10" s="230"/>
      <c r="CHY10" s="252" t="s">
        <v>4</v>
      </c>
      <c r="CHZ10" s="253"/>
      <c r="CIA10" s="228"/>
      <c r="CIB10" s="229"/>
      <c r="CIC10" s="230"/>
      <c r="CID10" s="252" t="s">
        <v>4</v>
      </c>
      <c r="CIE10" s="253"/>
      <c r="CIF10" s="228"/>
      <c r="CIG10" s="229"/>
      <c r="CIH10" s="230"/>
      <c r="CII10" s="252" t="s">
        <v>4</v>
      </c>
      <c r="CIJ10" s="253"/>
      <c r="CIK10" s="228"/>
      <c r="CIL10" s="229"/>
      <c r="CIM10" s="230"/>
      <c r="CIN10" s="252" t="s">
        <v>4</v>
      </c>
      <c r="CIO10" s="253"/>
      <c r="CIP10" s="228"/>
      <c r="CIQ10" s="229"/>
      <c r="CIR10" s="230"/>
      <c r="CIS10" s="252" t="s">
        <v>4</v>
      </c>
      <c r="CIT10" s="253"/>
      <c r="CIU10" s="228"/>
      <c r="CIV10" s="229"/>
      <c r="CIW10" s="230"/>
      <c r="CIX10" s="252" t="s">
        <v>4</v>
      </c>
      <c r="CIY10" s="253"/>
      <c r="CIZ10" s="228"/>
      <c r="CJA10" s="229"/>
      <c r="CJB10" s="230"/>
      <c r="CJC10" s="252" t="s">
        <v>4</v>
      </c>
      <c r="CJD10" s="253"/>
      <c r="CJE10" s="228"/>
      <c r="CJF10" s="229"/>
      <c r="CJG10" s="230"/>
      <c r="CJH10" s="252" t="s">
        <v>4</v>
      </c>
      <c r="CJI10" s="253"/>
      <c r="CJJ10" s="228"/>
      <c r="CJK10" s="229"/>
      <c r="CJL10" s="230"/>
      <c r="CJM10" s="252" t="s">
        <v>4</v>
      </c>
      <c r="CJN10" s="253"/>
      <c r="CJO10" s="228"/>
      <c r="CJP10" s="229"/>
      <c r="CJQ10" s="230"/>
      <c r="CJR10" s="252" t="s">
        <v>4</v>
      </c>
      <c r="CJS10" s="253"/>
      <c r="CJT10" s="228"/>
      <c r="CJU10" s="229"/>
      <c r="CJV10" s="230"/>
      <c r="CJW10" s="252" t="s">
        <v>4</v>
      </c>
      <c r="CJX10" s="253"/>
      <c r="CJY10" s="228"/>
      <c r="CJZ10" s="229"/>
      <c r="CKA10" s="230"/>
      <c r="CKB10" s="252" t="s">
        <v>4</v>
      </c>
      <c r="CKC10" s="253"/>
      <c r="CKD10" s="228"/>
      <c r="CKE10" s="229"/>
      <c r="CKF10" s="230"/>
      <c r="CKG10" s="252" t="s">
        <v>4</v>
      </c>
      <c r="CKH10" s="253"/>
      <c r="CKI10" s="228"/>
      <c r="CKJ10" s="229"/>
      <c r="CKK10" s="230"/>
      <c r="CKL10" s="252" t="s">
        <v>4</v>
      </c>
      <c r="CKM10" s="253"/>
      <c r="CKN10" s="228"/>
      <c r="CKO10" s="229"/>
      <c r="CKP10" s="230"/>
      <c r="CKQ10" s="252" t="s">
        <v>4</v>
      </c>
      <c r="CKR10" s="253"/>
      <c r="CKS10" s="228"/>
      <c r="CKT10" s="229"/>
      <c r="CKU10" s="230"/>
      <c r="CKV10" s="252" t="s">
        <v>4</v>
      </c>
      <c r="CKW10" s="253"/>
      <c r="CKX10" s="228"/>
      <c r="CKY10" s="229"/>
      <c r="CKZ10" s="230"/>
      <c r="CLA10" s="252" t="s">
        <v>4</v>
      </c>
      <c r="CLB10" s="253"/>
      <c r="CLC10" s="228"/>
      <c r="CLD10" s="229"/>
      <c r="CLE10" s="230"/>
      <c r="CLF10" s="252" t="s">
        <v>4</v>
      </c>
      <c r="CLG10" s="253"/>
      <c r="CLH10" s="228"/>
      <c r="CLI10" s="229"/>
      <c r="CLJ10" s="230"/>
      <c r="CLK10" s="252" t="s">
        <v>4</v>
      </c>
      <c r="CLL10" s="253"/>
      <c r="CLM10" s="228"/>
      <c r="CLN10" s="229"/>
      <c r="CLO10" s="230"/>
      <c r="CLP10" s="252" t="s">
        <v>4</v>
      </c>
      <c r="CLQ10" s="253"/>
      <c r="CLR10" s="228"/>
      <c r="CLS10" s="229"/>
      <c r="CLT10" s="230"/>
      <c r="CLU10" s="252" t="s">
        <v>4</v>
      </c>
      <c r="CLV10" s="253"/>
      <c r="CLW10" s="228"/>
      <c r="CLX10" s="229"/>
      <c r="CLY10" s="230"/>
      <c r="CLZ10" s="252" t="s">
        <v>4</v>
      </c>
      <c r="CMA10" s="253"/>
      <c r="CMB10" s="228"/>
      <c r="CMC10" s="229"/>
      <c r="CMD10" s="230"/>
      <c r="CME10" s="252" t="s">
        <v>4</v>
      </c>
      <c r="CMF10" s="253"/>
      <c r="CMG10" s="228"/>
      <c r="CMH10" s="229"/>
      <c r="CMI10" s="230"/>
      <c r="CMJ10" s="252" t="s">
        <v>4</v>
      </c>
      <c r="CMK10" s="253"/>
      <c r="CML10" s="228"/>
      <c r="CMM10" s="229"/>
      <c r="CMN10" s="230"/>
      <c r="CMO10" s="252" t="s">
        <v>4</v>
      </c>
      <c r="CMP10" s="253"/>
      <c r="CMQ10" s="228"/>
      <c r="CMR10" s="229"/>
      <c r="CMS10" s="230"/>
      <c r="CMT10" s="252" t="s">
        <v>4</v>
      </c>
      <c r="CMU10" s="253"/>
      <c r="CMV10" s="228"/>
      <c r="CMW10" s="229"/>
      <c r="CMX10" s="230"/>
      <c r="CMY10" s="252" t="s">
        <v>4</v>
      </c>
      <c r="CMZ10" s="253"/>
      <c r="CNA10" s="228"/>
      <c r="CNB10" s="229"/>
      <c r="CNC10" s="230"/>
      <c r="CND10" s="252" t="s">
        <v>4</v>
      </c>
      <c r="CNE10" s="253"/>
      <c r="CNF10" s="228"/>
      <c r="CNG10" s="229"/>
      <c r="CNH10" s="230"/>
      <c r="CNI10" s="252" t="s">
        <v>4</v>
      </c>
      <c r="CNJ10" s="253"/>
      <c r="CNK10" s="228"/>
      <c r="CNL10" s="229"/>
      <c r="CNM10" s="230"/>
      <c r="CNN10" s="252" t="s">
        <v>4</v>
      </c>
      <c r="CNO10" s="253"/>
      <c r="CNP10" s="228"/>
      <c r="CNQ10" s="229"/>
      <c r="CNR10" s="230"/>
      <c r="CNS10" s="252" t="s">
        <v>4</v>
      </c>
      <c r="CNT10" s="253"/>
      <c r="CNU10" s="228"/>
      <c r="CNV10" s="229"/>
      <c r="CNW10" s="230"/>
      <c r="CNX10" s="252" t="s">
        <v>4</v>
      </c>
      <c r="CNY10" s="253"/>
      <c r="CNZ10" s="228"/>
      <c r="COA10" s="229"/>
      <c r="COB10" s="230"/>
      <c r="COC10" s="252" t="s">
        <v>4</v>
      </c>
      <c r="COD10" s="253"/>
      <c r="COE10" s="228"/>
      <c r="COF10" s="229"/>
      <c r="COG10" s="230"/>
      <c r="COH10" s="252" t="s">
        <v>4</v>
      </c>
      <c r="COI10" s="253"/>
      <c r="COJ10" s="228"/>
      <c r="COK10" s="229"/>
      <c r="COL10" s="230"/>
      <c r="COM10" s="252" t="s">
        <v>4</v>
      </c>
      <c r="CON10" s="253"/>
      <c r="COO10" s="228"/>
      <c r="COP10" s="229"/>
      <c r="COQ10" s="230"/>
      <c r="COR10" s="252" t="s">
        <v>4</v>
      </c>
      <c r="COS10" s="253"/>
      <c r="COT10" s="228"/>
      <c r="COU10" s="229"/>
      <c r="COV10" s="230"/>
      <c r="COW10" s="252" t="s">
        <v>4</v>
      </c>
      <c r="COX10" s="253"/>
      <c r="COY10" s="228"/>
      <c r="COZ10" s="229"/>
      <c r="CPA10" s="230"/>
      <c r="CPB10" s="252" t="s">
        <v>4</v>
      </c>
      <c r="CPC10" s="253"/>
      <c r="CPD10" s="228"/>
      <c r="CPE10" s="229"/>
      <c r="CPF10" s="230"/>
      <c r="CPG10" s="252" t="s">
        <v>4</v>
      </c>
      <c r="CPH10" s="253"/>
      <c r="CPI10" s="228"/>
      <c r="CPJ10" s="229"/>
      <c r="CPK10" s="230"/>
      <c r="CPL10" s="252" t="s">
        <v>4</v>
      </c>
      <c r="CPM10" s="253"/>
      <c r="CPN10" s="228"/>
      <c r="CPO10" s="229"/>
      <c r="CPP10" s="230"/>
      <c r="CPQ10" s="252" t="s">
        <v>4</v>
      </c>
      <c r="CPR10" s="253"/>
      <c r="CPS10" s="228"/>
      <c r="CPT10" s="229"/>
      <c r="CPU10" s="230"/>
      <c r="CPV10" s="252" t="s">
        <v>4</v>
      </c>
      <c r="CPW10" s="253"/>
      <c r="CPX10" s="228"/>
      <c r="CPY10" s="229"/>
      <c r="CPZ10" s="230"/>
      <c r="CQA10" s="252" t="s">
        <v>4</v>
      </c>
      <c r="CQB10" s="253"/>
      <c r="CQC10" s="228"/>
      <c r="CQD10" s="229"/>
      <c r="CQE10" s="230"/>
      <c r="CQF10" s="252" t="s">
        <v>4</v>
      </c>
      <c r="CQG10" s="253"/>
      <c r="CQH10" s="228"/>
      <c r="CQI10" s="229"/>
      <c r="CQJ10" s="230"/>
      <c r="CQK10" s="252" t="s">
        <v>4</v>
      </c>
      <c r="CQL10" s="253"/>
      <c r="CQM10" s="228"/>
      <c r="CQN10" s="229"/>
      <c r="CQO10" s="230"/>
      <c r="CQP10" s="252" t="s">
        <v>4</v>
      </c>
      <c r="CQQ10" s="253"/>
      <c r="CQR10" s="228"/>
      <c r="CQS10" s="229"/>
      <c r="CQT10" s="230"/>
      <c r="CQU10" s="252" t="s">
        <v>4</v>
      </c>
      <c r="CQV10" s="253"/>
      <c r="CQW10" s="228"/>
      <c r="CQX10" s="229"/>
      <c r="CQY10" s="230"/>
      <c r="CQZ10" s="252" t="s">
        <v>4</v>
      </c>
      <c r="CRA10" s="253"/>
      <c r="CRB10" s="228"/>
      <c r="CRC10" s="229"/>
      <c r="CRD10" s="230"/>
      <c r="CRE10" s="305" t="s">
        <v>4</v>
      </c>
      <c r="CRF10" s="306"/>
      <c r="CRG10" s="307"/>
      <c r="CRH10" s="308"/>
      <c r="CRI10" s="309"/>
      <c r="CRJ10" s="305" t="s">
        <v>4</v>
      </c>
      <c r="CRK10" s="306"/>
      <c r="CRL10" s="307"/>
      <c r="CRM10" s="308"/>
      <c r="CRN10" s="309"/>
      <c r="CRO10" s="305" t="s">
        <v>4</v>
      </c>
      <c r="CRP10" s="306"/>
      <c r="CRQ10" s="307"/>
      <c r="CRR10" s="308"/>
      <c r="CRS10" s="309"/>
      <c r="CRT10" s="305" t="s">
        <v>4</v>
      </c>
      <c r="CRU10" s="306"/>
      <c r="CRV10" s="307"/>
      <c r="CRW10" s="308"/>
      <c r="CRX10" s="309"/>
      <c r="CRY10" s="335" t="s">
        <v>4</v>
      </c>
      <c r="CRZ10" s="336"/>
      <c r="CSA10" s="337"/>
      <c r="CSB10" s="338"/>
      <c r="CSC10" s="335" t="s">
        <v>4</v>
      </c>
      <c r="CSD10" s="336"/>
      <c r="CSE10" s="337"/>
      <c r="CSF10" s="338"/>
      <c r="CSG10" s="335" t="s">
        <v>4</v>
      </c>
      <c r="CSH10" s="336"/>
      <c r="CSI10" s="337"/>
      <c r="CSJ10" s="338"/>
      <c r="CSK10" s="335" t="s">
        <v>4</v>
      </c>
      <c r="CSL10" s="336"/>
      <c r="CSM10" s="337"/>
      <c r="CSN10" s="338"/>
      <c r="CSO10" s="335" t="s">
        <v>4</v>
      </c>
      <c r="CSP10" s="336"/>
      <c r="CSQ10" s="337"/>
      <c r="CSR10" s="338"/>
      <c r="CSS10" s="335" t="s">
        <v>4</v>
      </c>
      <c r="CST10" s="336"/>
      <c r="CSU10" s="337"/>
      <c r="CSV10" s="338"/>
      <c r="CSW10" s="335" t="s">
        <v>4</v>
      </c>
      <c r="CSX10" s="336"/>
      <c r="CSY10" s="337"/>
      <c r="CSZ10" s="338"/>
      <c r="CTA10" s="335" t="s">
        <v>4</v>
      </c>
      <c r="CTB10" s="336"/>
      <c r="CTC10" s="337"/>
      <c r="CTD10" s="338"/>
      <c r="CTE10" s="335" t="s">
        <v>4</v>
      </c>
      <c r="CTF10" s="336"/>
      <c r="CTG10" s="337"/>
      <c r="CTH10" s="338"/>
      <c r="CTI10" s="335" t="s">
        <v>4</v>
      </c>
      <c r="CTJ10" s="336"/>
      <c r="CTK10" s="337"/>
      <c r="CTL10" s="338"/>
      <c r="CTM10" s="335" t="s">
        <v>4</v>
      </c>
      <c r="CTN10" s="336"/>
      <c r="CTO10" s="337"/>
      <c r="CTP10" s="338"/>
      <c r="CTQ10" s="335" t="s">
        <v>4</v>
      </c>
      <c r="CTR10" s="336"/>
      <c r="CTS10" s="337"/>
      <c r="CTT10" s="338"/>
      <c r="CTU10" s="335" t="s">
        <v>4</v>
      </c>
      <c r="CTV10" s="336"/>
      <c r="CTW10" s="337"/>
      <c r="CTX10" s="338"/>
      <c r="CTY10" s="335" t="s">
        <v>4</v>
      </c>
      <c r="CTZ10" s="336"/>
      <c r="CUA10" s="337"/>
      <c r="CUB10" s="338"/>
      <c r="CUC10" s="335" t="s">
        <v>4</v>
      </c>
      <c r="CUD10" s="336"/>
      <c r="CUE10" s="337"/>
      <c r="CUF10" s="338"/>
      <c r="CUG10" s="335" t="s">
        <v>4</v>
      </c>
      <c r="CUH10" s="336"/>
      <c r="CUI10" s="337"/>
      <c r="CUJ10" s="338"/>
      <c r="CUK10" s="335" t="s">
        <v>4</v>
      </c>
      <c r="CUL10" s="336"/>
      <c r="CUM10" s="337"/>
      <c r="CUN10" s="338"/>
      <c r="CUO10" s="335" t="s">
        <v>4</v>
      </c>
      <c r="CUP10" s="336"/>
      <c r="CUQ10" s="337"/>
      <c r="CUR10" s="338"/>
      <c r="CUS10" s="335" t="s">
        <v>4</v>
      </c>
      <c r="CUT10" s="336"/>
      <c r="CUU10" s="337"/>
      <c r="CUV10" s="338"/>
      <c r="CUW10" s="335" t="s">
        <v>4</v>
      </c>
      <c r="CUX10" s="336"/>
      <c r="CUY10" s="337"/>
      <c r="CUZ10" s="338"/>
      <c r="CVA10" s="335" t="s">
        <v>4</v>
      </c>
      <c r="CVB10" s="336"/>
      <c r="CVC10" s="337"/>
      <c r="CVD10" s="338"/>
      <c r="CVE10" s="335" t="s">
        <v>4</v>
      </c>
      <c r="CVF10" s="336"/>
      <c r="CVG10" s="337"/>
      <c r="CVH10" s="338"/>
      <c r="CVI10" s="335" t="s">
        <v>4</v>
      </c>
      <c r="CVJ10" s="336"/>
      <c r="CVK10" s="337"/>
      <c r="CVL10" s="338"/>
      <c r="CVM10" s="335" t="s">
        <v>4</v>
      </c>
      <c r="CVN10" s="336"/>
      <c r="CVO10" s="337"/>
      <c r="CVP10" s="338"/>
      <c r="CVQ10" s="335" t="s">
        <v>4</v>
      </c>
      <c r="CVR10" s="336"/>
      <c r="CVS10" s="337"/>
      <c r="CVT10" s="338"/>
      <c r="CVU10" s="335" t="s">
        <v>4</v>
      </c>
      <c r="CVV10" s="336"/>
      <c r="CVW10" s="337"/>
      <c r="CVX10" s="338"/>
      <c r="CVY10" s="335" t="s">
        <v>4</v>
      </c>
      <c r="CVZ10" s="336"/>
      <c r="CWA10" s="337"/>
      <c r="CWB10" s="338"/>
      <c r="CWC10" s="335" t="s">
        <v>4</v>
      </c>
      <c r="CWD10" s="336"/>
      <c r="CWE10" s="337"/>
      <c r="CWF10" s="338"/>
      <c r="CWG10" s="335" t="s">
        <v>4</v>
      </c>
      <c r="CWH10" s="336"/>
      <c r="CWI10" s="337"/>
      <c r="CWJ10" s="338"/>
      <c r="CWK10" s="335" t="s">
        <v>4</v>
      </c>
      <c r="CWL10" s="336"/>
      <c r="CWM10" s="337"/>
      <c r="CWN10" s="338"/>
      <c r="CWO10" s="335" t="s">
        <v>4</v>
      </c>
      <c r="CWP10" s="336"/>
      <c r="CWQ10" s="337"/>
      <c r="CWR10" s="338"/>
      <c r="CWS10" s="335" t="s">
        <v>4</v>
      </c>
      <c r="CWT10" s="336"/>
      <c r="CWU10" s="337"/>
      <c r="CWV10" s="338"/>
      <c r="CWW10" s="335" t="s">
        <v>4</v>
      </c>
      <c r="CWX10" s="336"/>
      <c r="CWY10" s="337"/>
      <c r="CWZ10" s="338"/>
      <c r="CXA10" s="364" t="s">
        <v>4</v>
      </c>
      <c r="CXB10" s="365"/>
      <c r="CXC10" s="366"/>
      <c r="CXD10" s="367"/>
      <c r="CXE10" s="364" t="s">
        <v>4</v>
      </c>
      <c r="CXF10" s="365"/>
      <c r="CXG10" s="366"/>
      <c r="CXH10" s="367"/>
      <c r="CXI10" s="364" t="s">
        <v>4</v>
      </c>
      <c r="CXJ10" s="365"/>
      <c r="CXK10" s="366"/>
      <c r="CXL10" s="367"/>
      <c r="CXM10" s="364" t="s">
        <v>4</v>
      </c>
      <c r="CXN10" s="365"/>
      <c r="CXO10" s="366"/>
      <c r="CXP10" s="367"/>
      <c r="CXQ10" s="364" t="s">
        <v>4</v>
      </c>
      <c r="CXR10" s="365"/>
      <c r="CXS10" s="366"/>
      <c r="CXT10" s="367"/>
      <c r="CXU10" s="26" t="s">
        <v>4</v>
      </c>
      <c r="CXY10" s="26" t="s">
        <v>4</v>
      </c>
      <c r="CYC10" s="26" t="s">
        <v>4</v>
      </c>
      <c r="CYG10" s="26" t="s">
        <v>34</v>
      </c>
      <c r="CYI10" s="26">
        <v>17818</v>
      </c>
      <c r="CYK10" s="26" t="s">
        <v>37</v>
      </c>
      <c r="CYM10" s="26">
        <v>2365</v>
      </c>
      <c r="CYO10" s="26" t="s">
        <v>36</v>
      </c>
      <c r="CYQ10" s="26">
        <v>206</v>
      </c>
      <c r="CYS10" s="26" t="s">
        <v>37</v>
      </c>
      <c r="CYU10" s="26">
        <v>2227.25</v>
      </c>
      <c r="CYW10" s="26" t="s">
        <v>42</v>
      </c>
      <c r="CYY10" s="26">
        <v>13363.5</v>
      </c>
      <c r="CZA10" s="26" t="s">
        <v>42</v>
      </c>
      <c r="CZC10" s="26">
        <v>22272.5</v>
      </c>
      <c r="CZE10" s="26" t="s">
        <v>34</v>
      </c>
      <c r="CZG10" s="26">
        <v>28843.5</v>
      </c>
      <c r="CZI10" s="26" t="s">
        <v>37</v>
      </c>
      <c r="CZK10" s="26">
        <v>69660</v>
      </c>
      <c r="CZM10" s="26" t="s">
        <v>42</v>
      </c>
      <c r="CZO10" s="26">
        <v>55349</v>
      </c>
      <c r="CZQ10" s="26" t="s">
        <v>36</v>
      </c>
      <c r="CZS10" s="26">
        <v>17818</v>
      </c>
      <c r="CZU10" s="26" t="s">
        <v>37</v>
      </c>
      <c r="CZW10" s="26">
        <v>8909</v>
      </c>
      <c r="CZY10" s="26" t="s">
        <v>42</v>
      </c>
      <c r="DAA10" s="26">
        <v>1290</v>
      </c>
      <c r="DAC10" s="26" t="s">
        <v>36</v>
      </c>
      <c r="DAE10" s="26">
        <v>0</v>
      </c>
      <c r="DAG10" s="26" t="s">
        <v>34</v>
      </c>
      <c r="DAI10" s="26">
        <v>21800</v>
      </c>
      <c r="DAK10" s="26" t="s">
        <v>35</v>
      </c>
      <c r="DAM10" s="26">
        <v>17818</v>
      </c>
      <c r="DAO10" s="26" t="s">
        <v>34</v>
      </c>
      <c r="DAQ10" s="26">
        <v>0</v>
      </c>
      <c r="DAS10" s="26" t="s">
        <v>41</v>
      </c>
      <c r="DAU10" s="26">
        <v>55570.5</v>
      </c>
      <c r="DAW10" s="26" t="s">
        <v>36</v>
      </c>
      <c r="DAY10" s="26">
        <v>26727</v>
      </c>
      <c r="DBA10" s="26" t="s">
        <v>36</v>
      </c>
      <c r="DBC10" s="26">
        <v>22978</v>
      </c>
      <c r="DBE10" s="26" t="s">
        <v>35</v>
      </c>
      <c r="DBG10" s="26">
        <v>121239.5</v>
      </c>
      <c r="DBI10" s="26" t="s">
        <v>34</v>
      </c>
      <c r="DBK10" s="26">
        <v>8909</v>
      </c>
      <c r="DBM10" s="26" t="s">
        <v>41</v>
      </c>
      <c r="DBO10" s="26">
        <v>10320</v>
      </c>
      <c r="DBQ10" s="26" t="s">
        <v>36</v>
      </c>
      <c r="DBS10" s="26">
        <v>44545</v>
      </c>
      <c r="DBU10" s="26" t="s">
        <v>35</v>
      </c>
      <c r="DBW10" s="26">
        <v>29549</v>
      </c>
      <c r="DBY10" s="26" t="s">
        <v>35</v>
      </c>
      <c r="DCA10" s="26">
        <v>26727</v>
      </c>
      <c r="DCC10" s="26" t="s">
        <v>45</v>
      </c>
      <c r="DCE10" s="26">
        <v>5160</v>
      </c>
      <c r="DCG10" s="26" t="s">
        <v>36</v>
      </c>
      <c r="DCI10" s="26">
        <v>40090.5</v>
      </c>
      <c r="DCK10" s="26" t="s">
        <v>36</v>
      </c>
      <c r="DCM10" s="26">
        <v>31181.5</v>
      </c>
      <c r="DCO10" s="26" t="s">
        <v>35</v>
      </c>
      <c r="DCQ10" s="26">
        <v>13363.5</v>
      </c>
      <c r="DCS10" s="26" t="s">
        <v>34</v>
      </c>
      <c r="DCU10" s="26">
        <v>5160</v>
      </c>
      <c r="DCW10" s="26" t="s">
        <v>41</v>
      </c>
      <c r="DCY10" s="26">
        <v>9614.5</v>
      </c>
      <c r="DDA10" s="26" t="s">
        <v>36</v>
      </c>
      <c r="DDC10" s="26">
        <v>12194.5</v>
      </c>
      <c r="DDE10" s="26" t="s">
        <v>36</v>
      </c>
      <c r="DDG10" s="26">
        <v>2580</v>
      </c>
      <c r="DDI10" s="26" t="s">
        <v>35</v>
      </c>
      <c r="DDK10" s="26">
        <v>44545</v>
      </c>
      <c r="DDM10" s="26" t="s">
        <v>34</v>
      </c>
      <c r="DDO10" s="26">
        <v>28157</v>
      </c>
      <c r="DDQ10" s="26" t="s">
        <v>37</v>
      </c>
      <c r="DDS10" s="26">
        <v>0</v>
      </c>
    </row>
    <row r="11" spans="1:2828" x14ac:dyDescent="0.25">
      <c r="A11" s="217" t="s">
        <v>98</v>
      </c>
      <c r="B11" s="218"/>
      <c r="C11" s="222">
        <v>35636</v>
      </c>
      <c r="D11" s="223"/>
      <c r="E11" s="224"/>
      <c r="F11" s="217" t="s">
        <v>97</v>
      </c>
      <c r="G11" s="218"/>
      <c r="H11" s="222">
        <v>0</v>
      </c>
      <c r="I11" s="223"/>
      <c r="J11" s="224"/>
      <c r="K11" s="217" t="s">
        <v>96</v>
      </c>
      <c r="L11" s="218"/>
      <c r="M11" s="222">
        <v>22272.5</v>
      </c>
      <c r="N11" s="223"/>
      <c r="O11" s="224"/>
      <c r="P11" s="217" t="s">
        <v>102</v>
      </c>
      <c r="Q11" s="218"/>
      <c r="R11" s="222">
        <v>0</v>
      </c>
      <c r="S11" s="223"/>
      <c r="T11" s="224"/>
      <c r="U11" s="217" t="s">
        <v>101</v>
      </c>
      <c r="V11" s="218"/>
      <c r="W11" s="222">
        <v>0</v>
      </c>
      <c r="X11" s="223"/>
      <c r="Y11" s="224"/>
      <c r="Z11" s="217" t="s">
        <v>41</v>
      </c>
      <c r="AA11" s="218"/>
      <c r="AB11" s="222">
        <v>0</v>
      </c>
      <c r="AC11" s="223"/>
      <c r="AD11" s="224"/>
      <c r="AE11" s="217" t="s">
        <v>99</v>
      </c>
      <c r="AF11" s="218"/>
      <c r="AG11" s="222">
        <v>0</v>
      </c>
      <c r="AH11" s="223"/>
      <c r="AI11" s="224"/>
      <c r="AJ11" s="217" t="s">
        <v>98</v>
      </c>
      <c r="AK11" s="218"/>
      <c r="AL11" s="222">
        <v>2672.7</v>
      </c>
      <c r="AM11" s="223"/>
      <c r="AN11" s="224"/>
      <c r="AO11" s="217" t="s">
        <v>97</v>
      </c>
      <c r="AP11" s="218"/>
      <c r="AQ11" s="222">
        <v>0</v>
      </c>
      <c r="AR11" s="223"/>
      <c r="AS11" s="224"/>
      <c r="AT11" s="217" t="s">
        <v>96</v>
      </c>
      <c r="AU11" s="218"/>
      <c r="AV11" s="222">
        <v>0</v>
      </c>
      <c r="AW11" s="223"/>
      <c r="AX11" s="224"/>
      <c r="AY11" s="217" t="s">
        <v>102</v>
      </c>
      <c r="AZ11" s="218"/>
      <c r="BA11" s="222">
        <v>8909</v>
      </c>
      <c r="BB11" s="223"/>
      <c r="BC11" s="224"/>
      <c r="BD11" s="217" t="s">
        <v>101</v>
      </c>
      <c r="BE11" s="218"/>
      <c r="BF11" s="222">
        <v>0</v>
      </c>
      <c r="BG11" s="223"/>
      <c r="BH11" s="224"/>
      <c r="BI11" s="217" t="s">
        <v>41</v>
      </c>
      <c r="BJ11" s="218"/>
      <c r="BK11" s="222">
        <v>0</v>
      </c>
      <c r="BL11" s="223"/>
      <c r="BM11" s="224"/>
      <c r="BN11" s="217" t="s">
        <v>99</v>
      </c>
      <c r="BO11" s="218"/>
      <c r="BP11" s="222">
        <v>4454.5</v>
      </c>
      <c r="BQ11" s="223"/>
      <c r="BR11" s="224"/>
      <c r="BS11" s="217" t="s">
        <v>98</v>
      </c>
      <c r="BT11" s="218"/>
      <c r="BU11" s="222">
        <v>0</v>
      </c>
      <c r="BV11" s="223"/>
      <c r="BW11" s="224"/>
      <c r="BX11" s="217" t="s">
        <v>97</v>
      </c>
      <c r="BY11" s="218"/>
      <c r="BZ11" s="222">
        <v>0</v>
      </c>
      <c r="CA11" s="223"/>
      <c r="CB11" s="224"/>
      <c r="CC11" s="217" t="s">
        <v>96</v>
      </c>
      <c r="CD11" s="218"/>
      <c r="CE11" s="222">
        <v>48999.5</v>
      </c>
      <c r="CF11" s="223"/>
      <c r="CG11" s="224"/>
      <c r="CH11" s="217" t="s">
        <v>102</v>
      </c>
      <c r="CI11" s="218"/>
      <c r="CJ11" s="222">
        <v>71272</v>
      </c>
      <c r="CK11" s="223"/>
      <c r="CL11" s="224"/>
      <c r="CM11" s="217" t="s">
        <v>101</v>
      </c>
      <c r="CN11" s="218"/>
      <c r="CO11" s="222">
        <v>0</v>
      </c>
      <c r="CP11" s="223"/>
      <c r="CQ11" s="224"/>
      <c r="CR11" s="217" t="s">
        <v>101</v>
      </c>
      <c r="CS11" s="218"/>
      <c r="CT11" s="222">
        <v>0</v>
      </c>
      <c r="CU11" s="223"/>
      <c r="CV11" s="224"/>
      <c r="CW11" s="217" t="s">
        <v>41</v>
      </c>
      <c r="CX11" s="218"/>
      <c r="CY11" s="222">
        <v>0</v>
      </c>
      <c r="CZ11" s="223"/>
      <c r="DA11" s="224"/>
      <c r="DB11" s="217" t="s">
        <v>99</v>
      </c>
      <c r="DC11" s="218"/>
      <c r="DD11" s="222">
        <v>31181.5</v>
      </c>
      <c r="DE11" s="223"/>
      <c r="DF11" s="224"/>
      <c r="DG11" s="217" t="s">
        <v>98</v>
      </c>
      <c r="DH11" s="218"/>
      <c r="DI11" s="222">
        <v>0</v>
      </c>
      <c r="DJ11" s="223"/>
      <c r="DK11" s="224"/>
      <c r="DL11" s="217" t="s">
        <v>97</v>
      </c>
      <c r="DM11" s="218"/>
      <c r="DN11" s="222">
        <v>6681.75</v>
      </c>
      <c r="DO11" s="223"/>
      <c r="DP11" s="224"/>
      <c r="DQ11" s="217" t="s">
        <v>96</v>
      </c>
      <c r="DR11" s="218"/>
      <c r="DS11" s="222">
        <v>13363.5</v>
      </c>
      <c r="DT11" s="223"/>
      <c r="DU11" s="224"/>
      <c r="DV11" s="217" t="s">
        <v>102</v>
      </c>
      <c r="DW11" s="218"/>
      <c r="DX11" s="222">
        <v>0</v>
      </c>
      <c r="DY11" s="223"/>
      <c r="DZ11" s="224"/>
      <c r="EA11" s="217" t="s">
        <v>101</v>
      </c>
      <c r="EB11" s="218"/>
      <c r="EC11" s="222">
        <v>0</v>
      </c>
      <c r="ED11" s="223"/>
      <c r="EE11" s="224"/>
      <c r="EF11" s="217" t="s">
        <v>41</v>
      </c>
      <c r="EG11" s="218"/>
      <c r="EH11" s="222">
        <v>0</v>
      </c>
      <c r="EI11" s="223"/>
      <c r="EJ11" s="224"/>
      <c r="EK11" s="217" t="s">
        <v>99</v>
      </c>
      <c r="EL11" s="218"/>
      <c r="EM11" s="222">
        <v>0</v>
      </c>
      <c r="EN11" s="223"/>
      <c r="EO11" s="224"/>
      <c r="EP11" s="217" t="s">
        <v>98</v>
      </c>
      <c r="EQ11" s="218"/>
      <c r="ER11" s="222">
        <v>0</v>
      </c>
      <c r="ES11" s="223"/>
      <c r="ET11" s="224"/>
      <c r="EU11" s="217" t="s">
        <v>97</v>
      </c>
      <c r="EV11" s="218"/>
      <c r="EW11" s="222">
        <v>0</v>
      </c>
      <c r="EX11" s="223"/>
      <c r="EY11" s="224"/>
      <c r="EZ11" s="217" t="s">
        <v>96</v>
      </c>
      <c r="FA11" s="218"/>
      <c r="FB11" s="222">
        <v>0</v>
      </c>
      <c r="FC11" s="223"/>
      <c r="FD11" s="224"/>
      <c r="FE11" s="217" t="s">
        <v>102</v>
      </c>
      <c r="FF11" s="218"/>
      <c r="FG11" s="222">
        <v>8909</v>
      </c>
      <c r="FH11" s="223"/>
      <c r="FI11" s="224"/>
      <c r="FJ11" s="217" t="s">
        <v>101</v>
      </c>
      <c r="FK11" s="218"/>
      <c r="FL11" s="222">
        <v>0</v>
      </c>
      <c r="FM11" s="223"/>
      <c r="FN11" s="224"/>
      <c r="FO11" s="217" t="s">
        <v>41</v>
      </c>
      <c r="FP11" s="218"/>
      <c r="FQ11" s="222">
        <v>0</v>
      </c>
      <c r="FR11" s="223"/>
      <c r="FS11" s="224"/>
      <c r="FT11" s="217" t="s">
        <v>99</v>
      </c>
      <c r="FU11" s="218"/>
      <c r="FV11" s="222">
        <v>8909</v>
      </c>
      <c r="FW11" s="223"/>
      <c r="FX11" s="224"/>
      <c r="FY11" s="217" t="s">
        <v>98</v>
      </c>
      <c r="FZ11" s="218"/>
      <c r="GA11" s="222">
        <v>0</v>
      </c>
      <c r="GB11" s="223"/>
      <c r="GC11" s="224"/>
      <c r="GD11" s="217" t="s">
        <v>97</v>
      </c>
      <c r="GE11" s="218"/>
      <c r="GF11" s="222">
        <v>0</v>
      </c>
      <c r="GG11" s="223"/>
      <c r="GH11" s="224"/>
      <c r="GI11" s="217" t="s">
        <v>96</v>
      </c>
      <c r="GJ11" s="218"/>
      <c r="GK11" s="222">
        <v>0</v>
      </c>
      <c r="GL11" s="223"/>
      <c r="GM11" s="224"/>
      <c r="GN11" s="217" t="s">
        <v>102</v>
      </c>
      <c r="GO11" s="218"/>
      <c r="GP11" s="222">
        <v>0</v>
      </c>
      <c r="GQ11" s="223"/>
      <c r="GR11" s="224"/>
      <c r="GS11" s="217" t="s">
        <v>101</v>
      </c>
      <c r="GT11" s="218"/>
      <c r="GU11" s="222">
        <v>0</v>
      </c>
      <c r="GV11" s="223"/>
      <c r="GW11" s="224"/>
      <c r="GX11" s="217" t="s">
        <v>41</v>
      </c>
      <c r="GY11" s="218"/>
      <c r="GZ11" s="222">
        <v>0</v>
      </c>
      <c r="HA11" s="223"/>
      <c r="HB11" s="224"/>
      <c r="HC11" s="217" t="s">
        <v>99</v>
      </c>
      <c r="HD11" s="218"/>
      <c r="HE11" s="222">
        <v>31181.5</v>
      </c>
      <c r="HF11" s="223"/>
      <c r="HG11" s="224"/>
      <c r="HH11" s="217" t="s">
        <v>98</v>
      </c>
      <c r="HI11" s="218"/>
      <c r="HJ11" s="222">
        <v>8909</v>
      </c>
      <c r="HK11" s="223"/>
      <c r="HL11" s="224"/>
      <c r="HM11" s="217" t="s">
        <v>97</v>
      </c>
      <c r="HN11" s="218"/>
      <c r="HO11" s="222">
        <v>0</v>
      </c>
      <c r="HP11" s="223"/>
      <c r="HQ11" s="224"/>
      <c r="HR11" s="217" t="s">
        <v>96</v>
      </c>
      <c r="HS11" s="218"/>
      <c r="HT11" s="222">
        <v>17818</v>
      </c>
      <c r="HU11" s="223"/>
      <c r="HV11" s="224"/>
      <c r="HW11" s="217" t="s">
        <v>102</v>
      </c>
      <c r="HX11" s="218"/>
      <c r="HY11" s="222">
        <v>0</v>
      </c>
      <c r="HZ11" s="223"/>
      <c r="IA11" s="224"/>
      <c r="IB11" s="217" t="s">
        <v>101</v>
      </c>
      <c r="IC11" s="218"/>
      <c r="ID11" s="222">
        <v>0</v>
      </c>
      <c r="IE11" s="223"/>
      <c r="IF11" s="224"/>
      <c r="IG11" s="217" t="s">
        <v>41</v>
      </c>
      <c r="IH11" s="218"/>
      <c r="II11" s="222">
        <v>0</v>
      </c>
      <c r="IJ11" s="223"/>
      <c r="IK11" s="224"/>
      <c r="IL11" s="217" t="s">
        <v>99</v>
      </c>
      <c r="IM11" s="218"/>
      <c r="IN11" s="222">
        <v>26727</v>
      </c>
      <c r="IO11" s="223"/>
      <c r="IP11" s="224"/>
      <c r="IQ11" s="217" t="s">
        <v>98</v>
      </c>
      <c r="IR11" s="218"/>
      <c r="IS11" s="222">
        <v>0</v>
      </c>
      <c r="IT11" s="223"/>
      <c r="IU11" s="224"/>
      <c r="IV11" s="217" t="s">
        <v>97</v>
      </c>
      <c r="IW11" s="218"/>
      <c r="IX11" s="222">
        <v>0</v>
      </c>
      <c r="IY11" s="223"/>
      <c r="IZ11" s="224"/>
      <c r="JA11" s="217" t="s">
        <v>96</v>
      </c>
      <c r="JB11" s="218"/>
      <c r="JC11" s="222">
        <v>0</v>
      </c>
      <c r="JD11" s="223"/>
      <c r="JE11" s="224"/>
      <c r="JF11" s="217" t="s">
        <v>102</v>
      </c>
      <c r="JG11" s="218"/>
      <c r="JH11" s="222">
        <v>0</v>
      </c>
      <c r="JI11" s="223"/>
      <c r="JJ11" s="224"/>
      <c r="JK11" s="217" t="s">
        <v>101</v>
      </c>
      <c r="JL11" s="218"/>
      <c r="JM11" s="222">
        <v>0</v>
      </c>
      <c r="JN11" s="223"/>
      <c r="JO11" s="224"/>
      <c r="JP11" s="217" t="s">
        <v>41</v>
      </c>
      <c r="JQ11" s="218"/>
      <c r="JR11" s="222">
        <v>0</v>
      </c>
      <c r="JS11" s="223"/>
      <c r="JT11" s="224"/>
      <c r="JU11" s="217" t="s">
        <v>99</v>
      </c>
      <c r="JV11" s="218"/>
      <c r="JW11" s="222">
        <v>0</v>
      </c>
      <c r="JX11" s="223"/>
      <c r="JY11" s="224"/>
      <c r="JZ11" s="217" t="s">
        <v>98</v>
      </c>
      <c r="KA11" s="218"/>
      <c r="KB11" s="222">
        <v>0</v>
      </c>
      <c r="KC11" s="223"/>
      <c r="KD11" s="224"/>
      <c r="KE11" s="217" t="s">
        <v>97</v>
      </c>
      <c r="KF11" s="218"/>
      <c r="KG11" s="222">
        <v>0</v>
      </c>
      <c r="KH11" s="223"/>
      <c r="KI11" s="224"/>
      <c r="KJ11" s="217" t="s">
        <v>96</v>
      </c>
      <c r="KK11" s="218"/>
      <c r="KL11" s="222">
        <v>0</v>
      </c>
      <c r="KM11" s="223"/>
      <c r="KN11" s="224"/>
      <c r="KO11" s="217" t="s">
        <v>102</v>
      </c>
      <c r="KP11" s="218"/>
      <c r="KQ11" s="222">
        <v>0</v>
      </c>
      <c r="KR11" s="223"/>
      <c r="KS11" s="224"/>
      <c r="KT11" s="217" t="s">
        <v>101</v>
      </c>
      <c r="KU11" s="218"/>
      <c r="KV11" s="222">
        <v>0</v>
      </c>
      <c r="KW11" s="223"/>
      <c r="KX11" s="224"/>
      <c r="KY11" s="217" t="s">
        <v>41</v>
      </c>
      <c r="KZ11" s="218"/>
      <c r="LA11" s="222">
        <v>0</v>
      </c>
      <c r="LB11" s="223"/>
      <c r="LC11" s="224"/>
      <c r="LD11" s="217" t="s">
        <v>99</v>
      </c>
      <c r="LE11" s="218"/>
      <c r="LF11" s="222">
        <v>0</v>
      </c>
      <c r="LG11" s="223"/>
      <c r="LH11" s="224"/>
      <c r="LI11" s="217" t="s">
        <v>98</v>
      </c>
      <c r="LJ11" s="218"/>
      <c r="LK11" s="222">
        <v>8909</v>
      </c>
      <c r="LL11" s="223"/>
      <c r="LM11" s="224"/>
      <c r="LN11" s="217" t="s">
        <v>97</v>
      </c>
      <c r="LO11" s="218"/>
      <c r="LP11" s="222">
        <v>0</v>
      </c>
      <c r="LQ11" s="223"/>
      <c r="LR11" s="224"/>
      <c r="LS11" s="217" t="s">
        <v>96</v>
      </c>
      <c r="LT11" s="218"/>
      <c r="LU11" s="222">
        <v>47830.5</v>
      </c>
      <c r="LV11" s="223"/>
      <c r="LW11" s="224"/>
      <c r="LX11" s="217" t="s">
        <v>102</v>
      </c>
      <c r="LY11" s="218"/>
      <c r="LZ11" s="222">
        <v>0</v>
      </c>
      <c r="MA11" s="223"/>
      <c r="MB11" s="224"/>
      <c r="MC11" s="217" t="s">
        <v>101</v>
      </c>
      <c r="MD11" s="218"/>
      <c r="ME11" s="222">
        <v>0</v>
      </c>
      <c r="MF11" s="223"/>
      <c r="MG11" s="224"/>
      <c r="MH11" s="217" t="s">
        <v>41</v>
      </c>
      <c r="MI11" s="218"/>
      <c r="MJ11" s="222">
        <v>0</v>
      </c>
      <c r="MK11" s="223"/>
      <c r="ML11" s="224"/>
      <c r="MM11" s="217" t="s">
        <v>99</v>
      </c>
      <c r="MN11" s="218"/>
      <c r="MO11" s="222">
        <v>0</v>
      </c>
      <c r="MP11" s="223"/>
      <c r="MQ11" s="224"/>
      <c r="MR11" s="217" t="s">
        <v>98</v>
      </c>
      <c r="MS11" s="218"/>
      <c r="MT11" s="222">
        <v>0</v>
      </c>
      <c r="MU11" s="223"/>
      <c r="MV11" s="224"/>
      <c r="MW11" s="217" t="s">
        <v>98</v>
      </c>
      <c r="MX11" s="218"/>
      <c r="MY11" s="222">
        <v>0</v>
      </c>
      <c r="MZ11" s="223"/>
      <c r="NA11" s="224"/>
      <c r="NB11" s="217" t="s">
        <v>97</v>
      </c>
      <c r="NC11" s="218"/>
      <c r="ND11" s="222">
        <v>0</v>
      </c>
      <c r="NE11" s="223"/>
      <c r="NF11" s="224"/>
      <c r="NG11" s="217" t="s">
        <v>96</v>
      </c>
      <c r="NH11" s="218"/>
      <c r="NI11" s="222">
        <v>0</v>
      </c>
      <c r="NJ11" s="223"/>
      <c r="NK11" s="224"/>
      <c r="NL11" s="217" t="s">
        <v>102</v>
      </c>
      <c r="NM11" s="218"/>
      <c r="NN11" s="222">
        <v>62847</v>
      </c>
      <c r="NO11" s="223"/>
      <c r="NP11" s="224"/>
      <c r="NQ11" s="217" t="s">
        <v>101</v>
      </c>
      <c r="NR11" s="218"/>
      <c r="NS11" s="222">
        <v>0</v>
      </c>
      <c r="NT11" s="223"/>
      <c r="NU11" s="224"/>
      <c r="NV11" s="217" t="s">
        <v>41</v>
      </c>
      <c r="NW11" s="218"/>
      <c r="NX11" s="222">
        <v>6681.75</v>
      </c>
      <c r="NY11" s="223"/>
      <c r="NZ11" s="224"/>
      <c r="OA11" s="217" t="s">
        <v>99</v>
      </c>
      <c r="OB11" s="218"/>
      <c r="OC11" s="222">
        <v>13363.5</v>
      </c>
      <c r="OD11" s="223"/>
      <c r="OE11" s="224"/>
      <c r="OF11" s="217" t="s">
        <v>99</v>
      </c>
      <c r="OG11" s="218"/>
      <c r="OH11" s="222">
        <v>13363.5</v>
      </c>
      <c r="OI11" s="223"/>
      <c r="OJ11" s="224"/>
      <c r="OK11" s="217" t="s">
        <v>98</v>
      </c>
      <c r="OL11" s="218"/>
      <c r="OM11" s="222">
        <v>0</v>
      </c>
      <c r="ON11" s="223"/>
      <c r="OO11" s="224"/>
      <c r="OP11" s="217" t="s">
        <v>97</v>
      </c>
      <c r="OQ11" s="218"/>
      <c r="OR11" s="222">
        <v>0</v>
      </c>
      <c r="OS11" s="223"/>
      <c r="OT11" s="224"/>
      <c r="OU11" s="217" t="s">
        <v>96</v>
      </c>
      <c r="OV11" s="218"/>
      <c r="OW11" s="222">
        <v>0</v>
      </c>
      <c r="OX11" s="223"/>
      <c r="OY11" s="224"/>
      <c r="OZ11" s="217" t="s">
        <v>102</v>
      </c>
      <c r="PA11" s="218"/>
      <c r="PB11" s="222">
        <v>0</v>
      </c>
      <c r="PC11" s="223"/>
      <c r="PD11" s="224"/>
      <c r="PE11" s="217" t="s">
        <v>101</v>
      </c>
      <c r="PF11" s="218"/>
      <c r="PG11" s="222">
        <v>0</v>
      </c>
      <c r="PH11" s="223"/>
      <c r="PI11" s="224"/>
      <c r="PJ11" s="217" t="s">
        <v>41</v>
      </c>
      <c r="PK11" s="218"/>
      <c r="PL11" s="222">
        <v>0</v>
      </c>
      <c r="PM11" s="223"/>
      <c r="PN11" s="224"/>
      <c r="PO11" s="217" t="s">
        <v>99</v>
      </c>
      <c r="PP11" s="218"/>
      <c r="PQ11" s="222">
        <v>8909</v>
      </c>
      <c r="PR11" s="223"/>
      <c r="PS11" s="224"/>
      <c r="PT11" s="217" t="s">
        <v>98</v>
      </c>
      <c r="PU11" s="218"/>
      <c r="PV11" s="222">
        <v>0</v>
      </c>
      <c r="PW11" s="223"/>
      <c r="PX11" s="224"/>
      <c r="PY11" s="217" t="s">
        <v>97</v>
      </c>
      <c r="PZ11" s="218"/>
      <c r="QA11" s="222">
        <v>35636</v>
      </c>
      <c r="QB11" s="223"/>
      <c r="QC11" s="224"/>
      <c r="QD11" s="217" t="s">
        <v>96</v>
      </c>
      <c r="QE11" s="218"/>
      <c r="QF11" s="222">
        <v>106908</v>
      </c>
      <c r="QG11" s="223"/>
      <c r="QH11" s="224"/>
      <c r="QI11" s="217" t="s">
        <v>102</v>
      </c>
      <c r="QJ11" s="218"/>
      <c r="QK11" s="222">
        <v>93544.5</v>
      </c>
      <c r="QL11" s="223"/>
      <c r="QM11" s="224"/>
      <c r="QN11" s="217" t="s">
        <v>102</v>
      </c>
      <c r="QO11" s="218"/>
      <c r="QP11" s="222">
        <v>93544.5</v>
      </c>
      <c r="QQ11" s="223"/>
      <c r="QR11" s="224"/>
      <c r="QS11" s="217" t="s">
        <v>101</v>
      </c>
      <c r="QT11" s="218"/>
      <c r="QU11" s="222">
        <v>0</v>
      </c>
      <c r="QV11" s="223"/>
      <c r="QW11" s="224"/>
      <c r="QX11" s="217" t="s">
        <v>41</v>
      </c>
      <c r="QY11" s="218"/>
      <c r="QZ11" s="222">
        <v>0</v>
      </c>
      <c r="RA11" s="223"/>
      <c r="RB11" s="224"/>
      <c r="RC11" s="217" t="s">
        <v>99</v>
      </c>
      <c r="RD11" s="218"/>
      <c r="RE11" s="222">
        <v>57908.5</v>
      </c>
      <c r="RF11" s="223"/>
      <c r="RG11" s="224"/>
      <c r="RH11" s="217" t="s">
        <v>98</v>
      </c>
      <c r="RI11" s="218"/>
      <c r="RJ11" s="222">
        <v>35636</v>
      </c>
      <c r="RK11" s="223"/>
      <c r="RL11" s="224"/>
      <c r="RM11" s="217" t="s">
        <v>97</v>
      </c>
      <c r="RN11" s="218"/>
      <c r="RO11" s="222">
        <v>17818</v>
      </c>
      <c r="RP11" s="223"/>
      <c r="RQ11" s="224"/>
      <c r="RR11" s="217" t="s">
        <v>96</v>
      </c>
      <c r="RS11" s="218"/>
      <c r="RT11" s="222">
        <v>44545</v>
      </c>
      <c r="RU11" s="223"/>
      <c r="RV11" s="224"/>
      <c r="RW11" s="217" t="s">
        <v>96</v>
      </c>
      <c r="RX11" s="218"/>
      <c r="RY11" s="222">
        <v>44545</v>
      </c>
      <c r="RZ11" s="223"/>
      <c r="SA11" s="224"/>
      <c r="SB11" s="217" t="s">
        <v>102</v>
      </c>
      <c r="SC11" s="218"/>
      <c r="SD11" s="222">
        <v>0</v>
      </c>
      <c r="SE11" s="223"/>
      <c r="SF11" s="224"/>
      <c r="SG11" s="217" t="s">
        <v>101</v>
      </c>
      <c r="SH11" s="218"/>
      <c r="SI11" s="222">
        <v>0</v>
      </c>
      <c r="SJ11" s="223"/>
      <c r="SK11" s="224"/>
      <c r="SL11" s="217" t="s">
        <v>41</v>
      </c>
      <c r="SM11" s="218"/>
      <c r="SN11" s="222">
        <v>0</v>
      </c>
      <c r="SO11" s="223"/>
      <c r="SP11" s="224"/>
      <c r="SQ11" s="217" t="s">
        <v>99</v>
      </c>
      <c r="SR11" s="218"/>
      <c r="SS11" s="222">
        <v>8909</v>
      </c>
      <c r="ST11" s="223"/>
      <c r="SU11" s="224"/>
      <c r="SV11" s="217" t="s">
        <v>98</v>
      </c>
      <c r="SW11" s="218"/>
      <c r="SX11" s="222">
        <v>0</v>
      </c>
      <c r="SY11" s="223"/>
      <c r="SZ11" s="224"/>
      <c r="TA11" s="217" t="s">
        <v>97</v>
      </c>
      <c r="TB11" s="218"/>
      <c r="TC11" s="222">
        <v>35636</v>
      </c>
      <c r="TD11" s="223"/>
      <c r="TE11" s="224"/>
      <c r="TF11" s="217" t="s">
        <v>96</v>
      </c>
      <c r="TG11" s="218"/>
      <c r="TH11" s="222">
        <v>8909</v>
      </c>
      <c r="TI11" s="223"/>
      <c r="TJ11" s="224"/>
      <c r="TK11" s="217" t="s">
        <v>102</v>
      </c>
      <c r="TL11" s="218"/>
      <c r="TM11" s="222">
        <v>71272</v>
      </c>
      <c r="TN11" s="223"/>
      <c r="TO11" s="224"/>
      <c r="TP11" s="217" t="s">
        <v>101</v>
      </c>
      <c r="TQ11" s="218"/>
      <c r="TR11" s="222">
        <v>17818</v>
      </c>
      <c r="TS11" s="223"/>
      <c r="TT11" s="224"/>
      <c r="TU11" s="217" t="s">
        <v>41</v>
      </c>
      <c r="TV11" s="218"/>
      <c r="TW11" s="222">
        <v>0</v>
      </c>
      <c r="TX11" s="223"/>
      <c r="TY11" s="224"/>
      <c r="TZ11" s="217" t="s">
        <v>99</v>
      </c>
      <c r="UA11" s="218"/>
      <c r="UB11" s="222">
        <v>53454</v>
      </c>
      <c r="UC11" s="223"/>
      <c r="UD11" s="224"/>
      <c r="UE11" s="217" t="s">
        <v>98</v>
      </c>
      <c r="UF11" s="218"/>
      <c r="UG11" s="222">
        <v>0</v>
      </c>
      <c r="UH11" s="223"/>
      <c r="UI11" s="224"/>
      <c r="UJ11" s="217" t="s">
        <v>97</v>
      </c>
      <c r="UK11" s="218"/>
      <c r="UL11" s="222">
        <v>0</v>
      </c>
      <c r="UM11" s="223"/>
      <c r="UN11" s="224"/>
      <c r="UO11" s="217" t="s">
        <v>96</v>
      </c>
      <c r="UP11" s="218"/>
      <c r="UQ11" s="222">
        <v>0</v>
      </c>
      <c r="UR11" s="223"/>
      <c r="US11" s="224"/>
      <c r="UT11" s="217" t="s">
        <v>102</v>
      </c>
      <c r="UU11" s="218"/>
      <c r="UV11" s="222">
        <v>0</v>
      </c>
      <c r="UW11" s="223"/>
      <c r="UX11" s="224"/>
      <c r="UY11" s="217" t="s">
        <v>101</v>
      </c>
      <c r="UZ11" s="218"/>
      <c r="VA11" s="222">
        <v>26727</v>
      </c>
      <c r="VB11" s="223"/>
      <c r="VC11" s="224"/>
      <c r="VD11" s="217" t="s">
        <v>41</v>
      </c>
      <c r="VE11" s="218"/>
      <c r="VF11" s="222">
        <v>40090.5</v>
      </c>
      <c r="VG11" s="223"/>
      <c r="VH11" s="224"/>
      <c r="VI11" s="217" t="s">
        <v>99</v>
      </c>
      <c r="VJ11" s="218"/>
      <c r="VK11" s="222">
        <v>13363.5</v>
      </c>
      <c r="VL11" s="223"/>
      <c r="VM11" s="224"/>
      <c r="VN11" s="217" t="s">
        <v>98</v>
      </c>
      <c r="VO11" s="218"/>
      <c r="VP11" s="222">
        <v>0</v>
      </c>
      <c r="VQ11" s="223"/>
      <c r="VR11" s="224"/>
      <c r="VS11" s="217" t="s">
        <v>97</v>
      </c>
      <c r="VT11" s="218"/>
      <c r="VU11" s="222">
        <v>8909</v>
      </c>
      <c r="VV11" s="223"/>
      <c r="VW11" s="224"/>
      <c r="VX11" s="217" t="s">
        <v>96</v>
      </c>
      <c r="VY11" s="218"/>
      <c r="VZ11" s="222">
        <v>26727</v>
      </c>
      <c r="WA11" s="223"/>
      <c r="WB11" s="224"/>
      <c r="WC11" s="217" t="s">
        <v>102</v>
      </c>
      <c r="WD11" s="218"/>
      <c r="WE11" s="222">
        <v>0</v>
      </c>
      <c r="WF11" s="223"/>
      <c r="WG11" s="224"/>
      <c r="WH11" s="217" t="s">
        <v>41</v>
      </c>
      <c r="WI11" s="218"/>
      <c r="WJ11" s="222">
        <v>0</v>
      </c>
      <c r="WK11" s="223"/>
      <c r="WL11" s="224"/>
      <c r="WM11" s="217" t="s">
        <v>99</v>
      </c>
      <c r="WN11" s="218"/>
      <c r="WO11" s="222">
        <v>0</v>
      </c>
      <c r="WP11" s="223"/>
      <c r="WQ11" s="224"/>
      <c r="WR11" s="217" t="s">
        <v>98</v>
      </c>
      <c r="WS11" s="218"/>
      <c r="WT11" s="222">
        <v>0</v>
      </c>
      <c r="WU11" s="223"/>
      <c r="WV11" s="224"/>
      <c r="WW11" s="217" t="s">
        <v>97</v>
      </c>
      <c r="WX11" s="218"/>
      <c r="WY11" s="222">
        <v>0</v>
      </c>
      <c r="WZ11" s="223"/>
      <c r="XA11" s="224"/>
      <c r="XB11" s="217" t="s">
        <v>96</v>
      </c>
      <c r="XC11" s="218"/>
      <c r="XD11" s="222">
        <v>0</v>
      </c>
      <c r="XE11" s="223"/>
      <c r="XF11" s="224"/>
      <c r="XG11" s="217" t="s">
        <v>102</v>
      </c>
      <c r="XH11" s="218"/>
      <c r="XI11" s="222">
        <v>0</v>
      </c>
      <c r="XJ11" s="223"/>
      <c r="XK11" s="224"/>
      <c r="XL11" s="217" t="s">
        <v>101</v>
      </c>
      <c r="XM11" s="218"/>
      <c r="XN11" s="222">
        <v>0</v>
      </c>
      <c r="XO11" s="223"/>
      <c r="XP11" s="224"/>
      <c r="XQ11" s="217" t="s">
        <v>41</v>
      </c>
      <c r="XR11" s="218"/>
      <c r="XS11" s="222">
        <v>0</v>
      </c>
      <c r="XT11" s="223"/>
      <c r="XU11" s="224"/>
      <c r="XV11" s="217" t="s">
        <v>99</v>
      </c>
      <c r="XW11" s="218"/>
      <c r="XX11" s="222">
        <v>0</v>
      </c>
      <c r="XY11" s="223"/>
      <c r="XZ11" s="224"/>
      <c r="YA11" s="217" t="s">
        <v>98</v>
      </c>
      <c r="YB11" s="218"/>
      <c r="YC11" s="222">
        <v>0</v>
      </c>
      <c r="YD11" s="223"/>
      <c r="YE11" s="224"/>
      <c r="YF11" s="217" t="s">
        <v>97</v>
      </c>
      <c r="YG11" s="218"/>
      <c r="YH11" s="222">
        <v>0</v>
      </c>
      <c r="YI11" s="223"/>
      <c r="YJ11" s="224"/>
      <c r="YK11" s="217" t="s">
        <v>96</v>
      </c>
      <c r="YL11" s="218"/>
      <c r="YM11" s="222">
        <v>0</v>
      </c>
      <c r="YN11" s="223"/>
      <c r="YO11" s="224"/>
      <c r="YP11" s="217" t="s">
        <v>102</v>
      </c>
      <c r="YQ11" s="218"/>
      <c r="YR11" s="222">
        <v>0</v>
      </c>
      <c r="YS11" s="223"/>
      <c r="YT11" s="224"/>
      <c r="YU11" s="217" t="s">
        <v>101</v>
      </c>
      <c r="YV11" s="218"/>
      <c r="YW11" s="222">
        <v>0</v>
      </c>
      <c r="YX11" s="223"/>
      <c r="YY11" s="224"/>
      <c r="YZ11" s="217" t="s">
        <v>41</v>
      </c>
      <c r="ZA11" s="218"/>
      <c r="ZB11" s="222">
        <v>0</v>
      </c>
      <c r="ZC11" s="223"/>
      <c r="ZD11" s="224"/>
      <c r="ZE11" s="217" t="s">
        <v>99</v>
      </c>
      <c r="ZF11" s="218"/>
      <c r="ZG11" s="222">
        <v>0</v>
      </c>
      <c r="ZH11" s="223"/>
      <c r="ZI11" s="224"/>
      <c r="ZJ11" s="217" t="s">
        <v>98</v>
      </c>
      <c r="ZK11" s="218"/>
      <c r="ZL11" s="222">
        <v>0</v>
      </c>
      <c r="ZM11" s="223"/>
      <c r="ZN11" s="224"/>
      <c r="ZO11" s="217" t="s">
        <v>97</v>
      </c>
      <c r="ZP11" s="218"/>
      <c r="ZQ11" s="222">
        <v>0</v>
      </c>
      <c r="ZR11" s="223"/>
      <c r="ZS11" s="224"/>
      <c r="ZT11" s="217" t="s">
        <v>96</v>
      </c>
      <c r="ZU11" s="218"/>
      <c r="ZV11" s="222">
        <v>17818</v>
      </c>
      <c r="ZW11" s="223"/>
      <c r="ZX11" s="224"/>
      <c r="ZY11" s="217" t="s">
        <v>102</v>
      </c>
      <c r="ZZ11" s="218"/>
      <c r="AAA11" s="222">
        <v>106908</v>
      </c>
      <c r="AAB11" s="223"/>
      <c r="AAC11" s="224"/>
      <c r="AAD11" s="217" t="s">
        <v>101</v>
      </c>
      <c r="AAE11" s="218"/>
      <c r="AAF11" s="222">
        <v>0</v>
      </c>
      <c r="AAG11" s="223"/>
      <c r="AAH11" s="224"/>
      <c r="AAI11" s="217" t="s">
        <v>99</v>
      </c>
      <c r="AAJ11" s="218"/>
      <c r="AAK11" s="222">
        <v>8909</v>
      </c>
      <c r="AAL11" s="223"/>
      <c r="AAM11" s="224"/>
      <c r="AAN11" s="217" t="s">
        <v>98</v>
      </c>
      <c r="AAO11" s="218"/>
      <c r="AAP11" s="222">
        <v>4454.5</v>
      </c>
      <c r="AAQ11" s="223"/>
      <c r="AAR11" s="224"/>
      <c r="AAS11" s="217" t="s">
        <v>97</v>
      </c>
      <c r="AAT11" s="218"/>
      <c r="AAU11" s="222">
        <v>0</v>
      </c>
      <c r="AAV11" s="223"/>
      <c r="AAW11" s="224"/>
      <c r="AAX11" s="217" t="s">
        <v>96</v>
      </c>
      <c r="AAY11" s="218"/>
      <c r="AAZ11" s="222">
        <v>0</v>
      </c>
      <c r="ABA11" s="223"/>
      <c r="ABB11" s="224"/>
      <c r="ABC11" s="217" t="s">
        <v>102</v>
      </c>
      <c r="ABD11" s="218"/>
      <c r="ABE11" s="222">
        <v>0</v>
      </c>
      <c r="ABF11" s="223"/>
      <c r="ABG11" s="224"/>
      <c r="ABH11" s="217" t="s">
        <v>101</v>
      </c>
      <c r="ABI11" s="218"/>
      <c r="ABJ11" s="222">
        <v>0</v>
      </c>
      <c r="ABK11" s="223"/>
      <c r="ABL11" s="224"/>
      <c r="ABM11" s="217" t="s">
        <v>41</v>
      </c>
      <c r="ABN11" s="218"/>
      <c r="ABO11" s="222">
        <v>0</v>
      </c>
      <c r="ABP11" s="223"/>
      <c r="ABQ11" s="224"/>
      <c r="ABR11" s="217" t="s">
        <v>99</v>
      </c>
      <c r="ABS11" s="218"/>
      <c r="ABT11" s="222">
        <v>53454</v>
      </c>
      <c r="ABU11" s="223"/>
      <c r="ABV11" s="224"/>
      <c r="ABW11" s="217" t="s">
        <v>98</v>
      </c>
      <c r="ABX11" s="218"/>
      <c r="ABY11" s="222">
        <v>35636</v>
      </c>
      <c r="ABZ11" s="223"/>
      <c r="ACA11" s="224"/>
      <c r="ACB11" s="217" t="s">
        <v>97</v>
      </c>
      <c r="ACC11" s="218"/>
      <c r="ACD11" s="222">
        <v>8909</v>
      </c>
      <c r="ACE11" s="223"/>
      <c r="ACF11" s="224"/>
      <c r="ACG11" s="217" t="s">
        <v>96</v>
      </c>
      <c r="ACH11" s="218"/>
      <c r="ACI11" s="222">
        <v>22272.5</v>
      </c>
      <c r="ACJ11" s="223"/>
      <c r="ACK11" s="224"/>
      <c r="ACL11" s="217" t="s">
        <v>102</v>
      </c>
      <c r="ACM11" s="218"/>
      <c r="ACN11" s="222">
        <v>71272</v>
      </c>
      <c r="ACO11" s="223"/>
      <c r="ACP11" s="224"/>
      <c r="ACQ11" s="217" t="s">
        <v>102</v>
      </c>
      <c r="ACR11" s="218"/>
      <c r="ACS11" s="222">
        <v>71272</v>
      </c>
      <c r="ACT11" s="223"/>
      <c r="ACU11" s="224"/>
      <c r="ACV11" s="217" t="s">
        <v>101</v>
      </c>
      <c r="ACW11" s="218"/>
      <c r="ACX11" s="222">
        <v>0</v>
      </c>
      <c r="ACY11" s="223"/>
      <c r="ACZ11" s="224"/>
      <c r="ADA11" s="217" t="s">
        <v>41</v>
      </c>
      <c r="ADB11" s="218"/>
      <c r="ADC11" s="222">
        <v>0</v>
      </c>
      <c r="ADD11" s="223"/>
      <c r="ADE11" s="224"/>
      <c r="ADF11" s="217" t="s">
        <v>99</v>
      </c>
      <c r="ADG11" s="218"/>
      <c r="ADH11" s="222">
        <v>121723.5</v>
      </c>
      <c r="ADI11" s="223"/>
      <c r="ADJ11" s="224"/>
      <c r="ADK11" s="217" t="s">
        <v>98</v>
      </c>
      <c r="ADL11" s="218"/>
      <c r="ADM11" s="222">
        <v>33298</v>
      </c>
      <c r="ADN11" s="223"/>
      <c r="ADO11" s="224"/>
      <c r="ADP11" s="217" t="s">
        <v>96</v>
      </c>
      <c r="ADQ11" s="218"/>
      <c r="ADR11" s="222">
        <v>26727</v>
      </c>
      <c r="ADS11" s="223"/>
      <c r="ADT11" s="224"/>
      <c r="ADU11" s="217" t="s">
        <v>102</v>
      </c>
      <c r="ADV11" s="218"/>
      <c r="ADW11" s="222">
        <v>0</v>
      </c>
      <c r="ADX11" s="223"/>
      <c r="ADY11" s="224"/>
      <c r="ADZ11" s="217" t="s">
        <v>41</v>
      </c>
      <c r="AEA11" s="218"/>
      <c r="AEB11" s="222">
        <v>0</v>
      </c>
      <c r="AEC11" s="223"/>
      <c r="AED11" s="224"/>
      <c r="AEE11" s="217" t="s">
        <v>99</v>
      </c>
      <c r="AEF11" s="218"/>
      <c r="AEG11" s="222">
        <v>127105</v>
      </c>
      <c r="AEH11" s="223"/>
      <c r="AEI11" s="224"/>
      <c r="AEJ11" s="217" t="s">
        <v>98</v>
      </c>
      <c r="AEK11" s="218"/>
      <c r="AEL11" s="222">
        <v>62363</v>
      </c>
      <c r="AEM11" s="223"/>
      <c r="AEN11" s="224"/>
      <c r="AEO11" s="217" t="s">
        <v>97</v>
      </c>
      <c r="AEP11" s="218"/>
      <c r="AEQ11" s="222">
        <v>0</v>
      </c>
      <c r="AER11" s="223"/>
      <c r="AES11" s="224"/>
      <c r="AET11" s="217" t="s">
        <v>102</v>
      </c>
      <c r="AEU11" s="218"/>
      <c r="AEV11" s="222">
        <v>0</v>
      </c>
      <c r="AEW11" s="223"/>
      <c r="AEX11" s="224"/>
      <c r="AEY11" s="217" t="s">
        <v>41</v>
      </c>
      <c r="AEZ11" s="218"/>
      <c r="AFA11" s="222">
        <v>0</v>
      </c>
      <c r="AFB11" s="223"/>
      <c r="AFC11" s="224"/>
      <c r="AFD11" s="217" t="s">
        <v>99</v>
      </c>
      <c r="AFE11" s="218"/>
      <c r="AFF11" s="222">
        <v>0</v>
      </c>
      <c r="AFG11" s="223"/>
      <c r="AFH11" s="224"/>
      <c r="AFI11" s="217" t="s">
        <v>98</v>
      </c>
      <c r="AFJ11" s="218"/>
      <c r="AFK11" s="222">
        <v>0</v>
      </c>
      <c r="AFL11" s="223"/>
      <c r="AFM11" s="224"/>
      <c r="AFN11" s="217" t="s">
        <v>97</v>
      </c>
      <c r="AFO11" s="218"/>
      <c r="AFP11" s="222">
        <v>0</v>
      </c>
      <c r="AFQ11" s="223"/>
      <c r="AFR11" s="224"/>
      <c r="AFS11" s="217" t="s">
        <v>96</v>
      </c>
      <c r="AFT11" s="218"/>
      <c r="AFU11" s="222">
        <v>0</v>
      </c>
      <c r="AFV11" s="223"/>
      <c r="AFW11" s="224"/>
      <c r="AFX11" s="217" t="s">
        <v>102</v>
      </c>
      <c r="AFY11" s="218"/>
      <c r="AFZ11" s="222">
        <v>0</v>
      </c>
      <c r="AGA11" s="223"/>
      <c r="AGB11" s="224"/>
      <c r="AGC11" s="217" t="s">
        <v>41</v>
      </c>
      <c r="AGD11" s="218"/>
      <c r="AGE11" s="222">
        <v>0</v>
      </c>
      <c r="AGF11" s="223"/>
      <c r="AGG11" s="224"/>
      <c r="AGH11" s="217" t="s">
        <v>99</v>
      </c>
      <c r="AGI11" s="218"/>
      <c r="AGJ11" s="222">
        <v>0</v>
      </c>
      <c r="AGK11" s="223"/>
      <c r="AGL11" s="224"/>
      <c r="AGM11" s="217" t="s">
        <v>98</v>
      </c>
      <c r="AGN11" s="218"/>
      <c r="AGO11" s="222">
        <v>0</v>
      </c>
      <c r="AGP11" s="223"/>
      <c r="AGQ11" s="224"/>
      <c r="AGR11" s="217" t="s">
        <v>97</v>
      </c>
      <c r="AGS11" s="218"/>
      <c r="AGT11" s="222">
        <v>0</v>
      </c>
      <c r="AGU11" s="223"/>
      <c r="AGV11" s="224"/>
      <c r="AGW11" s="217" t="s">
        <v>97</v>
      </c>
      <c r="AGX11" s="218"/>
      <c r="AGY11" s="222">
        <v>0</v>
      </c>
      <c r="AGZ11" s="223"/>
      <c r="AHA11" s="224"/>
      <c r="AHB11" s="217" t="s">
        <v>96</v>
      </c>
      <c r="AHC11" s="218"/>
      <c r="AHD11" s="222">
        <v>8909</v>
      </c>
      <c r="AHE11" s="223"/>
      <c r="AHF11" s="224"/>
      <c r="AHG11" s="217" t="s">
        <v>102</v>
      </c>
      <c r="AHH11" s="218"/>
      <c r="AHI11" s="222">
        <v>13363.5</v>
      </c>
      <c r="AHJ11" s="223"/>
      <c r="AHK11" s="224"/>
      <c r="AHL11" s="217" t="s">
        <v>41</v>
      </c>
      <c r="AHM11" s="218"/>
      <c r="AHN11" s="222">
        <v>0</v>
      </c>
      <c r="AHO11" s="223"/>
      <c r="AHP11" s="224"/>
      <c r="AHQ11" s="217" t="s">
        <v>99</v>
      </c>
      <c r="AHR11" s="218"/>
      <c r="AHS11" s="222">
        <v>0</v>
      </c>
      <c r="AHT11" s="223"/>
      <c r="AHU11" s="224"/>
      <c r="AHV11" s="217" t="s">
        <v>98</v>
      </c>
      <c r="AHW11" s="218"/>
      <c r="AHX11" s="222">
        <v>0</v>
      </c>
      <c r="AHY11" s="223"/>
      <c r="AHZ11" s="224"/>
      <c r="AIA11" s="217" t="s">
        <v>97</v>
      </c>
      <c r="AIB11" s="218"/>
      <c r="AIC11" s="222">
        <v>0</v>
      </c>
      <c r="AID11" s="223"/>
      <c r="AIE11" s="224"/>
      <c r="AIF11" s="217" t="s">
        <v>96</v>
      </c>
      <c r="AIG11" s="218"/>
      <c r="AIH11" s="222">
        <v>0</v>
      </c>
      <c r="AII11" s="223"/>
      <c r="AIJ11" s="224"/>
      <c r="AIK11" s="217" t="s">
        <v>102</v>
      </c>
      <c r="AIL11" s="218"/>
      <c r="AIM11" s="222">
        <v>17818</v>
      </c>
      <c r="AIN11" s="223"/>
      <c r="AIO11" s="224"/>
      <c r="AIP11" s="217" t="s">
        <v>41</v>
      </c>
      <c r="AIQ11" s="218"/>
      <c r="AIR11" s="222">
        <v>0</v>
      </c>
      <c r="AIS11" s="223"/>
      <c r="AIT11" s="224"/>
      <c r="AIU11" s="217" t="s">
        <v>99</v>
      </c>
      <c r="AIV11" s="218"/>
      <c r="AIW11" s="222">
        <v>13363.5</v>
      </c>
      <c r="AIX11" s="223"/>
      <c r="AIY11" s="224"/>
      <c r="AIZ11" s="217" t="s">
        <v>98</v>
      </c>
      <c r="AJA11" s="218"/>
      <c r="AJB11" s="222">
        <v>0</v>
      </c>
      <c r="AJC11" s="223"/>
      <c r="AJD11" s="224"/>
      <c r="AJE11" s="217" t="s">
        <v>97</v>
      </c>
      <c r="AJF11" s="218"/>
      <c r="AJG11" s="222">
        <v>4454.5</v>
      </c>
      <c r="AJH11" s="223"/>
      <c r="AJI11" s="224"/>
      <c r="AJJ11" s="217" t="s">
        <v>96</v>
      </c>
      <c r="AJK11" s="218"/>
      <c r="AJL11" s="222">
        <v>89090</v>
      </c>
      <c r="AJM11" s="223"/>
      <c r="AJN11" s="224"/>
      <c r="AJO11" s="217" t="s">
        <v>102</v>
      </c>
      <c r="AJP11" s="218"/>
      <c r="AJQ11" s="222">
        <v>0</v>
      </c>
      <c r="AJR11" s="223"/>
      <c r="AJS11" s="224"/>
      <c r="AJT11" s="217" t="s">
        <v>101</v>
      </c>
      <c r="AJU11" s="218"/>
      <c r="AJV11" s="222">
        <v>0</v>
      </c>
      <c r="AJW11" s="223"/>
      <c r="AJX11" s="224"/>
      <c r="AJY11" s="217" t="s">
        <v>41</v>
      </c>
      <c r="AJZ11" s="218"/>
      <c r="AKA11" s="222">
        <v>0</v>
      </c>
      <c r="AKB11" s="223"/>
      <c r="AKC11" s="224"/>
      <c r="AKD11" s="217" t="s">
        <v>99</v>
      </c>
      <c r="AKE11" s="218"/>
      <c r="AKF11" s="222">
        <v>0</v>
      </c>
      <c r="AKG11" s="223"/>
      <c r="AKH11" s="224"/>
      <c r="AKI11" s="217" t="s">
        <v>98</v>
      </c>
      <c r="AKJ11" s="218"/>
      <c r="AKK11" s="222">
        <v>0</v>
      </c>
      <c r="AKL11" s="223"/>
      <c r="AKM11" s="224"/>
      <c r="AKN11" s="217" t="s">
        <v>97</v>
      </c>
      <c r="AKO11" s="218"/>
      <c r="AKP11" s="222">
        <v>4454.5</v>
      </c>
      <c r="AKQ11" s="223"/>
      <c r="AKR11" s="224"/>
      <c r="AKS11" s="217" t="s">
        <v>96</v>
      </c>
      <c r="AKT11" s="218"/>
      <c r="AKU11" s="222">
        <v>8909</v>
      </c>
      <c r="AKV11" s="223"/>
      <c r="AKW11" s="224"/>
      <c r="AKX11" s="217" t="s">
        <v>102</v>
      </c>
      <c r="AKY11" s="218"/>
      <c r="AKZ11" s="222">
        <v>0</v>
      </c>
      <c r="ALA11" s="223"/>
      <c r="ALB11" s="224"/>
      <c r="ALC11" s="217" t="s">
        <v>101</v>
      </c>
      <c r="ALD11" s="218"/>
      <c r="ALE11" s="222">
        <v>0</v>
      </c>
      <c r="ALF11" s="223"/>
      <c r="ALG11" s="224"/>
      <c r="ALH11" s="217" t="s">
        <v>41</v>
      </c>
      <c r="ALI11" s="218"/>
      <c r="ALJ11" s="222">
        <v>0</v>
      </c>
      <c r="ALK11" s="223"/>
      <c r="ALL11" s="224"/>
      <c r="ALM11" s="217" t="s">
        <v>99</v>
      </c>
      <c r="ALN11" s="218"/>
      <c r="ALO11" s="222">
        <v>40090.5</v>
      </c>
      <c r="ALP11" s="223"/>
      <c r="ALQ11" s="224"/>
      <c r="ALR11" s="217" t="s">
        <v>98</v>
      </c>
      <c r="ALS11" s="218"/>
      <c r="ALT11" s="222">
        <v>0</v>
      </c>
      <c r="ALU11" s="223"/>
      <c r="ALV11" s="224"/>
      <c r="ALW11" s="217" t="s">
        <v>97</v>
      </c>
      <c r="ALX11" s="218"/>
      <c r="ALY11" s="222">
        <v>17818</v>
      </c>
      <c r="ALZ11" s="223"/>
      <c r="AMA11" s="224"/>
      <c r="AMB11" s="217" t="s">
        <v>96</v>
      </c>
      <c r="AMC11" s="218"/>
      <c r="AMD11" s="222">
        <v>0</v>
      </c>
      <c r="AME11" s="223"/>
      <c r="AMF11" s="224"/>
      <c r="AMG11" s="217" t="s">
        <v>102</v>
      </c>
      <c r="AMH11" s="218"/>
      <c r="AMI11" s="222">
        <v>4454.5</v>
      </c>
      <c r="AMJ11" s="223"/>
      <c r="AMK11" s="224"/>
      <c r="AML11" s="217" t="s">
        <v>41</v>
      </c>
      <c r="AMM11" s="218"/>
      <c r="AMN11" s="222">
        <v>0</v>
      </c>
      <c r="AMO11" s="223"/>
      <c r="AMP11" s="224"/>
      <c r="AMQ11" s="217" t="s">
        <v>99</v>
      </c>
      <c r="AMR11" s="218"/>
      <c r="AMS11" s="222">
        <v>0</v>
      </c>
      <c r="AMT11" s="223"/>
      <c r="AMU11" s="224"/>
      <c r="AMV11" s="217" t="s">
        <v>98</v>
      </c>
      <c r="AMW11" s="218"/>
      <c r="AMX11" s="222">
        <v>6681.75</v>
      </c>
      <c r="AMY11" s="223"/>
      <c r="AMZ11" s="224"/>
      <c r="ANA11" s="217" t="s">
        <v>97</v>
      </c>
      <c r="ANB11" s="218"/>
      <c r="ANC11" s="222">
        <v>26727</v>
      </c>
      <c r="AND11" s="223"/>
      <c r="ANE11" s="224"/>
      <c r="ANF11" s="217" t="s">
        <v>96</v>
      </c>
      <c r="ANG11" s="218"/>
      <c r="ANH11" s="222">
        <v>10690.8</v>
      </c>
      <c r="ANI11" s="223"/>
      <c r="ANJ11" s="224"/>
      <c r="ANK11" s="217" t="s">
        <v>102</v>
      </c>
      <c r="ANL11" s="218"/>
      <c r="ANM11" s="222">
        <v>0</v>
      </c>
      <c r="ANN11" s="223"/>
      <c r="ANO11" s="224"/>
      <c r="ANP11" s="217" t="s">
        <v>101</v>
      </c>
      <c r="ANQ11" s="218"/>
      <c r="ANR11" s="222">
        <v>0</v>
      </c>
      <c r="ANS11" s="223"/>
      <c r="ANT11" s="224"/>
      <c r="ANU11" s="217" t="s">
        <v>41</v>
      </c>
      <c r="ANV11" s="218"/>
      <c r="ANW11" s="222">
        <v>0</v>
      </c>
      <c r="ANX11" s="223"/>
      <c r="ANY11" s="224"/>
      <c r="ANZ11" s="217" t="s">
        <v>99</v>
      </c>
      <c r="AOA11" s="218"/>
      <c r="AOB11" s="222">
        <v>26727</v>
      </c>
      <c r="AOC11" s="223"/>
      <c r="AOD11" s="224"/>
      <c r="AOE11" s="217" t="s">
        <v>98</v>
      </c>
      <c r="AOF11" s="218"/>
      <c r="AOG11" s="222">
        <v>40090.5</v>
      </c>
      <c r="AOH11" s="223"/>
      <c r="AOI11" s="224"/>
      <c r="AOJ11" s="217" t="s">
        <v>97</v>
      </c>
      <c r="AOK11" s="218"/>
      <c r="AOL11" s="222">
        <v>13363.5</v>
      </c>
      <c r="AOM11" s="223"/>
      <c r="AON11" s="224"/>
      <c r="AOO11" s="217" t="s">
        <v>96</v>
      </c>
      <c r="AOP11" s="218"/>
      <c r="AOQ11" s="222">
        <v>22272.5</v>
      </c>
      <c r="AOR11" s="223"/>
      <c r="AOS11" s="224"/>
      <c r="AOT11" s="217" t="s">
        <v>102</v>
      </c>
      <c r="AOU11" s="218"/>
      <c r="AOV11" s="222">
        <v>97999</v>
      </c>
      <c r="AOW11" s="223"/>
      <c r="AOX11" s="224"/>
      <c r="AOY11" s="217" t="s">
        <v>101</v>
      </c>
      <c r="AOZ11" s="218"/>
      <c r="APA11" s="222">
        <v>0</v>
      </c>
      <c r="APB11" s="223"/>
      <c r="APC11" s="224"/>
      <c r="APD11" s="217" t="s">
        <v>41</v>
      </c>
      <c r="APE11" s="218"/>
      <c r="APF11" s="222">
        <v>0</v>
      </c>
      <c r="APG11" s="223"/>
      <c r="APH11" s="224"/>
      <c r="API11" s="217" t="s">
        <v>99</v>
      </c>
      <c r="APJ11" s="218"/>
      <c r="APK11" s="222">
        <v>13363.5</v>
      </c>
      <c r="APL11" s="223"/>
      <c r="APM11" s="224"/>
      <c r="APN11" s="217" t="s">
        <v>98</v>
      </c>
      <c r="APO11" s="218"/>
      <c r="APP11" s="222">
        <v>6681.75</v>
      </c>
      <c r="APQ11" s="223"/>
      <c r="APR11" s="224"/>
      <c r="APS11" s="217" t="s">
        <v>97</v>
      </c>
      <c r="APT11" s="218"/>
      <c r="APU11" s="222">
        <v>8909</v>
      </c>
      <c r="APV11" s="223"/>
      <c r="APW11" s="224"/>
      <c r="APX11" s="217" t="s">
        <v>96</v>
      </c>
      <c r="APY11" s="218"/>
      <c r="APZ11" s="222">
        <v>97777.5</v>
      </c>
      <c r="AQA11" s="223"/>
      <c r="AQB11" s="224"/>
      <c r="AQC11" s="217" t="s">
        <v>102</v>
      </c>
      <c r="AQD11" s="218"/>
      <c r="AQE11" s="222">
        <v>115817</v>
      </c>
      <c r="AQF11" s="223"/>
      <c r="AQG11" s="224"/>
      <c r="AQH11" s="217" t="s">
        <v>101</v>
      </c>
      <c r="AQI11" s="218"/>
      <c r="AQJ11" s="222">
        <v>44545</v>
      </c>
      <c r="AQK11" s="223"/>
      <c r="AQL11" s="224"/>
      <c r="AQM11" s="217" t="s">
        <v>41</v>
      </c>
      <c r="AQN11" s="218"/>
      <c r="AQO11" s="222">
        <v>0</v>
      </c>
      <c r="AQP11" s="223"/>
      <c r="AQQ11" s="224"/>
      <c r="AQR11" s="217" t="s">
        <v>99</v>
      </c>
      <c r="AQS11" s="218"/>
      <c r="AQT11" s="222">
        <v>26727</v>
      </c>
      <c r="AQU11" s="223"/>
      <c r="AQV11" s="224"/>
      <c r="AQW11" s="217" t="s">
        <v>98</v>
      </c>
      <c r="AQX11" s="218"/>
      <c r="AQY11" s="222">
        <v>53454</v>
      </c>
      <c r="AQZ11" s="223"/>
      <c r="ARA11" s="224"/>
      <c r="ARB11" s="217" t="s">
        <v>97</v>
      </c>
      <c r="ARC11" s="218"/>
      <c r="ARD11" s="222">
        <v>26727</v>
      </c>
      <c r="ARE11" s="223"/>
      <c r="ARF11" s="224"/>
      <c r="ARG11" s="217" t="s">
        <v>96</v>
      </c>
      <c r="ARH11" s="218"/>
      <c r="ARI11" s="222">
        <v>17818</v>
      </c>
      <c r="ARJ11" s="223"/>
      <c r="ARK11" s="224"/>
      <c r="ARL11" s="217" t="s">
        <v>102</v>
      </c>
      <c r="ARM11" s="218"/>
      <c r="ARN11" s="222">
        <v>40090.5</v>
      </c>
      <c r="ARO11" s="223"/>
      <c r="ARP11" s="224"/>
      <c r="ARQ11" s="217" t="s">
        <v>101</v>
      </c>
      <c r="ARR11" s="218"/>
      <c r="ARS11" s="222">
        <v>35636</v>
      </c>
      <c r="ART11" s="223"/>
      <c r="ARU11" s="224"/>
      <c r="ARV11" s="217" t="s">
        <v>41</v>
      </c>
      <c r="ARW11" s="218"/>
      <c r="ARX11" s="222">
        <v>0</v>
      </c>
      <c r="ARY11" s="223"/>
      <c r="ARZ11" s="224"/>
      <c r="ASA11" s="217" t="s">
        <v>99</v>
      </c>
      <c r="ASB11" s="218"/>
      <c r="ASC11" s="222">
        <v>26727</v>
      </c>
      <c r="ASD11" s="223"/>
      <c r="ASE11" s="224"/>
      <c r="ASF11" s="217" t="s">
        <v>98</v>
      </c>
      <c r="ASG11" s="218"/>
      <c r="ASH11" s="222">
        <v>22272.5</v>
      </c>
      <c r="ASI11" s="223"/>
      <c r="ASJ11" s="224"/>
      <c r="ASK11" s="217" t="s">
        <v>97</v>
      </c>
      <c r="ASL11" s="218"/>
      <c r="ASM11" s="222">
        <v>8909</v>
      </c>
      <c r="ASN11" s="223"/>
      <c r="ASO11" s="224"/>
      <c r="ASP11" s="217" t="s">
        <v>96</v>
      </c>
      <c r="ASQ11" s="218"/>
      <c r="ASR11" s="222">
        <v>88405</v>
      </c>
      <c r="ASS11" s="223"/>
      <c r="AST11" s="224"/>
      <c r="ASU11" s="217" t="s">
        <v>102</v>
      </c>
      <c r="ASV11" s="218"/>
      <c r="ASW11" s="222">
        <v>74336</v>
      </c>
      <c r="ASX11" s="223"/>
      <c r="ASY11" s="224"/>
      <c r="ASZ11" s="217" t="s">
        <v>101</v>
      </c>
      <c r="ATA11" s="218"/>
      <c r="ATB11" s="222">
        <v>35636</v>
      </c>
      <c r="ATC11" s="223"/>
      <c r="ATD11" s="224"/>
      <c r="ATE11" s="217" t="s">
        <v>41</v>
      </c>
      <c r="ATF11" s="218"/>
      <c r="ATG11" s="222">
        <v>0</v>
      </c>
      <c r="ATH11" s="223"/>
      <c r="ATI11" s="224"/>
      <c r="ATJ11" s="217" t="s">
        <v>99</v>
      </c>
      <c r="ATK11" s="218"/>
      <c r="ATL11" s="222">
        <v>66817.5</v>
      </c>
      <c r="ATM11" s="223"/>
      <c r="ATN11" s="224"/>
      <c r="ATO11" s="217" t="s">
        <v>98</v>
      </c>
      <c r="ATP11" s="218"/>
      <c r="ATQ11" s="222">
        <v>26727</v>
      </c>
      <c r="ATR11" s="223"/>
      <c r="ATS11" s="224"/>
      <c r="ATT11" s="217" t="s">
        <v>97</v>
      </c>
      <c r="ATU11" s="218"/>
      <c r="ATV11" s="222">
        <v>40090.5</v>
      </c>
      <c r="ATW11" s="223"/>
      <c r="ATX11" s="224"/>
      <c r="ATY11" s="217" t="s">
        <v>96</v>
      </c>
      <c r="ATZ11" s="218"/>
      <c r="AUA11" s="222">
        <v>28138</v>
      </c>
      <c r="AUB11" s="223"/>
      <c r="AUC11" s="224"/>
      <c r="AUD11" s="217" t="s">
        <v>102</v>
      </c>
      <c r="AUE11" s="218"/>
      <c r="AUF11" s="222">
        <v>89090</v>
      </c>
      <c r="AUG11" s="223"/>
      <c r="AUH11" s="224"/>
      <c r="AUI11" s="217" t="s">
        <v>101</v>
      </c>
      <c r="AUJ11" s="218"/>
      <c r="AUK11" s="222">
        <v>0</v>
      </c>
      <c r="AUL11" s="223"/>
      <c r="AUM11" s="224"/>
      <c r="AUN11" s="217" t="s">
        <v>41</v>
      </c>
      <c r="AUO11" s="218"/>
      <c r="AUP11" s="222">
        <v>0</v>
      </c>
      <c r="AUQ11" s="223"/>
      <c r="AUR11" s="224"/>
      <c r="AUS11" s="217" t="s">
        <v>99</v>
      </c>
      <c r="AUT11" s="218"/>
      <c r="AUU11" s="222">
        <v>3563.6000000000004</v>
      </c>
      <c r="AUV11" s="223"/>
      <c r="AUW11" s="224"/>
      <c r="AUX11" s="217" t="s">
        <v>98</v>
      </c>
      <c r="AUY11" s="218"/>
      <c r="AUZ11" s="222">
        <v>8909</v>
      </c>
      <c r="AVA11" s="223"/>
      <c r="AVB11" s="224"/>
      <c r="AVC11" s="217" t="s">
        <v>97</v>
      </c>
      <c r="AVD11" s="218"/>
      <c r="AVE11" s="222">
        <v>8909</v>
      </c>
      <c r="AVF11" s="223"/>
      <c r="AVG11" s="224"/>
      <c r="AVH11" s="217" t="s">
        <v>96</v>
      </c>
      <c r="AVI11" s="218"/>
      <c r="AVJ11" s="222">
        <v>0</v>
      </c>
      <c r="AVK11" s="223"/>
      <c r="AVL11" s="224"/>
      <c r="AVM11" s="217" t="s">
        <v>102</v>
      </c>
      <c r="AVN11" s="218"/>
      <c r="AVO11" s="222">
        <v>31181.5</v>
      </c>
      <c r="AVP11" s="223"/>
      <c r="AVQ11" s="224"/>
      <c r="AVR11" s="217" t="s">
        <v>101</v>
      </c>
      <c r="AVS11" s="218"/>
      <c r="AVT11" s="222">
        <v>17818</v>
      </c>
      <c r="AVU11" s="223"/>
      <c r="AVV11" s="224"/>
      <c r="AVW11" s="217" t="s">
        <v>41</v>
      </c>
      <c r="AVX11" s="218"/>
      <c r="AVY11" s="222">
        <v>0</v>
      </c>
      <c r="AVZ11" s="223"/>
      <c r="AWA11" s="224"/>
      <c r="AWB11" s="217" t="s">
        <v>99</v>
      </c>
      <c r="AWC11" s="218"/>
      <c r="AWD11" s="222">
        <v>4454.5</v>
      </c>
      <c r="AWE11" s="223"/>
      <c r="AWF11" s="224"/>
      <c r="AWG11" s="217" t="s">
        <v>98</v>
      </c>
      <c r="AWH11" s="218"/>
      <c r="AWI11" s="222">
        <v>22272.5</v>
      </c>
      <c r="AWJ11" s="223"/>
      <c r="AWK11" s="224"/>
      <c r="AWL11" s="217" t="s">
        <v>97</v>
      </c>
      <c r="AWM11" s="218"/>
      <c r="AWN11" s="222">
        <v>0</v>
      </c>
      <c r="AWO11" s="223"/>
      <c r="AWP11" s="224"/>
      <c r="AWQ11" s="217" t="s">
        <v>96</v>
      </c>
      <c r="AWR11" s="218"/>
      <c r="AWS11" s="222">
        <v>35636</v>
      </c>
      <c r="AWT11" s="223"/>
      <c r="AWU11" s="224"/>
      <c r="AWV11" s="217" t="s">
        <v>102</v>
      </c>
      <c r="AWW11" s="218"/>
      <c r="AWX11" s="222">
        <v>35636</v>
      </c>
      <c r="AWY11" s="223"/>
      <c r="AWZ11" s="224"/>
      <c r="AXA11" s="217" t="s">
        <v>101</v>
      </c>
      <c r="AXB11" s="218"/>
      <c r="AXC11" s="222">
        <v>0</v>
      </c>
      <c r="AXD11" s="223"/>
      <c r="AXE11" s="224"/>
      <c r="AXF11" s="217" t="s">
        <v>41</v>
      </c>
      <c r="AXG11" s="218"/>
      <c r="AXH11" s="222">
        <v>0</v>
      </c>
      <c r="AXI11" s="223"/>
      <c r="AXJ11" s="224"/>
      <c r="AXK11" s="217" t="s">
        <v>99</v>
      </c>
      <c r="AXL11" s="218"/>
      <c r="AXM11" s="222">
        <v>8909</v>
      </c>
      <c r="AXN11" s="223"/>
      <c r="AXO11" s="224"/>
      <c r="AXP11" s="217" t="s">
        <v>98</v>
      </c>
      <c r="AXQ11" s="218"/>
      <c r="AXR11" s="222">
        <v>35636</v>
      </c>
      <c r="AXS11" s="223"/>
      <c r="AXT11" s="224"/>
      <c r="AXU11" s="217" t="s">
        <v>97</v>
      </c>
      <c r="AXV11" s="218"/>
      <c r="AXW11" s="222">
        <v>4454.5</v>
      </c>
      <c r="AXX11" s="223"/>
      <c r="AXY11" s="224"/>
      <c r="AXZ11" s="217" t="s">
        <v>96</v>
      </c>
      <c r="AYA11" s="218"/>
      <c r="AYB11" s="222">
        <v>0</v>
      </c>
      <c r="AYC11" s="223"/>
      <c r="AYD11" s="224"/>
      <c r="AYE11" s="217" t="s">
        <v>102</v>
      </c>
      <c r="AYF11" s="218"/>
      <c r="AYG11" s="222">
        <v>97999</v>
      </c>
      <c r="AYH11" s="223"/>
      <c r="AYI11" s="224"/>
      <c r="AYJ11" s="217" t="s">
        <v>101</v>
      </c>
      <c r="AYK11" s="218"/>
      <c r="AYL11" s="222">
        <v>0</v>
      </c>
      <c r="AYM11" s="223"/>
      <c r="AYN11" s="224"/>
      <c r="AYO11" s="217" t="s">
        <v>41</v>
      </c>
      <c r="AYP11" s="218"/>
      <c r="AYQ11" s="222">
        <v>0</v>
      </c>
      <c r="AYR11" s="223"/>
      <c r="AYS11" s="224"/>
      <c r="AYT11" s="217" t="s">
        <v>97</v>
      </c>
      <c r="AYU11" s="218"/>
      <c r="AYV11" s="222">
        <v>17818</v>
      </c>
      <c r="AYW11" s="223"/>
      <c r="AYX11" s="224"/>
      <c r="AYY11" s="217" t="s">
        <v>96</v>
      </c>
      <c r="AYZ11" s="218"/>
      <c r="AZA11" s="222">
        <v>8909</v>
      </c>
      <c r="AZB11" s="223"/>
      <c r="AZC11" s="224"/>
      <c r="AZD11" s="217" t="s">
        <v>102</v>
      </c>
      <c r="AZE11" s="218"/>
      <c r="AZF11" s="222">
        <v>71272</v>
      </c>
      <c r="AZG11" s="223"/>
      <c r="AZH11" s="224"/>
      <c r="AZI11" s="217" t="s">
        <v>101</v>
      </c>
      <c r="AZJ11" s="218"/>
      <c r="AZK11" s="222">
        <v>35636</v>
      </c>
      <c r="AZL11" s="223"/>
      <c r="AZM11" s="224"/>
      <c r="AZN11" s="217" t="s">
        <v>41</v>
      </c>
      <c r="AZO11" s="218"/>
      <c r="AZP11" s="222">
        <v>0</v>
      </c>
      <c r="AZQ11" s="223"/>
      <c r="AZR11" s="224"/>
      <c r="AZS11" s="217" t="s">
        <v>99</v>
      </c>
      <c r="AZT11" s="218"/>
      <c r="AZU11" s="222">
        <v>0</v>
      </c>
      <c r="AZV11" s="223"/>
      <c r="AZW11" s="224"/>
      <c r="AZX11" s="217" t="s">
        <v>98</v>
      </c>
      <c r="AZY11" s="218"/>
      <c r="AZZ11" s="222">
        <v>106908</v>
      </c>
      <c r="BAA11" s="223"/>
      <c r="BAB11" s="224"/>
      <c r="BAC11" s="217" t="s">
        <v>97</v>
      </c>
      <c r="BAD11" s="218"/>
      <c r="BAE11" s="222">
        <v>22272.5</v>
      </c>
      <c r="BAF11" s="223"/>
      <c r="BAG11" s="224"/>
      <c r="BAH11" s="217" t="s">
        <v>96</v>
      </c>
      <c r="BAI11" s="218"/>
      <c r="BAJ11" s="222">
        <v>5160</v>
      </c>
      <c r="BAK11" s="223"/>
      <c r="BAL11" s="224"/>
      <c r="BAM11" s="217" t="s">
        <v>102</v>
      </c>
      <c r="BAN11" s="218"/>
      <c r="BAO11" s="222">
        <v>97999</v>
      </c>
      <c r="BAP11" s="223"/>
      <c r="BAQ11" s="224"/>
      <c r="BAR11" s="217" t="s">
        <v>101</v>
      </c>
      <c r="BAS11" s="218"/>
      <c r="BAT11" s="222">
        <v>7740</v>
      </c>
      <c r="BAU11" s="223"/>
      <c r="BAV11" s="224"/>
      <c r="BAW11" s="217" t="s">
        <v>41</v>
      </c>
      <c r="BAX11" s="218"/>
      <c r="BAY11" s="222">
        <v>4454.5</v>
      </c>
      <c r="BAZ11" s="223"/>
      <c r="BBA11" s="224"/>
      <c r="BBB11" s="217" t="s">
        <v>99</v>
      </c>
      <c r="BBC11" s="218"/>
      <c r="BBD11" s="222">
        <v>10320</v>
      </c>
      <c r="BBE11" s="223"/>
      <c r="BBF11" s="224"/>
      <c r="BBG11" s="217" t="s">
        <v>98</v>
      </c>
      <c r="BBH11" s="218"/>
      <c r="BBI11" s="222" t="e">
        <v>#VALUE!</v>
      </c>
      <c r="BBJ11" s="223"/>
      <c r="BBK11" s="224"/>
      <c r="BBL11" s="217" t="s">
        <v>97</v>
      </c>
      <c r="BBM11" s="218"/>
      <c r="BBN11" s="222">
        <v>37417.800000000003</v>
      </c>
      <c r="BBO11" s="223"/>
      <c r="BBP11" s="224"/>
      <c r="BBQ11" s="217" t="s">
        <v>96</v>
      </c>
      <c r="BBR11" s="218"/>
      <c r="BBS11" s="222">
        <v>5160</v>
      </c>
      <c r="BBT11" s="223"/>
      <c r="BBU11" s="224"/>
      <c r="BBV11" s="217" t="s">
        <v>102</v>
      </c>
      <c r="BBW11" s="218"/>
      <c r="BBX11" s="222">
        <v>35636</v>
      </c>
      <c r="BBY11" s="223"/>
      <c r="BBZ11" s="224"/>
      <c r="BCA11" s="217" t="s">
        <v>101</v>
      </c>
      <c r="BCB11" s="218"/>
      <c r="BCC11" s="222">
        <v>0</v>
      </c>
      <c r="BCD11" s="223"/>
      <c r="BCE11" s="224"/>
      <c r="BCF11" s="217" t="s">
        <v>41</v>
      </c>
      <c r="BCG11" s="218"/>
      <c r="BCH11" s="222">
        <v>0</v>
      </c>
      <c r="BCI11" s="223"/>
      <c r="BCJ11" s="224"/>
      <c r="BCK11" s="217" t="s">
        <v>41</v>
      </c>
      <c r="BCL11" s="218"/>
      <c r="BCM11" s="222">
        <v>25800</v>
      </c>
      <c r="BCN11" s="223"/>
      <c r="BCO11" s="224"/>
      <c r="BCP11" s="217" t="s">
        <v>99</v>
      </c>
      <c r="BCQ11" s="218"/>
      <c r="BCR11" s="222">
        <v>22272.5</v>
      </c>
      <c r="BCS11" s="223"/>
      <c r="BCT11" s="224"/>
      <c r="BCU11" s="217" t="s">
        <v>98</v>
      </c>
      <c r="BCV11" s="218"/>
      <c r="BCW11" s="222">
        <v>26727</v>
      </c>
      <c r="BCX11" s="223"/>
      <c r="BCY11" s="224"/>
      <c r="BCZ11" s="217" t="s">
        <v>97</v>
      </c>
      <c r="BDA11" s="218"/>
      <c r="BDB11" s="222">
        <v>22272.5</v>
      </c>
      <c r="BDC11" s="223"/>
      <c r="BDD11" s="224"/>
      <c r="BDE11" s="217" t="s">
        <v>96</v>
      </c>
      <c r="BDF11" s="218"/>
      <c r="BDG11" s="222">
        <v>8909</v>
      </c>
      <c r="BDH11" s="223"/>
      <c r="BDI11" s="224"/>
      <c r="BDJ11" s="217" t="s">
        <v>102</v>
      </c>
      <c r="BDK11" s="218"/>
      <c r="BDL11" s="222">
        <v>44545</v>
      </c>
      <c r="BDM11" s="223"/>
      <c r="BDN11" s="224"/>
      <c r="BDO11" s="217" t="s">
        <v>101</v>
      </c>
      <c r="BDP11" s="218"/>
      <c r="BDQ11" s="222">
        <v>0</v>
      </c>
      <c r="BDR11" s="223"/>
      <c r="BDS11" s="224"/>
      <c r="BDT11" s="217" t="s">
        <v>41</v>
      </c>
      <c r="BDU11" s="218"/>
      <c r="BDV11" s="222">
        <v>0</v>
      </c>
      <c r="BDW11" s="223"/>
      <c r="BDX11" s="224"/>
      <c r="BDY11" s="217" t="s">
        <v>99</v>
      </c>
      <c r="BDZ11" s="218"/>
      <c r="BEA11" s="222">
        <v>0</v>
      </c>
      <c r="BEB11" s="223"/>
      <c r="BEC11" s="224"/>
      <c r="BED11" s="217" t="s">
        <v>98</v>
      </c>
      <c r="BEE11" s="218"/>
      <c r="BEF11" s="222">
        <v>26727</v>
      </c>
      <c r="BEG11" s="223"/>
      <c r="BEH11" s="224"/>
      <c r="BEI11" s="217" t="s">
        <v>96</v>
      </c>
      <c r="BEJ11" s="218"/>
      <c r="BEK11" s="222">
        <v>0</v>
      </c>
      <c r="BEL11" s="223"/>
      <c r="BEM11" s="224"/>
      <c r="BEN11" s="217" t="s">
        <v>102</v>
      </c>
      <c r="BEO11" s="218"/>
      <c r="BEP11" s="222">
        <v>0</v>
      </c>
      <c r="BEQ11" s="223"/>
      <c r="BER11" s="224"/>
      <c r="BES11" s="217" t="s">
        <v>101</v>
      </c>
      <c r="BET11" s="218"/>
      <c r="BEU11" s="222">
        <v>0</v>
      </c>
      <c r="BEV11" s="223"/>
      <c r="BEW11" s="224"/>
      <c r="BEX11" s="217" t="s">
        <v>41</v>
      </c>
      <c r="BEY11" s="218"/>
      <c r="BEZ11" s="222">
        <v>0</v>
      </c>
      <c r="BFA11" s="223"/>
      <c r="BFB11" s="224"/>
      <c r="BFC11" s="217" t="s">
        <v>99</v>
      </c>
      <c r="BFD11" s="218"/>
      <c r="BFE11" s="222">
        <v>13363.5</v>
      </c>
      <c r="BFF11" s="223"/>
      <c r="BFG11" s="224"/>
      <c r="BFH11" s="217" t="s">
        <v>98</v>
      </c>
      <c r="BFI11" s="218"/>
      <c r="BFJ11" s="222">
        <v>0</v>
      </c>
      <c r="BFK11" s="223"/>
      <c r="BFL11" s="224"/>
      <c r="BFM11" s="217" t="s">
        <v>97</v>
      </c>
      <c r="BFN11" s="218"/>
      <c r="BFO11" s="222">
        <v>4454.5</v>
      </c>
      <c r="BFP11" s="223"/>
      <c r="BFQ11" s="224"/>
      <c r="BFR11" s="217" t="s">
        <v>96</v>
      </c>
      <c r="BFS11" s="218"/>
      <c r="BFT11" s="222">
        <v>2227.25</v>
      </c>
      <c r="BFU11" s="223"/>
      <c r="BFV11" s="224"/>
      <c r="BFW11" s="217" t="s">
        <v>102</v>
      </c>
      <c r="BFX11" s="218"/>
      <c r="BFY11" s="222">
        <v>71272</v>
      </c>
      <c r="BFZ11" s="223"/>
      <c r="BGA11" s="224"/>
      <c r="BGB11" s="217" t="s">
        <v>101</v>
      </c>
      <c r="BGC11" s="218"/>
      <c r="BGD11" s="222">
        <v>4454.5</v>
      </c>
      <c r="BGE11" s="223"/>
      <c r="BGF11" s="224"/>
      <c r="BGG11" s="217" t="s">
        <v>41</v>
      </c>
      <c r="BGH11" s="218"/>
      <c r="BGI11" s="222">
        <v>0</v>
      </c>
      <c r="BGJ11" s="223"/>
      <c r="BGK11" s="224"/>
      <c r="BGL11" s="217" t="s">
        <v>98</v>
      </c>
      <c r="BGM11" s="218"/>
      <c r="BGN11" s="222">
        <v>8909</v>
      </c>
      <c r="BGO11" s="223"/>
      <c r="BGP11" s="224"/>
      <c r="BGQ11" s="217" t="s">
        <v>97</v>
      </c>
      <c r="BGR11" s="218"/>
      <c r="BGS11" s="222">
        <v>13363.5</v>
      </c>
      <c r="BGT11" s="223"/>
      <c r="BGU11" s="224"/>
      <c r="BGV11" s="217" t="s">
        <v>96</v>
      </c>
      <c r="BGW11" s="218"/>
      <c r="BGX11" s="222">
        <v>22272.5</v>
      </c>
      <c r="BGY11" s="223"/>
      <c r="BGZ11" s="224"/>
      <c r="BHA11" s="217" t="s">
        <v>102</v>
      </c>
      <c r="BHB11" s="218"/>
      <c r="BHC11" s="222">
        <v>79254</v>
      </c>
      <c r="BHD11" s="223"/>
      <c r="BHE11" s="224"/>
      <c r="BHF11" s="217" t="s">
        <v>101</v>
      </c>
      <c r="BHG11" s="218"/>
      <c r="BHH11" s="222">
        <v>0</v>
      </c>
      <c r="BHI11" s="223"/>
      <c r="BHJ11" s="224"/>
      <c r="BHK11" s="217" t="s">
        <v>41</v>
      </c>
      <c r="BHL11" s="218"/>
      <c r="BHM11" s="222">
        <v>0</v>
      </c>
      <c r="BHN11" s="223"/>
      <c r="BHO11" s="224"/>
      <c r="BHP11" s="217" t="s">
        <v>99</v>
      </c>
      <c r="BHQ11" s="218"/>
      <c r="BHR11" s="222">
        <v>33540</v>
      </c>
      <c r="BHS11" s="223"/>
      <c r="BHT11" s="224"/>
      <c r="BHU11" s="217" t="s">
        <v>98</v>
      </c>
      <c r="BHV11" s="218"/>
      <c r="BHW11" s="222">
        <v>0</v>
      </c>
      <c r="BHX11" s="223"/>
      <c r="BHY11" s="224"/>
      <c r="BHZ11" s="217" t="s">
        <v>97</v>
      </c>
      <c r="BIA11" s="218"/>
      <c r="BIB11" s="222">
        <v>0</v>
      </c>
      <c r="BIC11" s="223"/>
      <c r="BID11" s="224"/>
      <c r="BIE11" s="217" t="s">
        <v>96</v>
      </c>
      <c r="BIF11" s="218"/>
      <c r="BIG11" s="222">
        <v>8909</v>
      </c>
      <c r="BIH11" s="223"/>
      <c r="BII11" s="224"/>
      <c r="BIJ11" s="217" t="s">
        <v>41</v>
      </c>
      <c r="BIK11" s="218"/>
      <c r="BIL11" s="222">
        <v>0</v>
      </c>
      <c r="BIM11" s="223"/>
      <c r="BIN11" s="224"/>
      <c r="BIO11" s="217" t="s">
        <v>99</v>
      </c>
      <c r="BIP11" s="218"/>
      <c r="BIQ11" s="222">
        <v>17818</v>
      </c>
      <c r="BIR11" s="223"/>
      <c r="BIS11" s="224"/>
      <c r="BIT11" s="217" t="s">
        <v>98</v>
      </c>
      <c r="BIU11" s="218"/>
      <c r="BIV11" s="222">
        <v>13363.5</v>
      </c>
      <c r="BIW11" s="223"/>
      <c r="BIX11" s="224"/>
      <c r="BIY11" s="217" t="s">
        <v>97</v>
      </c>
      <c r="BIZ11" s="218"/>
      <c r="BJA11" s="222">
        <v>0</v>
      </c>
      <c r="BJB11" s="223"/>
      <c r="BJC11" s="224"/>
      <c r="BJD11" s="217" t="s">
        <v>96</v>
      </c>
      <c r="BJE11" s="218"/>
      <c r="BJF11" s="222">
        <v>62847</v>
      </c>
      <c r="BJG11" s="223"/>
      <c r="BJH11" s="224"/>
      <c r="BJI11" s="217" t="s">
        <v>102</v>
      </c>
      <c r="BJJ11" s="218"/>
      <c r="BJK11" s="222">
        <v>0</v>
      </c>
      <c r="BJL11" s="223"/>
      <c r="BJM11" s="224"/>
      <c r="BJN11" s="217" t="s">
        <v>98</v>
      </c>
      <c r="BJO11" s="218"/>
      <c r="BJP11" s="222">
        <v>26969</v>
      </c>
      <c r="BJQ11" s="223"/>
      <c r="BJR11" s="224"/>
      <c r="BJS11" s="217" t="s">
        <v>97</v>
      </c>
      <c r="BJT11" s="218"/>
      <c r="BJU11" s="222">
        <v>0</v>
      </c>
      <c r="BJV11" s="223"/>
      <c r="BJW11" s="224"/>
      <c r="BJX11" s="217" t="s">
        <v>97</v>
      </c>
      <c r="BJY11" s="218"/>
      <c r="BJZ11" s="222">
        <v>0</v>
      </c>
      <c r="BKA11" s="223"/>
      <c r="BKB11" s="224"/>
      <c r="BKC11" s="217" t="s">
        <v>101</v>
      </c>
      <c r="BKD11" s="218"/>
      <c r="BKE11" s="222">
        <v>0</v>
      </c>
      <c r="BKF11" s="223"/>
      <c r="BKG11" s="224"/>
      <c r="BKH11" s="217" t="s">
        <v>41</v>
      </c>
      <c r="BKI11" s="218"/>
      <c r="BKJ11" s="222">
        <v>0</v>
      </c>
      <c r="BKK11" s="223"/>
      <c r="BKL11" s="224"/>
      <c r="BKM11" s="217" t="s">
        <v>99</v>
      </c>
      <c r="BKN11" s="218"/>
      <c r="BKO11" s="222">
        <v>890.90000000000009</v>
      </c>
      <c r="BKP11" s="223"/>
      <c r="BKQ11" s="224"/>
      <c r="BKR11" s="217" t="s">
        <v>97</v>
      </c>
      <c r="BKS11" s="218"/>
      <c r="BKT11" s="222">
        <v>8909</v>
      </c>
      <c r="BKU11" s="223"/>
      <c r="BKV11" s="224"/>
      <c r="BKW11" s="217" t="s">
        <v>101</v>
      </c>
      <c r="BKX11" s="218"/>
      <c r="BKY11" s="222">
        <v>0</v>
      </c>
      <c r="BKZ11" s="223"/>
      <c r="BLA11" s="224"/>
      <c r="BLB11" s="217" t="s">
        <v>41</v>
      </c>
      <c r="BLC11" s="218"/>
      <c r="BLD11" s="222">
        <v>0</v>
      </c>
      <c r="BLE11" s="223"/>
      <c r="BLF11" s="224"/>
      <c r="BLG11" s="217" t="s">
        <v>99</v>
      </c>
      <c r="BLH11" s="218"/>
      <c r="BLI11" s="222">
        <v>13363.5</v>
      </c>
      <c r="BLJ11" s="223"/>
      <c r="BLK11" s="224"/>
      <c r="BLL11" s="217" t="s">
        <v>98</v>
      </c>
      <c r="BLM11" s="218"/>
      <c r="BLN11" s="222">
        <v>26727</v>
      </c>
      <c r="BLO11" s="223"/>
      <c r="BLP11" s="224"/>
      <c r="BLQ11" s="217" t="s">
        <v>97</v>
      </c>
      <c r="BLR11" s="218"/>
      <c r="BLS11" s="222">
        <v>0</v>
      </c>
      <c r="BLT11" s="223"/>
      <c r="BLU11" s="224"/>
      <c r="BLV11" s="217" t="s">
        <v>101</v>
      </c>
      <c r="BLW11" s="218"/>
      <c r="BLX11" s="222">
        <v>0</v>
      </c>
      <c r="BLY11" s="223"/>
      <c r="BLZ11" s="224"/>
      <c r="BMA11" s="217" t="s">
        <v>41</v>
      </c>
      <c r="BMB11" s="218"/>
      <c r="BMC11" s="222">
        <v>0</v>
      </c>
      <c r="BMD11" s="223"/>
      <c r="BME11" s="224"/>
      <c r="BMF11" s="217" t="s">
        <v>99</v>
      </c>
      <c r="BMG11" s="218"/>
      <c r="BMH11" s="222">
        <v>6681.75</v>
      </c>
      <c r="BMI11" s="223"/>
      <c r="BMJ11" s="224"/>
      <c r="BMK11" s="217" t="s">
        <v>98</v>
      </c>
      <c r="BML11" s="218"/>
      <c r="BMM11" s="222">
        <v>8909</v>
      </c>
      <c r="BMN11" s="223"/>
      <c r="BMO11" s="224"/>
      <c r="BMP11" s="217" t="s">
        <v>101</v>
      </c>
      <c r="BMQ11" s="218"/>
      <c r="BMR11" s="222">
        <v>0</v>
      </c>
      <c r="BMS11" s="223"/>
      <c r="BMT11" s="224"/>
      <c r="BMU11" s="217" t="s">
        <v>41</v>
      </c>
      <c r="BMV11" s="218"/>
      <c r="BMW11" s="222">
        <v>0</v>
      </c>
      <c r="BMX11" s="223"/>
      <c r="BMY11" s="224"/>
      <c r="BMZ11" s="217" t="s">
        <v>99</v>
      </c>
      <c r="BNA11" s="218"/>
      <c r="BNB11" s="222">
        <v>31181.5</v>
      </c>
      <c r="BNC11" s="223"/>
      <c r="BND11" s="224"/>
      <c r="BNE11" s="217" t="s">
        <v>97</v>
      </c>
      <c r="BNF11" s="218"/>
      <c r="BNG11" s="222">
        <v>0</v>
      </c>
      <c r="BNH11" s="223"/>
      <c r="BNI11" s="224"/>
      <c r="BNJ11" s="217" t="s">
        <v>99</v>
      </c>
      <c r="BNK11" s="218"/>
      <c r="BNL11" s="222">
        <v>0</v>
      </c>
      <c r="BNM11" s="223"/>
      <c r="BNN11" s="224"/>
      <c r="BNO11" s="217" t="s">
        <v>98</v>
      </c>
      <c r="BNP11" s="218"/>
      <c r="BNQ11" s="222">
        <v>0</v>
      </c>
      <c r="BNR11" s="223"/>
      <c r="BNS11" s="224"/>
      <c r="BNT11" s="217" t="s">
        <v>97</v>
      </c>
      <c r="BNU11" s="218"/>
      <c r="BNV11" s="222">
        <v>0</v>
      </c>
      <c r="BNW11" s="223"/>
      <c r="BNX11" s="224"/>
      <c r="BNY11" s="217" t="s">
        <v>101</v>
      </c>
      <c r="BNZ11" s="218"/>
      <c r="BOA11" s="222">
        <v>0</v>
      </c>
      <c r="BOB11" s="223"/>
      <c r="BOC11" s="224"/>
      <c r="BOD11" s="217" t="s">
        <v>98</v>
      </c>
      <c r="BOE11" s="218"/>
      <c r="BOF11" s="222">
        <v>13363.5</v>
      </c>
      <c r="BOG11" s="223"/>
      <c r="BOH11" s="224"/>
      <c r="BOI11" s="217" t="s">
        <v>97</v>
      </c>
      <c r="BOJ11" s="218"/>
      <c r="BOK11" s="222">
        <v>0</v>
      </c>
      <c r="BOL11" s="223"/>
      <c r="BOM11" s="224"/>
      <c r="BON11" s="217" t="s">
        <v>96</v>
      </c>
      <c r="BOO11" s="218"/>
      <c r="BOP11" s="222">
        <v>4454.5</v>
      </c>
      <c r="BOQ11" s="223"/>
      <c r="BOR11" s="224"/>
      <c r="BOS11" s="217" t="s">
        <v>102</v>
      </c>
      <c r="BOT11" s="218"/>
      <c r="BOU11" s="222">
        <v>62363</v>
      </c>
      <c r="BOV11" s="223"/>
      <c r="BOW11" s="224"/>
      <c r="BOX11" s="217" t="s">
        <v>101</v>
      </c>
      <c r="BOY11" s="218"/>
      <c r="BOZ11" s="222">
        <v>0</v>
      </c>
      <c r="BPA11" s="223"/>
      <c r="BPB11" s="224"/>
      <c r="BPC11" s="217" t="s">
        <v>41</v>
      </c>
      <c r="BPD11" s="218"/>
      <c r="BPE11" s="222">
        <v>0</v>
      </c>
      <c r="BPF11" s="223"/>
      <c r="BPG11" s="224"/>
      <c r="BPH11" s="217" t="s">
        <v>99</v>
      </c>
      <c r="BPI11" s="218"/>
      <c r="BPJ11" s="222">
        <v>13363.5</v>
      </c>
      <c r="BPK11" s="223"/>
      <c r="BPL11" s="224"/>
      <c r="BPM11" s="217" t="s">
        <v>98</v>
      </c>
      <c r="BPN11" s="218"/>
      <c r="BPO11" s="222">
        <v>17818</v>
      </c>
      <c r="BPP11" s="223"/>
      <c r="BPQ11" s="224"/>
      <c r="BPR11" s="217" t="s">
        <v>97</v>
      </c>
      <c r="BPS11" s="218"/>
      <c r="BPT11" s="222">
        <v>6681.75</v>
      </c>
      <c r="BPU11" s="223"/>
      <c r="BPV11" s="224"/>
      <c r="BPW11" s="217" t="s">
        <v>96</v>
      </c>
      <c r="BPX11" s="218"/>
      <c r="BPY11" s="222">
        <v>0</v>
      </c>
      <c r="BPZ11" s="223"/>
      <c r="BQA11" s="224"/>
      <c r="BQB11" s="217" t="s">
        <v>102</v>
      </c>
      <c r="BQC11" s="218"/>
      <c r="BQD11" s="222">
        <v>8909</v>
      </c>
      <c r="BQE11" s="223"/>
      <c r="BQF11" s="224"/>
      <c r="BQG11" s="217" t="s">
        <v>101</v>
      </c>
      <c r="BQH11" s="218"/>
      <c r="BQI11" s="222">
        <v>0</v>
      </c>
      <c r="BQJ11" s="223"/>
      <c r="BQK11" s="224"/>
      <c r="BQL11" s="217" t="s">
        <v>41</v>
      </c>
      <c r="BQM11" s="218"/>
      <c r="BQN11" s="222">
        <v>0</v>
      </c>
      <c r="BQO11" s="223"/>
      <c r="BQP11" s="224"/>
      <c r="BQQ11" s="217" t="s">
        <v>99</v>
      </c>
      <c r="BQR11" s="218"/>
      <c r="BQS11" s="222">
        <v>0</v>
      </c>
      <c r="BQT11" s="223"/>
      <c r="BQU11" s="224"/>
      <c r="BQV11" s="217" t="s">
        <v>98</v>
      </c>
      <c r="BQW11" s="218"/>
      <c r="BQX11" s="222">
        <v>8909</v>
      </c>
      <c r="BQY11" s="223"/>
      <c r="BQZ11" s="224"/>
      <c r="BRA11" s="217" t="s">
        <v>97</v>
      </c>
      <c r="BRB11" s="218"/>
      <c r="BRC11" s="222">
        <v>17818</v>
      </c>
      <c r="BRD11" s="223"/>
      <c r="BRE11" s="224"/>
      <c r="BRF11" s="217" t="s">
        <v>96</v>
      </c>
      <c r="BRG11" s="218"/>
      <c r="BRH11" s="222">
        <v>0</v>
      </c>
      <c r="BRI11" s="223"/>
      <c r="BRJ11" s="224"/>
      <c r="BRK11" s="217" t="s">
        <v>102</v>
      </c>
      <c r="BRL11" s="218"/>
      <c r="BRM11" s="222">
        <v>57908.5</v>
      </c>
      <c r="BRN11" s="223"/>
      <c r="BRO11" s="224"/>
      <c r="BRP11" s="217" t="s">
        <v>101</v>
      </c>
      <c r="BRQ11" s="218"/>
      <c r="BRR11" s="222">
        <v>0</v>
      </c>
      <c r="BRS11" s="223"/>
      <c r="BRT11" s="224"/>
      <c r="BRU11" s="217" t="s">
        <v>41</v>
      </c>
      <c r="BRV11" s="218"/>
      <c r="BRW11" s="222">
        <v>0</v>
      </c>
      <c r="BRX11" s="223"/>
      <c r="BRY11" s="224"/>
      <c r="BRZ11" s="217" t="s">
        <v>99</v>
      </c>
      <c r="BSA11" s="218"/>
      <c r="BSB11" s="222">
        <v>35636</v>
      </c>
      <c r="BSC11" s="223"/>
      <c r="BSD11" s="224"/>
      <c r="BSE11" s="217" t="s">
        <v>98</v>
      </c>
      <c r="BSF11" s="218"/>
      <c r="BSG11" s="222">
        <v>13363.5</v>
      </c>
      <c r="BSH11" s="223"/>
      <c r="BSI11" s="224"/>
      <c r="BSJ11" s="217" t="s">
        <v>97</v>
      </c>
      <c r="BSK11" s="218"/>
      <c r="BSL11" s="222">
        <v>8909</v>
      </c>
      <c r="BSM11" s="223"/>
      <c r="BSN11" s="224"/>
      <c r="BSO11" s="217" t="s">
        <v>96</v>
      </c>
      <c r="BSP11" s="218"/>
      <c r="BSQ11" s="222">
        <v>0</v>
      </c>
      <c r="BSR11" s="223"/>
      <c r="BSS11" s="224"/>
      <c r="BST11" s="217" t="s">
        <v>102</v>
      </c>
      <c r="BSU11" s="218"/>
      <c r="BSV11" s="222">
        <v>40090.5</v>
      </c>
      <c r="BSW11" s="223"/>
      <c r="BSX11" s="224"/>
      <c r="BSY11" s="217" t="s">
        <v>101</v>
      </c>
      <c r="BSZ11" s="218"/>
      <c r="BTA11" s="222">
        <v>0</v>
      </c>
      <c r="BTB11" s="223"/>
      <c r="BTC11" s="224"/>
      <c r="BTD11" s="217" t="s">
        <v>41</v>
      </c>
      <c r="BTE11" s="218"/>
      <c r="BTF11" s="222">
        <v>0</v>
      </c>
      <c r="BTG11" s="223"/>
      <c r="BTH11" s="224"/>
      <c r="BTI11" s="217" t="s">
        <v>99</v>
      </c>
      <c r="BTJ11" s="218"/>
      <c r="BTK11" s="222">
        <v>4454.5</v>
      </c>
      <c r="BTL11" s="223"/>
      <c r="BTM11" s="224"/>
      <c r="BTN11" s="217" t="s">
        <v>98</v>
      </c>
      <c r="BTO11" s="218"/>
      <c r="BTP11" s="222">
        <v>8909</v>
      </c>
      <c r="BTQ11" s="223"/>
      <c r="BTR11" s="224"/>
      <c r="BTS11" s="217" t="s">
        <v>97</v>
      </c>
      <c r="BTT11" s="218"/>
      <c r="BTU11" s="222">
        <v>0</v>
      </c>
      <c r="BTV11" s="223"/>
      <c r="BTW11" s="224"/>
      <c r="BTX11" s="217" t="s">
        <v>96</v>
      </c>
      <c r="BTY11" s="218"/>
      <c r="BTZ11" s="222">
        <v>0</v>
      </c>
      <c r="BUA11" s="223"/>
      <c r="BUB11" s="224"/>
      <c r="BUC11" s="217" t="s">
        <v>102</v>
      </c>
      <c r="BUD11" s="218"/>
      <c r="BUE11" s="222">
        <v>97999</v>
      </c>
      <c r="BUF11" s="223"/>
      <c r="BUG11" s="224"/>
      <c r="BUH11" s="217" t="s">
        <v>96</v>
      </c>
      <c r="BUI11" s="218"/>
      <c r="BUJ11" s="222">
        <v>44545</v>
      </c>
      <c r="BUK11" s="223"/>
      <c r="BUL11" s="224"/>
      <c r="BUM11" s="217" t="s">
        <v>102</v>
      </c>
      <c r="BUN11" s="218"/>
      <c r="BUO11" s="222">
        <v>89090</v>
      </c>
      <c r="BUP11" s="223"/>
      <c r="BUQ11" s="224"/>
      <c r="BUR11" s="217" t="s">
        <v>101</v>
      </c>
      <c r="BUS11" s="218"/>
      <c r="BUT11" s="222">
        <v>0</v>
      </c>
      <c r="BUU11" s="223"/>
      <c r="BUV11" s="224"/>
      <c r="BUW11" s="217" t="s">
        <v>41</v>
      </c>
      <c r="BUX11" s="218"/>
      <c r="BUY11" s="222">
        <v>0</v>
      </c>
      <c r="BUZ11" s="223"/>
      <c r="BVA11" s="224"/>
      <c r="BVB11" s="217" t="s">
        <v>99</v>
      </c>
      <c r="BVC11" s="218"/>
      <c r="BVD11" s="222">
        <v>22272.5</v>
      </c>
      <c r="BVE11" s="223"/>
      <c r="BVF11" s="224"/>
      <c r="BVG11" s="217" t="s">
        <v>99</v>
      </c>
      <c r="BVH11" s="218"/>
      <c r="BVI11" s="222">
        <v>0</v>
      </c>
      <c r="BVJ11" s="223"/>
      <c r="BVK11" s="224"/>
      <c r="BVL11" s="217" t="s">
        <v>98</v>
      </c>
      <c r="BVM11" s="218"/>
      <c r="BVN11" s="222">
        <v>31181.5</v>
      </c>
      <c r="BVO11" s="223"/>
      <c r="BVP11" s="224"/>
      <c r="BVQ11" s="217" t="s">
        <v>97</v>
      </c>
      <c r="BVR11" s="218"/>
      <c r="BVS11" s="222">
        <v>0</v>
      </c>
      <c r="BVT11" s="223"/>
      <c r="BVU11" s="224"/>
      <c r="BVV11" s="217" t="s">
        <v>96</v>
      </c>
      <c r="BVW11" s="218"/>
      <c r="BVX11" s="222">
        <v>13363.5</v>
      </c>
      <c r="BVY11" s="223"/>
      <c r="BVZ11" s="224"/>
      <c r="BWA11" s="217" t="s">
        <v>102</v>
      </c>
      <c r="BWB11" s="218"/>
      <c r="BWC11" s="222">
        <v>106908</v>
      </c>
      <c r="BWD11" s="223"/>
      <c r="BWE11" s="224"/>
      <c r="BWF11" s="217" t="s">
        <v>101</v>
      </c>
      <c r="BWG11" s="218"/>
      <c r="BWH11" s="222">
        <v>0</v>
      </c>
      <c r="BWI11" s="223"/>
      <c r="BWJ11" s="224"/>
      <c r="BWK11" s="217" t="s">
        <v>41</v>
      </c>
      <c r="BWL11" s="218"/>
      <c r="BWM11" s="222">
        <v>0</v>
      </c>
      <c r="BWN11" s="223"/>
      <c r="BWO11" s="224"/>
      <c r="BWP11" s="217" t="s">
        <v>99</v>
      </c>
      <c r="BWQ11" s="218"/>
      <c r="BWR11" s="222">
        <v>17818</v>
      </c>
      <c r="BWS11" s="223"/>
      <c r="BWT11" s="224"/>
      <c r="BWU11" s="217" t="s">
        <v>98</v>
      </c>
      <c r="BWV11" s="218"/>
      <c r="BWW11" s="222">
        <v>8909</v>
      </c>
      <c r="BWX11" s="223"/>
      <c r="BWY11" s="224"/>
      <c r="BWZ11" s="217" t="s">
        <v>97</v>
      </c>
      <c r="BXA11" s="218"/>
      <c r="BXB11" s="222">
        <v>26727</v>
      </c>
      <c r="BXC11" s="223"/>
      <c r="BXD11" s="224"/>
      <c r="BXE11" s="217" t="s">
        <v>96</v>
      </c>
      <c r="BXF11" s="218"/>
      <c r="BXG11" s="222">
        <v>53454</v>
      </c>
      <c r="BXH11" s="223"/>
      <c r="BXI11" s="224"/>
      <c r="BXJ11" s="217" t="s">
        <v>102</v>
      </c>
      <c r="BXK11" s="218"/>
      <c r="BXL11" s="222">
        <v>0</v>
      </c>
      <c r="BXM11" s="223"/>
      <c r="BXN11" s="224"/>
      <c r="BXO11" s="217" t="s">
        <v>101</v>
      </c>
      <c r="BXP11" s="218"/>
      <c r="BXQ11" s="222">
        <v>0</v>
      </c>
      <c r="BXR11" s="223"/>
      <c r="BXS11" s="224"/>
      <c r="BXT11" s="217" t="s">
        <v>41</v>
      </c>
      <c r="BXU11" s="218"/>
      <c r="BXV11" s="222">
        <v>0</v>
      </c>
      <c r="BXW11" s="223"/>
      <c r="BXX11" s="224"/>
      <c r="BXY11" s="217" t="s">
        <v>41</v>
      </c>
      <c r="BXZ11" s="218"/>
      <c r="BYA11" s="222">
        <v>0</v>
      </c>
      <c r="BYB11" s="223"/>
      <c r="BYC11" s="224"/>
      <c r="BYD11" s="217" t="s">
        <v>41</v>
      </c>
      <c r="BYE11" s="218"/>
      <c r="BYF11" s="222">
        <v>0</v>
      </c>
      <c r="BYG11" s="223"/>
      <c r="BYH11" s="224"/>
      <c r="BYI11" s="217" t="s">
        <v>99</v>
      </c>
      <c r="BYJ11" s="218"/>
      <c r="BYK11" s="222">
        <v>17818</v>
      </c>
      <c r="BYL11" s="223"/>
      <c r="BYM11" s="224"/>
      <c r="BYN11" s="217" t="s">
        <v>98</v>
      </c>
      <c r="BYO11" s="218"/>
      <c r="BYP11" s="222">
        <v>35636</v>
      </c>
      <c r="BYQ11" s="223"/>
      <c r="BYR11" s="224"/>
      <c r="BYS11" s="217" t="s">
        <v>97</v>
      </c>
      <c r="BYT11" s="218"/>
      <c r="BYU11" s="222">
        <v>4454.5</v>
      </c>
      <c r="BYV11" s="223"/>
      <c r="BYW11" s="224"/>
      <c r="BYX11" s="217" t="s">
        <v>96</v>
      </c>
      <c r="BYY11" s="218"/>
      <c r="BYZ11" s="222">
        <v>0</v>
      </c>
      <c r="BZA11" s="223"/>
      <c r="BZB11" s="224"/>
      <c r="BZC11" s="217" t="s">
        <v>102</v>
      </c>
      <c r="BZD11" s="218"/>
      <c r="BZE11" s="222">
        <v>75726.5</v>
      </c>
      <c r="BZF11" s="223"/>
      <c r="BZG11" s="224"/>
      <c r="BZH11" s="217" t="s">
        <v>101</v>
      </c>
      <c r="BZI11" s="218"/>
      <c r="BZJ11" s="222">
        <v>0</v>
      </c>
      <c r="BZK11" s="223"/>
      <c r="BZL11" s="224"/>
      <c r="BZM11" s="217" t="s">
        <v>41</v>
      </c>
      <c r="BZN11" s="218"/>
      <c r="BZO11" s="222">
        <v>0</v>
      </c>
      <c r="BZP11" s="223"/>
      <c r="BZQ11" s="224"/>
      <c r="BZR11" s="217" t="s">
        <v>99</v>
      </c>
      <c r="BZS11" s="218"/>
      <c r="BZT11" s="222">
        <v>84635.5</v>
      </c>
      <c r="BZU11" s="223"/>
      <c r="BZV11" s="224"/>
      <c r="BZW11" s="217" t="s">
        <v>98</v>
      </c>
      <c r="BZX11" s="218"/>
      <c r="BZY11" s="222">
        <v>48999.5</v>
      </c>
      <c r="BZZ11" s="223"/>
      <c r="CAA11" s="224"/>
      <c r="CAB11" s="217" t="s">
        <v>97</v>
      </c>
      <c r="CAC11" s="218"/>
      <c r="CAD11" s="222">
        <v>13363.5</v>
      </c>
      <c r="CAE11" s="223"/>
      <c r="CAF11" s="224"/>
      <c r="CAG11" s="217" t="s">
        <v>101</v>
      </c>
      <c r="CAH11" s="218"/>
      <c r="CAI11" s="222">
        <v>0</v>
      </c>
      <c r="CAJ11" s="223"/>
      <c r="CAK11" s="224"/>
      <c r="CAL11" s="217" t="s">
        <v>41</v>
      </c>
      <c r="CAM11" s="218"/>
      <c r="CAN11" s="222">
        <v>0</v>
      </c>
      <c r="CAO11" s="223"/>
      <c r="CAP11" s="224"/>
      <c r="CAQ11" s="217" t="s">
        <v>99</v>
      </c>
      <c r="CAR11" s="218"/>
      <c r="CAS11" s="222">
        <v>35636</v>
      </c>
      <c r="CAT11" s="223"/>
      <c r="CAU11" s="224"/>
      <c r="CAV11" s="217" t="s">
        <v>98</v>
      </c>
      <c r="CAW11" s="218"/>
      <c r="CAX11" s="222">
        <v>17818</v>
      </c>
      <c r="CAY11" s="223"/>
      <c r="CAZ11" s="224"/>
      <c r="CBA11" s="217" t="s">
        <v>97</v>
      </c>
      <c r="CBB11" s="218"/>
      <c r="CBC11" s="222">
        <v>17818</v>
      </c>
      <c r="CBD11" s="223"/>
      <c r="CBE11" s="224"/>
      <c r="CBF11" s="217" t="s">
        <v>96</v>
      </c>
      <c r="CBG11" s="218"/>
      <c r="CBH11" s="222">
        <v>0</v>
      </c>
      <c r="CBI11" s="223"/>
      <c r="CBJ11" s="224"/>
      <c r="CBK11" s="217" t="s">
        <v>102</v>
      </c>
      <c r="CBL11" s="218"/>
      <c r="CBM11" s="222">
        <v>80181</v>
      </c>
      <c r="CBN11" s="223"/>
      <c r="CBO11" s="224"/>
      <c r="CBP11" s="217" t="s">
        <v>101</v>
      </c>
      <c r="CBQ11" s="218"/>
      <c r="CBR11" s="222">
        <v>0</v>
      </c>
      <c r="CBS11" s="223"/>
      <c r="CBT11" s="224"/>
      <c r="CBU11" s="217" t="s">
        <v>41</v>
      </c>
      <c r="CBV11" s="218"/>
      <c r="CBW11" s="222">
        <v>0</v>
      </c>
      <c r="CBX11" s="223"/>
      <c r="CBY11" s="224"/>
      <c r="CBZ11" s="217" t="s">
        <v>99</v>
      </c>
      <c r="CCA11" s="218"/>
      <c r="CCB11" s="222">
        <v>0</v>
      </c>
      <c r="CCC11" s="223"/>
      <c r="CCD11" s="224"/>
      <c r="CCE11" s="217" t="s">
        <v>98</v>
      </c>
      <c r="CCF11" s="218"/>
      <c r="CCG11" s="222">
        <v>17818</v>
      </c>
      <c r="CCH11" s="223"/>
      <c r="CCI11" s="224"/>
      <c r="CCJ11" s="217" t="s">
        <v>97</v>
      </c>
      <c r="CCK11" s="218"/>
      <c r="CCL11" s="222">
        <v>8909</v>
      </c>
      <c r="CCM11" s="223"/>
      <c r="CCN11" s="224"/>
      <c r="CCO11" s="217" t="s">
        <v>96</v>
      </c>
      <c r="CCP11" s="218"/>
      <c r="CCQ11" s="222">
        <v>17818</v>
      </c>
      <c r="CCR11" s="223"/>
      <c r="CCS11" s="224"/>
      <c r="CCT11" s="217" t="s">
        <v>102</v>
      </c>
      <c r="CCU11" s="218"/>
      <c r="CCV11" s="222">
        <v>0</v>
      </c>
      <c r="CCW11" s="223"/>
      <c r="CCX11" s="224"/>
      <c r="CCY11" s="217" t="s">
        <v>41</v>
      </c>
      <c r="CCZ11" s="218"/>
      <c r="CDA11" s="222">
        <v>0</v>
      </c>
      <c r="CDB11" s="223"/>
      <c r="CDC11" s="224"/>
      <c r="CDD11" s="217" t="s">
        <v>99</v>
      </c>
      <c r="CDE11" s="218"/>
      <c r="CDF11" s="222">
        <v>22272.5</v>
      </c>
      <c r="CDG11" s="223"/>
      <c r="CDH11" s="224"/>
      <c r="CDI11" s="217" t="s">
        <v>98</v>
      </c>
      <c r="CDJ11" s="218"/>
      <c r="CDK11" s="222">
        <v>0</v>
      </c>
      <c r="CDL11" s="223"/>
      <c r="CDM11" s="224"/>
      <c r="CDN11" s="217" t="s">
        <v>97</v>
      </c>
      <c r="CDO11" s="218"/>
      <c r="CDP11" s="222">
        <v>8909</v>
      </c>
      <c r="CDQ11" s="223"/>
      <c r="CDR11" s="224"/>
      <c r="CDS11" s="217" t="s">
        <v>96</v>
      </c>
      <c r="CDT11" s="218"/>
      <c r="CDU11" s="222">
        <v>8909</v>
      </c>
      <c r="CDV11" s="223"/>
      <c r="CDW11" s="224"/>
      <c r="CDX11" s="217" t="s">
        <v>102</v>
      </c>
      <c r="CDY11" s="218"/>
      <c r="CDZ11" s="222">
        <v>142544</v>
      </c>
      <c r="CEA11" s="223"/>
      <c r="CEB11" s="224"/>
      <c r="CEC11" s="217" t="s">
        <v>101</v>
      </c>
      <c r="CED11" s="218"/>
      <c r="CEE11" s="222">
        <v>0</v>
      </c>
      <c r="CEF11" s="223"/>
      <c r="CEG11" s="224"/>
      <c r="CEH11" s="217" t="s">
        <v>41</v>
      </c>
      <c r="CEI11" s="218"/>
      <c r="CEJ11" s="222">
        <v>0</v>
      </c>
      <c r="CEK11" s="223"/>
      <c r="CEL11" s="224"/>
      <c r="CEM11" s="217" t="s">
        <v>99</v>
      </c>
      <c r="CEN11" s="218"/>
      <c r="CEO11" s="222">
        <v>0</v>
      </c>
      <c r="CEP11" s="223"/>
      <c r="CEQ11" s="224"/>
      <c r="CER11" s="217" t="s">
        <v>99</v>
      </c>
      <c r="CES11" s="218"/>
      <c r="CET11" s="222">
        <v>75726.5</v>
      </c>
      <c r="CEU11" s="223"/>
      <c r="CEV11" s="224"/>
      <c r="CEW11" s="217" t="s">
        <v>98</v>
      </c>
      <c r="CEX11" s="218"/>
      <c r="CEY11" s="222">
        <v>57908.5</v>
      </c>
      <c r="CEZ11" s="223"/>
      <c r="CFA11" s="224"/>
      <c r="CFB11" s="217" t="s">
        <v>97</v>
      </c>
      <c r="CFC11" s="218"/>
      <c r="CFD11" s="222">
        <v>97999</v>
      </c>
      <c r="CFE11" s="223"/>
      <c r="CFF11" s="224"/>
      <c r="CFG11" s="217" t="s">
        <v>96</v>
      </c>
      <c r="CFH11" s="218"/>
      <c r="CFI11" s="222">
        <v>53454</v>
      </c>
      <c r="CFJ11" s="223"/>
      <c r="CFK11" s="224"/>
      <c r="CFL11" s="217" t="s">
        <v>102</v>
      </c>
      <c r="CFM11" s="218"/>
      <c r="CFN11" s="222">
        <v>151453</v>
      </c>
      <c r="CFO11" s="223"/>
      <c r="CFP11" s="224"/>
      <c r="CFQ11" s="217" t="s">
        <v>41</v>
      </c>
      <c r="CFR11" s="218"/>
      <c r="CFS11" s="222">
        <v>0</v>
      </c>
      <c r="CFT11" s="223"/>
      <c r="CFU11" s="224"/>
      <c r="CFV11" s="217" t="s">
        <v>99</v>
      </c>
      <c r="CFW11" s="218"/>
      <c r="CFX11" s="222">
        <v>0</v>
      </c>
      <c r="CFY11" s="223"/>
      <c r="CFZ11" s="224"/>
      <c r="CGA11" s="217" t="s">
        <v>98</v>
      </c>
      <c r="CGB11" s="218"/>
      <c r="CGC11" s="222">
        <v>4454.5</v>
      </c>
      <c r="CGD11" s="223"/>
      <c r="CGE11" s="224"/>
      <c r="CGF11" s="217" t="s">
        <v>97</v>
      </c>
      <c r="CGG11" s="218"/>
      <c r="CGH11" s="222">
        <v>8909</v>
      </c>
      <c r="CGI11" s="223"/>
      <c r="CGJ11" s="224"/>
      <c r="CGK11" s="217" t="s">
        <v>96</v>
      </c>
      <c r="CGL11" s="218"/>
      <c r="CGM11" s="222">
        <v>44545</v>
      </c>
      <c r="CGN11" s="223"/>
      <c r="CGO11" s="224"/>
      <c r="CGP11" s="217" t="s">
        <v>102</v>
      </c>
      <c r="CGQ11" s="218"/>
      <c r="CGR11" s="222">
        <v>66817.5</v>
      </c>
      <c r="CGS11" s="223"/>
      <c r="CGT11" s="224"/>
      <c r="CGU11" s="217" t="s">
        <v>41</v>
      </c>
      <c r="CGV11" s="218"/>
      <c r="CGW11" s="222">
        <v>0</v>
      </c>
      <c r="CGX11" s="223"/>
      <c r="CGY11" s="224"/>
      <c r="CGZ11" s="217" t="s">
        <v>99</v>
      </c>
      <c r="CHA11" s="218"/>
      <c r="CHB11" s="222">
        <v>0</v>
      </c>
      <c r="CHC11" s="223"/>
      <c r="CHD11" s="224"/>
      <c r="CHE11" s="217" t="s">
        <v>98</v>
      </c>
      <c r="CHF11" s="218"/>
      <c r="CHG11" s="222">
        <v>8909</v>
      </c>
      <c r="CHH11" s="223"/>
      <c r="CHI11" s="224"/>
      <c r="CHJ11" s="217" t="s">
        <v>96</v>
      </c>
      <c r="CHK11" s="218"/>
      <c r="CHL11" s="222">
        <v>0</v>
      </c>
      <c r="CHM11" s="223"/>
      <c r="CHN11" s="224"/>
      <c r="CHO11" s="217" t="s">
        <v>102</v>
      </c>
      <c r="CHP11" s="218"/>
      <c r="CHQ11" s="222">
        <v>40090.5</v>
      </c>
      <c r="CHR11" s="223"/>
      <c r="CHS11" s="224"/>
      <c r="CHT11" s="217" t="s">
        <v>101</v>
      </c>
      <c r="CHU11" s="218"/>
      <c r="CHV11" s="222">
        <v>0</v>
      </c>
      <c r="CHW11" s="223"/>
      <c r="CHX11" s="224"/>
      <c r="CHY11" s="217" t="s">
        <v>41</v>
      </c>
      <c r="CHZ11" s="218"/>
      <c r="CIA11" s="222">
        <v>0</v>
      </c>
      <c r="CIB11" s="223"/>
      <c r="CIC11" s="224"/>
      <c r="CID11" s="217" t="s">
        <v>99</v>
      </c>
      <c r="CIE11" s="218"/>
      <c r="CIF11" s="222">
        <v>26727</v>
      </c>
      <c r="CIG11" s="223"/>
      <c r="CIH11" s="224"/>
      <c r="CII11" s="217" t="s">
        <v>98</v>
      </c>
      <c r="CIJ11" s="218"/>
      <c r="CIK11" s="222">
        <v>2672.7</v>
      </c>
      <c r="CIL11" s="223"/>
      <c r="CIM11" s="224"/>
      <c r="CIN11" s="217" t="s">
        <v>97</v>
      </c>
      <c r="CIO11" s="218"/>
      <c r="CIP11" s="222">
        <v>0</v>
      </c>
      <c r="CIQ11" s="223"/>
      <c r="CIR11" s="224"/>
      <c r="CIS11" s="217" t="s">
        <v>96</v>
      </c>
      <c r="CIT11" s="218"/>
      <c r="CIU11" s="222">
        <v>0</v>
      </c>
      <c r="CIV11" s="223"/>
      <c r="CIW11" s="224"/>
      <c r="CIX11" s="217" t="s">
        <v>102</v>
      </c>
      <c r="CIY11" s="218"/>
      <c r="CIZ11" s="222">
        <v>62363</v>
      </c>
      <c r="CJA11" s="223"/>
      <c r="CJB11" s="224"/>
      <c r="CJC11" s="217" t="s">
        <v>41</v>
      </c>
      <c r="CJD11" s="218"/>
      <c r="CJE11" s="222">
        <v>0</v>
      </c>
      <c r="CJF11" s="223"/>
      <c r="CJG11" s="224"/>
      <c r="CJH11" s="217" t="s">
        <v>99</v>
      </c>
      <c r="CJI11" s="218"/>
      <c r="CJJ11" s="222">
        <v>17818</v>
      </c>
      <c r="CJK11" s="223"/>
      <c r="CJL11" s="224"/>
      <c r="CJM11" s="217" t="s">
        <v>98</v>
      </c>
      <c r="CJN11" s="218"/>
      <c r="CJO11" s="222">
        <v>0</v>
      </c>
      <c r="CJP11" s="223"/>
      <c r="CJQ11" s="224"/>
      <c r="CJR11" s="217" t="s">
        <v>97</v>
      </c>
      <c r="CJS11" s="218"/>
      <c r="CJT11" s="222">
        <v>8909</v>
      </c>
      <c r="CJU11" s="223"/>
      <c r="CJV11" s="224"/>
      <c r="CJW11" s="217" t="s">
        <v>96</v>
      </c>
      <c r="CJX11" s="218"/>
      <c r="CJY11" s="222">
        <v>26727</v>
      </c>
      <c r="CJZ11" s="223"/>
      <c r="CKA11" s="224"/>
      <c r="CKB11" s="217" t="s">
        <v>102</v>
      </c>
      <c r="CKC11" s="218"/>
      <c r="CKD11" s="222">
        <v>115817</v>
      </c>
      <c r="CKE11" s="223"/>
      <c r="CKF11" s="224"/>
      <c r="CKG11" s="217" t="s">
        <v>101</v>
      </c>
      <c r="CKH11" s="218"/>
      <c r="CKI11" s="222">
        <v>0</v>
      </c>
      <c r="CKJ11" s="223"/>
      <c r="CKK11" s="224"/>
      <c r="CKL11" s="217" t="s">
        <v>41</v>
      </c>
      <c r="CKM11" s="218"/>
      <c r="CKN11" s="222">
        <v>0</v>
      </c>
      <c r="CKO11" s="223"/>
      <c r="CKP11" s="224"/>
      <c r="CKQ11" s="217" t="s">
        <v>99</v>
      </c>
      <c r="CKR11" s="218"/>
      <c r="CKS11" s="222">
        <v>8909</v>
      </c>
      <c r="CKT11" s="223"/>
      <c r="CKU11" s="224"/>
      <c r="CKV11" s="217" t="s">
        <v>98</v>
      </c>
      <c r="CKW11" s="218"/>
      <c r="CKX11" s="222">
        <v>0</v>
      </c>
      <c r="CKY11" s="223"/>
      <c r="CKZ11" s="224"/>
      <c r="CLA11" s="217" t="s">
        <v>97</v>
      </c>
      <c r="CLB11" s="218"/>
      <c r="CLC11" s="222">
        <v>26727</v>
      </c>
      <c r="CLD11" s="223"/>
      <c r="CLE11" s="224"/>
      <c r="CLF11" s="217" t="s">
        <v>96</v>
      </c>
      <c r="CLG11" s="218"/>
      <c r="CLH11" s="222">
        <v>0</v>
      </c>
      <c r="CLI11" s="223"/>
      <c r="CLJ11" s="224"/>
      <c r="CLK11" s="217" t="s">
        <v>102</v>
      </c>
      <c r="CLL11" s="218"/>
      <c r="CLM11" s="222">
        <v>35636</v>
      </c>
      <c r="CLN11" s="223"/>
      <c r="CLO11" s="224"/>
      <c r="CLP11" s="217" t="s">
        <v>101</v>
      </c>
      <c r="CLQ11" s="218"/>
      <c r="CLR11" s="222">
        <v>0</v>
      </c>
      <c r="CLS11" s="223"/>
      <c r="CLT11" s="224"/>
      <c r="CLU11" s="217" t="s">
        <v>41</v>
      </c>
      <c r="CLV11" s="218"/>
      <c r="CLW11" s="222">
        <v>0</v>
      </c>
      <c r="CLX11" s="223"/>
      <c r="CLY11" s="224"/>
      <c r="CLZ11" s="217" t="s">
        <v>99</v>
      </c>
      <c r="CMA11" s="218"/>
      <c r="CMB11" s="222">
        <v>22272.5</v>
      </c>
      <c r="CMC11" s="223"/>
      <c r="CMD11" s="224"/>
      <c r="CME11" s="217" t="s">
        <v>98</v>
      </c>
      <c r="CMF11" s="218"/>
      <c r="CMG11" s="222">
        <v>0</v>
      </c>
      <c r="CMH11" s="223"/>
      <c r="CMI11" s="224"/>
      <c r="CMJ11" s="217" t="s">
        <v>96</v>
      </c>
      <c r="CMK11" s="218"/>
      <c r="CML11" s="222">
        <v>62363</v>
      </c>
      <c r="CMM11" s="223"/>
      <c r="CMN11" s="224"/>
      <c r="CMO11" s="217" t="s">
        <v>102</v>
      </c>
      <c r="CMP11" s="218"/>
      <c r="CMQ11" s="222">
        <v>133635</v>
      </c>
      <c r="CMR11" s="223"/>
      <c r="CMS11" s="224"/>
      <c r="CMT11" s="217" t="s">
        <v>101</v>
      </c>
      <c r="CMU11" s="218"/>
      <c r="CMV11" s="222">
        <v>0</v>
      </c>
      <c r="CMW11" s="223"/>
      <c r="CMX11" s="224"/>
      <c r="CMY11" s="217" t="s">
        <v>41</v>
      </c>
      <c r="CMZ11" s="218"/>
      <c r="CNA11" s="222">
        <v>0</v>
      </c>
      <c r="CNB11" s="223"/>
      <c r="CNC11" s="224"/>
      <c r="CND11" s="217" t="s">
        <v>99</v>
      </c>
      <c r="CNE11" s="218"/>
      <c r="CNF11" s="222">
        <v>75726.5</v>
      </c>
      <c r="CNG11" s="223"/>
      <c r="CNH11" s="224"/>
      <c r="CNI11" s="217" t="s">
        <v>98</v>
      </c>
      <c r="CNJ11" s="218"/>
      <c r="CNK11" s="222">
        <v>53454</v>
      </c>
      <c r="CNL11" s="223"/>
      <c r="CNM11" s="224"/>
      <c r="CNN11" s="217" t="s">
        <v>97</v>
      </c>
      <c r="CNO11" s="218"/>
      <c r="CNP11" s="222">
        <v>44545</v>
      </c>
      <c r="CNQ11" s="223"/>
      <c r="CNR11" s="224"/>
      <c r="CNS11" s="217" t="s">
        <v>96</v>
      </c>
      <c r="CNT11" s="218"/>
      <c r="CNU11" s="222">
        <v>97999</v>
      </c>
      <c r="CNV11" s="223"/>
      <c r="CNW11" s="224"/>
      <c r="CNX11" s="217" t="s">
        <v>102</v>
      </c>
      <c r="CNY11" s="218"/>
      <c r="CNZ11" s="222">
        <v>151453</v>
      </c>
      <c r="COA11" s="223"/>
      <c r="COB11" s="224"/>
      <c r="COC11" s="217" t="s">
        <v>101</v>
      </c>
      <c r="COD11" s="218"/>
      <c r="COE11" s="222">
        <v>0</v>
      </c>
      <c r="COF11" s="223"/>
      <c r="COG11" s="224"/>
      <c r="COH11" s="217" t="s">
        <v>41</v>
      </c>
      <c r="COI11" s="218"/>
      <c r="COJ11" s="222">
        <v>48999.5</v>
      </c>
      <c r="COK11" s="223"/>
      <c r="COL11" s="224"/>
      <c r="COM11" s="217" t="s">
        <v>99</v>
      </c>
      <c r="CON11" s="218"/>
      <c r="COO11" s="222">
        <v>0</v>
      </c>
      <c r="COP11" s="223"/>
      <c r="COQ11" s="224"/>
      <c r="COR11" s="217" t="s">
        <v>99</v>
      </c>
      <c r="COS11" s="218"/>
      <c r="COT11" s="222">
        <v>0</v>
      </c>
      <c r="COU11" s="223"/>
      <c r="COV11" s="224"/>
      <c r="COW11" s="217" t="s">
        <v>98</v>
      </c>
      <c r="COX11" s="218"/>
      <c r="COY11" s="222">
        <v>26727</v>
      </c>
      <c r="COZ11" s="223"/>
      <c r="CPA11" s="224"/>
      <c r="CPB11" s="217" t="s">
        <v>97</v>
      </c>
      <c r="CPC11" s="218"/>
      <c r="CPD11" s="222">
        <v>35636</v>
      </c>
      <c r="CPE11" s="223"/>
      <c r="CPF11" s="224"/>
      <c r="CPG11" s="217" t="s">
        <v>97</v>
      </c>
      <c r="CPH11" s="218"/>
      <c r="CPI11" s="222">
        <v>80181</v>
      </c>
      <c r="CPJ11" s="223"/>
      <c r="CPK11" s="224"/>
      <c r="CPL11" s="217" t="s">
        <v>97</v>
      </c>
      <c r="CPM11" s="218"/>
      <c r="CPN11" s="222">
        <v>0</v>
      </c>
      <c r="CPO11" s="223"/>
      <c r="CPP11" s="224"/>
      <c r="CPQ11" s="217" t="s">
        <v>96</v>
      </c>
      <c r="CPR11" s="218"/>
      <c r="CPS11" s="222">
        <v>26727</v>
      </c>
      <c r="CPT11" s="223"/>
      <c r="CPU11" s="224"/>
      <c r="CPV11" s="217" t="s">
        <v>99</v>
      </c>
      <c r="CPW11" s="218"/>
      <c r="CPX11" s="222">
        <v>0</v>
      </c>
      <c r="CPY11" s="223"/>
      <c r="CPZ11" s="224"/>
      <c r="CQA11" s="217" t="s">
        <v>98</v>
      </c>
      <c r="CQB11" s="218"/>
      <c r="CQC11" s="222">
        <v>4454.5</v>
      </c>
      <c r="CQD11" s="223"/>
      <c r="CQE11" s="224"/>
      <c r="CQF11" s="217" t="s">
        <v>97</v>
      </c>
      <c r="CQG11" s="218"/>
      <c r="CQH11" s="222">
        <v>0</v>
      </c>
      <c r="CQI11" s="223"/>
      <c r="CQJ11" s="224"/>
      <c r="CQK11" s="217" t="s">
        <v>96</v>
      </c>
      <c r="CQL11" s="218"/>
      <c r="CQM11" s="222">
        <v>65185</v>
      </c>
      <c r="CQN11" s="223"/>
      <c r="CQO11" s="224"/>
      <c r="CQP11" s="217" t="s">
        <v>102</v>
      </c>
      <c r="CQQ11" s="218"/>
      <c r="CQR11" s="222">
        <v>0</v>
      </c>
      <c r="CQS11" s="223"/>
      <c r="CQT11" s="224"/>
      <c r="CQU11" s="217" t="s">
        <v>41</v>
      </c>
      <c r="CQV11" s="218"/>
      <c r="CQW11" s="222">
        <v>0</v>
      </c>
      <c r="CQX11" s="223"/>
      <c r="CQY11" s="224"/>
      <c r="CQZ11" s="217" t="s">
        <v>96</v>
      </c>
      <c r="CRA11" s="218"/>
      <c r="CRB11" s="222">
        <v>4454.5</v>
      </c>
      <c r="CRC11" s="223"/>
      <c r="CRD11" s="224"/>
      <c r="CRE11" s="310" t="s">
        <v>34</v>
      </c>
      <c r="CRF11" s="311"/>
      <c r="CRG11" s="312">
        <v>97999</v>
      </c>
      <c r="CRH11" s="313"/>
      <c r="CRI11" s="314"/>
      <c r="CRJ11" s="310" t="s">
        <v>42</v>
      </c>
      <c r="CRK11" s="311"/>
      <c r="CRL11" s="312">
        <v>0</v>
      </c>
      <c r="CRM11" s="313"/>
      <c r="CRN11" s="314"/>
      <c r="CRO11" s="310" t="s">
        <v>36</v>
      </c>
      <c r="CRP11" s="311"/>
      <c r="CRQ11" s="312">
        <v>8909</v>
      </c>
      <c r="CRR11" s="313"/>
      <c r="CRS11" s="314"/>
      <c r="CRT11" s="310" t="s">
        <v>35</v>
      </c>
      <c r="CRU11" s="311"/>
      <c r="CRV11" s="312">
        <v>26727</v>
      </c>
      <c r="CRW11" s="313"/>
      <c r="CRX11" s="314"/>
      <c r="CRY11" s="339" t="s">
        <v>35</v>
      </c>
      <c r="CRZ11" s="340"/>
      <c r="CSA11" s="341">
        <v>0</v>
      </c>
      <c r="CSB11" s="342"/>
      <c r="CSC11" s="339" t="s">
        <v>34</v>
      </c>
      <c r="CSD11" s="340"/>
      <c r="CSE11" s="341"/>
      <c r="CSF11" s="342"/>
      <c r="CSG11" s="339" t="s">
        <v>37</v>
      </c>
      <c r="CSH11" s="340"/>
      <c r="CSI11" s="341">
        <v>26727</v>
      </c>
      <c r="CSJ11" s="342"/>
      <c r="CSK11" s="339" t="s">
        <v>37</v>
      </c>
      <c r="CSL11" s="340"/>
      <c r="CSM11" s="341">
        <v>0</v>
      </c>
      <c r="CSN11" s="342"/>
      <c r="CSO11" s="339" t="s">
        <v>36</v>
      </c>
      <c r="CSP11" s="340"/>
      <c r="CSQ11" s="341">
        <v>22272.5</v>
      </c>
      <c r="CSR11" s="342"/>
      <c r="CSS11" s="339" t="s">
        <v>36</v>
      </c>
      <c r="CST11" s="340"/>
      <c r="CSU11" s="341"/>
      <c r="CSV11" s="342"/>
      <c r="CSW11" s="339" t="s">
        <v>42</v>
      </c>
      <c r="CSX11" s="340"/>
      <c r="CSY11" s="341">
        <v>0</v>
      </c>
      <c r="CSZ11" s="342"/>
      <c r="CTA11" s="339" t="s">
        <v>36</v>
      </c>
      <c r="CTB11" s="340"/>
      <c r="CTC11" s="341">
        <v>6681.75</v>
      </c>
      <c r="CTD11" s="342"/>
      <c r="CTE11" s="339" t="s">
        <v>35</v>
      </c>
      <c r="CTF11" s="340"/>
      <c r="CTG11" s="341">
        <v>4454.5</v>
      </c>
      <c r="CTH11" s="342"/>
      <c r="CTI11" s="339" t="s">
        <v>34</v>
      </c>
      <c r="CTJ11" s="340"/>
      <c r="CTK11" s="341"/>
      <c r="CTL11" s="342"/>
      <c r="CTM11" s="339" t="s">
        <v>37</v>
      </c>
      <c r="CTN11" s="340"/>
      <c r="CTO11" s="341">
        <v>0</v>
      </c>
      <c r="CTP11" s="342"/>
      <c r="CTQ11" s="339" t="s">
        <v>42</v>
      </c>
      <c r="CTR11" s="340"/>
      <c r="CTS11" s="341">
        <v>8909</v>
      </c>
      <c r="CTT11" s="342"/>
      <c r="CTU11" s="339" t="s">
        <v>36</v>
      </c>
      <c r="CTV11" s="340"/>
      <c r="CTW11" s="341">
        <v>4454.5</v>
      </c>
      <c r="CTX11" s="342"/>
      <c r="CTY11" s="339" t="s">
        <v>35</v>
      </c>
      <c r="CTZ11" s="340"/>
      <c r="CUA11" s="341">
        <v>66817.5</v>
      </c>
      <c r="CUB11" s="342"/>
      <c r="CUC11" s="339" t="s">
        <v>35</v>
      </c>
      <c r="CUD11" s="340"/>
      <c r="CUE11" s="341"/>
      <c r="CUF11" s="342"/>
      <c r="CUG11" s="339" t="s">
        <v>37</v>
      </c>
      <c r="CUH11" s="340"/>
      <c r="CUI11" s="341">
        <v>13363.5</v>
      </c>
      <c r="CUJ11" s="342"/>
      <c r="CUK11" s="339" t="s">
        <v>42</v>
      </c>
      <c r="CUL11" s="340"/>
      <c r="CUM11" s="341">
        <v>17818</v>
      </c>
      <c r="CUN11" s="342"/>
      <c r="CUO11" s="339" t="s">
        <v>36</v>
      </c>
      <c r="CUP11" s="340"/>
      <c r="CUQ11" s="341">
        <v>0</v>
      </c>
      <c r="CUR11" s="342"/>
      <c r="CUS11" s="339" t="s">
        <v>36</v>
      </c>
      <c r="CUT11" s="340"/>
      <c r="CUU11" s="341"/>
      <c r="CUV11" s="342"/>
      <c r="CUW11" s="339" t="s">
        <v>37</v>
      </c>
      <c r="CUX11" s="340"/>
      <c r="CUY11" s="341">
        <v>8909</v>
      </c>
      <c r="CUZ11" s="342"/>
      <c r="CVA11" s="339" t="s">
        <v>42</v>
      </c>
      <c r="CVB11" s="340"/>
      <c r="CVC11" s="341">
        <v>0</v>
      </c>
      <c r="CVD11" s="342"/>
      <c r="CVE11" s="339" t="s">
        <v>36</v>
      </c>
      <c r="CVF11" s="340"/>
      <c r="CVG11" s="341"/>
      <c r="CVH11" s="342"/>
      <c r="CVI11" s="339" t="s">
        <v>36</v>
      </c>
      <c r="CVJ11" s="340"/>
      <c r="CVK11" s="341">
        <v>0</v>
      </c>
      <c r="CVL11" s="342"/>
      <c r="CVM11" s="339" t="s">
        <v>35</v>
      </c>
      <c r="CVN11" s="340"/>
      <c r="CVO11" s="341">
        <v>0</v>
      </c>
      <c r="CVP11" s="342"/>
      <c r="CVQ11" s="339" t="s">
        <v>34</v>
      </c>
      <c r="CVR11" s="340"/>
      <c r="CVS11" s="341">
        <v>0</v>
      </c>
      <c r="CVT11" s="342"/>
      <c r="CVU11" s="339" t="s">
        <v>34</v>
      </c>
      <c r="CVV11" s="340"/>
      <c r="CVW11" s="341"/>
      <c r="CVX11" s="342"/>
      <c r="CVY11" s="339" t="s">
        <v>34</v>
      </c>
      <c r="CVZ11" s="340"/>
      <c r="CWA11" s="341"/>
      <c r="CWB11" s="342"/>
      <c r="CWC11" s="339" t="s">
        <v>37</v>
      </c>
      <c r="CWD11" s="340"/>
      <c r="CWE11" s="341">
        <v>13363.5</v>
      </c>
      <c r="CWF11" s="342"/>
      <c r="CWG11" s="339" t="s">
        <v>42</v>
      </c>
      <c r="CWH11" s="340"/>
      <c r="CWI11" s="341">
        <v>0</v>
      </c>
      <c r="CWJ11" s="342"/>
      <c r="CWK11" s="339" t="s">
        <v>36</v>
      </c>
      <c r="CWL11" s="340"/>
      <c r="CWM11" s="341">
        <v>0</v>
      </c>
      <c r="CWN11" s="342"/>
      <c r="CWO11" s="339" t="s">
        <v>35</v>
      </c>
      <c r="CWP11" s="340"/>
      <c r="CWQ11" s="341">
        <v>0</v>
      </c>
      <c r="CWR11" s="342"/>
      <c r="CWS11" s="339" t="s">
        <v>35</v>
      </c>
      <c r="CWT11" s="340"/>
      <c r="CWU11" s="341"/>
      <c r="CWV11" s="342"/>
      <c r="CWW11" s="339" t="s">
        <v>34</v>
      </c>
      <c r="CWX11" s="340"/>
      <c r="CWY11" s="341">
        <v>22272.5</v>
      </c>
      <c r="CWZ11" s="342"/>
      <c r="CXA11" s="368" t="s">
        <v>37</v>
      </c>
      <c r="CXB11" s="369"/>
      <c r="CXC11" s="370">
        <v>0</v>
      </c>
      <c r="CXD11" s="371"/>
      <c r="CXE11" s="368" t="s">
        <v>37</v>
      </c>
      <c r="CXF11" s="369"/>
      <c r="CXG11" s="370">
        <v>0</v>
      </c>
      <c r="CXH11" s="371"/>
      <c r="CXI11" s="368" t="s">
        <v>36</v>
      </c>
      <c r="CXJ11" s="369"/>
      <c r="CXK11" s="370">
        <v>0</v>
      </c>
      <c r="CXL11" s="371"/>
      <c r="CXM11" s="368" t="s">
        <v>35</v>
      </c>
      <c r="CXN11" s="369"/>
      <c r="CXO11" s="370">
        <v>13363.5</v>
      </c>
      <c r="CXP11" s="371"/>
      <c r="CXQ11" s="368" t="s">
        <v>34</v>
      </c>
      <c r="CXR11" s="369"/>
      <c r="CXS11" s="370">
        <v>35636</v>
      </c>
      <c r="CXT11" s="371"/>
      <c r="CXU11" s="26" t="s">
        <v>42</v>
      </c>
      <c r="CXW11" s="26">
        <v>0</v>
      </c>
      <c r="CXY11" s="26" t="s">
        <v>36</v>
      </c>
      <c r="CYA11" s="26">
        <v>0</v>
      </c>
      <c r="CYC11" s="26" t="s">
        <v>34</v>
      </c>
      <c r="CYE11" s="26">
        <v>26727</v>
      </c>
      <c r="CYG11" s="26" t="s">
        <v>35</v>
      </c>
      <c r="CYI11" s="26">
        <v>4454</v>
      </c>
      <c r="CYK11" s="26" t="s">
        <v>41</v>
      </c>
      <c r="CYM11" s="26">
        <v>0</v>
      </c>
      <c r="CYO11" s="26" t="s">
        <v>42</v>
      </c>
      <c r="CYS11" s="26" t="s">
        <v>41</v>
      </c>
      <c r="CYU11" s="26">
        <v>0</v>
      </c>
      <c r="CYW11" s="26" t="s">
        <v>37</v>
      </c>
      <c r="CZA11" s="26" t="s">
        <v>37</v>
      </c>
      <c r="CZC11" s="26">
        <v>0</v>
      </c>
      <c r="CZE11" s="26" t="s">
        <v>35</v>
      </c>
      <c r="CZG11" s="26">
        <v>0</v>
      </c>
      <c r="CZI11" s="26" t="s">
        <v>41</v>
      </c>
      <c r="CZK11" s="26">
        <v>0</v>
      </c>
      <c r="CZM11" s="26" t="s">
        <v>37</v>
      </c>
      <c r="CZO11" s="26">
        <v>0</v>
      </c>
      <c r="CZQ11" s="26" t="s">
        <v>42</v>
      </c>
      <c r="CZS11" s="26">
        <v>0</v>
      </c>
      <c r="CZU11" s="26" t="s">
        <v>41</v>
      </c>
      <c r="CZW11" s="26">
        <v>0</v>
      </c>
      <c r="CZY11" s="26" t="s">
        <v>37</v>
      </c>
      <c r="DAA11" s="26">
        <v>0</v>
      </c>
      <c r="DAC11" s="26" t="s">
        <v>42</v>
      </c>
      <c r="DAE11" s="26">
        <v>0</v>
      </c>
      <c r="DAG11" s="26" t="s">
        <v>35</v>
      </c>
      <c r="DAI11" s="26">
        <v>0</v>
      </c>
      <c r="DAK11" s="26" t="s">
        <v>36</v>
      </c>
      <c r="DAM11" s="26">
        <v>0</v>
      </c>
      <c r="DAO11" s="26" t="s">
        <v>35</v>
      </c>
      <c r="DAQ11" s="26">
        <v>17818</v>
      </c>
      <c r="DAS11" s="26" t="s">
        <v>45</v>
      </c>
      <c r="DAU11" s="26">
        <v>0</v>
      </c>
      <c r="DAW11" s="26" t="s">
        <v>42</v>
      </c>
      <c r="DAY11" s="26">
        <v>12900</v>
      </c>
      <c r="DBA11" s="26" t="s">
        <v>42</v>
      </c>
      <c r="DBC11" s="26">
        <v>0</v>
      </c>
      <c r="DBE11" s="26" t="s">
        <v>36</v>
      </c>
      <c r="DBG11" s="26">
        <v>0</v>
      </c>
      <c r="DBI11" s="26" t="s">
        <v>35</v>
      </c>
      <c r="DBK11" s="26">
        <v>5160</v>
      </c>
      <c r="DBM11" s="26" t="s">
        <v>45</v>
      </c>
      <c r="DBO11" s="26">
        <v>5160</v>
      </c>
      <c r="DBQ11" s="26" t="s">
        <v>42</v>
      </c>
      <c r="DBS11" s="26">
        <v>0</v>
      </c>
      <c r="DBU11" s="26" t="s">
        <v>36</v>
      </c>
      <c r="DBW11" s="26">
        <v>0</v>
      </c>
      <c r="DBY11" s="26" t="s">
        <v>36</v>
      </c>
      <c r="DCA11" s="26">
        <v>10320</v>
      </c>
      <c r="DCC11" s="26" t="s">
        <v>34</v>
      </c>
      <c r="DCE11" s="26">
        <v>0</v>
      </c>
      <c r="DCG11" s="26" t="s">
        <v>42</v>
      </c>
      <c r="DCI11" s="26">
        <v>0</v>
      </c>
      <c r="DCK11" s="26" t="s">
        <v>42</v>
      </c>
      <c r="DCM11" s="26">
        <v>0</v>
      </c>
      <c r="DCO11" s="26" t="s">
        <v>36</v>
      </c>
      <c r="DCQ11" s="26">
        <v>36120</v>
      </c>
      <c r="DCS11" s="26" t="s">
        <v>35</v>
      </c>
      <c r="DCU11" s="26">
        <v>1290</v>
      </c>
      <c r="DCW11" s="26" t="s">
        <v>45</v>
      </c>
      <c r="DCY11" s="26">
        <v>0</v>
      </c>
      <c r="DDA11" s="26" t="s">
        <v>42</v>
      </c>
      <c r="DDC11" s="26">
        <v>0</v>
      </c>
      <c r="DDE11" s="26" t="s">
        <v>42</v>
      </c>
      <c r="DDG11" s="26">
        <v>0</v>
      </c>
      <c r="DDI11" s="26" t="s">
        <v>36</v>
      </c>
      <c r="DDK11" s="26">
        <v>0</v>
      </c>
      <c r="DDM11" s="26" t="s">
        <v>35</v>
      </c>
      <c r="DDO11" s="26">
        <v>14532</v>
      </c>
      <c r="DDQ11" s="26" t="s">
        <v>5</v>
      </c>
      <c r="DDT11" s="26">
        <v>20393</v>
      </c>
    </row>
    <row r="12" spans="1:2828" x14ac:dyDescent="0.25">
      <c r="A12" s="217" t="s">
        <v>99</v>
      </c>
      <c r="B12" s="218"/>
      <c r="C12" s="222">
        <v>4454.5</v>
      </c>
      <c r="D12" s="223"/>
      <c r="E12" s="224"/>
      <c r="F12" s="217" t="s">
        <v>98</v>
      </c>
      <c r="G12" s="218"/>
      <c r="H12" s="222">
        <v>80181</v>
      </c>
      <c r="I12" s="223"/>
      <c r="J12" s="224"/>
      <c r="K12" s="217" t="s">
        <v>97</v>
      </c>
      <c r="L12" s="218"/>
      <c r="M12" s="222">
        <v>4454.5</v>
      </c>
      <c r="N12" s="223"/>
      <c r="O12" s="224"/>
      <c r="P12" s="217" t="s">
        <v>96</v>
      </c>
      <c r="Q12" s="218"/>
      <c r="R12" s="222">
        <v>48999.5</v>
      </c>
      <c r="S12" s="223"/>
      <c r="T12" s="224"/>
      <c r="U12" s="217" t="s">
        <v>102</v>
      </c>
      <c r="V12" s="218"/>
      <c r="W12" s="222">
        <v>0</v>
      </c>
      <c r="X12" s="223"/>
      <c r="Y12" s="224"/>
      <c r="Z12" s="217" t="s">
        <v>101</v>
      </c>
      <c r="AA12" s="218"/>
      <c r="AB12" s="222">
        <v>0</v>
      </c>
      <c r="AC12" s="223"/>
      <c r="AD12" s="224"/>
      <c r="AE12" s="217" t="s">
        <v>41</v>
      </c>
      <c r="AF12" s="218"/>
      <c r="AG12" s="222">
        <v>0</v>
      </c>
      <c r="AH12" s="223"/>
      <c r="AI12" s="224"/>
      <c r="AJ12" s="217" t="s">
        <v>99</v>
      </c>
      <c r="AK12" s="218"/>
      <c r="AL12" s="222">
        <v>13363.5</v>
      </c>
      <c r="AM12" s="223"/>
      <c r="AN12" s="224"/>
      <c r="AO12" s="217" t="s">
        <v>98</v>
      </c>
      <c r="AP12" s="218"/>
      <c r="AQ12" s="222">
        <v>48999.5</v>
      </c>
      <c r="AR12" s="223"/>
      <c r="AS12" s="224"/>
      <c r="AT12" s="217" t="s">
        <v>97</v>
      </c>
      <c r="AU12" s="218"/>
      <c r="AV12" s="222">
        <v>22272.5</v>
      </c>
      <c r="AW12" s="223"/>
      <c r="AX12" s="224"/>
      <c r="AY12" s="217" t="s">
        <v>96</v>
      </c>
      <c r="AZ12" s="218"/>
      <c r="BA12" s="222">
        <v>40090.5</v>
      </c>
      <c r="BB12" s="223"/>
      <c r="BC12" s="224"/>
      <c r="BD12" s="217" t="s">
        <v>102</v>
      </c>
      <c r="BE12" s="218"/>
      <c r="BF12" s="222">
        <v>35636</v>
      </c>
      <c r="BG12" s="223"/>
      <c r="BH12" s="224"/>
      <c r="BI12" s="217" t="s">
        <v>101</v>
      </c>
      <c r="BJ12" s="218"/>
      <c r="BK12" s="222">
        <v>0</v>
      </c>
      <c r="BL12" s="223"/>
      <c r="BM12" s="224"/>
      <c r="BN12" s="217" t="s">
        <v>41</v>
      </c>
      <c r="BO12" s="218"/>
      <c r="BP12" s="222">
        <v>0</v>
      </c>
      <c r="BQ12" s="223"/>
      <c r="BR12" s="224"/>
      <c r="BS12" s="217" t="s">
        <v>99</v>
      </c>
      <c r="BT12" s="218"/>
      <c r="BU12" s="222">
        <v>35636</v>
      </c>
      <c r="BV12" s="223"/>
      <c r="BW12" s="224"/>
      <c r="BX12" s="217" t="s">
        <v>98</v>
      </c>
      <c r="BY12" s="218"/>
      <c r="BZ12" s="222">
        <v>48314.5</v>
      </c>
      <c r="CA12" s="223"/>
      <c r="CB12" s="224"/>
      <c r="CC12" s="217" t="s">
        <v>97</v>
      </c>
      <c r="CD12" s="218"/>
      <c r="CE12" s="222">
        <v>33540</v>
      </c>
      <c r="CF12" s="223"/>
      <c r="CG12" s="224"/>
      <c r="CH12" s="217" t="s">
        <v>96</v>
      </c>
      <c r="CI12" s="218"/>
      <c r="CJ12" s="222">
        <v>35636</v>
      </c>
      <c r="CK12" s="223"/>
      <c r="CL12" s="224"/>
      <c r="CM12" s="217" t="s">
        <v>102</v>
      </c>
      <c r="CN12" s="218"/>
      <c r="CO12" s="222">
        <v>66817.5</v>
      </c>
      <c r="CP12" s="223"/>
      <c r="CQ12" s="224"/>
      <c r="CR12" s="217" t="s">
        <v>102</v>
      </c>
      <c r="CS12" s="218"/>
      <c r="CT12" s="222">
        <v>35636</v>
      </c>
      <c r="CU12" s="223"/>
      <c r="CV12" s="224"/>
      <c r="CW12" s="217" t="s">
        <v>101</v>
      </c>
      <c r="CX12" s="218"/>
      <c r="CY12" s="222">
        <v>35636</v>
      </c>
      <c r="CZ12" s="223"/>
      <c r="DA12" s="224"/>
      <c r="DB12" s="217" t="s">
        <v>41</v>
      </c>
      <c r="DC12" s="218"/>
      <c r="DD12" s="222">
        <v>0</v>
      </c>
      <c r="DE12" s="223"/>
      <c r="DF12" s="224"/>
      <c r="DG12" s="217" t="s">
        <v>99</v>
      </c>
      <c r="DH12" s="218"/>
      <c r="DI12" s="222">
        <v>26727</v>
      </c>
      <c r="DJ12" s="223"/>
      <c r="DK12" s="224"/>
      <c r="DL12" s="217" t="s">
        <v>98</v>
      </c>
      <c r="DM12" s="218"/>
      <c r="DN12" s="222">
        <v>6681.75</v>
      </c>
      <c r="DO12" s="223"/>
      <c r="DP12" s="224"/>
      <c r="DQ12" s="217" t="s">
        <v>97</v>
      </c>
      <c r="DR12" s="218"/>
      <c r="DS12" s="222">
        <v>31181.5</v>
      </c>
      <c r="DT12" s="223"/>
      <c r="DU12" s="224"/>
      <c r="DV12" s="217" t="s">
        <v>96</v>
      </c>
      <c r="DW12" s="218"/>
      <c r="DX12" s="222">
        <v>48999.5</v>
      </c>
      <c r="DY12" s="223"/>
      <c r="DZ12" s="224"/>
      <c r="EA12" s="217" t="s">
        <v>102</v>
      </c>
      <c r="EB12" s="218"/>
      <c r="EC12" s="222">
        <v>17818</v>
      </c>
      <c r="ED12" s="223"/>
      <c r="EE12" s="224"/>
      <c r="EF12" s="217" t="s">
        <v>101</v>
      </c>
      <c r="EG12" s="218"/>
      <c r="EH12" s="222">
        <v>20490.699999999997</v>
      </c>
      <c r="EI12" s="223"/>
      <c r="EJ12" s="224"/>
      <c r="EK12" s="217" t="s">
        <v>41</v>
      </c>
      <c r="EL12" s="218"/>
      <c r="EM12" s="222">
        <v>0</v>
      </c>
      <c r="EN12" s="223"/>
      <c r="EO12" s="224"/>
      <c r="EP12" s="217" t="s">
        <v>99</v>
      </c>
      <c r="EQ12" s="218"/>
      <c r="ER12" s="222">
        <v>15590.75</v>
      </c>
      <c r="ES12" s="223"/>
      <c r="ET12" s="224"/>
      <c r="EU12" s="217" t="s">
        <v>98</v>
      </c>
      <c r="EV12" s="218"/>
      <c r="EW12" s="222">
        <v>0</v>
      </c>
      <c r="EX12" s="223"/>
      <c r="EY12" s="224"/>
      <c r="EZ12" s="217" t="s">
        <v>97</v>
      </c>
      <c r="FA12" s="218"/>
      <c r="FB12" s="222">
        <v>8909</v>
      </c>
      <c r="FC12" s="223"/>
      <c r="FD12" s="224"/>
      <c r="FE12" s="217" t="s">
        <v>96</v>
      </c>
      <c r="FF12" s="218"/>
      <c r="FG12" s="222">
        <v>26727</v>
      </c>
      <c r="FH12" s="223"/>
      <c r="FI12" s="224"/>
      <c r="FJ12" s="217" t="s">
        <v>102</v>
      </c>
      <c r="FK12" s="218"/>
      <c r="FL12" s="222">
        <v>35636</v>
      </c>
      <c r="FM12" s="223"/>
      <c r="FN12" s="224"/>
      <c r="FO12" s="217" t="s">
        <v>101</v>
      </c>
      <c r="FP12" s="218"/>
      <c r="FQ12" s="222">
        <v>17818</v>
      </c>
      <c r="FR12" s="223"/>
      <c r="FS12" s="224"/>
      <c r="FT12" s="217" t="s">
        <v>41</v>
      </c>
      <c r="FU12" s="218"/>
      <c r="FV12" s="222">
        <v>0</v>
      </c>
      <c r="FW12" s="223"/>
      <c r="FX12" s="224"/>
      <c r="FY12" s="217" t="s">
        <v>99</v>
      </c>
      <c r="FZ12" s="218"/>
      <c r="GA12" s="222">
        <v>0</v>
      </c>
      <c r="GB12" s="223"/>
      <c r="GC12" s="224"/>
      <c r="GD12" s="217" t="s">
        <v>98</v>
      </c>
      <c r="GE12" s="218"/>
      <c r="GF12" s="222">
        <v>48999.5</v>
      </c>
      <c r="GG12" s="223"/>
      <c r="GH12" s="224"/>
      <c r="GI12" s="217" t="s">
        <v>97</v>
      </c>
      <c r="GJ12" s="218"/>
      <c r="GK12" s="222">
        <v>37047</v>
      </c>
      <c r="GL12" s="223"/>
      <c r="GM12" s="224"/>
      <c r="GN12" s="217" t="s">
        <v>96</v>
      </c>
      <c r="GO12" s="218"/>
      <c r="GP12" s="222">
        <v>40090.5</v>
      </c>
      <c r="GQ12" s="223"/>
      <c r="GR12" s="224"/>
      <c r="GS12" s="217" t="s">
        <v>102</v>
      </c>
      <c r="GT12" s="218"/>
      <c r="GU12" s="222">
        <v>8909</v>
      </c>
      <c r="GV12" s="223"/>
      <c r="GW12" s="224"/>
      <c r="GX12" s="217" t="s">
        <v>101</v>
      </c>
      <c r="GY12" s="218"/>
      <c r="GZ12" s="222">
        <v>0</v>
      </c>
      <c r="HA12" s="223"/>
      <c r="HB12" s="224"/>
      <c r="HC12" s="217" t="s">
        <v>41</v>
      </c>
      <c r="HD12" s="218"/>
      <c r="HE12" s="222">
        <v>0</v>
      </c>
      <c r="HF12" s="223"/>
      <c r="HG12" s="224"/>
      <c r="HH12" s="217" t="s">
        <v>99</v>
      </c>
      <c r="HI12" s="218"/>
      <c r="HJ12" s="222">
        <v>13363.5</v>
      </c>
      <c r="HK12" s="223"/>
      <c r="HL12" s="224"/>
      <c r="HM12" s="217" t="s">
        <v>98</v>
      </c>
      <c r="HN12" s="218"/>
      <c r="HO12" s="222">
        <v>31181.5</v>
      </c>
      <c r="HP12" s="223"/>
      <c r="HQ12" s="224"/>
      <c r="HR12" s="217" t="s">
        <v>97</v>
      </c>
      <c r="HS12" s="218"/>
      <c r="HT12" s="222">
        <v>13363.5</v>
      </c>
      <c r="HU12" s="223"/>
      <c r="HV12" s="224"/>
      <c r="HW12" s="217" t="s">
        <v>96</v>
      </c>
      <c r="HX12" s="218"/>
      <c r="HY12" s="222">
        <v>64500</v>
      </c>
      <c r="HZ12" s="223"/>
      <c r="IA12" s="224"/>
      <c r="IB12" s="217" t="s">
        <v>102</v>
      </c>
      <c r="IC12" s="218"/>
      <c r="ID12" s="222">
        <v>62363</v>
      </c>
      <c r="IE12" s="223"/>
      <c r="IF12" s="224"/>
      <c r="IG12" s="217" t="s">
        <v>101</v>
      </c>
      <c r="IH12" s="218"/>
      <c r="II12" s="222">
        <v>8909</v>
      </c>
      <c r="IJ12" s="223"/>
      <c r="IK12" s="224"/>
      <c r="IL12" s="217" t="s">
        <v>41</v>
      </c>
      <c r="IM12" s="218"/>
      <c r="IN12" s="222">
        <v>0</v>
      </c>
      <c r="IO12" s="223"/>
      <c r="IP12" s="224"/>
      <c r="IQ12" s="217" t="s">
        <v>99</v>
      </c>
      <c r="IR12" s="218"/>
      <c r="IS12" s="222">
        <v>44545</v>
      </c>
      <c r="IT12" s="223"/>
      <c r="IU12" s="224"/>
      <c r="IV12" s="217" t="s">
        <v>98</v>
      </c>
      <c r="IW12" s="218"/>
      <c r="IX12" s="222">
        <v>13363.5</v>
      </c>
      <c r="IY12" s="223"/>
      <c r="IZ12" s="224"/>
      <c r="JA12" s="217" t="s">
        <v>97</v>
      </c>
      <c r="JB12" s="218"/>
      <c r="JC12" s="222">
        <v>26727</v>
      </c>
      <c r="JD12" s="223"/>
      <c r="JE12" s="224"/>
      <c r="JF12" s="217" t="s">
        <v>96</v>
      </c>
      <c r="JG12" s="218"/>
      <c r="JH12" s="222">
        <v>80181</v>
      </c>
      <c r="JI12" s="223"/>
      <c r="JJ12" s="224"/>
      <c r="JK12" s="217" t="s">
        <v>102</v>
      </c>
      <c r="JL12" s="218"/>
      <c r="JM12" s="222">
        <v>0</v>
      </c>
      <c r="JN12" s="223"/>
      <c r="JO12" s="224"/>
      <c r="JP12" s="217" t="s">
        <v>101</v>
      </c>
      <c r="JQ12" s="218"/>
      <c r="JR12" s="222">
        <v>0</v>
      </c>
      <c r="JS12" s="223"/>
      <c r="JT12" s="224"/>
      <c r="JU12" s="217" t="s">
        <v>41</v>
      </c>
      <c r="JV12" s="218"/>
      <c r="JW12" s="222">
        <v>0</v>
      </c>
      <c r="JX12" s="223"/>
      <c r="JY12" s="224"/>
      <c r="JZ12" s="217" t="s">
        <v>99</v>
      </c>
      <c r="KA12" s="218"/>
      <c r="KB12" s="222">
        <v>35636</v>
      </c>
      <c r="KC12" s="223"/>
      <c r="KD12" s="224"/>
      <c r="KE12" s="217" t="s">
        <v>98</v>
      </c>
      <c r="KF12" s="218"/>
      <c r="KG12" s="222">
        <v>40090.5</v>
      </c>
      <c r="KH12" s="223"/>
      <c r="KI12" s="224"/>
      <c r="KJ12" s="217" t="s">
        <v>97</v>
      </c>
      <c r="KK12" s="218"/>
      <c r="KL12" s="222">
        <v>0</v>
      </c>
      <c r="KM12" s="223"/>
      <c r="KN12" s="224"/>
      <c r="KO12" s="217" t="s">
        <v>96</v>
      </c>
      <c r="KP12" s="218"/>
      <c r="KQ12" s="222">
        <v>22272.5</v>
      </c>
      <c r="KR12" s="223"/>
      <c r="KS12" s="224"/>
      <c r="KT12" s="217" t="s">
        <v>102</v>
      </c>
      <c r="KU12" s="218"/>
      <c r="KV12" s="222">
        <v>0</v>
      </c>
      <c r="KW12" s="223"/>
      <c r="KX12" s="224"/>
      <c r="KY12" s="217" t="s">
        <v>101</v>
      </c>
      <c r="KZ12" s="218"/>
      <c r="LA12" s="222">
        <v>0</v>
      </c>
      <c r="LB12" s="223"/>
      <c r="LC12" s="224"/>
      <c r="LD12" s="217" t="s">
        <v>41</v>
      </c>
      <c r="LE12" s="218"/>
      <c r="LF12" s="222">
        <v>0</v>
      </c>
      <c r="LG12" s="223"/>
      <c r="LH12" s="224"/>
      <c r="LI12" s="217" t="s">
        <v>99</v>
      </c>
      <c r="LJ12" s="218"/>
      <c r="LK12" s="222">
        <v>44545</v>
      </c>
      <c r="LL12" s="223"/>
      <c r="LM12" s="224"/>
      <c r="LN12" s="217" t="s">
        <v>98</v>
      </c>
      <c r="LO12" s="218"/>
      <c r="LP12" s="222">
        <v>75726.5</v>
      </c>
      <c r="LQ12" s="223"/>
      <c r="LR12" s="224"/>
      <c r="LS12" s="217" t="s">
        <v>97</v>
      </c>
      <c r="LT12" s="218"/>
      <c r="LU12" s="222">
        <v>10320</v>
      </c>
      <c r="LV12" s="223"/>
      <c r="LW12" s="224"/>
      <c r="LX12" s="217" t="s">
        <v>96</v>
      </c>
      <c r="LY12" s="218"/>
      <c r="LZ12" s="222">
        <v>40796</v>
      </c>
      <c r="MA12" s="223"/>
      <c r="MB12" s="224"/>
      <c r="MC12" s="217" t="s">
        <v>102</v>
      </c>
      <c r="MD12" s="218"/>
      <c r="ME12" s="222">
        <v>4454.5</v>
      </c>
      <c r="MF12" s="223"/>
      <c r="MG12" s="224"/>
      <c r="MH12" s="217" t="s">
        <v>101</v>
      </c>
      <c r="MI12" s="218"/>
      <c r="MJ12" s="222">
        <v>4454.5</v>
      </c>
      <c r="MK12" s="223"/>
      <c r="ML12" s="224"/>
      <c r="MM12" s="217" t="s">
        <v>41</v>
      </c>
      <c r="MN12" s="218"/>
      <c r="MO12" s="222">
        <v>0</v>
      </c>
      <c r="MP12" s="223"/>
      <c r="MQ12" s="224"/>
      <c r="MR12" s="217" t="s">
        <v>99</v>
      </c>
      <c r="MS12" s="218"/>
      <c r="MT12" s="222">
        <v>44545</v>
      </c>
      <c r="MU12" s="223"/>
      <c r="MV12" s="224"/>
      <c r="MW12" s="217" t="s">
        <v>99</v>
      </c>
      <c r="MX12" s="218"/>
      <c r="MY12" s="222">
        <v>44545</v>
      </c>
      <c r="MZ12" s="223"/>
      <c r="NA12" s="224"/>
      <c r="NB12" s="217" t="s">
        <v>98</v>
      </c>
      <c r="NC12" s="218"/>
      <c r="ND12" s="222">
        <v>14069</v>
      </c>
      <c r="NE12" s="223"/>
      <c r="NF12" s="224"/>
      <c r="NG12" s="217" t="s">
        <v>97</v>
      </c>
      <c r="NH12" s="218"/>
      <c r="NI12" s="222">
        <v>26263.5</v>
      </c>
      <c r="NJ12" s="223"/>
      <c r="NK12" s="224"/>
      <c r="NL12" s="217" t="s">
        <v>96</v>
      </c>
      <c r="NM12" s="218"/>
      <c r="NN12" s="222">
        <v>53454</v>
      </c>
      <c r="NO12" s="223"/>
      <c r="NP12" s="224"/>
      <c r="NQ12" s="217" t="s">
        <v>102</v>
      </c>
      <c r="NR12" s="218"/>
      <c r="NS12" s="222">
        <v>62847</v>
      </c>
      <c r="NT12" s="223"/>
      <c r="NU12" s="224"/>
      <c r="NV12" s="217" t="s">
        <v>101</v>
      </c>
      <c r="NW12" s="218"/>
      <c r="NX12" s="222">
        <v>0</v>
      </c>
      <c r="NY12" s="223"/>
      <c r="NZ12" s="224"/>
      <c r="OA12" s="217" t="s">
        <v>41</v>
      </c>
      <c r="OB12" s="218"/>
      <c r="OC12" s="222">
        <v>0</v>
      </c>
      <c r="OD12" s="223"/>
      <c r="OE12" s="224"/>
      <c r="OF12" s="217" t="s">
        <v>41</v>
      </c>
      <c r="OG12" s="218"/>
      <c r="OH12" s="222">
        <v>0</v>
      </c>
      <c r="OI12" s="223"/>
      <c r="OJ12" s="224"/>
      <c r="OK12" s="217" t="s">
        <v>99</v>
      </c>
      <c r="OL12" s="218"/>
      <c r="OM12" s="222">
        <v>35636</v>
      </c>
      <c r="ON12" s="223"/>
      <c r="OO12" s="224"/>
      <c r="OP12" s="217" t="s">
        <v>98</v>
      </c>
      <c r="OQ12" s="218"/>
      <c r="OR12" s="222">
        <v>26727</v>
      </c>
      <c r="OS12" s="223"/>
      <c r="OT12" s="224"/>
      <c r="OU12" s="217" t="s">
        <v>97</v>
      </c>
      <c r="OV12" s="218"/>
      <c r="OW12" s="222">
        <v>44545</v>
      </c>
      <c r="OX12" s="223"/>
      <c r="OY12" s="224"/>
      <c r="OZ12" s="217" t="s">
        <v>96</v>
      </c>
      <c r="PA12" s="218"/>
      <c r="PB12" s="222">
        <v>57687</v>
      </c>
      <c r="PC12" s="223"/>
      <c r="PD12" s="224"/>
      <c r="PE12" s="217" t="s">
        <v>102</v>
      </c>
      <c r="PF12" s="218"/>
      <c r="PG12" s="222">
        <v>22272.5</v>
      </c>
      <c r="PH12" s="223"/>
      <c r="PI12" s="224"/>
      <c r="PJ12" s="217" t="s">
        <v>101</v>
      </c>
      <c r="PK12" s="218"/>
      <c r="PL12" s="222">
        <v>35636</v>
      </c>
      <c r="PM12" s="223"/>
      <c r="PN12" s="224"/>
      <c r="PO12" s="217" t="s">
        <v>41</v>
      </c>
      <c r="PP12" s="218"/>
      <c r="PQ12" s="222">
        <v>0</v>
      </c>
      <c r="PR12" s="223"/>
      <c r="PS12" s="224"/>
      <c r="PT12" s="217" t="s">
        <v>99</v>
      </c>
      <c r="PU12" s="218"/>
      <c r="PV12" s="222">
        <v>35636</v>
      </c>
      <c r="PW12" s="223"/>
      <c r="PX12" s="224"/>
      <c r="PY12" s="217" t="s">
        <v>98</v>
      </c>
      <c r="PZ12" s="218"/>
      <c r="QA12" s="222">
        <v>14069</v>
      </c>
      <c r="QB12" s="223"/>
      <c r="QC12" s="224"/>
      <c r="QD12" s="217" t="s">
        <v>97</v>
      </c>
      <c r="QE12" s="218"/>
      <c r="QF12" s="222">
        <v>59340</v>
      </c>
      <c r="QG12" s="223"/>
      <c r="QH12" s="224"/>
      <c r="QI12" s="217" t="s">
        <v>96</v>
      </c>
      <c r="QJ12" s="218"/>
      <c r="QK12" s="222">
        <v>87236</v>
      </c>
      <c r="QL12" s="223"/>
      <c r="QM12" s="224"/>
      <c r="QN12" s="217" t="s">
        <v>96</v>
      </c>
      <c r="QO12" s="218"/>
      <c r="QP12" s="222">
        <v>87236</v>
      </c>
      <c r="QQ12" s="223"/>
      <c r="QR12" s="224"/>
      <c r="QS12" s="217" t="s">
        <v>102</v>
      </c>
      <c r="QT12" s="218"/>
      <c r="QU12" s="222">
        <v>106243.5</v>
      </c>
      <c r="QV12" s="223"/>
      <c r="QW12" s="224"/>
      <c r="QX12" s="217" t="s">
        <v>101</v>
      </c>
      <c r="QY12" s="218"/>
      <c r="QZ12" s="222">
        <v>0</v>
      </c>
      <c r="RA12" s="223"/>
      <c r="RB12" s="224"/>
      <c r="RC12" s="217" t="s">
        <v>41</v>
      </c>
      <c r="RD12" s="218"/>
      <c r="RE12" s="222">
        <v>0</v>
      </c>
      <c r="RF12" s="223"/>
      <c r="RG12" s="224"/>
      <c r="RH12" s="217" t="s">
        <v>99</v>
      </c>
      <c r="RI12" s="218"/>
      <c r="RJ12" s="222">
        <v>57908.5</v>
      </c>
      <c r="RK12" s="223"/>
      <c r="RL12" s="224"/>
      <c r="RM12" s="217" t="s">
        <v>98</v>
      </c>
      <c r="RN12" s="218"/>
      <c r="RO12" s="222">
        <v>66817.5</v>
      </c>
      <c r="RP12" s="223"/>
      <c r="RQ12" s="224"/>
      <c r="RR12" s="217" t="s">
        <v>97</v>
      </c>
      <c r="RS12" s="218"/>
      <c r="RT12" s="222">
        <v>86067</v>
      </c>
      <c r="RU12" s="223"/>
      <c r="RV12" s="224"/>
      <c r="RW12" s="217" t="s">
        <v>97</v>
      </c>
      <c r="RX12" s="218"/>
      <c r="RY12" s="222">
        <v>86067</v>
      </c>
      <c r="RZ12" s="223"/>
      <c r="SA12" s="224"/>
      <c r="SB12" s="217" t="s">
        <v>96</v>
      </c>
      <c r="SC12" s="218"/>
      <c r="SD12" s="222">
        <v>44545</v>
      </c>
      <c r="SE12" s="223"/>
      <c r="SF12" s="224"/>
      <c r="SG12" s="217" t="s">
        <v>102</v>
      </c>
      <c r="SH12" s="218"/>
      <c r="SI12" s="222">
        <v>0</v>
      </c>
      <c r="SJ12" s="223"/>
      <c r="SK12" s="224"/>
      <c r="SL12" s="217" t="s">
        <v>101</v>
      </c>
      <c r="SM12" s="218"/>
      <c r="SN12" s="222">
        <v>0</v>
      </c>
      <c r="SO12" s="223"/>
      <c r="SP12" s="224"/>
      <c r="SQ12" s="217" t="s">
        <v>41</v>
      </c>
      <c r="SR12" s="218"/>
      <c r="SS12" s="222">
        <v>0</v>
      </c>
      <c r="ST12" s="223"/>
      <c r="SU12" s="224"/>
      <c r="SV12" s="217" t="s">
        <v>99</v>
      </c>
      <c r="SW12" s="218"/>
      <c r="SX12" s="222">
        <v>44545</v>
      </c>
      <c r="SY12" s="223"/>
      <c r="SZ12" s="224"/>
      <c r="TA12" s="217" t="s">
        <v>98</v>
      </c>
      <c r="TB12" s="218"/>
      <c r="TC12" s="222">
        <v>29549</v>
      </c>
      <c r="TD12" s="223"/>
      <c r="TE12" s="224"/>
      <c r="TF12" s="217" t="s">
        <v>97</v>
      </c>
      <c r="TG12" s="218"/>
      <c r="TH12" s="222">
        <v>30960</v>
      </c>
      <c r="TI12" s="223"/>
      <c r="TJ12" s="224"/>
      <c r="TK12" s="217" t="s">
        <v>96</v>
      </c>
      <c r="TL12" s="218"/>
      <c r="TM12" s="222">
        <v>56276</v>
      </c>
      <c r="TN12" s="223"/>
      <c r="TO12" s="224"/>
      <c r="TP12" s="217" t="s">
        <v>102</v>
      </c>
      <c r="TQ12" s="218"/>
      <c r="TR12" s="222">
        <v>71272</v>
      </c>
      <c r="TS12" s="223"/>
      <c r="TT12" s="224"/>
      <c r="TU12" s="217" t="s">
        <v>101</v>
      </c>
      <c r="TV12" s="218"/>
      <c r="TW12" s="222">
        <v>62363</v>
      </c>
      <c r="TX12" s="223"/>
      <c r="TY12" s="224"/>
      <c r="TZ12" s="217" t="s">
        <v>41</v>
      </c>
      <c r="UA12" s="218"/>
      <c r="UB12" s="222">
        <v>0</v>
      </c>
      <c r="UC12" s="223"/>
      <c r="UD12" s="224"/>
      <c r="UE12" s="217" t="s">
        <v>99</v>
      </c>
      <c r="UF12" s="218"/>
      <c r="UG12" s="222">
        <v>0</v>
      </c>
      <c r="UH12" s="223"/>
      <c r="UI12" s="224"/>
      <c r="UJ12" s="217" t="s">
        <v>98</v>
      </c>
      <c r="UK12" s="218"/>
      <c r="UL12" s="222">
        <v>0</v>
      </c>
      <c r="UM12" s="223"/>
      <c r="UN12" s="224"/>
      <c r="UO12" s="217" t="s">
        <v>97</v>
      </c>
      <c r="UP12" s="218"/>
      <c r="UQ12" s="222">
        <v>2227.25</v>
      </c>
      <c r="UR12" s="223"/>
      <c r="US12" s="224"/>
      <c r="UT12" s="217" t="s">
        <v>96</v>
      </c>
      <c r="UU12" s="218"/>
      <c r="UV12" s="222">
        <v>26727</v>
      </c>
      <c r="UW12" s="223"/>
      <c r="UX12" s="224"/>
      <c r="UY12" s="217" t="s">
        <v>102</v>
      </c>
      <c r="UZ12" s="218"/>
      <c r="VA12" s="222">
        <v>0</v>
      </c>
      <c r="VB12" s="223"/>
      <c r="VC12" s="224"/>
      <c r="VD12" s="217" t="s">
        <v>101</v>
      </c>
      <c r="VE12" s="218"/>
      <c r="VF12" s="222">
        <v>22272.5</v>
      </c>
      <c r="VG12" s="223"/>
      <c r="VH12" s="224"/>
      <c r="VI12" s="217" t="s">
        <v>41</v>
      </c>
      <c r="VJ12" s="218"/>
      <c r="VK12" s="222">
        <v>35636</v>
      </c>
      <c r="VL12" s="223"/>
      <c r="VM12" s="224"/>
      <c r="VN12" s="217" t="s">
        <v>99</v>
      </c>
      <c r="VO12" s="218"/>
      <c r="VP12" s="222">
        <v>0</v>
      </c>
      <c r="VQ12" s="223"/>
      <c r="VR12" s="224"/>
      <c r="VS12" s="217" t="s">
        <v>98</v>
      </c>
      <c r="VT12" s="218"/>
      <c r="VU12" s="222">
        <v>0</v>
      </c>
      <c r="VV12" s="223"/>
      <c r="VW12" s="224"/>
      <c r="VX12" s="217" t="s">
        <v>97</v>
      </c>
      <c r="VY12" s="218"/>
      <c r="VZ12" s="222">
        <v>36120</v>
      </c>
      <c r="WA12" s="223"/>
      <c r="WB12" s="224"/>
      <c r="WC12" s="217" t="s">
        <v>96</v>
      </c>
      <c r="WD12" s="218"/>
      <c r="WE12" s="222">
        <v>33540</v>
      </c>
      <c r="WF12" s="223"/>
      <c r="WG12" s="224"/>
      <c r="WH12" s="217" t="s">
        <v>101</v>
      </c>
      <c r="WI12" s="218"/>
      <c r="WJ12" s="222">
        <v>0</v>
      </c>
      <c r="WK12" s="223"/>
      <c r="WL12" s="224"/>
      <c r="WM12" s="217" t="s">
        <v>41</v>
      </c>
      <c r="WN12" s="218"/>
      <c r="WO12" s="222">
        <v>26727</v>
      </c>
      <c r="WP12" s="223"/>
      <c r="WQ12" s="224"/>
      <c r="WR12" s="217" t="s">
        <v>99</v>
      </c>
      <c r="WS12" s="218"/>
      <c r="WT12" s="222">
        <v>0</v>
      </c>
      <c r="WU12" s="223"/>
      <c r="WV12" s="224"/>
      <c r="WW12" s="217" t="s">
        <v>98</v>
      </c>
      <c r="WX12" s="218"/>
      <c r="WY12" s="222">
        <v>0</v>
      </c>
      <c r="WZ12" s="223"/>
      <c r="XA12" s="224"/>
      <c r="XB12" s="217" t="s">
        <v>97</v>
      </c>
      <c r="XC12" s="218"/>
      <c r="XD12" s="222">
        <v>0</v>
      </c>
      <c r="XE12" s="223"/>
      <c r="XF12" s="224"/>
      <c r="XG12" s="217" t="s">
        <v>96</v>
      </c>
      <c r="XH12" s="218"/>
      <c r="XI12" s="222">
        <v>95661</v>
      </c>
      <c r="XJ12" s="223"/>
      <c r="XK12" s="224"/>
      <c r="XL12" s="217" t="s">
        <v>102</v>
      </c>
      <c r="XM12" s="218"/>
      <c r="XN12" s="222">
        <v>0</v>
      </c>
      <c r="XO12" s="223"/>
      <c r="XP12" s="224"/>
      <c r="XQ12" s="217" t="s">
        <v>101</v>
      </c>
      <c r="XR12" s="218"/>
      <c r="XS12" s="222">
        <v>0</v>
      </c>
      <c r="XT12" s="223"/>
      <c r="XU12" s="224"/>
      <c r="XV12" s="217" t="s">
        <v>41</v>
      </c>
      <c r="XW12" s="218"/>
      <c r="XX12" s="222">
        <v>0</v>
      </c>
      <c r="XY12" s="223"/>
      <c r="XZ12" s="224"/>
      <c r="YA12" s="217" t="s">
        <v>99</v>
      </c>
      <c r="YB12" s="218"/>
      <c r="YC12" s="222">
        <v>0</v>
      </c>
      <c r="YD12" s="223"/>
      <c r="YE12" s="224"/>
      <c r="YF12" s="217" t="s">
        <v>98</v>
      </c>
      <c r="YG12" s="218"/>
      <c r="YH12" s="222">
        <v>0</v>
      </c>
      <c r="YI12" s="223"/>
      <c r="YJ12" s="224"/>
      <c r="YK12" s="217" t="s">
        <v>97</v>
      </c>
      <c r="YL12" s="218"/>
      <c r="YM12" s="222">
        <v>8909</v>
      </c>
      <c r="YN12" s="223"/>
      <c r="YO12" s="224"/>
      <c r="YP12" s="217" t="s">
        <v>96</v>
      </c>
      <c r="YQ12" s="218"/>
      <c r="YR12" s="222">
        <v>26727</v>
      </c>
      <c r="YS12" s="223"/>
      <c r="YT12" s="224"/>
      <c r="YU12" s="217" t="s">
        <v>102</v>
      </c>
      <c r="YV12" s="218"/>
      <c r="YW12" s="222">
        <v>0</v>
      </c>
      <c r="YX12" s="223"/>
      <c r="YY12" s="224"/>
      <c r="YZ12" s="217" t="s">
        <v>101</v>
      </c>
      <c r="ZA12" s="218"/>
      <c r="ZB12" s="222">
        <v>0</v>
      </c>
      <c r="ZC12" s="223"/>
      <c r="ZD12" s="224"/>
      <c r="ZE12" s="217" t="s">
        <v>41</v>
      </c>
      <c r="ZF12" s="218"/>
      <c r="ZG12" s="222">
        <v>8909</v>
      </c>
      <c r="ZH12" s="223"/>
      <c r="ZI12" s="224"/>
      <c r="ZJ12" s="217" t="s">
        <v>99</v>
      </c>
      <c r="ZK12" s="218"/>
      <c r="ZL12" s="222">
        <v>35636</v>
      </c>
      <c r="ZM12" s="223"/>
      <c r="ZN12" s="224"/>
      <c r="ZO12" s="217" t="s">
        <v>98</v>
      </c>
      <c r="ZP12" s="218"/>
      <c r="ZQ12" s="222">
        <v>26727</v>
      </c>
      <c r="ZR12" s="223"/>
      <c r="ZS12" s="224"/>
      <c r="ZT12" s="217" t="s">
        <v>97</v>
      </c>
      <c r="ZU12" s="218"/>
      <c r="ZV12" s="222">
        <v>26727</v>
      </c>
      <c r="ZW12" s="223"/>
      <c r="ZX12" s="224"/>
      <c r="ZY12" s="217" t="s">
        <v>96</v>
      </c>
      <c r="ZZ12" s="218"/>
      <c r="AAA12" s="222">
        <v>13363.5</v>
      </c>
      <c r="AAB12" s="223"/>
      <c r="AAC12" s="224"/>
      <c r="AAD12" s="217" t="s">
        <v>102</v>
      </c>
      <c r="AAE12" s="218"/>
      <c r="AAF12" s="222">
        <v>123799</v>
      </c>
      <c r="AAG12" s="223"/>
      <c r="AAH12" s="224"/>
      <c r="AAI12" s="217" t="s">
        <v>41</v>
      </c>
      <c r="AAJ12" s="218"/>
      <c r="AAK12" s="222">
        <v>0</v>
      </c>
      <c r="AAL12" s="223"/>
      <c r="AAM12" s="224"/>
      <c r="AAN12" s="217" t="s">
        <v>99</v>
      </c>
      <c r="AAO12" s="218"/>
      <c r="AAP12" s="222">
        <v>44545</v>
      </c>
      <c r="AAQ12" s="223"/>
      <c r="AAR12" s="224"/>
      <c r="AAS12" s="217" t="s">
        <v>98</v>
      </c>
      <c r="AAT12" s="218"/>
      <c r="AAU12" s="222">
        <v>83487</v>
      </c>
      <c r="AAV12" s="223"/>
      <c r="AAW12" s="224"/>
      <c r="AAX12" s="217" t="s">
        <v>97</v>
      </c>
      <c r="AAY12" s="218"/>
      <c r="AAZ12" s="222">
        <v>4454.5</v>
      </c>
      <c r="ABA12" s="223"/>
      <c r="ABB12" s="224"/>
      <c r="ABC12" s="217" t="s">
        <v>96</v>
      </c>
      <c r="ABD12" s="218"/>
      <c r="ABE12" s="222">
        <v>44545</v>
      </c>
      <c r="ABF12" s="223"/>
      <c r="ABG12" s="224"/>
      <c r="ABH12" s="217" t="s">
        <v>102</v>
      </c>
      <c r="ABI12" s="218"/>
      <c r="ABJ12" s="222">
        <v>0</v>
      </c>
      <c r="ABK12" s="223"/>
      <c r="ABL12" s="224"/>
      <c r="ABM12" s="217" t="s">
        <v>101</v>
      </c>
      <c r="ABN12" s="218"/>
      <c r="ABO12" s="222">
        <v>8909</v>
      </c>
      <c r="ABP12" s="223"/>
      <c r="ABQ12" s="224"/>
      <c r="ABR12" s="217" t="s">
        <v>41</v>
      </c>
      <c r="ABS12" s="218"/>
      <c r="ABT12" s="222">
        <v>0</v>
      </c>
      <c r="ABU12" s="223"/>
      <c r="ABV12" s="224"/>
      <c r="ABW12" s="217" t="s">
        <v>99</v>
      </c>
      <c r="ABX12" s="218"/>
      <c r="ABY12" s="222">
        <v>62363</v>
      </c>
      <c r="ABZ12" s="223"/>
      <c r="ACA12" s="224"/>
      <c r="ACB12" s="217" t="s">
        <v>98</v>
      </c>
      <c r="ACC12" s="218"/>
      <c r="ACD12" s="222">
        <v>89090</v>
      </c>
      <c r="ACE12" s="223"/>
      <c r="ACF12" s="224"/>
      <c r="ACG12" s="217" t="s">
        <v>97</v>
      </c>
      <c r="ACH12" s="218"/>
      <c r="ACI12" s="222">
        <v>61920</v>
      </c>
      <c r="ACJ12" s="223"/>
      <c r="ACK12" s="224"/>
      <c r="ACL12" s="217" t="s">
        <v>96</v>
      </c>
      <c r="ACM12" s="218"/>
      <c r="ACN12" s="222">
        <v>131096</v>
      </c>
      <c r="ACO12" s="223"/>
      <c r="ACP12" s="224"/>
      <c r="ACQ12" s="217" t="s">
        <v>96</v>
      </c>
      <c r="ACR12" s="218"/>
      <c r="ACS12" s="222">
        <v>131096</v>
      </c>
      <c r="ACT12" s="223"/>
      <c r="ACU12" s="224"/>
      <c r="ACV12" s="217" t="s">
        <v>102</v>
      </c>
      <c r="ACW12" s="218"/>
      <c r="ACX12" s="222">
        <v>106908</v>
      </c>
      <c r="ACY12" s="223"/>
      <c r="ACZ12" s="224"/>
      <c r="ADA12" s="217" t="s">
        <v>101</v>
      </c>
      <c r="ADB12" s="218"/>
      <c r="ADC12" s="222">
        <v>98725</v>
      </c>
      <c r="ADD12" s="223"/>
      <c r="ADE12" s="224"/>
      <c r="ADF12" s="217" t="s">
        <v>41</v>
      </c>
      <c r="ADG12" s="218"/>
      <c r="ADH12" s="222">
        <v>25800</v>
      </c>
      <c r="ADI12" s="223"/>
      <c r="ADJ12" s="224"/>
      <c r="ADK12" s="217" t="s">
        <v>99</v>
      </c>
      <c r="ADL12" s="218"/>
      <c r="ADM12" s="222">
        <v>51358</v>
      </c>
      <c r="ADN12" s="223"/>
      <c r="ADO12" s="224"/>
      <c r="ADP12" s="217" t="s">
        <v>97</v>
      </c>
      <c r="ADQ12" s="218"/>
      <c r="ADR12" s="222">
        <v>35636</v>
      </c>
      <c r="ADS12" s="223"/>
      <c r="ADT12" s="224"/>
      <c r="ADU12" s="217" t="s">
        <v>96</v>
      </c>
      <c r="ADV12" s="218"/>
      <c r="ADW12" s="222">
        <v>80181</v>
      </c>
      <c r="ADX12" s="223"/>
      <c r="ADY12" s="224"/>
      <c r="ADZ12" s="217" t="s">
        <v>101</v>
      </c>
      <c r="AEA12" s="218"/>
      <c r="AEB12" s="222">
        <v>24499.75</v>
      </c>
      <c r="AEC12" s="223"/>
      <c r="AED12" s="224"/>
      <c r="AEE12" s="217" t="s">
        <v>41</v>
      </c>
      <c r="AEF12" s="218"/>
      <c r="AEG12" s="222">
        <v>0</v>
      </c>
      <c r="AEH12" s="223"/>
      <c r="AEI12" s="224"/>
      <c r="AEJ12" s="217" t="s">
        <v>99</v>
      </c>
      <c r="AEK12" s="218"/>
      <c r="AEL12" s="222">
        <v>132154.25</v>
      </c>
      <c r="AEM12" s="223"/>
      <c r="AEN12" s="224"/>
      <c r="AEO12" s="217" t="s">
        <v>98</v>
      </c>
      <c r="AEP12" s="218"/>
      <c r="AEQ12" s="222">
        <v>46772.25</v>
      </c>
      <c r="AER12" s="223"/>
      <c r="AES12" s="224"/>
      <c r="AET12" s="217" t="s">
        <v>96</v>
      </c>
      <c r="AEU12" s="218"/>
      <c r="AEV12" s="222">
        <v>53454</v>
      </c>
      <c r="AEW12" s="223"/>
      <c r="AEX12" s="224"/>
      <c r="AEY12" s="217" t="s">
        <v>101</v>
      </c>
      <c r="AEZ12" s="218"/>
      <c r="AFA12" s="222">
        <v>0</v>
      </c>
      <c r="AFB12" s="223"/>
      <c r="AFC12" s="224"/>
      <c r="AFD12" s="217" t="s">
        <v>41</v>
      </c>
      <c r="AFE12" s="218"/>
      <c r="AFF12" s="222">
        <v>0</v>
      </c>
      <c r="AFG12" s="223"/>
      <c r="AFH12" s="224"/>
      <c r="AFI12" s="217" t="s">
        <v>99</v>
      </c>
      <c r="AFJ12" s="218"/>
      <c r="AFK12" s="222">
        <v>62363</v>
      </c>
      <c r="AFL12" s="223"/>
      <c r="AFM12" s="224"/>
      <c r="AFN12" s="217" t="s">
        <v>98</v>
      </c>
      <c r="AFO12" s="218"/>
      <c r="AFP12" s="222">
        <v>26727</v>
      </c>
      <c r="AFQ12" s="223"/>
      <c r="AFR12" s="224"/>
      <c r="AFS12" s="217" t="s">
        <v>97</v>
      </c>
      <c r="AFT12" s="218"/>
      <c r="AFU12" s="222">
        <v>40090.5</v>
      </c>
      <c r="AFV12" s="223"/>
      <c r="AFW12" s="224"/>
      <c r="AFX12" s="217" t="s">
        <v>96</v>
      </c>
      <c r="AFY12" s="218"/>
      <c r="AFZ12" s="222">
        <v>44545</v>
      </c>
      <c r="AGA12" s="223"/>
      <c r="AGB12" s="224"/>
      <c r="AGC12" s="217" t="s">
        <v>101</v>
      </c>
      <c r="AGD12" s="218"/>
      <c r="AGE12" s="222">
        <v>0</v>
      </c>
      <c r="AGF12" s="223"/>
      <c r="AGG12" s="224"/>
      <c r="AGH12" s="217" t="s">
        <v>41</v>
      </c>
      <c r="AGI12" s="218"/>
      <c r="AGJ12" s="222">
        <v>0</v>
      </c>
      <c r="AGK12" s="223"/>
      <c r="AGL12" s="224"/>
      <c r="AGM12" s="217" t="s">
        <v>99</v>
      </c>
      <c r="AGN12" s="218"/>
      <c r="AGO12" s="222">
        <v>84656</v>
      </c>
      <c r="AGP12" s="223"/>
      <c r="AGQ12" s="224"/>
      <c r="AGR12" s="217" t="s">
        <v>98</v>
      </c>
      <c r="AGS12" s="218"/>
      <c r="AGT12" s="222">
        <v>56276</v>
      </c>
      <c r="AGU12" s="223"/>
      <c r="AGV12" s="224"/>
      <c r="AGW12" s="217" t="s">
        <v>98</v>
      </c>
      <c r="AGX12" s="218"/>
      <c r="AGY12" s="222">
        <v>0</v>
      </c>
      <c r="AGZ12" s="223"/>
      <c r="AHA12" s="224"/>
      <c r="AHB12" s="217" t="s">
        <v>97</v>
      </c>
      <c r="AHC12" s="218"/>
      <c r="AHD12" s="222">
        <v>56760</v>
      </c>
      <c r="AHE12" s="223"/>
      <c r="AHF12" s="224"/>
      <c r="AHG12" s="217" t="s">
        <v>96</v>
      </c>
      <c r="AHH12" s="218"/>
      <c r="AHI12" s="222">
        <v>48999.5</v>
      </c>
      <c r="AHJ12" s="223"/>
      <c r="AHK12" s="224"/>
      <c r="AHL12" s="217" t="s">
        <v>101</v>
      </c>
      <c r="AHM12" s="218"/>
      <c r="AHN12" s="222">
        <v>0</v>
      </c>
      <c r="AHO12" s="223"/>
      <c r="AHP12" s="224"/>
      <c r="AHQ12" s="217" t="s">
        <v>41</v>
      </c>
      <c r="AHR12" s="218"/>
      <c r="AHS12" s="222">
        <v>0</v>
      </c>
      <c r="AHT12" s="223"/>
      <c r="AHU12" s="224"/>
      <c r="AHV12" s="217" t="s">
        <v>99</v>
      </c>
      <c r="AHW12" s="218"/>
      <c r="AHX12" s="222">
        <v>35636</v>
      </c>
      <c r="AHY12" s="223"/>
      <c r="AHZ12" s="224"/>
      <c r="AIA12" s="217" t="s">
        <v>98</v>
      </c>
      <c r="AIB12" s="218"/>
      <c r="AIC12" s="222">
        <v>26727</v>
      </c>
      <c r="AID12" s="223"/>
      <c r="AIE12" s="224"/>
      <c r="AIF12" s="217" t="s">
        <v>97</v>
      </c>
      <c r="AIG12" s="218"/>
      <c r="AIH12" s="222">
        <v>48999.5</v>
      </c>
      <c r="AII12" s="223"/>
      <c r="AIJ12" s="224"/>
      <c r="AIK12" s="217" t="s">
        <v>96</v>
      </c>
      <c r="AIL12" s="218"/>
      <c r="AIM12" s="222">
        <v>26727</v>
      </c>
      <c r="AIN12" s="223"/>
      <c r="AIO12" s="224"/>
      <c r="AIP12" s="217" t="s">
        <v>101</v>
      </c>
      <c r="AIQ12" s="218"/>
      <c r="AIR12" s="222">
        <v>0</v>
      </c>
      <c r="AIS12" s="223"/>
      <c r="AIT12" s="224"/>
      <c r="AIU12" s="217" t="s">
        <v>41</v>
      </c>
      <c r="AIV12" s="218"/>
      <c r="AIW12" s="222">
        <v>0</v>
      </c>
      <c r="AIX12" s="223"/>
      <c r="AIY12" s="224"/>
      <c r="AIZ12" s="217" t="s">
        <v>99</v>
      </c>
      <c r="AJA12" s="218"/>
      <c r="AJB12" s="222">
        <v>44545</v>
      </c>
      <c r="AJC12" s="223"/>
      <c r="AJD12" s="224"/>
      <c r="AJE12" s="217" t="s">
        <v>98</v>
      </c>
      <c r="AJF12" s="218"/>
      <c r="AJG12" s="222">
        <v>35636</v>
      </c>
      <c r="AJH12" s="223"/>
      <c r="AJI12" s="224"/>
      <c r="AJJ12" s="217" t="s">
        <v>97</v>
      </c>
      <c r="AJK12" s="218"/>
      <c r="AJL12" s="222">
        <v>62363</v>
      </c>
      <c r="AJM12" s="223"/>
      <c r="AJN12" s="224"/>
      <c r="AJO12" s="217" t="s">
        <v>96</v>
      </c>
      <c r="AJP12" s="218"/>
      <c r="AJQ12" s="222">
        <v>71272</v>
      </c>
      <c r="AJR12" s="223"/>
      <c r="AJS12" s="224"/>
      <c r="AJT12" s="217" t="s">
        <v>102</v>
      </c>
      <c r="AJU12" s="218"/>
      <c r="AJV12" s="222">
        <v>0</v>
      </c>
      <c r="AJW12" s="223"/>
      <c r="AJX12" s="224"/>
      <c r="AJY12" s="217" t="s">
        <v>101</v>
      </c>
      <c r="AJZ12" s="218"/>
      <c r="AKA12" s="222">
        <v>0</v>
      </c>
      <c r="AKB12" s="223"/>
      <c r="AKC12" s="224"/>
      <c r="AKD12" s="217" t="s">
        <v>41</v>
      </c>
      <c r="AKE12" s="218"/>
      <c r="AKF12" s="222">
        <v>0</v>
      </c>
      <c r="AKG12" s="223"/>
      <c r="AKH12" s="224"/>
      <c r="AKI12" s="217" t="s">
        <v>99</v>
      </c>
      <c r="AKJ12" s="218"/>
      <c r="AKK12" s="222">
        <v>62363</v>
      </c>
      <c r="AKL12" s="223"/>
      <c r="AKM12" s="224"/>
      <c r="AKN12" s="217" t="s">
        <v>98</v>
      </c>
      <c r="AKO12" s="218"/>
      <c r="AKP12" s="222">
        <v>26727</v>
      </c>
      <c r="AKQ12" s="223"/>
      <c r="AKR12" s="224"/>
      <c r="AKS12" s="217" t="s">
        <v>97</v>
      </c>
      <c r="AKT12" s="218"/>
      <c r="AKU12" s="222">
        <v>8909</v>
      </c>
      <c r="AKV12" s="223"/>
      <c r="AKW12" s="224"/>
      <c r="AKX12" s="217" t="s">
        <v>96</v>
      </c>
      <c r="AKY12" s="218"/>
      <c r="AKZ12" s="222">
        <v>57908.5</v>
      </c>
      <c r="ALA12" s="223"/>
      <c r="ALB12" s="224"/>
      <c r="ALC12" s="217" t="s">
        <v>102</v>
      </c>
      <c r="ALD12" s="218"/>
      <c r="ALE12" s="222">
        <v>31181.5</v>
      </c>
      <c r="ALF12" s="223"/>
      <c r="ALG12" s="224"/>
      <c r="ALH12" s="217" t="s">
        <v>101</v>
      </c>
      <c r="ALI12" s="218"/>
      <c r="ALJ12" s="222">
        <v>0</v>
      </c>
      <c r="ALK12" s="223"/>
      <c r="ALL12" s="224"/>
      <c r="ALM12" s="217" t="s">
        <v>41</v>
      </c>
      <c r="ALN12" s="218"/>
      <c r="ALO12" s="222">
        <v>0</v>
      </c>
      <c r="ALP12" s="223"/>
      <c r="ALQ12" s="224"/>
      <c r="ALR12" s="217" t="s">
        <v>99</v>
      </c>
      <c r="ALS12" s="218"/>
      <c r="ALT12" s="222">
        <v>80181</v>
      </c>
      <c r="ALU12" s="223"/>
      <c r="ALV12" s="224"/>
      <c r="ALW12" s="217" t="s">
        <v>98</v>
      </c>
      <c r="ALX12" s="218"/>
      <c r="ALY12" s="222">
        <v>63663.25</v>
      </c>
      <c r="ALZ12" s="223"/>
      <c r="AMA12" s="224"/>
      <c r="AMB12" s="217" t="s">
        <v>97</v>
      </c>
      <c r="AMC12" s="218"/>
      <c r="AMD12" s="222">
        <v>26727</v>
      </c>
      <c r="AME12" s="223"/>
      <c r="AMF12" s="224"/>
      <c r="AMG12" s="217" t="s">
        <v>96</v>
      </c>
      <c r="AMH12" s="218"/>
      <c r="AMI12" s="222">
        <v>8909</v>
      </c>
      <c r="AMJ12" s="223"/>
      <c r="AMK12" s="224"/>
      <c r="AML12" s="217" t="s">
        <v>101</v>
      </c>
      <c r="AMM12" s="218"/>
      <c r="AMN12" s="222">
        <v>0</v>
      </c>
      <c r="AMO12" s="223"/>
      <c r="AMP12" s="224"/>
      <c r="AMQ12" s="217" t="s">
        <v>41</v>
      </c>
      <c r="AMR12" s="218"/>
      <c r="AMS12" s="222">
        <v>0</v>
      </c>
      <c r="AMT12" s="223"/>
      <c r="AMU12" s="224"/>
      <c r="AMV12" s="217" t="s">
        <v>99</v>
      </c>
      <c r="AMW12" s="218"/>
      <c r="AMX12" s="222">
        <v>8909</v>
      </c>
      <c r="AMY12" s="223"/>
      <c r="AMZ12" s="224"/>
      <c r="ANA12" s="217" t="s">
        <v>98</v>
      </c>
      <c r="ANB12" s="218"/>
      <c r="ANC12" s="222">
        <v>0</v>
      </c>
      <c r="AND12" s="223"/>
      <c r="ANE12" s="224"/>
      <c r="ANF12" s="217" t="s">
        <v>97</v>
      </c>
      <c r="ANG12" s="218"/>
      <c r="ANH12" s="222">
        <v>37863.25</v>
      </c>
      <c r="ANI12" s="223"/>
      <c r="ANJ12" s="224"/>
      <c r="ANK12" s="217" t="s">
        <v>96</v>
      </c>
      <c r="ANL12" s="218"/>
      <c r="ANM12" s="222">
        <v>48999.5</v>
      </c>
      <c r="ANN12" s="223"/>
      <c r="ANO12" s="224"/>
      <c r="ANP12" s="217" t="s">
        <v>102</v>
      </c>
      <c r="ANQ12" s="218"/>
      <c r="ANR12" s="222">
        <v>13363.5</v>
      </c>
      <c r="ANS12" s="223"/>
      <c r="ANT12" s="224"/>
      <c r="ANU12" s="217" t="s">
        <v>101</v>
      </c>
      <c r="ANV12" s="218"/>
      <c r="ANW12" s="222">
        <v>31181.5</v>
      </c>
      <c r="ANX12" s="223"/>
      <c r="ANY12" s="224"/>
      <c r="ANZ12" s="217" t="s">
        <v>41</v>
      </c>
      <c r="AOA12" s="218"/>
      <c r="AOB12" s="222">
        <v>0</v>
      </c>
      <c r="AOC12" s="223"/>
      <c r="AOD12" s="224"/>
      <c r="AOE12" s="217" t="s">
        <v>99</v>
      </c>
      <c r="AOF12" s="218"/>
      <c r="AOG12" s="222">
        <v>71272</v>
      </c>
      <c r="AOH12" s="223"/>
      <c r="AOI12" s="224"/>
      <c r="AOJ12" s="217" t="s">
        <v>98</v>
      </c>
      <c r="AOK12" s="218"/>
      <c r="AOL12" s="222">
        <v>40090.5</v>
      </c>
      <c r="AOM12" s="223"/>
      <c r="AON12" s="224"/>
      <c r="AOO12" s="217" t="s">
        <v>97</v>
      </c>
      <c r="AOP12" s="218"/>
      <c r="AOQ12" s="222">
        <v>25800</v>
      </c>
      <c r="AOR12" s="223"/>
      <c r="AOS12" s="224"/>
      <c r="AOT12" s="217" t="s">
        <v>96</v>
      </c>
      <c r="AOU12" s="218"/>
      <c r="AOV12" s="222">
        <v>47367</v>
      </c>
      <c r="AOW12" s="223"/>
      <c r="AOX12" s="224"/>
      <c r="AOY12" s="217" t="s">
        <v>102</v>
      </c>
      <c r="AOZ12" s="218"/>
      <c r="APA12" s="222">
        <v>129221.5</v>
      </c>
      <c r="APB12" s="223"/>
      <c r="APC12" s="224"/>
      <c r="APD12" s="217" t="s">
        <v>101</v>
      </c>
      <c r="APE12" s="218"/>
      <c r="APF12" s="222">
        <v>26727</v>
      </c>
      <c r="APG12" s="223"/>
      <c r="APH12" s="224"/>
      <c r="API12" s="217" t="s">
        <v>41</v>
      </c>
      <c r="APJ12" s="218"/>
      <c r="APK12" s="222">
        <v>0</v>
      </c>
      <c r="APL12" s="223"/>
      <c r="APM12" s="224"/>
      <c r="APN12" s="217" t="s">
        <v>99</v>
      </c>
      <c r="APO12" s="218"/>
      <c r="APP12" s="222">
        <v>66021.75</v>
      </c>
      <c r="APQ12" s="223"/>
      <c r="APR12" s="224"/>
      <c r="APS12" s="217" t="s">
        <v>98</v>
      </c>
      <c r="APT12" s="218"/>
      <c r="APU12" s="222">
        <v>96387</v>
      </c>
      <c r="APV12" s="223"/>
      <c r="APW12" s="224"/>
      <c r="APX12" s="217" t="s">
        <v>97</v>
      </c>
      <c r="APY12" s="218"/>
      <c r="APZ12" s="222">
        <v>0</v>
      </c>
      <c r="AQA12" s="223"/>
      <c r="AQB12" s="224"/>
      <c r="AQC12" s="217" t="s">
        <v>96</v>
      </c>
      <c r="AQD12" s="218"/>
      <c r="AQE12" s="222">
        <v>30960</v>
      </c>
      <c r="AQF12" s="223"/>
      <c r="AQG12" s="224"/>
      <c r="AQH12" s="217" t="s">
        <v>102</v>
      </c>
      <c r="AQI12" s="218"/>
      <c r="AQJ12" s="222">
        <v>133635</v>
      </c>
      <c r="AQK12" s="223"/>
      <c r="AQL12" s="224"/>
      <c r="AQM12" s="217" t="s">
        <v>101</v>
      </c>
      <c r="AQN12" s="218"/>
      <c r="AQO12" s="222">
        <v>31181.5</v>
      </c>
      <c r="AQP12" s="223"/>
      <c r="AQQ12" s="224"/>
      <c r="AQR12" s="217" t="s">
        <v>41</v>
      </c>
      <c r="AQS12" s="218"/>
      <c r="AQT12" s="222">
        <v>0</v>
      </c>
      <c r="AQU12" s="223"/>
      <c r="AQV12" s="224"/>
      <c r="AQW12" s="217" t="s">
        <v>99</v>
      </c>
      <c r="AQX12" s="218"/>
      <c r="AQY12" s="222">
        <v>31181.5</v>
      </c>
      <c r="AQZ12" s="223"/>
      <c r="ARA12" s="224"/>
      <c r="ARB12" s="217" t="s">
        <v>98</v>
      </c>
      <c r="ARC12" s="218"/>
      <c r="ARD12" s="222">
        <v>53454</v>
      </c>
      <c r="ARE12" s="223"/>
      <c r="ARF12" s="224"/>
      <c r="ARG12" s="217" t="s">
        <v>97</v>
      </c>
      <c r="ARH12" s="218"/>
      <c r="ARI12" s="222">
        <v>14774.5</v>
      </c>
      <c r="ARJ12" s="223"/>
      <c r="ARK12" s="224"/>
      <c r="ARL12" s="217" t="s">
        <v>96</v>
      </c>
      <c r="ARM12" s="218"/>
      <c r="ARN12" s="222">
        <v>91912</v>
      </c>
      <c r="ARO12" s="223"/>
      <c r="ARP12" s="224"/>
      <c r="ARQ12" s="217" t="s">
        <v>102</v>
      </c>
      <c r="ARR12" s="218"/>
      <c r="ARS12" s="222">
        <v>31181.5</v>
      </c>
      <c r="ART12" s="223"/>
      <c r="ARU12" s="224"/>
      <c r="ARV12" s="217" t="s">
        <v>101</v>
      </c>
      <c r="ARW12" s="218"/>
      <c r="ARX12" s="222">
        <v>13363.5</v>
      </c>
      <c r="ARY12" s="223"/>
      <c r="ARZ12" s="224"/>
      <c r="ASA12" s="217" t="s">
        <v>41</v>
      </c>
      <c r="ASB12" s="218"/>
      <c r="ASC12" s="222">
        <v>17818</v>
      </c>
      <c r="ASD12" s="223"/>
      <c r="ASE12" s="224"/>
      <c r="ASF12" s="217" t="s">
        <v>99</v>
      </c>
      <c r="ASG12" s="218"/>
      <c r="ASH12" s="222">
        <v>31181.5</v>
      </c>
      <c r="ASI12" s="223"/>
      <c r="ASJ12" s="224"/>
      <c r="ASK12" s="217" t="s">
        <v>98</v>
      </c>
      <c r="ASL12" s="218"/>
      <c r="ASM12" s="222">
        <v>15480</v>
      </c>
      <c r="ASN12" s="223"/>
      <c r="ASO12" s="224"/>
      <c r="ASP12" s="217" t="s">
        <v>97</v>
      </c>
      <c r="ASQ12" s="218"/>
      <c r="ASR12" s="222">
        <v>15480</v>
      </c>
      <c r="ASS12" s="223"/>
      <c r="AST12" s="224"/>
      <c r="ASU12" s="217" t="s">
        <v>96</v>
      </c>
      <c r="ASV12" s="218"/>
      <c r="ASW12" s="222">
        <v>30960</v>
      </c>
      <c r="ASX12" s="223"/>
      <c r="ASY12" s="224"/>
      <c r="ASZ12" s="217" t="s">
        <v>102</v>
      </c>
      <c r="ATA12" s="218"/>
      <c r="ATB12" s="222">
        <v>81370.5</v>
      </c>
      <c r="ATC12" s="223"/>
      <c r="ATD12" s="224"/>
      <c r="ATE12" s="217" t="s">
        <v>101</v>
      </c>
      <c r="ATF12" s="218"/>
      <c r="ATG12" s="222">
        <v>17818</v>
      </c>
      <c r="ATH12" s="223"/>
      <c r="ATI12" s="224"/>
      <c r="ATJ12" s="217" t="s">
        <v>41</v>
      </c>
      <c r="ATK12" s="218"/>
      <c r="ATL12" s="222">
        <v>0</v>
      </c>
      <c r="ATM12" s="223"/>
      <c r="ATN12" s="224"/>
      <c r="ATO12" s="217" t="s">
        <v>99</v>
      </c>
      <c r="ATP12" s="218"/>
      <c r="ATQ12" s="222">
        <v>76617.399999999994</v>
      </c>
      <c r="ATR12" s="223"/>
      <c r="ATS12" s="224"/>
      <c r="ATT12" s="217" t="s">
        <v>98</v>
      </c>
      <c r="ATU12" s="218"/>
      <c r="ATV12" s="222">
        <v>36120</v>
      </c>
      <c r="ATW12" s="223"/>
      <c r="ATX12" s="224"/>
      <c r="ATY12" s="217" t="s">
        <v>97</v>
      </c>
      <c r="ATZ12" s="218"/>
      <c r="AUA12" s="222">
        <v>41280</v>
      </c>
      <c r="AUB12" s="223"/>
      <c r="AUC12" s="224"/>
      <c r="AUD12" s="217" t="s">
        <v>96</v>
      </c>
      <c r="AUE12" s="218"/>
      <c r="AUF12" s="222">
        <v>28138</v>
      </c>
      <c r="AUG12" s="223"/>
      <c r="AUH12" s="224"/>
      <c r="AUI12" s="217" t="s">
        <v>102</v>
      </c>
      <c r="AUJ12" s="218"/>
      <c r="AUK12" s="222">
        <v>89090</v>
      </c>
      <c r="AUL12" s="223"/>
      <c r="AUM12" s="224"/>
      <c r="AUN12" s="217" t="s">
        <v>101</v>
      </c>
      <c r="AUO12" s="218"/>
      <c r="AUP12" s="222">
        <v>8909</v>
      </c>
      <c r="AUQ12" s="223"/>
      <c r="AUR12" s="224"/>
      <c r="AUS12" s="217" t="s">
        <v>41</v>
      </c>
      <c r="AUT12" s="218"/>
      <c r="AUU12" s="222">
        <v>0</v>
      </c>
      <c r="AUV12" s="223"/>
      <c r="AUW12" s="224"/>
      <c r="AUX12" s="217" t="s">
        <v>99</v>
      </c>
      <c r="AUY12" s="218"/>
      <c r="AUZ12" s="222">
        <v>4454.5</v>
      </c>
      <c r="AVA12" s="223"/>
      <c r="AVB12" s="224"/>
      <c r="AVC12" s="217" t="s">
        <v>98</v>
      </c>
      <c r="AVD12" s="218"/>
      <c r="AVE12" s="222">
        <v>17818</v>
      </c>
      <c r="AVF12" s="223"/>
      <c r="AVG12" s="224"/>
      <c r="AVH12" s="217" t="s">
        <v>97</v>
      </c>
      <c r="AVI12" s="218"/>
      <c r="AVJ12" s="222">
        <v>8909</v>
      </c>
      <c r="AVK12" s="223"/>
      <c r="AVL12" s="224"/>
      <c r="AVM12" s="217" t="s">
        <v>96</v>
      </c>
      <c r="AVN12" s="218"/>
      <c r="AVO12" s="222">
        <v>22272.5</v>
      </c>
      <c r="AVP12" s="223"/>
      <c r="AVQ12" s="224"/>
      <c r="AVR12" s="217" t="s">
        <v>102</v>
      </c>
      <c r="AVS12" s="218"/>
      <c r="AVT12" s="222">
        <v>48999.5</v>
      </c>
      <c r="AVU12" s="223"/>
      <c r="AVV12" s="224"/>
      <c r="AVW12" s="217" t="s">
        <v>101</v>
      </c>
      <c r="AVX12" s="218"/>
      <c r="AVY12" s="222">
        <v>17818</v>
      </c>
      <c r="AVZ12" s="223"/>
      <c r="AWA12" s="224"/>
      <c r="AWB12" s="217" t="s">
        <v>41</v>
      </c>
      <c r="AWC12" s="218"/>
      <c r="AWD12" s="222">
        <v>0</v>
      </c>
      <c r="AWE12" s="223"/>
      <c r="AWF12" s="224"/>
      <c r="AWG12" s="217" t="s">
        <v>99</v>
      </c>
      <c r="AWH12" s="218"/>
      <c r="AWI12" s="222">
        <v>33540</v>
      </c>
      <c r="AWJ12" s="223"/>
      <c r="AWK12" s="224"/>
      <c r="AWL12" s="217" t="s">
        <v>98</v>
      </c>
      <c r="AWM12" s="218"/>
      <c r="AWN12" s="222">
        <v>54180</v>
      </c>
      <c r="AWO12" s="223"/>
      <c r="AWP12" s="224"/>
      <c r="AWQ12" s="217" t="s">
        <v>97</v>
      </c>
      <c r="AWR12" s="218"/>
      <c r="AWS12" s="222">
        <v>0</v>
      </c>
      <c r="AWT12" s="223"/>
      <c r="AWU12" s="224"/>
      <c r="AWV12" s="217" t="s">
        <v>96</v>
      </c>
      <c r="AWW12" s="218"/>
      <c r="AWX12" s="222">
        <v>5160</v>
      </c>
      <c r="AWY12" s="223"/>
      <c r="AWZ12" s="224"/>
      <c r="AXA12" s="217" t="s">
        <v>102</v>
      </c>
      <c r="AXB12" s="218"/>
      <c r="AXC12" s="222">
        <v>26727</v>
      </c>
      <c r="AXD12" s="223"/>
      <c r="AXE12" s="224"/>
      <c r="AXF12" s="217" t="s">
        <v>101</v>
      </c>
      <c r="AXG12" s="218"/>
      <c r="AXH12" s="222">
        <v>0</v>
      </c>
      <c r="AXI12" s="223"/>
      <c r="AXJ12" s="224"/>
      <c r="AXK12" s="217" t="s">
        <v>41</v>
      </c>
      <c r="AXL12" s="218"/>
      <c r="AXM12" s="222">
        <v>0</v>
      </c>
      <c r="AXN12" s="223"/>
      <c r="AXO12" s="224"/>
      <c r="AXP12" s="217" t="s">
        <v>99</v>
      </c>
      <c r="AXQ12" s="218"/>
      <c r="AXR12" s="222">
        <v>0</v>
      </c>
      <c r="AXS12" s="223"/>
      <c r="AXT12" s="224"/>
      <c r="AXU12" s="217" t="s">
        <v>98</v>
      </c>
      <c r="AXV12" s="218"/>
      <c r="AXW12" s="222">
        <v>0</v>
      </c>
      <c r="AXX12" s="223"/>
      <c r="AXY12" s="224"/>
      <c r="AXZ12" s="217" t="s">
        <v>97</v>
      </c>
      <c r="AYA12" s="218"/>
      <c r="AYB12" s="222">
        <v>4454.5</v>
      </c>
      <c r="AYC12" s="223"/>
      <c r="AYD12" s="224"/>
      <c r="AYE12" s="217" t="s">
        <v>96</v>
      </c>
      <c r="AYF12" s="218"/>
      <c r="AYG12" s="222">
        <v>8909</v>
      </c>
      <c r="AYH12" s="223"/>
      <c r="AYI12" s="224"/>
      <c r="AYJ12" s="217" t="s">
        <v>102</v>
      </c>
      <c r="AYK12" s="218"/>
      <c r="AYL12" s="222">
        <v>97999</v>
      </c>
      <c r="AYM12" s="223"/>
      <c r="AYN12" s="224"/>
      <c r="AYO12" s="217" t="s">
        <v>101</v>
      </c>
      <c r="AYP12" s="218"/>
      <c r="AYQ12" s="222">
        <v>8909</v>
      </c>
      <c r="AYR12" s="223"/>
      <c r="AYS12" s="224"/>
      <c r="AYT12" s="217" t="s">
        <v>98</v>
      </c>
      <c r="AYU12" s="218"/>
      <c r="AYV12" s="222">
        <v>17818</v>
      </c>
      <c r="AYW12" s="223"/>
      <c r="AYX12" s="224"/>
      <c r="AYY12" s="217" t="s">
        <v>97</v>
      </c>
      <c r="AYZ12" s="218"/>
      <c r="AZA12" s="222">
        <v>0</v>
      </c>
      <c r="AZB12" s="223"/>
      <c r="AZC12" s="224"/>
      <c r="AZD12" s="217" t="s">
        <v>96</v>
      </c>
      <c r="AZE12" s="218"/>
      <c r="AZF12" s="222">
        <v>17818</v>
      </c>
      <c r="AZG12" s="223"/>
      <c r="AZH12" s="224"/>
      <c r="AZI12" s="217" t="s">
        <v>102</v>
      </c>
      <c r="AZJ12" s="218"/>
      <c r="AZK12" s="222">
        <v>48999.5</v>
      </c>
      <c r="AZL12" s="223"/>
      <c r="AZM12" s="224"/>
      <c r="AZN12" s="217" t="s">
        <v>101</v>
      </c>
      <c r="AZO12" s="218"/>
      <c r="AZP12" s="222">
        <v>40090.5</v>
      </c>
      <c r="AZQ12" s="223"/>
      <c r="AZR12" s="224"/>
      <c r="AZS12" s="217" t="s">
        <v>41</v>
      </c>
      <c r="AZT12" s="218"/>
      <c r="AZU12" s="222">
        <v>0</v>
      </c>
      <c r="AZV12" s="223"/>
      <c r="AZW12" s="224"/>
      <c r="AZX12" s="217" t="s">
        <v>99</v>
      </c>
      <c r="AZY12" s="218"/>
      <c r="AZZ12" s="222">
        <v>0</v>
      </c>
      <c r="BAA12" s="223"/>
      <c r="BAB12" s="224"/>
      <c r="BAC12" s="217" t="s">
        <v>98</v>
      </c>
      <c r="BAD12" s="218"/>
      <c r="BAE12" s="222">
        <v>0</v>
      </c>
      <c r="BAF12" s="223"/>
      <c r="BAG12" s="224"/>
      <c r="BAH12" s="217" t="s">
        <v>97</v>
      </c>
      <c r="BAI12" s="218"/>
      <c r="BAJ12" s="222">
        <v>30960</v>
      </c>
      <c r="BAK12" s="223"/>
      <c r="BAL12" s="224"/>
      <c r="BAM12" s="217" t="s">
        <v>96</v>
      </c>
      <c r="BAN12" s="218"/>
      <c r="BAO12" s="222">
        <v>10320</v>
      </c>
      <c r="BAP12" s="223"/>
      <c r="BAQ12" s="224"/>
      <c r="BAR12" s="217" t="s">
        <v>102</v>
      </c>
      <c r="BAS12" s="218"/>
      <c r="BAT12" s="222">
        <v>0</v>
      </c>
      <c r="BAU12" s="223"/>
      <c r="BAV12" s="224"/>
      <c r="BAW12" s="217" t="s">
        <v>101</v>
      </c>
      <c r="BAX12" s="218"/>
      <c r="BAY12" s="222">
        <v>25094.5</v>
      </c>
      <c r="BAZ12" s="223"/>
      <c r="BBA12" s="224"/>
      <c r="BBB12" s="217" t="s">
        <v>41</v>
      </c>
      <c r="BBC12" s="218"/>
      <c r="BBD12" s="222">
        <v>0</v>
      </c>
      <c r="BBE12" s="223"/>
      <c r="BBF12" s="224"/>
      <c r="BBG12" s="217" t="s">
        <v>99</v>
      </c>
      <c r="BBH12" s="218"/>
      <c r="BBI12" s="222">
        <v>15480</v>
      </c>
      <c r="BBJ12" s="223"/>
      <c r="BBK12" s="224"/>
      <c r="BBL12" s="217" t="s">
        <v>98</v>
      </c>
      <c r="BBM12" s="218"/>
      <c r="BBN12" s="222">
        <v>32072.400000000001</v>
      </c>
      <c r="BBO12" s="223"/>
      <c r="BBP12" s="224"/>
      <c r="BBQ12" s="217" t="s">
        <v>97</v>
      </c>
      <c r="BBR12" s="218"/>
      <c r="BBS12" s="222">
        <v>46440</v>
      </c>
      <c r="BBT12" s="223"/>
      <c r="BBU12" s="224"/>
      <c r="BBV12" s="217" t="s">
        <v>96</v>
      </c>
      <c r="BBW12" s="218"/>
      <c r="BBX12" s="222">
        <v>28380</v>
      </c>
      <c r="BBY12" s="223"/>
      <c r="BBZ12" s="224"/>
      <c r="BCA12" s="217" t="s">
        <v>102</v>
      </c>
      <c r="BCB12" s="218"/>
      <c r="BCC12" s="222">
        <v>22272.5</v>
      </c>
      <c r="BCD12" s="223"/>
      <c r="BCE12" s="224"/>
      <c r="BCF12" s="217" t="s">
        <v>101</v>
      </c>
      <c r="BCG12" s="218"/>
      <c r="BCH12" s="222">
        <v>0</v>
      </c>
      <c r="BCI12" s="223"/>
      <c r="BCJ12" s="224"/>
      <c r="BCK12" s="217" t="s">
        <v>101</v>
      </c>
      <c r="BCL12" s="218"/>
      <c r="BCM12" s="222">
        <v>4454.5</v>
      </c>
      <c r="BCN12" s="223"/>
      <c r="BCO12" s="224"/>
      <c r="BCP12" s="217" t="s">
        <v>41</v>
      </c>
      <c r="BCQ12" s="218"/>
      <c r="BCR12" s="222">
        <v>8909</v>
      </c>
      <c r="BCS12" s="223"/>
      <c r="BCT12" s="224"/>
      <c r="BCU12" s="217" t="s">
        <v>99</v>
      </c>
      <c r="BCV12" s="218"/>
      <c r="BCW12" s="222">
        <v>0</v>
      </c>
      <c r="BCX12" s="223"/>
      <c r="BCY12" s="224"/>
      <c r="BCZ12" s="217" t="s">
        <v>98</v>
      </c>
      <c r="BDA12" s="218"/>
      <c r="BDB12" s="222">
        <v>4454.5</v>
      </c>
      <c r="BDC12" s="223"/>
      <c r="BDD12" s="224"/>
      <c r="BDE12" s="217" t="s">
        <v>97</v>
      </c>
      <c r="BDF12" s="218"/>
      <c r="BDG12" s="222">
        <v>33540</v>
      </c>
      <c r="BDH12" s="223"/>
      <c r="BDI12" s="224"/>
      <c r="BDJ12" s="217" t="s">
        <v>96</v>
      </c>
      <c r="BDK12" s="218"/>
      <c r="BDL12" s="222">
        <v>6681.75</v>
      </c>
      <c r="BDM12" s="223"/>
      <c r="BDN12" s="224"/>
      <c r="BDO12" s="217" t="s">
        <v>102</v>
      </c>
      <c r="BDP12" s="218"/>
      <c r="BDQ12" s="222">
        <v>44545</v>
      </c>
      <c r="BDR12" s="223"/>
      <c r="BDS12" s="224"/>
      <c r="BDT12" s="217" t="s">
        <v>101</v>
      </c>
      <c r="BDU12" s="218"/>
      <c r="BDV12" s="222">
        <v>24852.5</v>
      </c>
      <c r="BDW12" s="223"/>
      <c r="BDX12" s="224"/>
      <c r="BDY12" s="217" t="s">
        <v>41</v>
      </c>
      <c r="BDZ12" s="218"/>
      <c r="BEA12" s="222">
        <v>0</v>
      </c>
      <c r="BEB12" s="223"/>
      <c r="BEC12" s="224"/>
      <c r="BED12" s="217" t="s">
        <v>99</v>
      </c>
      <c r="BEE12" s="218"/>
      <c r="BEF12" s="222">
        <v>0</v>
      </c>
      <c r="BEG12" s="223"/>
      <c r="BEH12" s="224"/>
      <c r="BEI12" s="217" t="s">
        <v>97</v>
      </c>
      <c r="BEJ12" s="218"/>
      <c r="BEK12" s="222">
        <v>8909</v>
      </c>
      <c r="BEL12" s="223"/>
      <c r="BEM12" s="224"/>
      <c r="BEN12" s="217" t="s">
        <v>96</v>
      </c>
      <c r="BEO12" s="218"/>
      <c r="BEP12" s="222">
        <v>71272</v>
      </c>
      <c r="BEQ12" s="223"/>
      <c r="BER12" s="224"/>
      <c r="BES12" s="217" t="s">
        <v>102</v>
      </c>
      <c r="BET12" s="218"/>
      <c r="BEU12" s="222">
        <v>44545</v>
      </c>
      <c r="BEV12" s="223"/>
      <c r="BEW12" s="224"/>
      <c r="BEX12" s="217" t="s">
        <v>101</v>
      </c>
      <c r="BEY12" s="218"/>
      <c r="BEZ12" s="222">
        <v>8909</v>
      </c>
      <c r="BFA12" s="223"/>
      <c r="BFB12" s="224"/>
      <c r="BFC12" s="217" t="s">
        <v>41</v>
      </c>
      <c r="BFD12" s="218"/>
      <c r="BFE12" s="222">
        <v>0</v>
      </c>
      <c r="BFF12" s="223"/>
      <c r="BFG12" s="224"/>
      <c r="BFH12" s="217" t="s">
        <v>99</v>
      </c>
      <c r="BFI12" s="218"/>
      <c r="BFJ12" s="222">
        <v>0</v>
      </c>
      <c r="BFK12" s="223"/>
      <c r="BFL12" s="224"/>
      <c r="BFM12" s="217" t="s">
        <v>98</v>
      </c>
      <c r="BFN12" s="218"/>
      <c r="BFO12" s="222">
        <v>0</v>
      </c>
      <c r="BFP12" s="223"/>
      <c r="BFQ12" s="224"/>
      <c r="BFR12" s="217" t="s">
        <v>97</v>
      </c>
      <c r="BFS12" s="218"/>
      <c r="BFT12" s="222">
        <v>0</v>
      </c>
      <c r="BFU12" s="223"/>
      <c r="BFV12" s="224"/>
      <c r="BFW12" s="217" t="s">
        <v>96</v>
      </c>
      <c r="BFX12" s="218"/>
      <c r="BFY12" s="222">
        <v>6681.75</v>
      </c>
      <c r="BFZ12" s="223"/>
      <c r="BGA12" s="224"/>
      <c r="BGB12" s="217" t="s">
        <v>102</v>
      </c>
      <c r="BGC12" s="218"/>
      <c r="BGD12" s="222">
        <v>26727</v>
      </c>
      <c r="BGE12" s="223"/>
      <c r="BGF12" s="224"/>
      <c r="BGG12" s="217" t="s">
        <v>101</v>
      </c>
      <c r="BGH12" s="218"/>
      <c r="BGI12" s="222">
        <v>0</v>
      </c>
      <c r="BGJ12" s="223"/>
      <c r="BGK12" s="224"/>
      <c r="BGL12" s="217" t="s">
        <v>99</v>
      </c>
      <c r="BGM12" s="218"/>
      <c r="BGN12" s="222">
        <v>13363.5</v>
      </c>
      <c r="BGO12" s="223"/>
      <c r="BGP12" s="224"/>
      <c r="BGQ12" s="217" t="s">
        <v>98</v>
      </c>
      <c r="BGR12" s="218"/>
      <c r="BGS12" s="222">
        <v>8909</v>
      </c>
      <c r="BGT12" s="223"/>
      <c r="BGU12" s="224"/>
      <c r="BGV12" s="217" t="s">
        <v>97</v>
      </c>
      <c r="BGW12" s="218"/>
      <c r="BGX12" s="222">
        <v>18060</v>
      </c>
      <c r="BGY12" s="223"/>
      <c r="BGZ12" s="224"/>
      <c r="BHA12" s="217" t="s">
        <v>96</v>
      </c>
      <c r="BHB12" s="218"/>
      <c r="BHC12" s="222">
        <v>45956</v>
      </c>
      <c r="BHD12" s="223"/>
      <c r="BHE12" s="224"/>
      <c r="BHF12" s="217" t="s">
        <v>102</v>
      </c>
      <c r="BHG12" s="218"/>
      <c r="BHH12" s="222">
        <v>85935.75</v>
      </c>
      <c r="BHI12" s="223"/>
      <c r="BHJ12" s="224"/>
      <c r="BHK12" s="217" t="s">
        <v>101</v>
      </c>
      <c r="BHL12" s="218"/>
      <c r="BHM12" s="222">
        <v>13363.5</v>
      </c>
      <c r="BHN12" s="223"/>
      <c r="BHO12" s="224"/>
      <c r="BHP12" s="217" t="s">
        <v>41</v>
      </c>
      <c r="BHQ12" s="218"/>
      <c r="BHR12" s="222">
        <v>0</v>
      </c>
      <c r="BHS12" s="223"/>
      <c r="BHT12" s="224"/>
      <c r="BHU12" s="217" t="s">
        <v>99</v>
      </c>
      <c r="BHV12" s="218"/>
      <c r="BHW12" s="222">
        <v>41280</v>
      </c>
      <c r="BHX12" s="223"/>
      <c r="BHY12" s="224"/>
      <c r="BHZ12" s="217" t="s">
        <v>98</v>
      </c>
      <c r="BIA12" s="218"/>
      <c r="BIB12" s="222">
        <v>30960</v>
      </c>
      <c r="BIC12" s="223"/>
      <c r="BID12" s="224"/>
      <c r="BIE12" s="217" t="s">
        <v>97</v>
      </c>
      <c r="BIF12" s="218"/>
      <c r="BIG12" s="222">
        <v>0</v>
      </c>
      <c r="BIH12" s="223"/>
      <c r="BII12" s="224"/>
      <c r="BIJ12" s="217" t="s">
        <v>101</v>
      </c>
      <c r="BIK12" s="218"/>
      <c r="BIL12" s="222">
        <v>8909</v>
      </c>
      <c r="BIM12" s="223"/>
      <c r="BIN12" s="224"/>
      <c r="BIO12" s="217" t="s">
        <v>41</v>
      </c>
      <c r="BIP12" s="218"/>
      <c r="BIQ12" s="222">
        <v>0</v>
      </c>
      <c r="BIR12" s="223"/>
      <c r="BIS12" s="224"/>
      <c r="BIT12" s="217" t="s">
        <v>99</v>
      </c>
      <c r="BIU12" s="218"/>
      <c r="BIV12" s="222">
        <v>31887</v>
      </c>
      <c r="BIW12" s="223"/>
      <c r="BIX12" s="224"/>
      <c r="BIY12" s="217" t="s">
        <v>98</v>
      </c>
      <c r="BIZ12" s="218"/>
      <c r="BJA12" s="222">
        <v>0</v>
      </c>
      <c r="BJB12" s="223"/>
      <c r="BJC12" s="224"/>
      <c r="BJD12" s="217" t="s">
        <v>97</v>
      </c>
      <c r="BJE12" s="218"/>
      <c r="BJF12" s="222">
        <v>0</v>
      </c>
      <c r="BJG12" s="223"/>
      <c r="BJH12" s="224"/>
      <c r="BJI12" s="217" t="s">
        <v>96</v>
      </c>
      <c r="BJJ12" s="218"/>
      <c r="BJK12" s="222">
        <v>17818</v>
      </c>
      <c r="BJL12" s="223"/>
      <c r="BJM12" s="224"/>
      <c r="BJN12" s="217" t="s">
        <v>99</v>
      </c>
      <c r="BJO12" s="218"/>
      <c r="BJP12" s="222">
        <v>23220</v>
      </c>
      <c r="BJQ12" s="223"/>
      <c r="BJR12" s="224"/>
      <c r="BJS12" s="217" t="s">
        <v>98</v>
      </c>
      <c r="BJT12" s="218"/>
      <c r="BJU12" s="222">
        <v>0</v>
      </c>
      <c r="BJV12" s="223"/>
      <c r="BJW12" s="224"/>
      <c r="BJX12" s="217" t="s">
        <v>98</v>
      </c>
      <c r="BJY12" s="218"/>
      <c r="BJZ12" s="222">
        <v>0</v>
      </c>
      <c r="BKA12" s="223"/>
      <c r="BKB12" s="224"/>
      <c r="BKC12" s="217" t="s">
        <v>102</v>
      </c>
      <c r="BKD12" s="218"/>
      <c r="BKE12" s="222">
        <v>50189</v>
      </c>
      <c r="BKF12" s="223"/>
      <c r="BKG12" s="224"/>
      <c r="BKH12" s="217" t="s">
        <v>101</v>
      </c>
      <c r="BKI12" s="218"/>
      <c r="BKJ12" s="222">
        <v>13363.5</v>
      </c>
      <c r="BKK12" s="223"/>
      <c r="BKL12" s="224"/>
      <c r="BKM12" s="217" t="s">
        <v>41</v>
      </c>
      <c r="BKN12" s="218"/>
      <c r="BKO12" s="222">
        <v>0</v>
      </c>
      <c r="BKP12" s="223"/>
      <c r="BKQ12" s="224"/>
      <c r="BKR12" s="217" t="s">
        <v>98</v>
      </c>
      <c r="BKS12" s="218"/>
      <c r="BKT12" s="222">
        <v>6681.75</v>
      </c>
      <c r="BKU12" s="223"/>
      <c r="BKV12" s="224"/>
      <c r="BKW12" s="217" t="s">
        <v>102</v>
      </c>
      <c r="BKX12" s="218"/>
      <c r="BKY12" s="222">
        <v>40090.5</v>
      </c>
      <c r="BKZ12" s="223"/>
      <c r="BLA12" s="224"/>
      <c r="BLB12" s="217" t="s">
        <v>101</v>
      </c>
      <c r="BLC12" s="218"/>
      <c r="BLD12" s="222">
        <v>4454.5</v>
      </c>
      <c r="BLE12" s="223"/>
      <c r="BLF12" s="224"/>
      <c r="BLG12" s="217" t="s">
        <v>41</v>
      </c>
      <c r="BLH12" s="218"/>
      <c r="BLI12" s="222">
        <v>0</v>
      </c>
      <c r="BLJ12" s="223"/>
      <c r="BLK12" s="224"/>
      <c r="BLL12" s="217" t="s">
        <v>99</v>
      </c>
      <c r="BLM12" s="218"/>
      <c r="BLN12" s="222">
        <v>10690.8</v>
      </c>
      <c r="BLO12" s="223"/>
      <c r="BLP12" s="224"/>
      <c r="BLQ12" s="217" t="s">
        <v>98</v>
      </c>
      <c r="BLR12" s="218"/>
      <c r="BLS12" s="222">
        <v>0</v>
      </c>
      <c r="BLT12" s="223"/>
      <c r="BLU12" s="224"/>
      <c r="BLV12" s="217" t="s">
        <v>102</v>
      </c>
      <c r="BLW12" s="218"/>
      <c r="BLX12" s="222">
        <v>0</v>
      </c>
      <c r="BLY12" s="223"/>
      <c r="BLZ12" s="224"/>
      <c r="BMA12" s="217" t="s">
        <v>101</v>
      </c>
      <c r="BMB12" s="218"/>
      <c r="BMC12" s="222">
        <v>13363.5</v>
      </c>
      <c r="BMD12" s="223"/>
      <c r="BME12" s="224"/>
      <c r="BMF12" s="217" t="s">
        <v>41</v>
      </c>
      <c r="BMG12" s="218"/>
      <c r="BMH12" s="222">
        <v>0</v>
      </c>
      <c r="BMI12" s="223"/>
      <c r="BMJ12" s="224"/>
      <c r="BMK12" s="217" t="s">
        <v>99</v>
      </c>
      <c r="BML12" s="218"/>
      <c r="BMM12" s="222">
        <v>0</v>
      </c>
      <c r="BMN12" s="223"/>
      <c r="BMO12" s="224"/>
      <c r="BMP12" s="217" t="s">
        <v>102</v>
      </c>
      <c r="BMQ12" s="218"/>
      <c r="BMR12" s="222">
        <v>35636</v>
      </c>
      <c r="BMS12" s="223"/>
      <c r="BMT12" s="224"/>
      <c r="BMU12" s="217" t="s">
        <v>101</v>
      </c>
      <c r="BMV12" s="218"/>
      <c r="BMW12" s="222">
        <v>13363.5</v>
      </c>
      <c r="BMX12" s="223"/>
      <c r="BMY12" s="224"/>
      <c r="BMZ12" s="217" t="s">
        <v>41</v>
      </c>
      <c r="BNA12" s="218"/>
      <c r="BNB12" s="222">
        <v>0</v>
      </c>
      <c r="BNC12" s="223"/>
      <c r="BND12" s="224"/>
      <c r="BNE12" s="217" t="s">
        <v>98</v>
      </c>
      <c r="BNF12" s="218"/>
      <c r="BNG12" s="222">
        <v>4454.5</v>
      </c>
      <c r="BNH12" s="223"/>
      <c r="BNI12" s="224"/>
      <c r="BNJ12" s="217" t="s">
        <v>41</v>
      </c>
      <c r="BNK12" s="218"/>
      <c r="BNL12" s="222">
        <v>0</v>
      </c>
      <c r="BNM12" s="223"/>
      <c r="BNN12" s="224"/>
      <c r="BNO12" s="217" t="s">
        <v>99</v>
      </c>
      <c r="BNP12" s="218"/>
      <c r="BNQ12" s="222">
        <v>0</v>
      </c>
      <c r="BNR12" s="223"/>
      <c r="BNS12" s="224"/>
      <c r="BNT12" s="217" t="s">
        <v>98</v>
      </c>
      <c r="BNU12" s="218"/>
      <c r="BNV12" s="222">
        <v>31181.5</v>
      </c>
      <c r="BNW12" s="223"/>
      <c r="BNX12" s="224"/>
      <c r="BNY12" s="217" t="s">
        <v>102</v>
      </c>
      <c r="BNZ12" s="218"/>
      <c r="BOA12" s="222">
        <v>13363.5</v>
      </c>
      <c r="BOB12" s="223"/>
      <c r="BOC12" s="224"/>
      <c r="BOD12" s="217" t="s">
        <v>99</v>
      </c>
      <c r="BOE12" s="218"/>
      <c r="BOF12" s="222">
        <v>8909</v>
      </c>
      <c r="BOG12" s="223"/>
      <c r="BOH12" s="224"/>
      <c r="BOI12" s="217" t="s">
        <v>98</v>
      </c>
      <c r="BOJ12" s="218"/>
      <c r="BOK12" s="222">
        <v>22272.5</v>
      </c>
      <c r="BOL12" s="223"/>
      <c r="BOM12" s="224"/>
      <c r="BON12" s="217" t="s">
        <v>97</v>
      </c>
      <c r="BOO12" s="218"/>
      <c r="BOP12" s="222">
        <v>0</v>
      </c>
      <c r="BOQ12" s="223"/>
      <c r="BOR12" s="224"/>
      <c r="BOS12" s="217" t="s">
        <v>96</v>
      </c>
      <c r="BOT12" s="218"/>
      <c r="BOU12" s="222">
        <v>35636</v>
      </c>
      <c r="BOV12" s="223"/>
      <c r="BOW12" s="224"/>
      <c r="BOX12" s="217" t="s">
        <v>102</v>
      </c>
      <c r="BOY12" s="218"/>
      <c r="BOZ12" s="222">
        <v>62363</v>
      </c>
      <c r="BPA12" s="223"/>
      <c r="BPB12" s="224"/>
      <c r="BPC12" s="217" t="s">
        <v>101</v>
      </c>
      <c r="BPD12" s="218"/>
      <c r="BPE12" s="222">
        <v>17818</v>
      </c>
      <c r="BPF12" s="223"/>
      <c r="BPG12" s="224"/>
      <c r="BPH12" s="217" t="s">
        <v>41</v>
      </c>
      <c r="BPI12" s="218"/>
      <c r="BPJ12" s="222">
        <v>0</v>
      </c>
      <c r="BPK12" s="223"/>
      <c r="BPL12" s="224"/>
      <c r="BPM12" s="217" t="s">
        <v>99</v>
      </c>
      <c r="BPN12" s="218"/>
      <c r="BPO12" s="222">
        <v>10690.8</v>
      </c>
      <c r="BPP12" s="223"/>
      <c r="BPQ12" s="224"/>
      <c r="BPR12" s="217" t="s">
        <v>98</v>
      </c>
      <c r="BPS12" s="218"/>
      <c r="BPT12" s="222">
        <v>8909</v>
      </c>
      <c r="BPU12" s="223"/>
      <c r="BPV12" s="224"/>
      <c r="BPW12" s="217" t="s">
        <v>97</v>
      </c>
      <c r="BPX12" s="218"/>
      <c r="BPY12" s="222">
        <v>13363.5</v>
      </c>
      <c r="BPZ12" s="223"/>
      <c r="BQA12" s="224"/>
      <c r="BQB12" s="217" t="s">
        <v>96</v>
      </c>
      <c r="BQC12" s="218"/>
      <c r="BQD12" s="222">
        <v>17818</v>
      </c>
      <c r="BQE12" s="223"/>
      <c r="BQF12" s="224"/>
      <c r="BQG12" s="217" t="s">
        <v>102</v>
      </c>
      <c r="BQH12" s="218"/>
      <c r="BQI12" s="222">
        <v>22272.5</v>
      </c>
      <c r="BQJ12" s="223"/>
      <c r="BQK12" s="224"/>
      <c r="BQL12" s="217" t="s">
        <v>101</v>
      </c>
      <c r="BQM12" s="218"/>
      <c r="BQN12" s="222">
        <v>26727</v>
      </c>
      <c r="BQO12" s="223"/>
      <c r="BQP12" s="224"/>
      <c r="BQQ12" s="217" t="s">
        <v>41</v>
      </c>
      <c r="BQR12" s="218"/>
      <c r="BQS12" s="222">
        <v>0</v>
      </c>
      <c r="BQT12" s="223"/>
      <c r="BQU12" s="224"/>
      <c r="BQV12" s="217" t="s">
        <v>99</v>
      </c>
      <c r="BQW12" s="218"/>
      <c r="BQX12" s="222">
        <v>8909</v>
      </c>
      <c r="BQY12" s="223"/>
      <c r="BQZ12" s="224"/>
      <c r="BRA12" s="217" t="s">
        <v>98</v>
      </c>
      <c r="BRB12" s="218"/>
      <c r="BRC12" s="222">
        <v>0</v>
      </c>
      <c r="BRD12" s="223"/>
      <c r="BRE12" s="224"/>
      <c r="BRF12" s="217" t="s">
        <v>97</v>
      </c>
      <c r="BRG12" s="218"/>
      <c r="BRH12" s="222">
        <v>4454.5</v>
      </c>
      <c r="BRI12" s="223"/>
      <c r="BRJ12" s="224"/>
      <c r="BRK12" s="217" t="s">
        <v>96</v>
      </c>
      <c r="BRL12" s="218"/>
      <c r="BRM12" s="222">
        <v>8909</v>
      </c>
      <c r="BRN12" s="223"/>
      <c r="BRO12" s="224"/>
      <c r="BRP12" s="217" t="s">
        <v>102</v>
      </c>
      <c r="BRQ12" s="218"/>
      <c r="BRR12" s="222">
        <v>57908.5</v>
      </c>
      <c r="BRS12" s="223"/>
      <c r="BRT12" s="224"/>
      <c r="BRU12" s="217" t="s">
        <v>101</v>
      </c>
      <c r="BRV12" s="218"/>
      <c r="BRW12" s="222">
        <v>13363.5</v>
      </c>
      <c r="BRX12" s="223"/>
      <c r="BRY12" s="224"/>
      <c r="BRZ12" s="217" t="s">
        <v>41</v>
      </c>
      <c r="BSA12" s="218"/>
      <c r="BSB12" s="222">
        <v>0</v>
      </c>
      <c r="BSC12" s="223"/>
      <c r="BSD12" s="224"/>
      <c r="BSE12" s="217" t="s">
        <v>99</v>
      </c>
      <c r="BSF12" s="218"/>
      <c r="BSG12" s="222">
        <v>26727</v>
      </c>
      <c r="BSH12" s="223"/>
      <c r="BSI12" s="224"/>
      <c r="BSJ12" s="217" t="s">
        <v>98</v>
      </c>
      <c r="BSK12" s="218"/>
      <c r="BSL12" s="222">
        <v>0</v>
      </c>
      <c r="BSM12" s="223"/>
      <c r="BSN12" s="224"/>
      <c r="BSO12" s="217" t="s">
        <v>97</v>
      </c>
      <c r="BSP12" s="218"/>
      <c r="BSQ12" s="222">
        <v>4454.5</v>
      </c>
      <c r="BSR12" s="223"/>
      <c r="BSS12" s="224"/>
      <c r="BST12" s="217" t="s">
        <v>96</v>
      </c>
      <c r="BSU12" s="218"/>
      <c r="BSV12" s="222">
        <v>48999.5</v>
      </c>
      <c r="BSW12" s="223"/>
      <c r="BSX12" s="224"/>
      <c r="BSY12" s="217" t="s">
        <v>102</v>
      </c>
      <c r="BSZ12" s="218"/>
      <c r="BTA12" s="222">
        <v>22272.5</v>
      </c>
      <c r="BTB12" s="223"/>
      <c r="BTC12" s="224"/>
      <c r="BTD12" s="217" t="s">
        <v>101</v>
      </c>
      <c r="BTE12" s="218"/>
      <c r="BTF12" s="222">
        <v>17818</v>
      </c>
      <c r="BTG12" s="223"/>
      <c r="BTH12" s="224"/>
      <c r="BTI12" s="217" t="s">
        <v>41</v>
      </c>
      <c r="BTJ12" s="218"/>
      <c r="BTK12" s="222">
        <v>0</v>
      </c>
      <c r="BTL12" s="223"/>
      <c r="BTM12" s="224"/>
      <c r="BTN12" s="217" t="s">
        <v>99</v>
      </c>
      <c r="BTO12" s="218"/>
      <c r="BTP12" s="222">
        <v>44545</v>
      </c>
      <c r="BTQ12" s="223"/>
      <c r="BTR12" s="224"/>
      <c r="BTS12" s="217" t="s">
        <v>98</v>
      </c>
      <c r="BTT12" s="218"/>
      <c r="BTU12" s="222">
        <v>0</v>
      </c>
      <c r="BTV12" s="223"/>
      <c r="BTW12" s="224"/>
      <c r="BTX12" s="217" t="s">
        <v>97</v>
      </c>
      <c r="BTY12" s="218"/>
      <c r="BTZ12" s="222">
        <v>53454</v>
      </c>
      <c r="BUA12" s="223"/>
      <c r="BUB12" s="224"/>
      <c r="BUC12" s="217" t="s">
        <v>96</v>
      </c>
      <c r="BUD12" s="218"/>
      <c r="BUE12" s="222">
        <v>26727</v>
      </c>
      <c r="BUF12" s="223"/>
      <c r="BUG12" s="224"/>
      <c r="BUH12" s="217" t="s">
        <v>97</v>
      </c>
      <c r="BUI12" s="218"/>
      <c r="BUJ12" s="222">
        <v>44545</v>
      </c>
      <c r="BUK12" s="223"/>
      <c r="BUL12" s="224"/>
      <c r="BUM12" s="217" t="s">
        <v>96</v>
      </c>
      <c r="BUN12" s="218"/>
      <c r="BUO12" s="222">
        <v>26727</v>
      </c>
      <c r="BUP12" s="223"/>
      <c r="BUQ12" s="224"/>
      <c r="BUR12" s="217" t="s">
        <v>102</v>
      </c>
      <c r="BUS12" s="218"/>
      <c r="BUT12" s="222">
        <v>89090</v>
      </c>
      <c r="BUU12" s="223"/>
      <c r="BUV12" s="224"/>
      <c r="BUW12" s="217" t="s">
        <v>101</v>
      </c>
      <c r="BUX12" s="218"/>
      <c r="BUY12" s="222">
        <v>4454.5</v>
      </c>
      <c r="BUZ12" s="223"/>
      <c r="BVA12" s="224"/>
      <c r="BVB12" s="217" t="s">
        <v>41</v>
      </c>
      <c r="BVC12" s="218"/>
      <c r="BVD12" s="222">
        <v>0</v>
      </c>
      <c r="BVE12" s="223"/>
      <c r="BVF12" s="224"/>
      <c r="BVG12" s="217" t="s">
        <v>41</v>
      </c>
      <c r="BVH12" s="218"/>
      <c r="BVI12" s="222">
        <v>0</v>
      </c>
      <c r="BVJ12" s="223"/>
      <c r="BVK12" s="224"/>
      <c r="BVL12" s="217" t="s">
        <v>99</v>
      </c>
      <c r="BVM12" s="218"/>
      <c r="BVN12" s="222">
        <v>0</v>
      </c>
      <c r="BVO12" s="223"/>
      <c r="BVP12" s="224"/>
      <c r="BVQ12" s="217" t="s">
        <v>98</v>
      </c>
      <c r="BVR12" s="218"/>
      <c r="BVS12" s="222">
        <v>4454.5</v>
      </c>
      <c r="BVT12" s="223"/>
      <c r="BVU12" s="224"/>
      <c r="BVV12" s="217" t="s">
        <v>97</v>
      </c>
      <c r="BVW12" s="218"/>
      <c r="BVX12" s="222">
        <v>40090.5</v>
      </c>
      <c r="BVY12" s="223"/>
      <c r="BVZ12" s="224"/>
      <c r="BWA12" s="217" t="s">
        <v>96</v>
      </c>
      <c r="BWB12" s="218"/>
      <c r="BWC12" s="222">
        <v>35636</v>
      </c>
      <c r="BWD12" s="223"/>
      <c r="BWE12" s="224"/>
      <c r="BWF12" s="217" t="s">
        <v>102</v>
      </c>
      <c r="BWG12" s="218"/>
      <c r="BWH12" s="222">
        <v>115817</v>
      </c>
      <c r="BWI12" s="223"/>
      <c r="BWJ12" s="224"/>
      <c r="BWK12" s="217" t="s">
        <v>101</v>
      </c>
      <c r="BWL12" s="218"/>
      <c r="BWM12" s="222">
        <v>13363.5</v>
      </c>
      <c r="BWN12" s="223"/>
      <c r="BWO12" s="224"/>
      <c r="BWP12" s="217" t="s">
        <v>41</v>
      </c>
      <c r="BWQ12" s="218"/>
      <c r="BWR12" s="222">
        <v>0</v>
      </c>
      <c r="BWS12" s="223"/>
      <c r="BWT12" s="224"/>
      <c r="BWU12" s="217" t="s">
        <v>99</v>
      </c>
      <c r="BWV12" s="218"/>
      <c r="BWW12" s="222">
        <v>17818</v>
      </c>
      <c r="BWX12" s="223"/>
      <c r="BWY12" s="224"/>
      <c r="BWZ12" s="217" t="s">
        <v>98</v>
      </c>
      <c r="BXA12" s="218"/>
      <c r="BXB12" s="222">
        <v>22272.5</v>
      </c>
      <c r="BXC12" s="223"/>
      <c r="BXD12" s="224"/>
      <c r="BXE12" s="217" t="s">
        <v>97</v>
      </c>
      <c r="BXF12" s="218"/>
      <c r="BXG12" s="222">
        <v>35636</v>
      </c>
      <c r="BXH12" s="223"/>
      <c r="BXI12" s="224"/>
      <c r="BXJ12" s="217" t="s">
        <v>96</v>
      </c>
      <c r="BXK12" s="218"/>
      <c r="BXL12" s="222">
        <v>53454</v>
      </c>
      <c r="BXM12" s="223"/>
      <c r="BXN12" s="224"/>
      <c r="BXO12" s="217" t="s">
        <v>102</v>
      </c>
      <c r="BXP12" s="218"/>
      <c r="BXQ12" s="222">
        <v>0</v>
      </c>
      <c r="BXR12" s="223"/>
      <c r="BXS12" s="224"/>
      <c r="BXT12" s="217" t="s">
        <v>101</v>
      </c>
      <c r="BXU12" s="218"/>
      <c r="BXV12" s="222">
        <v>0</v>
      </c>
      <c r="BXW12" s="223"/>
      <c r="BXX12" s="224"/>
      <c r="BXY12" s="217" t="s">
        <v>101</v>
      </c>
      <c r="BXZ12" s="218"/>
      <c r="BYA12" s="222">
        <v>31181.5</v>
      </c>
      <c r="BYB12" s="223"/>
      <c r="BYC12" s="224"/>
      <c r="BYD12" s="217" t="s">
        <v>101</v>
      </c>
      <c r="BYE12" s="218"/>
      <c r="BYF12" s="222" t="e">
        <v>#VALUE!</v>
      </c>
      <c r="BYG12" s="223"/>
      <c r="BYH12" s="224"/>
      <c r="BYI12" s="217" t="s">
        <v>41</v>
      </c>
      <c r="BYJ12" s="218"/>
      <c r="BYK12" s="222">
        <v>0</v>
      </c>
      <c r="BYL12" s="223"/>
      <c r="BYM12" s="224"/>
      <c r="BYN12" s="217" t="s">
        <v>99</v>
      </c>
      <c r="BYO12" s="218"/>
      <c r="BYP12" s="222">
        <v>0</v>
      </c>
      <c r="BYQ12" s="223"/>
      <c r="BYR12" s="224"/>
      <c r="BYS12" s="217" t="s">
        <v>98</v>
      </c>
      <c r="BYT12" s="218"/>
      <c r="BYU12" s="222">
        <v>8909</v>
      </c>
      <c r="BYV12" s="223"/>
      <c r="BYW12" s="224"/>
      <c r="BYX12" s="217" t="s">
        <v>97</v>
      </c>
      <c r="BYY12" s="218"/>
      <c r="BYZ12" s="222">
        <v>44545</v>
      </c>
      <c r="BZA12" s="223"/>
      <c r="BZB12" s="224"/>
      <c r="BZC12" s="217" t="s">
        <v>96</v>
      </c>
      <c r="BZD12" s="218"/>
      <c r="BZE12" s="222">
        <v>26727</v>
      </c>
      <c r="BZF12" s="223"/>
      <c r="BZG12" s="224"/>
      <c r="BZH12" s="217" t="s">
        <v>102</v>
      </c>
      <c r="BZI12" s="218"/>
      <c r="BZJ12" s="222">
        <v>84635.5</v>
      </c>
      <c r="BZK12" s="223"/>
      <c r="BZL12" s="224"/>
      <c r="BZM12" s="217" t="s">
        <v>101</v>
      </c>
      <c r="BZN12" s="218"/>
      <c r="BZO12" s="222">
        <v>48999.5</v>
      </c>
      <c r="BZP12" s="223"/>
      <c r="BZQ12" s="224"/>
      <c r="BZR12" s="217" t="s">
        <v>41</v>
      </c>
      <c r="BZS12" s="218"/>
      <c r="BZT12" s="222">
        <v>0</v>
      </c>
      <c r="BZU12" s="223"/>
      <c r="BZV12" s="224"/>
      <c r="BZW12" s="217" t="s">
        <v>99</v>
      </c>
      <c r="BZX12" s="218"/>
      <c r="BZY12" s="222">
        <v>0</v>
      </c>
      <c r="BZZ12" s="223"/>
      <c r="CAA12" s="224"/>
      <c r="CAB12" s="217" t="s">
        <v>98</v>
      </c>
      <c r="CAC12" s="218"/>
      <c r="CAD12" s="222">
        <v>71272</v>
      </c>
      <c r="CAE12" s="223"/>
      <c r="CAF12" s="224"/>
      <c r="CAG12" s="217" t="s">
        <v>102</v>
      </c>
      <c r="CAH12" s="218"/>
      <c r="CAI12" s="222">
        <v>75726.5</v>
      </c>
      <c r="CAJ12" s="223"/>
      <c r="CAK12" s="224"/>
      <c r="CAL12" s="217" t="s">
        <v>101</v>
      </c>
      <c r="CAM12" s="218"/>
      <c r="CAN12" s="222">
        <v>17818</v>
      </c>
      <c r="CAO12" s="223"/>
      <c r="CAP12" s="224"/>
      <c r="CAQ12" s="217" t="s">
        <v>41</v>
      </c>
      <c r="CAR12" s="218"/>
      <c r="CAS12" s="222">
        <v>0</v>
      </c>
      <c r="CAT12" s="223"/>
      <c r="CAU12" s="224"/>
      <c r="CAV12" s="217" t="s">
        <v>99</v>
      </c>
      <c r="CAW12" s="218"/>
      <c r="CAX12" s="222">
        <v>22272.5</v>
      </c>
      <c r="CAY12" s="223"/>
      <c r="CAZ12" s="224"/>
      <c r="CBA12" s="217" t="s">
        <v>98</v>
      </c>
      <c r="CBB12" s="218"/>
      <c r="CBC12" s="222">
        <v>17818</v>
      </c>
      <c r="CBD12" s="223"/>
      <c r="CBE12" s="224"/>
      <c r="CBF12" s="217" t="s">
        <v>97</v>
      </c>
      <c r="CBG12" s="218"/>
      <c r="CBH12" s="222">
        <v>13363.5</v>
      </c>
      <c r="CBI12" s="223"/>
      <c r="CBJ12" s="224"/>
      <c r="CBK12" s="217" t="s">
        <v>96</v>
      </c>
      <c r="CBL12" s="218"/>
      <c r="CBM12" s="222">
        <v>4454.5</v>
      </c>
      <c r="CBN12" s="223"/>
      <c r="CBO12" s="224"/>
      <c r="CBP12" s="217" t="s">
        <v>102</v>
      </c>
      <c r="CBQ12" s="218"/>
      <c r="CBR12" s="222">
        <v>62363</v>
      </c>
      <c r="CBS12" s="223"/>
      <c r="CBT12" s="224"/>
      <c r="CBU12" s="217" t="s">
        <v>101</v>
      </c>
      <c r="CBV12" s="218"/>
      <c r="CBW12" s="222">
        <v>22272.5</v>
      </c>
      <c r="CBX12" s="223"/>
      <c r="CBY12" s="224"/>
      <c r="CBZ12" s="217" t="s">
        <v>41</v>
      </c>
      <c r="CCA12" s="218"/>
      <c r="CCB12" s="222">
        <v>0</v>
      </c>
      <c r="CCC12" s="223"/>
      <c r="CCD12" s="224"/>
      <c r="CCE12" s="217" t="s">
        <v>99</v>
      </c>
      <c r="CCF12" s="218"/>
      <c r="CCG12" s="222">
        <v>13363.5</v>
      </c>
      <c r="CCH12" s="223"/>
      <c r="CCI12" s="224"/>
      <c r="CCJ12" s="217" t="s">
        <v>98</v>
      </c>
      <c r="CCK12" s="218"/>
      <c r="CCL12" s="222">
        <v>35636</v>
      </c>
      <c r="CCM12" s="223"/>
      <c r="CCN12" s="224"/>
      <c r="CCO12" s="217" t="s">
        <v>97</v>
      </c>
      <c r="CCP12" s="218"/>
      <c r="CCQ12" s="222">
        <v>35636</v>
      </c>
      <c r="CCR12" s="223"/>
      <c r="CCS12" s="224"/>
      <c r="CCT12" s="217" t="s">
        <v>96</v>
      </c>
      <c r="CCU12" s="218"/>
      <c r="CCV12" s="222">
        <v>4454.5</v>
      </c>
      <c r="CCW12" s="223"/>
      <c r="CCX12" s="224"/>
      <c r="CCY12" s="217" t="s">
        <v>101</v>
      </c>
      <c r="CCZ12" s="218"/>
      <c r="CDA12" s="222">
        <v>0</v>
      </c>
      <c r="CDB12" s="223"/>
      <c r="CDC12" s="224"/>
      <c r="CDD12" s="217" t="s">
        <v>41</v>
      </c>
      <c r="CDE12" s="218"/>
      <c r="CDF12" s="222">
        <v>0</v>
      </c>
      <c r="CDG12" s="223"/>
      <c r="CDH12" s="224"/>
      <c r="CDI12" s="217" t="s">
        <v>99</v>
      </c>
      <c r="CDJ12" s="218"/>
      <c r="CDK12" s="222">
        <v>48999.5</v>
      </c>
      <c r="CDL12" s="223"/>
      <c r="CDM12" s="224"/>
      <c r="CDN12" s="217" t="s">
        <v>98</v>
      </c>
      <c r="CDO12" s="218"/>
      <c r="CDP12" s="222">
        <v>0</v>
      </c>
      <c r="CDQ12" s="223"/>
      <c r="CDR12" s="224"/>
      <c r="CDS12" s="217" t="s">
        <v>97</v>
      </c>
      <c r="CDT12" s="218"/>
      <c r="CDU12" s="222">
        <v>40090.5</v>
      </c>
      <c r="CDV12" s="223"/>
      <c r="CDW12" s="224"/>
      <c r="CDX12" s="217" t="s">
        <v>96</v>
      </c>
      <c r="CDY12" s="218"/>
      <c r="CDZ12" s="222">
        <v>22272.5</v>
      </c>
      <c r="CEA12" s="223"/>
      <c r="CEB12" s="224"/>
      <c r="CEC12" s="217" t="s">
        <v>102</v>
      </c>
      <c r="CED12" s="218"/>
      <c r="CEE12" s="222">
        <v>71272</v>
      </c>
      <c r="CEF12" s="223"/>
      <c r="CEG12" s="224"/>
      <c r="CEH12" s="217" t="s">
        <v>101</v>
      </c>
      <c r="CEI12" s="218"/>
      <c r="CEJ12" s="222">
        <v>0</v>
      </c>
      <c r="CEK12" s="223"/>
      <c r="CEL12" s="224"/>
      <c r="CEM12" s="217" t="s">
        <v>41</v>
      </c>
      <c r="CEN12" s="218"/>
      <c r="CEO12" s="222">
        <v>0</v>
      </c>
      <c r="CEP12" s="223"/>
      <c r="CEQ12" s="224"/>
      <c r="CER12" s="217" t="s">
        <v>41</v>
      </c>
      <c r="CES12" s="218"/>
      <c r="CET12" s="222">
        <v>0</v>
      </c>
      <c r="CEU12" s="223"/>
      <c r="CEV12" s="224"/>
      <c r="CEW12" s="217" t="s">
        <v>99</v>
      </c>
      <c r="CEX12" s="218"/>
      <c r="CEY12" s="222">
        <v>102453.5</v>
      </c>
      <c r="CEZ12" s="223"/>
      <c r="CFA12" s="224"/>
      <c r="CFB12" s="217" t="s">
        <v>98</v>
      </c>
      <c r="CFC12" s="218"/>
      <c r="CFD12" s="222">
        <v>66817.5</v>
      </c>
      <c r="CFE12" s="223"/>
      <c r="CFF12" s="224"/>
      <c r="CFG12" s="217" t="s">
        <v>97</v>
      </c>
      <c r="CFH12" s="218"/>
      <c r="CFI12" s="222">
        <v>0</v>
      </c>
      <c r="CFJ12" s="223"/>
      <c r="CFK12" s="224"/>
      <c r="CFL12" s="217" t="s">
        <v>96</v>
      </c>
      <c r="CFM12" s="218"/>
      <c r="CFN12" s="222">
        <v>13363.5</v>
      </c>
      <c r="CFO12" s="223"/>
      <c r="CFP12" s="224"/>
      <c r="CFQ12" s="217" t="s">
        <v>101</v>
      </c>
      <c r="CFR12" s="218"/>
      <c r="CFS12" s="222">
        <v>0</v>
      </c>
      <c r="CFT12" s="223"/>
      <c r="CFU12" s="224"/>
      <c r="CFV12" s="217" t="s">
        <v>41</v>
      </c>
      <c r="CFW12" s="218"/>
      <c r="CFX12" s="222">
        <v>0</v>
      </c>
      <c r="CFY12" s="223"/>
      <c r="CFZ12" s="224"/>
      <c r="CGA12" s="217" t="s">
        <v>99</v>
      </c>
      <c r="CGB12" s="218"/>
      <c r="CGC12" s="222">
        <v>0</v>
      </c>
      <c r="CGD12" s="223"/>
      <c r="CGE12" s="224"/>
      <c r="CGF12" s="217" t="s">
        <v>98</v>
      </c>
      <c r="CGG12" s="218"/>
      <c r="CGH12" s="222">
        <v>13363.5</v>
      </c>
      <c r="CGI12" s="223"/>
      <c r="CGJ12" s="224"/>
      <c r="CGK12" s="217" t="s">
        <v>97</v>
      </c>
      <c r="CGL12" s="218"/>
      <c r="CGM12" s="222">
        <v>31181.5</v>
      </c>
      <c r="CGN12" s="223"/>
      <c r="CGO12" s="224"/>
      <c r="CGP12" s="217" t="s">
        <v>96</v>
      </c>
      <c r="CGQ12" s="218"/>
      <c r="CGR12" s="222">
        <v>17818</v>
      </c>
      <c r="CGS12" s="223"/>
      <c r="CGT12" s="224"/>
      <c r="CGU12" s="217" t="s">
        <v>101</v>
      </c>
      <c r="CGV12" s="218"/>
      <c r="CGW12" s="222">
        <v>13363.5</v>
      </c>
      <c r="CGX12" s="223"/>
      <c r="CGY12" s="224"/>
      <c r="CGZ12" s="217" t="s">
        <v>41</v>
      </c>
      <c r="CHA12" s="218"/>
      <c r="CHB12" s="222">
        <v>0</v>
      </c>
      <c r="CHC12" s="223"/>
      <c r="CHD12" s="224"/>
      <c r="CHE12" s="217" t="s">
        <v>99</v>
      </c>
      <c r="CHF12" s="218"/>
      <c r="CHG12" s="222">
        <v>0</v>
      </c>
      <c r="CHH12" s="223"/>
      <c r="CHI12" s="224"/>
      <c r="CHJ12" s="217" t="s">
        <v>97</v>
      </c>
      <c r="CHK12" s="218"/>
      <c r="CHL12" s="222">
        <v>4454.5</v>
      </c>
      <c r="CHM12" s="223"/>
      <c r="CHN12" s="224"/>
      <c r="CHO12" s="217" t="s">
        <v>96</v>
      </c>
      <c r="CHP12" s="218"/>
      <c r="CHQ12" s="222">
        <v>11136.25</v>
      </c>
      <c r="CHR12" s="223"/>
      <c r="CHS12" s="224"/>
      <c r="CHT12" s="217" t="s">
        <v>102</v>
      </c>
      <c r="CHU12" s="218"/>
      <c r="CHV12" s="222">
        <v>40090.5</v>
      </c>
      <c r="CHW12" s="223"/>
      <c r="CHX12" s="224"/>
      <c r="CHY12" s="217" t="s">
        <v>101</v>
      </c>
      <c r="CHZ12" s="218"/>
      <c r="CIA12" s="222">
        <v>0</v>
      </c>
      <c r="CIB12" s="223"/>
      <c r="CIC12" s="224"/>
      <c r="CID12" s="217" t="s">
        <v>41</v>
      </c>
      <c r="CIE12" s="218"/>
      <c r="CIF12" s="222">
        <v>0</v>
      </c>
      <c r="CIG12" s="223"/>
      <c r="CIH12" s="224"/>
      <c r="CII12" s="217" t="s">
        <v>99</v>
      </c>
      <c r="CIJ12" s="218"/>
      <c r="CIK12" s="222">
        <v>57908.5</v>
      </c>
      <c r="CIL12" s="223"/>
      <c r="CIM12" s="224"/>
      <c r="CIN12" s="217" t="s">
        <v>98</v>
      </c>
      <c r="CIO12" s="218"/>
      <c r="CIP12" s="222">
        <v>35636</v>
      </c>
      <c r="CIQ12" s="223"/>
      <c r="CIR12" s="224"/>
      <c r="CIS12" s="217" t="s">
        <v>97</v>
      </c>
      <c r="CIT12" s="218"/>
      <c r="CIU12" s="222">
        <v>31181.5</v>
      </c>
      <c r="CIV12" s="223"/>
      <c r="CIW12" s="224"/>
      <c r="CIX12" s="217" t="s">
        <v>96</v>
      </c>
      <c r="CIY12" s="218"/>
      <c r="CIZ12" s="222">
        <v>62363</v>
      </c>
      <c r="CJA12" s="223"/>
      <c r="CJB12" s="224"/>
      <c r="CJC12" s="217" t="s">
        <v>101</v>
      </c>
      <c r="CJD12" s="218"/>
      <c r="CJE12" s="222">
        <v>0</v>
      </c>
      <c r="CJF12" s="223"/>
      <c r="CJG12" s="224"/>
      <c r="CJH12" s="217" t="s">
        <v>41</v>
      </c>
      <c r="CJI12" s="218"/>
      <c r="CJJ12" s="222">
        <v>0</v>
      </c>
      <c r="CJK12" s="223"/>
      <c r="CJL12" s="224"/>
      <c r="CJM12" s="217" t="s">
        <v>99</v>
      </c>
      <c r="CJN12" s="218"/>
      <c r="CJO12" s="222">
        <v>44545</v>
      </c>
      <c r="CJP12" s="223"/>
      <c r="CJQ12" s="224"/>
      <c r="CJR12" s="217" t="s">
        <v>98</v>
      </c>
      <c r="CJS12" s="218"/>
      <c r="CJT12" s="222">
        <v>71272</v>
      </c>
      <c r="CJU12" s="223"/>
      <c r="CJV12" s="224"/>
      <c r="CJW12" s="217" t="s">
        <v>97</v>
      </c>
      <c r="CJX12" s="218"/>
      <c r="CJY12" s="222">
        <v>53454</v>
      </c>
      <c r="CJZ12" s="223"/>
      <c r="CKA12" s="224"/>
      <c r="CKB12" s="217" t="s">
        <v>96</v>
      </c>
      <c r="CKC12" s="218"/>
      <c r="CKD12" s="222">
        <v>53454</v>
      </c>
      <c r="CKE12" s="223"/>
      <c r="CKF12" s="224"/>
      <c r="CKG12" s="217" t="s">
        <v>102</v>
      </c>
      <c r="CKH12" s="218"/>
      <c r="CKI12" s="222">
        <v>106908</v>
      </c>
      <c r="CKJ12" s="223"/>
      <c r="CKK12" s="224"/>
      <c r="CKL12" s="217" t="s">
        <v>101</v>
      </c>
      <c r="CKM12" s="218"/>
      <c r="CKN12" s="222">
        <v>8909</v>
      </c>
      <c r="CKO12" s="223"/>
      <c r="CKP12" s="224"/>
      <c r="CKQ12" s="217" t="s">
        <v>41</v>
      </c>
      <c r="CKR12" s="218"/>
      <c r="CKS12" s="222">
        <v>0</v>
      </c>
      <c r="CKT12" s="223"/>
      <c r="CKU12" s="224"/>
      <c r="CKV12" s="217" t="s">
        <v>99</v>
      </c>
      <c r="CKW12" s="218"/>
      <c r="CKX12" s="222">
        <v>71272</v>
      </c>
      <c r="CKY12" s="223"/>
      <c r="CKZ12" s="224"/>
      <c r="CLA12" s="217" t="s">
        <v>98</v>
      </c>
      <c r="CLB12" s="218"/>
      <c r="CLC12" s="222">
        <v>57908.5</v>
      </c>
      <c r="CLD12" s="223"/>
      <c r="CLE12" s="224"/>
      <c r="CLF12" s="217" t="s">
        <v>97</v>
      </c>
      <c r="CLG12" s="218"/>
      <c r="CLH12" s="222">
        <v>53454</v>
      </c>
      <c r="CLI12" s="223"/>
      <c r="CLJ12" s="224"/>
      <c r="CLK12" s="217" t="s">
        <v>96</v>
      </c>
      <c r="CLL12" s="218"/>
      <c r="CLM12" s="222">
        <v>84635.5</v>
      </c>
      <c r="CLN12" s="223"/>
      <c r="CLO12" s="224"/>
      <c r="CLP12" s="217" t="s">
        <v>102</v>
      </c>
      <c r="CLQ12" s="218"/>
      <c r="CLR12" s="222">
        <v>40090.5</v>
      </c>
      <c r="CLS12" s="223"/>
      <c r="CLT12" s="224"/>
      <c r="CLU12" s="217" t="s">
        <v>101</v>
      </c>
      <c r="CLV12" s="218"/>
      <c r="CLW12" s="222">
        <v>59098</v>
      </c>
      <c r="CLX12" s="223"/>
      <c r="CLY12" s="224"/>
      <c r="CLZ12" s="217" t="s">
        <v>41</v>
      </c>
      <c r="CMA12" s="218"/>
      <c r="CMB12" s="222">
        <v>0</v>
      </c>
      <c r="CMC12" s="223"/>
      <c r="CMD12" s="224"/>
      <c r="CME12" s="217" t="s">
        <v>99</v>
      </c>
      <c r="CMF12" s="218"/>
      <c r="CMG12" s="222">
        <v>53454</v>
      </c>
      <c r="CMH12" s="223"/>
      <c r="CMI12" s="224"/>
      <c r="CMJ12" s="217" t="s">
        <v>97</v>
      </c>
      <c r="CMK12" s="218"/>
      <c r="CML12" s="222">
        <v>71272</v>
      </c>
      <c r="CMM12" s="223"/>
      <c r="CMN12" s="224"/>
      <c r="CMO12" s="217" t="s">
        <v>96</v>
      </c>
      <c r="CMP12" s="218"/>
      <c r="CMQ12" s="222">
        <v>75726.5</v>
      </c>
      <c r="CMR12" s="223"/>
      <c r="CMS12" s="224"/>
      <c r="CMT12" s="217" t="s">
        <v>102</v>
      </c>
      <c r="CMU12" s="218"/>
      <c r="CMV12" s="222">
        <v>146998.5</v>
      </c>
      <c r="CMW12" s="223"/>
      <c r="CMX12" s="224"/>
      <c r="CMY12" s="217" t="s">
        <v>101</v>
      </c>
      <c r="CMZ12" s="218"/>
      <c r="CNA12" s="222">
        <v>13363.5</v>
      </c>
      <c r="CNB12" s="223"/>
      <c r="CNC12" s="224"/>
      <c r="CND12" s="217" t="s">
        <v>41</v>
      </c>
      <c r="CNE12" s="218"/>
      <c r="CNF12" s="222">
        <v>0</v>
      </c>
      <c r="CNG12" s="223"/>
      <c r="CNH12" s="224"/>
      <c r="CNI12" s="217" t="s">
        <v>99</v>
      </c>
      <c r="CNJ12" s="218"/>
      <c r="CNK12" s="222">
        <v>89090</v>
      </c>
      <c r="CNL12" s="223"/>
      <c r="CNM12" s="224"/>
      <c r="CNN12" s="217" t="s">
        <v>98</v>
      </c>
      <c r="CNO12" s="218"/>
      <c r="CNP12" s="222">
        <v>97999</v>
      </c>
      <c r="CNQ12" s="223"/>
      <c r="CNR12" s="224"/>
      <c r="CNS12" s="217" t="s">
        <v>97</v>
      </c>
      <c r="CNT12" s="218"/>
      <c r="CNU12" s="222">
        <v>26727</v>
      </c>
      <c r="CNV12" s="223"/>
      <c r="CNW12" s="224"/>
      <c r="CNX12" s="217" t="s">
        <v>96</v>
      </c>
      <c r="CNY12" s="218"/>
      <c r="CNZ12" s="222">
        <v>62363</v>
      </c>
      <c r="COA12" s="223"/>
      <c r="COB12" s="224"/>
      <c r="COC12" s="217" t="s">
        <v>102</v>
      </c>
      <c r="COD12" s="218"/>
      <c r="COE12" s="222">
        <v>230063</v>
      </c>
      <c r="COF12" s="223"/>
      <c r="COG12" s="224"/>
      <c r="COH12" s="217" t="s">
        <v>101</v>
      </c>
      <c r="COI12" s="218"/>
      <c r="COJ12" s="222">
        <v>22272.5</v>
      </c>
      <c r="COK12" s="223"/>
      <c r="COL12" s="224"/>
      <c r="COM12" s="217" t="s">
        <v>41</v>
      </c>
      <c r="CON12" s="218"/>
      <c r="COO12" s="222">
        <v>0</v>
      </c>
      <c r="COP12" s="223"/>
      <c r="COQ12" s="224"/>
      <c r="COR12" s="217" t="s">
        <v>41</v>
      </c>
      <c r="COS12" s="218"/>
      <c r="COT12" s="222">
        <v>0</v>
      </c>
      <c r="COU12" s="223"/>
      <c r="COV12" s="224"/>
      <c r="COW12" s="217" t="s">
        <v>99</v>
      </c>
      <c r="COX12" s="218"/>
      <c r="COY12" s="222">
        <v>44545</v>
      </c>
      <c r="COZ12" s="223"/>
      <c r="CPA12" s="224"/>
      <c r="CPB12" s="217" t="s">
        <v>98</v>
      </c>
      <c r="CPC12" s="218"/>
      <c r="CPD12" s="222">
        <v>17818</v>
      </c>
      <c r="CPE12" s="223"/>
      <c r="CPF12" s="224"/>
      <c r="CPG12" s="217" t="s">
        <v>98</v>
      </c>
      <c r="CPH12" s="218"/>
      <c r="CPI12" s="222">
        <v>75726.5</v>
      </c>
      <c r="CPJ12" s="223"/>
      <c r="CPK12" s="224"/>
      <c r="CPL12" s="217" t="s">
        <v>98</v>
      </c>
      <c r="CPM12" s="218"/>
      <c r="CPN12" s="222">
        <v>34709</v>
      </c>
      <c r="CPO12" s="223"/>
      <c r="CPP12" s="224"/>
      <c r="CPQ12" s="217" t="s">
        <v>97</v>
      </c>
      <c r="CPR12" s="218"/>
      <c r="CPS12" s="222">
        <v>98725</v>
      </c>
      <c r="CPT12" s="223"/>
      <c r="CPU12" s="224"/>
      <c r="CPV12" s="217" t="s">
        <v>41</v>
      </c>
      <c r="CPW12" s="218"/>
      <c r="CPX12" s="222">
        <v>0</v>
      </c>
      <c r="CPY12" s="223"/>
      <c r="CPZ12" s="224"/>
      <c r="CQA12" s="217" t="s">
        <v>99</v>
      </c>
      <c r="CQB12" s="218"/>
      <c r="CQC12" s="222">
        <v>42317.75</v>
      </c>
      <c r="CQD12" s="223"/>
      <c r="CQE12" s="224"/>
      <c r="CQF12" s="217" t="s">
        <v>98</v>
      </c>
      <c r="CQG12" s="218"/>
      <c r="CQH12" s="222">
        <v>4454.5</v>
      </c>
      <c r="CQI12" s="223"/>
      <c r="CQJ12" s="224"/>
      <c r="CQK12" s="217" t="s">
        <v>97</v>
      </c>
      <c r="CQL12" s="218"/>
      <c r="CQM12" s="222">
        <v>43860</v>
      </c>
      <c r="CQN12" s="223"/>
      <c r="CQO12" s="224"/>
      <c r="CQP12" s="217" t="s">
        <v>96</v>
      </c>
      <c r="CQQ12" s="218"/>
      <c r="CQR12" s="222">
        <v>84635.5</v>
      </c>
      <c r="CQS12" s="223"/>
      <c r="CQT12" s="224"/>
      <c r="CQU12" s="217" t="s">
        <v>101</v>
      </c>
      <c r="CQV12" s="218"/>
      <c r="CQW12" s="222">
        <v>13363.5</v>
      </c>
      <c r="CQX12" s="223"/>
      <c r="CQY12" s="224"/>
      <c r="CQZ12" s="217" t="s">
        <v>97</v>
      </c>
      <c r="CRA12" s="218"/>
      <c r="CRB12" s="222">
        <v>44545</v>
      </c>
      <c r="CRC12" s="223"/>
      <c r="CRD12" s="224"/>
      <c r="CRE12" s="310" t="s">
        <v>35</v>
      </c>
      <c r="CRF12" s="311"/>
      <c r="CRG12" s="312">
        <v>22272.5</v>
      </c>
      <c r="CRH12" s="313"/>
      <c r="CRI12" s="314"/>
      <c r="CRJ12" s="310" t="s">
        <v>37</v>
      </c>
      <c r="CRK12" s="311"/>
      <c r="CRL12" s="312">
        <v>53696</v>
      </c>
      <c r="CRM12" s="313"/>
      <c r="CRN12" s="314"/>
      <c r="CRO12" s="310" t="s">
        <v>42</v>
      </c>
      <c r="CRP12" s="311"/>
      <c r="CRQ12" s="312">
        <v>44545</v>
      </c>
      <c r="CRR12" s="313"/>
      <c r="CRS12" s="314"/>
      <c r="CRT12" s="310" t="s">
        <v>36</v>
      </c>
      <c r="CRU12" s="311"/>
      <c r="CRV12" s="312">
        <v>89090</v>
      </c>
      <c r="CRW12" s="313"/>
      <c r="CRX12" s="314"/>
      <c r="CRY12" s="339" t="s">
        <v>36</v>
      </c>
      <c r="CRZ12" s="340"/>
      <c r="CSA12" s="341">
        <v>57908.5</v>
      </c>
      <c r="CSB12" s="342"/>
      <c r="CSC12" s="339" t="s">
        <v>35</v>
      </c>
      <c r="CSD12" s="340"/>
      <c r="CSE12" s="341">
        <v>17818</v>
      </c>
      <c r="CSF12" s="342"/>
      <c r="CSG12" s="339" t="s">
        <v>41</v>
      </c>
      <c r="CSH12" s="340"/>
      <c r="CSI12" s="341">
        <v>0</v>
      </c>
      <c r="CSJ12" s="342"/>
      <c r="CSK12" s="339" t="s">
        <v>41</v>
      </c>
      <c r="CSL12" s="340"/>
      <c r="CSM12" s="341">
        <v>17818</v>
      </c>
      <c r="CSN12" s="342"/>
      <c r="CSO12" s="339" t="s">
        <v>42</v>
      </c>
      <c r="CSP12" s="340"/>
      <c r="CSQ12" s="341">
        <v>0</v>
      </c>
      <c r="CSR12" s="342"/>
      <c r="CSS12" s="339" t="s">
        <v>42</v>
      </c>
      <c r="CST12" s="340"/>
      <c r="CSU12" s="341">
        <v>31181.5</v>
      </c>
      <c r="CSV12" s="342"/>
      <c r="CSW12" s="339" t="s">
        <v>37</v>
      </c>
      <c r="CSX12" s="340"/>
      <c r="CSY12" s="341">
        <v>22272.5</v>
      </c>
      <c r="CSZ12" s="342"/>
      <c r="CTA12" s="339" t="s">
        <v>42</v>
      </c>
      <c r="CTB12" s="340"/>
      <c r="CTC12" s="341">
        <v>31181.5</v>
      </c>
      <c r="CTD12" s="342"/>
      <c r="CTE12" s="339" t="s">
        <v>36</v>
      </c>
      <c r="CTF12" s="340"/>
      <c r="CTG12" s="341">
        <v>26727</v>
      </c>
      <c r="CTH12" s="342"/>
      <c r="CTI12" s="339" t="s">
        <v>35</v>
      </c>
      <c r="CTJ12" s="340"/>
      <c r="CTK12" s="341">
        <v>22272.5</v>
      </c>
      <c r="CTL12" s="342"/>
      <c r="CTM12" s="339" t="s">
        <v>41</v>
      </c>
      <c r="CTN12" s="340"/>
      <c r="CTO12" s="341">
        <v>0</v>
      </c>
      <c r="CTP12" s="342"/>
      <c r="CTQ12" s="339" t="s">
        <v>37</v>
      </c>
      <c r="CTR12" s="340"/>
      <c r="CTS12" s="341">
        <v>13363.5</v>
      </c>
      <c r="CTT12" s="342"/>
      <c r="CTU12" s="339" t="s">
        <v>42</v>
      </c>
      <c r="CTV12" s="340"/>
      <c r="CTW12" s="341">
        <v>31181.5</v>
      </c>
      <c r="CTX12" s="342"/>
      <c r="CTY12" s="339" t="s">
        <v>36</v>
      </c>
      <c r="CTZ12" s="340"/>
      <c r="CUA12" s="341">
        <v>35636</v>
      </c>
      <c r="CUB12" s="342"/>
      <c r="CUC12" s="339" t="s">
        <v>36</v>
      </c>
      <c r="CUD12" s="340"/>
      <c r="CUE12" s="341">
        <v>17818</v>
      </c>
      <c r="CUF12" s="342"/>
      <c r="CUG12" s="339" t="s">
        <v>41</v>
      </c>
      <c r="CUH12" s="340"/>
      <c r="CUI12" s="341">
        <v>0</v>
      </c>
      <c r="CUJ12" s="342"/>
      <c r="CUK12" s="339" t="s">
        <v>37</v>
      </c>
      <c r="CUL12" s="340"/>
      <c r="CUM12" s="341">
        <v>0</v>
      </c>
      <c r="CUN12" s="342"/>
      <c r="CUO12" s="339" t="s">
        <v>42</v>
      </c>
      <c r="CUP12" s="340"/>
      <c r="CUQ12" s="341">
        <v>13363.5</v>
      </c>
      <c r="CUR12" s="342"/>
      <c r="CUS12" s="339" t="s">
        <v>42</v>
      </c>
      <c r="CUT12" s="340"/>
      <c r="CUU12" s="341">
        <v>48999.5</v>
      </c>
      <c r="CUV12" s="342"/>
      <c r="CUW12" s="339" t="s">
        <v>41</v>
      </c>
      <c r="CUX12" s="340"/>
      <c r="CUY12" s="341">
        <v>0</v>
      </c>
      <c r="CUZ12" s="342"/>
      <c r="CVA12" s="339" t="s">
        <v>37</v>
      </c>
      <c r="CVB12" s="340"/>
      <c r="CVC12" s="341">
        <v>4454.5</v>
      </c>
      <c r="CVD12" s="342"/>
      <c r="CVE12" s="339" t="s">
        <v>42</v>
      </c>
      <c r="CVF12" s="340"/>
      <c r="CVG12" s="341"/>
      <c r="CVH12" s="342"/>
      <c r="CVI12" s="339" t="s">
        <v>42</v>
      </c>
      <c r="CVJ12" s="340"/>
      <c r="CVK12" s="341">
        <v>6681.75</v>
      </c>
      <c r="CVL12" s="342"/>
      <c r="CVM12" s="339" t="s">
        <v>36</v>
      </c>
      <c r="CVN12" s="340"/>
      <c r="CVO12" s="341">
        <v>11018</v>
      </c>
      <c r="CVP12" s="342"/>
      <c r="CVQ12" s="339" t="s">
        <v>35</v>
      </c>
      <c r="CVR12" s="340"/>
      <c r="CVS12" s="341">
        <v>53454</v>
      </c>
      <c r="CVT12" s="342"/>
      <c r="CVU12" s="339" t="s">
        <v>35</v>
      </c>
      <c r="CVV12" s="340"/>
      <c r="CVW12" s="341"/>
      <c r="CVX12" s="342"/>
      <c r="CVY12" s="339" t="s">
        <v>35</v>
      </c>
      <c r="CVZ12" s="340"/>
      <c r="CWA12" s="341">
        <v>13363.5</v>
      </c>
      <c r="CWB12" s="342"/>
      <c r="CWC12" s="339" t="s">
        <v>41</v>
      </c>
      <c r="CWD12" s="340"/>
      <c r="CWE12" s="341">
        <v>0</v>
      </c>
      <c r="CWF12" s="342"/>
      <c r="CWG12" s="339" t="s">
        <v>37</v>
      </c>
      <c r="CWH12" s="340"/>
      <c r="CWI12" s="341">
        <v>0</v>
      </c>
      <c r="CWJ12" s="342"/>
      <c r="CWK12" s="339" t="s">
        <v>42</v>
      </c>
      <c r="CWL12" s="340"/>
      <c r="CWM12" s="341">
        <v>4454.5</v>
      </c>
      <c r="CWN12" s="342"/>
      <c r="CWO12" s="339" t="s">
        <v>36</v>
      </c>
      <c r="CWP12" s="340"/>
      <c r="CWQ12" s="341">
        <v>17818</v>
      </c>
      <c r="CWR12" s="342"/>
      <c r="CWS12" s="339" t="s">
        <v>36</v>
      </c>
      <c r="CWT12" s="340"/>
      <c r="CWU12" s="341"/>
      <c r="CWV12" s="342"/>
      <c r="CWW12" s="339" t="s">
        <v>35</v>
      </c>
      <c r="CWX12" s="340"/>
      <c r="CWY12" s="341">
        <v>31181.5</v>
      </c>
      <c r="CWZ12" s="342"/>
      <c r="CXA12" s="368" t="s">
        <v>41</v>
      </c>
      <c r="CXB12" s="369"/>
      <c r="CXC12" s="370">
        <v>0</v>
      </c>
      <c r="CXD12" s="371"/>
      <c r="CXE12" s="368" t="s">
        <v>41</v>
      </c>
      <c r="CXF12" s="369"/>
      <c r="CXG12" s="370">
        <v>1548</v>
      </c>
      <c r="CXH12" s="371"/>
      <c r="CXI12" s="368" t="s">
        <v>42</v>
      </c>
      <c r="CXJ12" s="369"/>
      <c r="CXK12" s="370">
        <v>31181.5</v>
      </c>
      <c r="CXL12" s="371"/>
      <c r="CXM12" s="368" t="s">
        <v>36</v>
      </c>
      <c r="CXN12" s="369"/>
      <c r="CXO12" s="370">
        <v>17818</v>
      </c>
      <c r="CXP12" s="371"/>
      <c r="CXQ12" s="368" t="s">
        <v>35</v>
      </c>
      <c r="CXR12" s="369"/>
      <c r="CXS12" s="370">
        <v>45492.5</v>
      </c>
      <c r="CXT12" s="371"/>
      <c r="CXU12" s="26" t="s">
        <v>37</v>
      </c>
      <c r="CXW12" s="26">
        <v>15590.75</v>
      </c>
      <c r="CXY12" s="26" t="s">
        <v>42</v>
      </c>
      <c r="CYA12" s="26">
        <v>4454.5</v>
      </c>
      <c r="CYC12" s="26" t="s">
        <v>35</v>
      </c>
      <c r="CYE12" s="26">
        <v>51116</v>
      </c>
      <c r="CYG12" s="26" t="s">
        <v>36</v>
      </c>
      <c r="CYI12" s="26">
        <v>0</v>
      </c>
      <c r="CYK12" s="26" t="s">
        <v>45</v>
      </c>
      <c r="CYM12" s="26">
        <v>0</v>
      </c>
      <c r="CYO12" s="26" t="s">
        <v>37</v>
      </c>
      <c r="CYQ12" s="26">
        <v>0</v>
      </c>
      <c r="CYS12" s="26" t="s">
        <v>45</v>
      </c>
      <c r="CYU12" s="26">
        <v>0</v>
      </c>
      <c r="CYW12" s="26" t="s">
        <v>45</v>
      </c>
      <c r="CYY12" s="26">
        <v>49020</v>
      </c>
      <c r="CZA12" s="26" t="s">
        <v>45</v>
      </c>
      <c r="CZC12" s="26">
        <v>5160</v>
      </c>
      <c r="CZE12" s="26" t="s">
        <v>36</v>
      </c>
      <c r="CZG12" s="26">
        <v>5160</v>
      </c>
      <c r="CZI12" s="26" t="s">
        <v>45</v>
      </c>
      <c r="CZM12" s="26" t="s">
        <v>41</v>
      </c>
      <c r="CZO12" s="26">
        <v>0</v>
      </c>
      <c r="CZQ12" s="26" t="s">
        <v>37</v>
      </c>
      <c r="CZS12" s="26">
        <v>0</v>
      </c>
      <c r="CZU12" s="26" t="s">
        <v>45</v>
      </c>
      <c r="CZY12" s="26" t="s">
        <v>41</v>
      </c>
      <c r="DAA12" s="26">
        <v>0</v>
      </c>
      <c r="DAC12" s="26" t="s">
        <v>37</v>
      </c>
      <c r="DAE12" s="26">
        <v>0</v>
      </c>
      <c r="DAG12" s="26" t="s">
        <v>36</v>
      </c>
      <c r="DAI12" s="26">
        <v>0</v>
      </c>
      <c r="DAK12" s="26" t="s">
        <v>42</v>
      </c>
      <c r="DAM12" s="26">
        <v>0</v>
      </c>
      <c r="DAO12" s="26" t="s">
        <v>36</v>
      </c>
      <c r="DAQ12" s="26">
        <v>0</v>
      </c>
      <c r="DAS12" s="26" t="s">
        <v>34</v>
      </c>
      <c r="DAU12" s="26">
        <v>0</v>
      </c>
      <c r="DAW12" s="26" t="s">
        <v>37</v>
      </c>
      <c r="DAY12" s="26">
        <v>0</v>
      </c>
      <c r="DBA12" s="26" t="s">
        <v>37</v>
      </c>
      <c r="DBC12" s="26">
        <v>0</v>
      </c>
      <c r="DBE12" s="26" t="s">
        <v>42</v>
      </c>
      <c r="DBG12" s="26">
        <v>0</v>
      </c>
      <c r="DBI12" s="26" t="s">
        <v>36</v>
      </c>
      <c r="DBK12" s="26">
        <v>0</v>
      </c>
      <c r="DBM12" s="26" t="s">
        <v>34</v>
      </c>
      <c r="DBO12" s="26">
        <v>0</v>
      </c>
      <c r="DBQ12" s="26" t="s">
        <v>37</v>
      </c>
      <c r="DBS12" s="26">
        <v>0</v>
      </c>
      <c r="DBU12" s="26" t="s">
        <v>42</v>
      </c>
      <c r="DBW12" s="26">
        <v>0</v>
      </c>
      <c r="DBY12" s="26" t="s">
        <v>42</v>
      </c>
      <c r="DCA12" s="26">
        <v>0</v>
      </c>
      <c r="DCC12" s="26" t="s">
        <v>35</v>
      </c>
      <c r="DCE12" s="26">
        <v>0</v>
      </c>
      <c r="DCG12" s="26" t="s">
        <v>37</v>
      </c>
      <c r="DCI12" s="26">
        <v>0</v>
      </c>
      <c r="DCK12" s="26" t="s">
        <v>37</v>
      </c>
      <c r="DCM12" s="26">
        <v>0</v>
      </c>
      <c r="DCO12" s="26" t="s">
        <v>42</v>
      </c>
      <c r="DCQ12" s="26">
        <v>0</v>
      </c>
      <c r="DCS12" s="26" t="s">
        <v>36</v>
      </c>
      <c r="DCU12" s="26">
        <v>0</v>
      </c>
      <c r="DCW12" s="26" t="s">
        <v>34</v>
      </c>
      <c r="DCY12" s="26">
        <v>0</v>
      </c>
      <c r="DDA12" s="26" t="s">
        <v>37</v>
      </c>
      <c r="DDC12" s="26">
        <v>0</v>
      </c>
      <c r="DDE12" s="26" t="s">
        <v>5</v>
      </c>
      <c r="DDH12" s="26">
        <v>22126</v>
      </c>
      <c r="DDI12" s="26" t="s">
        <v>5</v>
      </c>
      <c r="DDL12" s="26">
        <v>8313</v>
      </c>
      <c r="DDM12" s="26" t="s">
        <v>5</v>
      </c>
      <c r="DDP12" s="26">
        <v>10603</v>
      </c>
      <c r="DDQ12" s="26" t="s">
        <v>4</v>
      </c>
      <c r="DDS12" s="26" t="s">
        <v>6</v>
      </c>
    </row>
    <row r="13" spans="1:2828" x14ac:dyDescent="0.25">
      <c r="A13" s="217" t="s">
        <v>41</v>
      </c>
      <c r="B13" s="218"/>
      <c r="C13" s="222">
        <v>0</v>
      </c>
      <c r="D13" s="223"/>
      <c r="E13" s="224"/>
      <c r="F13" s="217" t="s">
        <v>99</v>
      </c>
      <c r="G13" s="218"/>
      <c r="H13" s="222">
        <v>0</v>
      </c>
      <c r="I13" s="223"/>
      <c r="J13" s="224"/>
      <c r="K13" s="217" t="s">
        <v>98</v>
      </c>
      <c r="L13" s="218"/>
      <c r="M13" s="222">
        <v>0</v>
      </c>
      <c r="N13" s="223"/>
      <c r="O13" s="224"/>
      <c r="P13" s="217" t="s">
        <v>97</v>
      </c>
      <c r="Q13" s="218"/>
      <c r="R13" s="222">
        <v>0</v>
      </c>
      <c r="S13" s="223"/>
      <c r="T13" s="224"/>
      <c r="U13" s="217" t="s">
        <v>96</v>
      </c>
      <c r="V13" s="218"/>
      <c r="W13" s="222">
        <v>0</v>
      </c>
      <c r="X13" s="223"/>
      <c r="Y13" s="224"/>
      <c r="Z13" s="217" t="s">
        <v>102</v>
      </c>
      <c r="AA13" s="218"/>
      <c r="AB13" s="222">
        <v>53454</v>
      </c>
      <c r="AC13" s="223"/>
      <c r="AD13" s="224"/>
      <c r="AE13" s="217" t="s">
        <v>101</v>
      </c>
      <c r="AF13" s="218"/>
      <c r="AG13" s="222">
        <v>8909</v>
      </c>
      <c r="AH13" s="223"/>
      <c r="AI13" s="224"/>
      <c r="AJ13" s="217" t="s">
        <v>41</v>
      </c>
      <c r="AK13" s="218"/>
      <c r="AL13" s="222">
        <v>0</v>
      </c>
      <c r="AM13" s="223"/>
      <c r="AN13" s="224"/>
      <c r="AO13" s="217" t="s">
        <v>99</v>
      </c>
      <c r="AP13" s="218"/>
      <c r="AQ13" s="222">
        <v>0</v>
      </c>
      <c r="AR13" s="223"/>
      <c r="AS13" s="224"/>
      <c r="AT13" s="217" t="s">
        <v>98</v>
      </c>
      <c r="AU13" s="218"/>
      <c r="AV13" s="222">
        <v>0</v>
      </c>
      <c r="AW13" s="223"/>
      <c r="AX13" s="224"/>
      <c r="AY13" s="217" t="s">
        <v>97</v>
      </c>
      <c r="AZ13" s="218"/>
      <c r="BA13" s="222">
        <v>0</v>
      </c>
      <c r="BB13" s="223"/>
      <c r="BC13" s="224"/>
      <c r="BD13" s="217" t="s">
        <v>96</v>
      </c>
      <c r="BE13" s="218"/>
      <c r="BF13" s="222">
        <v>25800</v>
      </c>
      <c r="BG13" s="223"/>
      <c r="BH13" s="224"/>
      <c r="BI13" s="217" t="s">
        <v>102</v>
      </c>
      <c r="BJ13" s="218"/>
      <c r="BK13" s="222">
        <v>62363</v>
      </c>
      <c r="BL13" s="223"/>
      <c r="BM13" s="224"/>
      <c r="BN13" s="217" t="s">
        <v>101</v>
      </c>
      <c r="BO13" s="218"/>
      <c r="BP13" s="222">
        <v>35636</v>
      </c>
      <c r="BQ13" s="223"/>
      <c r="BR13" s="224"/>
      <c r="BS13" s="217" t="s">
        <v>41</v>
      </c>
      <c r="BT13" s="218"/>
      <c r="BU13" s="222">
        <v>0</v>
      </c>
      <c r="BV13" s="223"/>
      <c r="BW13" s="224"/>
      <c r="BX13" s="217" t="s">
        <v>99</v>
      </c>
      <c r="BY13" s="218"/>
      <c r="BZ13" s="222">
        <v>0</v>
      </c>
      <c r="CA13" s="223"/>
      <c r="CB13" s="224"/>
      <c r="CC13" s="217" t="s">
        <v>98</v>
      </c>
      <c r="CD13" s="218"/>
      <c r="CE13" s="222">
        <v>30960</v>
      </c>
      <c r="CF13" s="223"/>
      <c r="CG13" s="224"/>
      <c r="CH13" s="217" t="s">
        <v>97</v>
      </c>
      <c r="CI13" s="218"/>
      <c r="CJ13" s="222">
        <v>0</v>
      </c>
      <c r="CK13" s="223"/>
      <c r="CL13" s="224"/>
      <c r="CM13" s="217" t="s">
        <v>96</v>
      </c>
      <c r="CN13" s="218"/>
      <c r="CO13" s="222">
        <v>25800</v>
      </c>
      <c r="CP13" s="223"/>
      <c r="CQ13" s="224"/>
      <c r="CR13" s="217" t="s">
        <v>96</v>
      </c>
      <c r="CS13" s="218"/>
      <c r="CT13" s="222">
        <v>17818</v>
      </c>
      <c r="CU13" s="223"/>
      <c r="CV13" s="224"/>
      <c r="CW13" s="217" t="s">
        <v>102</v>
      </c>
      <c r="CX13" s="218"/>
      <c r="CY13" s="222">
        <v>106908</v>
      </c>
      <c r="CZ13" s="223"/>
      <c r="DA13" s="224"/>
      <c r="DB13" s="217" t="s">
        <v>101</v>
      </c>
      <c r="DC13" s="218"/>
      <c r="DD13" s="222">
        <v>0</v>
      </c>
      <c r="DE13" s="223"/>
      <c r="DF13" s="224"/>
      <c r="DG13" s="217" t="s">
        <v>41</v>
      </c>
      <c r="DH13" s="218"/>
      <c r="DI13" s="222">
        <v>0</v>
      </c>
      <c r="DJ13" s="223"/>
      <c r="DK13" s="224"/>
      <c r="DL13" s="217" t="s">
        <v>99</v>
      </c>
      <c r="DM13" s="218"/>
      <c r="DN13" s="222">
        <v>0</v>
      </c>
      <c r="DO13" s="223"/>
      <c r="DP13" s="224"/>
      <c r="DQ13" s="217" t="s">
        <v>98</v>
      </c>
      <c r="DR13" s="218"/>
      <c r="DS13" s="222">
        <v>2672.7</v>
      </c>
      <c r="DT13" s="223"/>
      <c r="DU13" s="224"/>
      <c r="DV13" s="217" t="s">
        <v>97</v>
      </c>
      <c r="DW13" s="218"/>
      <c r="DX13" s="222">
        <v>0</v>
      </c>
      <c r="DY13" s="223"/>
      <c r="DZ13" s="224"/>
      <c r="EA13" s="217" t="s">
        <v>96</v>
      </c>
      <c r="EB13" s="218"/>
      <c r="EC13" s="222">
        <v>48999.5</v>
      </c>
      <c r="ED13" s="223"/>
      <c r="EE13" s="224"/>
      <c r="EF13" s="217" t="s">
        <v>102</v>
      </c>
      <c r="EG13" s="218"/>
      <c r="EH13" s="222">
        <v>69418</v>
      </c>
      <c r="EI13" s="223"/>
      <c r="EJ13" s="224"/>
      <c r="EK13" s="217" t="s">
        <v>101</v>
      </c>
      <c r="EL13" s="218"/>
      <c r="EM13" s="222">
        <v>62363</v>
      </c>
      <c r="EN13" s="223"/>
      <c r="EO13" s="224"/>
      <c r="EP13" s="217" t="s">
        <v>41</v>
      </c>
      <c r="EQ13" s="218"/>
      <c r="ER13" s="222">
        <v>0</v>
      </c>
      <c r="ES13" s="223"/>
      <c r="ET13" s="224"/>
      <c r="EU13" s="217" t="s">
        <v>99</v>
      </c>
      <c r="EV13" s="218"/>
      <c r="EW13" s="222">
        <v>31181.5</v>
      </c>
      <c r="EX13" s="223"/>
      <c r="EY13" s="224"/>
      <c r="EZ13" s="217" t="s">
        <v>98</v>
      </c>
      <c r="FA13" s="218"/>
      <c r="FB13" s="222">
        <v>0</v>
      </c>
      <c r="FC13" s="223"/>
      <c r="FD13" s="224"/>
      <c r="FE13" s="217" t="s">
        <v>97</v>
      </c>
      <c r="FF13" s="218"/>
      <c r="FG13" s="222">
        <v>0</v>
      </c>
      <c r="FH13" s="223"/>
      <c r="FI13" s="224"/>
      <c r="FJ13" s="217" t="s">
        <v>96</v>
      </c>
      <c r="FK13" s="218"/>
      <c r="FL13" s="222">
        <v>7740</v>
      </c>
      <c r="FM13" s="223"/>
      <c r="FN13" s="224"/>
      <c r="FO13" s="217" t="s">
        <v>102</v>
      </c>
      <c r="FP13" s="218"/>
      <c r="FQ13" s="222">
        <v>48999.5</v>
      </c>
      <c r="FR13" s="223"/>
      <c r="FS13" s="224"/>
      <c r="FT13" s="217" t="s">
        <v>101</v>
      </c>
      <c r="FU13" s="218"/>
      <c r="FV13" s="222">
        <v>13363.5</v>
      </c>
      <c r="FW13" s="223"/>
      <c r="FX13" s="224"/>
      <c r="FY13" s="217" t="s">
        <v>41</v>
      </c>
      <c r="FZ13" s="218"/>
      <c r="GA13" s="222">
        <v>0</v>
      </c>
      <c r="GB13" s="223"/>
      <c r="GC13" s="224"/>
      <c r="GD13" s="217" t="s">
        <v>99</v>
      </c>
      <c r="GE13" s="218"/>
      <c r="GF13" s="222">
        <v>0</v>
      </c>
      <c r="GG13" s="223"/>
      <c r="GH13" s="224"/>
      <c r="GI13" s="217" t="s">
        <v>98</v>
      </c>
      <c r="GJ13" s="218"/>
      <c r="GK13" s="222">
        <v>0</v>
      </c>
      <c r="GL13" s="223"/>
      <c r="GM13" s="224"/>
      <c r="GN13" s="217" t="s">
        <v>97</v>
      </c>
      <c r="GO13" s="218"/>
      <c r="GP13" s="222">
        <v>0</v>
      </c>
      <c r="GQ13" s="223"/>
      <c r="GR13" s="224"/>
      <c r="GS13" s="217" t="s">
        <v>96</v>
      </c>
      <c r="GT13" s="218"/>
      <c r="GU13" s="222">
        <v>0</v>
      </c>
      <c r="GV13" s="223"/>
      <c r="GW13" s="224"/>
      <c r="GX13" s="217" t="s">
        <v>102</v>
      </c>
      <c r="GY13" s="218"/>
      <c r="GZ13" s="222">
        <v>89090</v>
      </c>
      <c r="HA13" s="223"/>
      <c r="HB13" s="224"/>
      <c r="HC13" s="217" t="s">
        <v>101</v>
      </c>
      <c r="HD13" s="218"/>
      <c r="HE13" s="222">
        <v>53454</v>
      </c>
      <c r="HF13" s="223"/>
      <c r="HG13" s="224"/>
      <c r="HH13" s="217" t="s">
        <v>41</v>
      </c>
      <c r="HI13" s="218"/>
      <c r="HJ13" s="222">
        <v>0</v>
      </c>
      <c r="HK13" s="223"/>
      <c r="HL13" s="224"/>
      <c r="HM13" s="217" t="s">
        <v>99</v>
      </c>
      <c r="HN13" s="218"/>
      <c r="HO13" s="222">
        <v>0</v>
      </c>
      <c r="HP13" s="223"/>
      <c r="HQ13" s="224"/>
      <c r="HR13" s="217" t="s">
        <v>98</v>
      </c>
      <c r="HS13" s="218"/>
      <c r="HT13" s="222">
        <v>2227.25</v>
      </c>
      <c r="HU13" s="223"/>
      <c r="HV13" s="224"/>
      <c r="HW13" s="217" t="s">
        <v>97</v>
      </c>
      <c r="HX13" s="218"/>
      <c r="HY13" s="222">
        <v>0</v>
      </c>
      <c r="HZ13" s="223"/>
      <c r="IA13" s="224"/>
      <c r="IB13" s="217" t="s">
        <v>96</v>
      </c>
      <c r="IC13" s="218"/>
      <c r="ID13" s="222">
        <v>49020</v>
      </c>
      <c r="IE13" s="223"/>
      <c r="IF13" s="224"/>
      <c r="IG13" s="217" t="s">
        <v>102</v>
      </c>
      <c r="IH13" s="218"/>
      <c r="II13" s="222">
        <v>35636</v>
      </c>
      <c r="IJ13" s="223"/>
      <c r="IK13" s="224"/>
      <c r="IL13" s="217" t="s">
        <v>101</v>
      </c>
      <c r="IM13" s="218"/>
      <c r="IN13" s="222">
        <v>17818</v>
      </c>
      <c r="IO13" s="223"/>
      <c r="IP13" s="224"/>
      <c r="IQ13" s="217" t="s">
        <v>41</v>
      </c>
      <c r="IR13" s="218"/>
      <c r="IS13" s="222">
        <v>0</v>
      </c>
      <c r="IT13" s="223"/>
      <c r="IU13" s="224"/>
      <c r="IV13" s="217" t="s">
        <v>99</v>
      </c>
      <c r="IW13" s="218"/>
      <c r="IX13" s="222">
        <v>0</v>
      </c>
      <c r="IY13" s="223"/>
      <c r="IZ13" s="224"/>
      <c r="JA13" s="217" t="s">
        <v>98</v>
      </c>
      <c r="JB13" s="218"/>
      <c r="JC13" s="222">
        <v>0</v>
      </c>
      <c r="JD13" s="223"/>
      <c r="JE13" s="224"/>
      <c r="JF13" s="217" t="s">
        <v>97</v>
      </c>
      <c r="JG13" s="218"/>
      <c r="JH13" s="222">
        <v>0</v>
      </c>
      <c r="JI13" s="223"/>
      <c r="JJ13" s="224"/>
      <c r="JK13" s="217" t="s">
        <v>96</v>
      </c>
      <c r="JL13" s="218"/>
      <c r="JM13" s="222">
        <v>17818</v>
      </c>
      <c r="JN13" s="223"/>
      <c r="JO13" s="224"/>
      <c r="JP13" s="217" t="s">
        <v>102</v>
      </c>
      <c r="JQ13" s="218"/>
      <c r="JR13" s="222">
        <v>44545</v>
      </c>
      <c r="JS13" s="223"/>
      <c r="JT13" s="224"/>
      <c r="JU13" s="217" t="s">
        <v>101</v>
      </c>
      <c r="JV13" s="218"/>
      <c r="JW13" s="222">
        <v>35636</v>
      </c>
      <c r="JX13" s="223"/>
      <c r="JY13" s="224"/>
      <c r="JZ13" s="217" t="s">
        <v>41</v>
      </c>
      <c r="KA13" s="218"/>
      <c r="KB13" s="222">
        <v>0</v>
      </c>
      <c r="KC13" s="223"/>
      <c r="KD13" s="224"/>
      <c r="KE13" s="217" t="s">
        <v>99</v>
      </c>
      <c r="KF13" s="218"/>
      <c r="KG13" s="222">
        <v>0</v>
      </c>
      <c r="KH13" s="223"/>
      <c r="KI13" s="224"/>
      <c r="KJ13" s="217" t="s">
        <v>98</v>
      </c>
      <c r="KK13" s="218"/>
      <c r="KL13" s="222">
        <v>8909</v>
      </c>
      <c r="KM13" s="223"/>
      <c r="KN13" s="224"/>
      <c r="KO13" s="217" t="s">
        <v>97</v>
      </c>
      <c r="KP13" s="218"/>
      <c r="KQ13" s="222">
        <v>0</v>
      </c>
      <c r="KR13" s="223"/>
      <c r="KS13" s="224"/>
      <c r="KT13" s="217" t="s">
        <v>96</v>
      </c>
      <c r="KU13" s="218"/>
      <c r="KV13" s="222">
        <v>48999.5</v>
      </c>
      <c r="KW13" s="223"/>
      <c r="KX13" s="224"/>
      <c r="KY13" s="217" t="s">
        <v>102</v>
      </c>
      <c r="KZ13" s="218"/>
      <c r="LA13" s="222">
        <v>57908.5</v>
      </c>
      <c r="LB13" s="223"/>
      <c r="LC13" s="224"/>
      <c r="LD13" s="217" t="s">
        <v>101</v>
      </c>
      <c r="LE13" s="218"/>
      <c r="LF13" s="222">
        <v>35636</v>
      </c>
      <c r="LG13" s="223"/>
      <c r="LH13" s="224"/>
      <c r="LI13" s="217" t="s">
        <v>41</v>
      </c>
      <c r="LJ13" s="218"/>
      <c r="LK13" s="222">
        <v>0</v>
      </c>
      <c r="LL13" s="223"/>
      <c r="LM13" s="224"/>
      <c r="LN13" s="217" t="s">
        <v>99</v>
      </c>
      <c r="LO13" s="218"/>
      <c r="LP13" s="222">
        <v>0</v>
      </c>
      <c r="LQ13" s="223"/>
      <c r="LR13" s="224"/>
      <c r="LS13" s="217" t="s">
        <v>98</v>
      </c>
      <c r="LT13" s="218"/>
      <c r="LU13" s="222">
        <v>7740</v>
      </c>
      <c r="LV13" s="223"/>
      <c r="LW13" s="224"/>
      <c r="LX13" s="217" t="s">
        <v>97</v>
      </c>
      <c r="LY13" s="218"/>
      <c r="LZ13" s="222">
        <v>0</v>
      </c>
      <c r="MA13" s="223"/>
      <c r="MB13" s="224"/>
      <c r="MC13" s="217" t="s">
        <v>96</v>
      </c>
      <c r="MD13" s="218"/>
      <c r="ME13" s="222">
        <v>25558</v>
      </c>
      <c r="MF13" s="223"/>
      <c r="MG13" s="224"/>
      <c r="MH13" s="217" t="s">
        <v>102</v>
      </c>
      <c r="MI13" s="218"/>
      <c r="MJ13" s="222">
        <v>71272</v>
      </c>
      <c r="MK13" s="223"/>
      <c r="ML13" s="224"/>
      <c r="MM13" s="217" t="s">
        <v>101</v>
      </c>
      <c r="MN13" s="218"/>
      <c r="MO13" s="222">
        <v>66817.5</v>
      </c>
      <c r="MP13" s="223"/>
      <c r="MQ13" s="224"/>
      <c r="MR13" s="217" t="s">
        <v>41</v>
      </c>
      <c r="MS13" s="218"/>
      <c r="MT13" s="222">
        <v>0</v>
      </c>
      <c r="MU13" s="223"/>
      <c r="MV13" s="224"/>
      <c r="MW13" s="217" t="s">
        <v>41</v>
      </c>
      <c r="MX13" s="218"/>
      <c r="MY13" s="222">
        <v>0</v>
      </c>
      <c r="MZ13" s="223"/>
      <c r="NA13" s="224"/>
      <c r="NB13" s="217" t="s">
        <v>99</v>
      </c>
      <c r="NC13" s="218"/>
      <c r="ND13" s="222">
        <v>5160</v>
      </c>
      <c r="NE13" s="223"/>
      <c r="NF13" s="224"/>
      <c r="NG13" s="217" t="s">
        <v>98</v>
      </c>
      <c r="NH13" s="218"/>
      <c r="NI13" s="222">
        <v>0</v>
      </c>
      <c r="NJ13" s="223"/>
      <c r="NK13" s="224"/>
      <c r="NL13" s="217" t="s">
        <v>97</v>
      </c>
      <c r="NM13" s="218"/>
      <c r="NN13" s="222">
        <v>5160</v>
      </c>
      <c r="NO13" s="223"/>
      <c r="NP13" s="224"/>
      <c r="NQ13" s="217" t="s">
        <v>96</v>
      </c>
      <c r="NR13" s="218"/>
      <c r="NS13" s="222">
        <v>31181.5</v>
      </c>
      <c r="NT13" s="223"/>
      <c r="NU13" s="224"/>
      <c r="NV13" s="217" t="s">
        <v>102</v>
      </c>
      <c r="NW13" s="218"/>
      <c r="NX13" s="222">
        <v>66817.5</v>
      </c>
      <c r="NY13" s="223"/>
      <c r="NZ13" s="224"/>
      <c r="OA13" s="217" t="s">
        <v>101</v>
      </c>
      <c r="OB13" s="218"/>
      <c r="OC13" s="222">
        <v>40090.5</v>
      </c>
      <c r="OD13" s="223"/>
      <c r="OE13" s="224"/>
      <c r="OF13" s="217" t="s">
        <v>101</v>
      </c>
      <c r="OG13" s="218"/>
      <c r="OH13" s="222">
        <v>40090.5</v>
      </c>
      <c r="OI13" s="223"/>
      <c r="OJ13" s="224"/>
      <c r="OK13" s="217" t="s">
        <v>41</v>
      </c>
      <c r="OL13" s="218"/>
      <c r="OM13" s="222">
        <v>0</v>
      </c>
      <c r="ON13" s="223"/>
      <c r="OO13" s="224"/>
      <c r="OP13" s="217" t="s">
        <v>99</v>
      </c>
      <c r="OQ13" s="218"/>
      <c r="OR13" s="222">
        <v>0</v>
      </c>
      <c r="OS13" s="223"/>
      <c r="OT13" s="224"/>
      <c r="OU13" s="217" t="s">
        <v>98</v>
      </c>
      <c r="OV13" s="218"/>
      <c r="OW13" s="222">
        <v>0</v>
      </c>
      <c r="OX13" s="223"/>
      <c r="OY13" s="224"/>
      <c r="OZ13" s="217" t="s">
        <v>97</v>
      </c>
      <c r="PA13" s="218"/>
      <c r="PB13" s="222">
        <v>0</v>
      </c>
      <c r="PC13" s="223"/>
      <c r="PD13" s="224"/>
      <c r="PE13" s="217" t="s">
        <v>96</v>
      </c>
      <c r="PF13" s="218"/>
      <c r="PG13" s="222">
        <v>51600</v>
      </c>
      <c r="PH13" s="223"/>
      <c r="PI13" s="224"/>
      <c r="PJ13" s="217" t="s">
        <v>102</v>
      </c>
      <c r="PK13" s="218"/>
      <c r="PL13" s="222">
        <v>53454</v>
      </c>
      <c r="PM13" s="223"/>
      <c r="PN13" s="224"/>
      <c r="PO13" s="217" t="s">
        <v>101</v>
      </c>
      <c r="PP13" s="218"/>
      <c r="PQ13" s="222">
        <v>28138</v>
      </c>
      <c r="PR13" s="223"/>
      <c r="PS13" s="224"/>
      <c r="PT13" s="217" t="s">
        <v>41</v>
      </c>
      <c r="PU13" s="218"/>
      <c r="PV13" s="222">
        <v>0</v>
      </c>
      <c r="PW13" s="223"/>
      <c r="PX13" s="224"/>
      <c r="PY13" s="217" t="s">
        <v>99</v>
      </c>
      <c r="PZ13" s="218"/>
      <c r="QA13" s="222">
        <v>0</v>
      </c>
      <c r="QB13" s="223"/>
      <c r="QC13" s="224"/>
      <c r="QD13" s="217" t="s">
        <v>98</v>
      </c>
      <c r="QE13" s="218"/>
      <c r="QF13" s="222">
        <v>0</v>
      </c>
      <c r="QG13" s="223"/>
      <c r="QH13" s="224"/>
      <c r="QI13" s="217" t="s">
        <v>97</v>
      </c>
      <c r="QJ13" s="218"/>
      <c r="QK13" s="222">
        <v>0</v>
      </c>
      <c r="QL13" s="223"/>
      <c r="QM13" s="224"/>
      <c r="QN13" s="217" t="s">
        <v>97</v>
      </c>
      <c r="QO13" s="218"/>
      <c r="QP13" s="222">
        <v>0</v>
      </c>
      <c r="QQ13" s="223"/>
      <c r="QR13" s="224"/>
      <c r="QS13" s="217" t="s">
        <v>96</v>
      </c>
      <c r="QT13" s="218"/>
      <c r="QU13" s="222">
        <v>87236</v>
      </c>
      <c r="QV13" s="223"/>
      <c r="QW13" s="224"/>
      <c r="QX13" s="217" t="s">
        <v>102</v>
      </c>
      <c r="QY13" s="218"/>
      <c r="QZ13" s="222">
        <v>89090</v>
      </c>
      <c r="RA13" s="223"/>
      <c r="RB13" s="224"/>
      <c r="RC13" s="217" t="s">
        <v>101</v>
      </c>
      <c r="RD13" s="218"/>
      <c r="RE13" s="222">
        <v>32072.400000000001</v>
      </c>
      <c r="RF13" s="223"/>
      <c r="RG13" s="224"/>
      <c r="RH13" s="217" t="s">
        <v>41</v>
      </c>
      <c r="RI13" s="218"/>
      <c r="RJ13" s="222">
        <v>0</v>
      </c>
      <c r="RK13" s="223"/>
      <c r="RL13" s="224"/>
      <c r="RM13" s="217" t="s">
        <v>99</v>
      </c>
      <c r="RN13" s="218"/>
      <c r="RO13" s="222">
        <v>0</v>
      </c>
      <c r="RP13" s="223"/>
      <c r="RQ13" s="224"/>
      <c r="RR13" s="217" t="s">
        <v>98</v>
      </c>
      <c r="RS13" s="218"/>
      <c r="RT13" s="222">
        <v>0</v>
      </c>
      <c r="RU13" s="223"/>
      <c r="RV13" s="224"/>
      <c r="RW13" s="217" t="s">
        <v>98</v>
      </c>
      <c r="RX13" s="218"/>
      <c r="RY13" s="222">
        <v>0</v>
      </c>
      <c r="RZ13" s="223"/>
      <c r="SA13" s="224"/>
      <c r="SB13" s="217" t="s">
        <v>97</v>
      </c>
      <c r="SC13" s="218"/>
      <c r="SD13" s="222">
        <v>12900</v>
      </c>
      <c r="SE13" s="223"/>
      <c r="SF13" s="224"/>
      <c r="SG13" s="217" t="s">
        <v>96</v>
      </c>
      <c r="SH13" s="218"/>
      <c r="SI13" s="222">
        <v>21103.5</v>
      </c>
      <c r="SJ13" s="223"/>
      <c r="SK13" s="224"/>
      <c r="SL13" s="217" t="s">
        <v>102</v>
      </c>
      <c r="SM13" s="218"/>
      <c r="SN13" s="222">
        <v>44545</v>
      </c>
      <c r="SO13" s="223"/>
      <c r="SP13" s="224"/>
      <c r="SQ13" s="217" t="s">
        <v>101</v>
      </c>
      <c r="SR13" s="218"/>
      <c r="SS13" s="222">
        <v>53454</v>
      </c>
      <c r="ST13" s="223"/>
      <c r="SU13" s="224"/>
      <c r="SV13" s="217" t="s">
        <v>41</v>
      </c>
      <c r="SW13" s="218"/>
      <c r="SX13" s="222">
        <v>0</v>
      </c>
      <c r="SY13" s="223"/>
      <c r="SZ13" s="224"/>
      <c r="TA13" s="217" t="s">
        <v>99</v>
      </c>
      <c r="TB13" s="218"/>
      <c r="TC13" s="222">
        <v>0</v>
      </c>
      <c r="TD13" s="223"/>
      <c r="TE13" s="224"/>
      <c r="TF13" s="217" t="s">
        <v>98</v>
      </c>
      <c r="TG13" s="218"/>
      <c r="TH13" s="222">
        <v>5160</v>
      </c>
      <c r="TI13" s="223"/>
      <c r="TJ13" s="224"/>
      <c r="TK13" s="217" t="s">
        <v>97</v>
      </c>
      <c r="TL13" s="218"/>
      <c r="TM13" s="222">
        <v>0</v>
      </c>
      <c r="TN13" s="223"/>
      <c r="TO13" s="224"/>
      <c r="TP13" s="217" t="s">
        <v>96</v>
      </c>
      <c r="TQ13" s="218"/>
      <c r="TR13" s="222">
        <v>26969</v>
      </c>
      <c r="TS13" s="223"/>
      <c r="TT13" s="224"/>
      <c r="TU13" s="217" t="s">
        <v>102</v>
      </c>
      <c r="TV13" s="218"/>
      <c r="TW13" s="222">
        <v>44545</v>
      </c>
      <c r="TX13" s="223"/>
      <c r="TY13" s="224"/>
      <c r="TZ13" s="217" t="s">
        <v>101</v>
      </c>
      <c r="UA13" s="218"/>
      <c r="UB13" s="222">
        <v>62363</v>
      </c>
      <c r="UC13" s="223"/>
      <c r="UD13" s="224"/>
      <c r="UE13" s="217" t="s">
        <v>41</v>
      </c>
      <c r="UF13" s="218"/>
      <c r="UG13" s="222">
        <v>0</v>
      </c>
      <c r="UH13" s="223"/>
      <c r="UI13" s="224"/>
      <c r="UJ13" s="217" t="s">
        <v>99</v>
      </c>
      <c r="UK13" s="218"/>
      <c r="UL13" s="222">
        <v>4454.5</v>
      </c>
      <c r="UM13" s="223"/>
      <c r="UN13" s="224"/>
      <c r="UO13" s="217" t="s">
        <v>98</v>
      </c>
      <c r="UP13" s="218"/>
      <c r="UQ13" s="222">
        <v>0</v>
      </c>
      <c r="UR13" s="223"/>
      <c r="US13" s="224"/>
      <c r="UT13" s="217" t="s">
        <v>97</v>
      </c>
      <c r="UU13" s="218"/>
      <c r="UV13" s="222">
        <v>0</v>
      </c>
      <c r="UW13" s="223"/>
      <c r="UX13" s="224"/>
      <c r="UY13" s="217" t="s">
        <v>96</v>
      </c>
      <c r="UZ13" s="218"/>
      <c r="VA13" s="222">
        <v>17818</v>
      </c>
      <c r="VB13" s="223"/>
      <c r="VC13" s="224"/>
      <c r="VD13" s="217" t="s">
        <v>102</v>
      </c>
      <c r="VE13" s="218"/>
      <c r="VF13" s="222">
        <v>0</v>
      </c>
      <c r="VG13" s="223"/>
      <c r="VH13" s="224"/>
      <c r="VI13" s="217" t="s">
        <v>101</v>
      </c>
      <c r="VJ13" s="218"/>
      <c r="VK13" s="222">
        <v>22272.5</v>
      </c>
      <c r="VL13" s="223"/>
      <c r="VM13" s="224"/>
      <c r="VN13" s="217" t="s">
        <v>41</v>
      </c>
      <c r="VO13" s="218"/>
      <c r="VP13" s="222">
        <v>6681.75</v>
      </c>
      <c r="VQ13" s="223"/>
      <c r="VR13" s="224"/>
      <c r="VS13" s="217" t="s">
        <v>99</v>
      </c>
      <c r="VT13" s="218"/>
      <c r="VU13" s="222">
        <v>0</v>
      </c>
      <c r="VV13" s="223"/>
      <c r="VW13" s="224"/>
      <c r="VX13" s="217" t="s">
        <v>98</v>
      </c>
      <c r="VY13" s="218"/>
      <c r="VZ13" s="222">
        <v>10320</v>
      </c>
      <c r="WA13" s="223"/>
      <c r="WB13" s="224"/>
      <c r="WC13" s="217" t="s">
        <v>97</v>
      </c>
      <c r="WD13" s="218"/>
      <c r="WE13" s="222">
        <v>15480</v>
      </c>
      <c r="WF13" s="223"/>
      <c r="WG13" s="224"/>
      <c r="WH13" s="217" t="s">
        <v>102</v>
      </c>
      <c r="WI13" s="218"/>
      <c r="WJ13" s="222">
        <v>26727</v>
      </c>
      <c r="WK13" s="223"/>
      <c r="WL13" s="224"/>
      <c r="WM13" s="217" t="s">
        <v>101</v>
      </c>
      <c r="WN13" s="218"/>
      <c r="WO13" s="222">
        <v>4454.5</v>
      </c>
      <c r="WP13" s="223"/>
      <c r="WQ13" s="224"/>
      <c r="WR13" s="217" t="s">
        <v>41</v>
      </c>
      <c r="WS13" s="218"/>
      <c r="WT13" s="222">
        <v>0</v>
      </c>
      <c r="WU13" s="223"/>
      <c r="WV13" s="224"/>
      <c r="WW13" s="217" t="s">
        <v>99</v>
      </c>
      <c r="WX13" s="218"/>
      <c r="WY13" s="222">
        <v>0</v>
      </c>
      <c r="WZ13" s="223"/>
      <c r="XA13" s="224"/>
      <c r="XB13" s="217" t="s">
        <v>98</v>
      </c>
      <c r="XC13" s="218"/>
      <c r="XD13" s="222">
        <v>0</v>
      </c>
      <c r="XE13" s="223"/>
      <c r="XF13" s="224"/>
      <c r="XG13" s="217" t="s">
        <v>97</v>
      </c>
      <c r="XH13" s="218"/>
      <c r="XI13" s="222">
        <v>0</v>
      </c>
      <c r="XJ13" s="223"/>
      <c r="XK13" s="224"/>
      <c r="XL13" s="217" t="s">
        <v>96</v>
      </c>
      <c r="XM13" s="218"/>
      <c r="XN13" s="222">
        <v>133635</v>
      </c>
      <c r="XO13" s="223"/>
      <c r="XP13" s="224"/>
      <c r="XQ13" s="217" t="s">
        <v>102</v>
      </c>
      <c r="XR13" s="218"/>
      <c r="XS13" s="222">
        <v>57908.5</v>
      </c>
      <c r="XT13" s="223"/>
      <c r="XU13" s="224"/>
      <c r="XV13" s="217" t="s">
        <v>101</v>
      </c>
      <c r="XW13" s="218"/>
      <c r="XX13" s="222">
        <v>13363.5</v>
      </c>
      <c r="XY13" s="223"/>
      <c r="XZ13" s="224"/>
      <c r="YA13" s="217" t="s">
        <v>41</v>
      </c>
      <c r="YB13" s="218"/>
      <c r="YC13" s="222">
        <v>0</v>
      </c>
      <c r="YD13" s="223"/>
      <c r="YE13" s="224"/>
      <c r="YF13" s="217" t="s">
        <v>99</v>
      </c>
      <c r="YG13" s="218"/>
      <c r="YH13" s="222">
        <v>0</v>
      </c>
      <c r="YI13" s="223"/>
      <c r="YJ13" s="224"/>
      <c r="YK13" s="217" t="s">
        <v>98</v>
      </c>
      <c r="YL13" s="218"/>
      <c r="YM13" s="222">
        <v>0</v>
      </c>
      <c r="YN13" s="223"/>
      <c r="YO13" s="224"/>
      <c r="YP13" s="217" t="s">
        <v>97</v>
      </c>
      <c r="YQ13" s="218"/>
      <c r="YR13" s="222">
        <v>0</v>
      </c>
      <c r="YS13" s="223"/>
      <c r="YT13" s="224"/>
      <c r="YU13" s="217" t="s">
        <v>96</v>
      </c>
      <c r="YV13" s="218"/>
      <c r="YW13" s="222">
        <v>26727</v>
      </c>
      <c r="YX13" s="223"/>
      <c r="YY13" s="224"/>
      <c r="YZ13" s="217" t="s">
        <v>102</v>
      </c>
      <c r="ZA13" s="218"/>
      <c r="ZB13" s="222">
        <v>0</v>
      </c>
      <c r="ZC13" s="223"/>
      <c r="ZD13" s="224"/>
      <c r="ZE13" s="217" t="s">
        <v>101</v>
      </c>
      <c r="ZF13" s="218"/>
      <c r="ZG13" s="222">
        <v>13363.5</v>
      </c>
      <c r="ZH13" s="223"/>
      <c r="ZI13" s="224"/>
      <c r="ZJ13" s="217" t="s">
        <v>41</v>
      </c>
      <c r="ZK13" s="218"/>
      <c r="ZL13" s="222">
        <v>0</v>
      </c>
      <c r="ZM13" s="223"/>
      <c r="ZN13" s="224"/>
      <c r="ZO13" s="217" t="s">
        <v>99</v>
      </c>
      <c r="ZP13" s="218"/>
      <c r="ZQ13" s="222">
        <v>0</v>
      </c>
      <c r="ZR13" s="223"/>
      <c r="ZS13" s="224"/>
      <c r="ZT13" s="217" t="s">
        <v>98</v>
      </c>
      <c r="ZU13" s="218"/>
      <c r="ZV13" s="222">
        <v>0</v>
      </c>
      <c r="ZW13" s="223"/>
      <c r="ZX13" s="224"/>
      <c r="ZY13" s="217" t="s">
        <v>97</v>
      </c>
      <c r="ZZ13" s="218"/>
      <c r="AAA13" s="222">
        <v>0</v>
      </c>
      <c r="AAB13" s="223"/>
      <c r="AAC13" s="224"/>
      <c r="AAD13" s="217" t="s">
        <v>96</v>
      </c>
      <c r="AAE13" s="218"/>
      <c r="AAF13" s="222">
        <v>0</v>
      </c>
      <c r="AAG13" s="223"/>
      <c r="AAH13" s="224"/>
      <c r="AAI13" s="217" t="s">
        <v>101</v>
      </c>
      <c r="AAJ13" s="218"/>
      <c r="AAK13" s="222">
        <v>0</v>
      </c>
      <c r="AAL13" s="223"/>
      <c r="AAM13" s="224"/>
      <c r="AAN13" s="217" t="s">
        <v>41</v>
      </c>
      <c r="AAO13" s="218"/>
      <c r="AAP13" s="222">
        <v>0</v>
      </c>
      <c r="AAQ13" s="223"/>
      <c r="AAR13" s="224"/>
      <c r="AAS13" s="217" t="s">
        <v>99</v>
      </c>
      <c r="AAT13" s="218"/>
      <c r="AAU13" s="222">
        <v>0</v>
      </c>
      <c r="AAV13" s="223"/>
      <c r="AAW13" s="224"/>
      <c r="AAX13" s="217" t="s">
        <v>98</v>
      </c>
      <c r="AAY13" s="218"/>
      <c r="AAZ13" s="222">
        <v>0</v>
      </c>
      <c r="ABA13" s="223"/>
      <c r="ABB13" s="224"/>
      <c r="ABC13" s="217" t="s">
        <v>97</v>
      </c>
      <c r="ABD13" s="218"/>
      <c r="ABE13" s="222">
        <v>18060</v>
      </c>
      <c r="ABF13" s="223"/>
      <c r="ABG13" s="224"/>
      <c r="ABH13" s="217" t="s">
        <v>96</v>
      </c>
      <c r="ABI13" s="218"/>
      <c r="ABJ13" s="222">
        <v>43618</v>
      </c>
      <c r="ABK13" s="223"/>
      <c r="ABL13" s="224"/>
      <c r="ABM13" s="217" t="s">
        <v>102</v>
      </c>
      <c r="ABN13" s="218"/>
      <c r="ABO13" s="222">
        <v>6681.75</v>
      </c>
      <c r="ABP13" s="223"/>
      <c r="ABQ13" s="224"/>
      <c r="ABR13" s="217" t="s">
        <v>101</v>
      </c>
      <c r="ABS13" s="218"/>
      <c r="ABT13" s="222">
        <v>0</v>
      </c>
      <c r="ABU13" s="223"/>
      <c r="ABV13" s="224"/>
      <c r="ABW13" s="217" t="s">
        <v>41</v>
      </c>
      <c r="ABX13" s="218"/>
      <c r="ABY13" s="222">
        <v>0</v>
      </c>
      <c r="ABZ13" s="223"/>
      <c r="ACA13" s="224"/>
      <c r="ACB13" s="217" t="s">
        <v>99</v>
      </c>
      <c r="ACC13" s="218"/>
      <c r="ACD13" s="222">
        <v>0</v>
      </c>
      <c r="ACE13" s="223"/>
      <c r="ACF13" s="224"/>
      <c r="ACG13" s="217" t="s">
        <v>98</v>
      </c>
      <c r="ACH13" s="218"/>
      <c r="ACI13" s="222">
        <v>0</v>
      </c>
      <c r="ACJ13" s="223"/>
      <c r="ACK13" s="224"/>
      <c r="ACL13" s="217" t="s">
        <v>97</v>
      </c>
      <c r="ACM13" s="218"/>
      <c r="ACN13" s="222">
        <v>0</v>
      </c>
      <c r="ACO13" s="223"/>
      <c r="ACP13" s="224"/>
      <c r="ACQ13" s="217" t="s">
        <v>97</v>
      </c>
      <c r="ACR13" s="218"/>
      <c r="ACS13" s="222">
        <v>0</v>
      </c>
      <c r="ACT13" s="223"/>
      <c r="ACU13" s="224"/>
      <c r="ACV13" s="217" t="s">
        <v>96</v>
      </c>
      <c r="ACW13" s="218"/>
      <c r="ACX13" s="222">
        <v>8909</v>
      </c>
      <c r="ACY13" s="223"/>
      <c r="ACZ13" s="224"/>
      <c r="ADA13" s="217" t="s">
        <v>102</v>
      </c>
      <c r="ADB13" s="218"/>
      <c r="ADC13" s="222">
        <v>127105</v>
      </c>
      <c r="ADD13" s="223"/>
      <c r="ADE13" s="224"/>
      <c r="ADF13" s="217" t="s">
        <v>101</v>
      </c>
      <c r="ADG13" s="218"/>
      <c r="ADH13" s="222">
        <v>79054.16</v>
      </c>
      <c r="ADI13" s="223"/>
      <c r="ADJ13" s="224"/>
      <c r="ADK13" s="217" t="s">
        <v>41</v>
      </c>
      <c r="ADL13" s="218"/>
      <c r="ADM13" s="222">
        <v>0</v>
      </c>
      <c r="ADN13" s="223"/>
      <c r="ADO13" s="224"/>
      <c r="ADP13" s="217" t="s">
        <v>98</v>
      </c>
      <c r="ADQ13" s="218"/>
      <c r="ADR13" s="222">
        <v>4454.5</v>
      </c>
      <c r="ADS13" s="223"/>
      <c r="ADT13" s="224"/>
      <c r="ADU13" s="217" t="s">
        <v>97</v>
      </c>
      <c r="ADV13" s="218"/>
      <c r="ADW13" s="222">
        <v>0</v>
      </c>
      <c r="ADX13" s="223"/>
      <c r="ADY13" s="224"/>
      <c r="ADZ13" s="217" t="s">
        <v>102</v>
      </c>
      <c r="AEA13" s="218"/>
      <c r="AEB13" s="222">
        <v>76210.5</v>
      </c>
      <c r="AEC13" s="223"/>
      <c r="AED13" s="224"/>
      <c r="AEE13" s="217" t="s">
        <v>101</v>
      </c>
      <c r="AEF13" s="218"/>
      <c r="AEG13" s="222">
        <v>7740</v>
      </c>
      <c r="AEH13" s="223"/>
      <c r="AEI13" s="224"/>
      <c r="AEJ13" s="217" t="s">
        <v>41</v>
      </c>
      <c r="AEK13" s="218"/>
      <c r="AEL13" s="222">
        <v>0</v>
      </c>
      <c r="AEM13" s="223"/>
      <c r="AEN13" s="224"/>
      <c r="AEO13" s="217" t="s">
        <v>99</v>
      </c>
      <c r="AEP13" s="218"/>
      <c r="AEQ13" s="222">
        <v>0</v>
      </c>
      <c r="AER13" s="223"/>
      <c r="AES13" s="224"/>
      <c r="AET13" s="217" t="s">
        <v>97</v>
      </c>
      <c r="AEU13" s="218"/>
      <c r="AEV13" s="222">
        <v>0</v>
      </c>
      <c r="AEW13" s="223"/>
      <c r="AEX13" s="224"/>
      <c r="AEY13" s="217" t="s">
        <v>102</v>
      </c>
      <c r="AEZ13" s="218"/>
      <c r="AFA13" s="222">
        <v>46440</v>
      </c>
      <c r="AFB13" s="223"/>
      <c r="AFC13" s="224"/>
      <c r="AFD13" s="217" t="s">
        <v>101</v>
      </c>
      <c r="AFE13" s="218"/>
      <c r="AFF13" s="222">
        <v>66817.5</v>
      </c>
      <c r="AFG13" s="223"/>
      <c r="AFH13" s="224"/>
      <c r="AFI13" s="217" t="s">
        <v>41</v>
      </c>
      <c r="AFJ13" s="218"/>
      <c r="AFK13" s="222">
        <v>0</v>
      </c>
      <c r="AFL13" s="223"/>
      <c r="AFM13" s="224"/>
      <c r="AFN13" s="217" t="s">
        <v>99</v>
      </c>
      <c r="AFO13" s="218"/>
      <c r="AFP13" s="222">
        <v>0</v>
      </c>
      <c r="AFQ13" s="223"/>
      <c r="AFR13" s="224"/>
      <c r="AFS13" s="217" t="s">
        <v>98</v>
      </c>
      <c r="AFT13" s="218"/>
      <c r="AFU13" s="222">
        <v>0</v>
      </c>
      <c r="AFV13" s="223"/>
      <c r="AFW13" s="224"/>
      <c r="AFX13" s="217" t="s">
        <v>97</v>
      </c>
      <c r="AFY13" s="218"/>
      <c r="AFZ13" s="222">
        <v>20640</v>
      </c>
      <c r="AGA13" s="223"/>
      <c r="AGB13" s="224"/>
      <c r="AGC13" s="217" t="s">
        <v>102</v>
      </c>
      <c r="AGD13" s="218"/>
      <c r="AGE13" s="222">
        <v>17818</v>
      </c>
      <c r="AGF13" s="223"/>
      <c r="AGG13" s="224"/>
      <c r="AGH13" s="217" t="s">
        <v>101</v>
      </c>
      <c r="AGI13" s="218"/>
      <c r="AGJ13" s="222">
        <v>40090.5</v>
      </c>
      <c r="AGK13" s="223"/>
      <c r="AGL13" s="224"/>
      <c r="AGM13" s="217" t="s">
        <v>41</v>
      </c>
      <c r="AGN13" s="218"/>
      <c r="AGO13" s="222">
        <v>0</v>
      </c>
      <c r="AGP13" s="223"/>
      <c r="AGQ13" s="224"/>
      <c r="AGR13" s="217" t="s">
        <v>99</v>
      </c>
      <c r="AGS13" s="218"/>
      <c r="AGT13" s="222">
        <v>0</v>
      </c>
      <c r="AGU13" s="223"/>
      <c r="AGV13" s="224"/>
      <c r="AGW13" s="217" t="s">
        <v>99</v>
      </c>
      <c r="AGX13" s="218"/>
      <c r="AGY13" s="222">
        <v>0</v>
      </c>
      <c r="AGZ13" s="223"/>
      <c r="AHA13" s="224"/>
      <c r="AHB13" s="217" t="s">
        <v>98</v>
      </c>
      <c r="AHC13" s="218"/>
      <c r="AHD13" s="222">
        <v>0</v>
      </c>
      <c r="AHE13" s="223"/>
      <c r="AHF13" s="224"/>
      <c r="AHG13" s="217" t="s">
        <v>97</v>
      </c>
      <c r="AHH13" s="218"/>
      <c r="AHI13" s="222">
        <v>0</v>
      </c>
      <c r="AHJ13" s="223"/>
      <c r="AHK13" s="224"/>
      <c r="AHL13" s="217" t="s">
        <v>102</v>
      </c>
      <c r="AHM13" s="218"/>
      <c r="AHN13" s="222">
        <v>111362.5</v>
      </c>
      <c r="AHO13" s="223"/>
      <c r="AHP13" s="224"/>
      <c r="AHQ13" s="217" t="s">
        <v>101</v>
      </c>
      <c r="AHR13" s="218"/>
      <c r="AHS13" s="222">
        <v>57908.5</v>
      </c>
      <c r="AHT13" s="223"/>
      <c r="AHU13" s="224"/>
      <c r="AHV13" s="217" t="s">
        <v>41</v>
      </c>
      <c r="AHW13" s="218"/>
      <c r="AHX13" s="222">
        <v>0</v>
      </c>
      <c r="AHY13" s="223"/>
      <c r="AHZ13" s="224"/>
      <c r="AIA13" s="217" t="s">
        <v>99</v>
      </c>
      <c r="AIB13" s="218"/>
      <c r="AIC13" s="222">
        <v>0</v>
      </c>
      <c r="AID13" s="223"/>
      <c r="AIE13" s="224"/>
      <c r="AIF13" s="217" t="s">
        <v>98</v>
      </c>
      <c r="AIG13" s="218"/>
      <c r="AIH13" s="222">
        <v>0</v>
      </c>
      <c r="AII13" s="223"/>
      <c r="AIJ13" s="224"/>
      <c r="AIK13" s="217" t="s">
        <v>97</v>
      </c>
      <c r="AIL13" s="218"/>
      <c r="AIM13" s="222">
        <v>0</v>
      </c>
      <c r="AIN13" s="223"/>
      <c r="AIO13" s="224"/>
      <c r="AIP13" s="217" t="s">
        <v>102</v>
      </c>
      <c r="AIQ13" s="218"/>
      <c r="AIR13" s="222">
        <v>80181</v>
      </c>
      <c r="AIS13" s="223"/>
      <c r="AIT13" s="224"/>
      <c r="AIU13" s="217" t="s">
        <v>101</v>
      </c>
      <c r="AIV13" s="218"/>
      <c r="AIW13" s="222">
        <v>31181.5</v>
      </c>
      <c r="AIX13" s="223"/>
      <c r="AIY13" s="224"/>
      <c r="AIZ13" s="217" t="s">
        <v>41</v>
      </c>
      <c r="AJA13" s="218"/>
      <c r="AJB13" s="222">
        <v>0</v>
      </c>
      <c r="AJC13" s="223"/>
      <c r="AJD13" s="224"/>
      <c r="AJE13" s="217" t="s">
        <v>99</v>
      </c>
      <c r="AJF13" s="218"/>
      <c r="AJG13" s="222">
        <v>0</v>
      </c>
      <c r="AJH13" s="223"/>
      <c r="AJI13" s="224"/>
      <c r="AJJ13" s="217" t="s">
        <v>98</v>
      </c>
      <c r="AJK13" s="218"/>
      <c r="AJL13" s="222">
        <v>0</v>
      </c>
      <c r="AJM13" s="223"/>
      <c r="AJN13" s="224"/>
      <c r="AJO13" s="217" t="s">
        <v>97</v>
      </c>
      <c r="AJP13" s="218"/>
      <c r="AJQ13" s="222">
        <v>0</v>
      </c>
      <c r="AJR13" s="223"/>
      <c r="AJS13" s="224"/>
      <c r="AJT13" s="217" t="s">
        <v>96</v>
      </c>
      <c r="AJU13" s="218"/>
      <c r="AJV13" s="222">
        <v>26727</v>
      </c>
      <c r="AJW13" s="223"/>
      <c r="AJX13" s="224"/>
      <c r="AJY13" s="217" t="s">
        <v>102</v>
      </c>
      <c r="AJZ13" s="218"/>
      <c r="AKA13" s="222">
        <v>0</v>
      </c>
      <c r="AKB13" s="223"/>
      <c r="AKC13" s="224"/>
      <c r="AKD13" s="217" t="s">
        <v>101</v>
      </c>
      <c r="AKE13" s="218"/>
      <c r="AKF13" s="222">
        <v>0</v>
      </c>
      <c r="AKG13" s="223"/>
      <c r="AKH13" s="224"/>
      <c r="AKI13" s="217" t="s">
        <v>41</v>
      </c>
      <c r="AKJ13" s="218"/>
      <c r="AKK13" s="222">
        <v>0</v>
      </c>
      <c r="AKL13" s="223"/>
      <c r="AKM13" s="224"/>
      <c r="AKN13" s="217" t="s">
        <v>99</v>
      </c>
      <c r="AKO13" s="218"/>
      <c r="AKP13" s="222">
        <v>0</v>
      </c>
      <c r="AKQ13" s="223"/>
      <c r="AKR13" s="224"/>
      <c r="AKS13" s="217" t="s">
        <v>98</v>
      </c>
      <c r="AKT13" s="218"/>
      <c r="AKU13" s="222">
        <v>0</v>
      </c>
      <c r="AKV13" s="223"/>
      <c r="AKW13" s="224"/>
      <c r="AKX13" s="217" t="s">
        <v>97</v>
      </c>
      <c r="AKY13" s="218"/>
      <c r="AKZ13" s="222">
        <v>0</v>
      </c>
      <c r="ALA13" s="223"/>
      <c r="ALB13" s="224"/>
      <c r="ALC13" s="217" t="s">
        <v>96</v>
      </c>
      <c r="ALD13" s="218"/>
      <c r="ALE13" s="222">
        <v>26727</v>
      </c>
      <c r="ALF13" s="223"/>
      <c r="ALG13" s="224"/>
      <c r="ALH13" s="217" t="s">
        <v>102</v>
      </c>
      <c r="ALI13" s="218"/>
      <c r="ALJ13" s="222">
        <v>102453.5</v>
      </c>
      <c r="ALK13" s="223"/>
      <c r="ALL13" s="224"/>
      <c r="ALM13" s="217" t="s">
        <v>101</v>
      </c>
      <c r="ALN13" s="218"/>
      <c r="ALO13" s="222">
        <v>13363.5</v>
      </c>
      <c r="ALP13" s="223"/>
      <c r="ALQ13" s="224"/>
      <c r="ALR13" s="217" t="s">
        <v>41</v>
      </c>
      <c r="ALS13" s="218"/>
      <c r="ALT13" s="222">
        <v>0</v>
      </c>
      <c r="ALU13" s="223"/>
      <c r="ALV13" s="224"/>
      <c r="ALW13" s="217" t="s">
        <v>99</v>
      </c>
      <c r="ALX13" s="218"/>
      <c r="ALY13" s="222">
        <v>15480</v>
      </c>
      <c r="ALZ13" s="223"/>
      <c r="AMA13" s="224"/>
      <c r="AMB13" s="217" t="s">
        <v>98</v>
      </c>
      <c r="AMC13" s="218"/>
      <c r="AMD13" s="222">
        <v>4454.5</v>
      </c>
      <c r="AME13" s="223"/>
      <c r="AMF13" s="224"/>
      <c r="AMG13" s="217" t="s">
        <v>97</v>
      </c>
      <c r="AMH13" s="218"/>
      <c r="AMI13" s="222">
        <v>0</v>
      </c>
      <c r="AMJ13" s="223"/>
      <c r="AMK13" s="224"/>
      <c r="AML13" s="217" t="s">
        <v>102</v>
      </c>
      <c r="AMM13" s="218"/>
      <c r="AMN13" s="222">
        <v>0</v>
      </c>
      <c r="AMO13" s="223"/>
      <c r="AMP13" s="224"/>
      <c r="AMQ13" s="217" t="s">
        <v>101</v>
      </c>
      <c r="AMR13" s="218"/>
      <c r="AMS13" s="222">
        <v>17818</v>
      </c>
      <c r="AMT13" s="223"/>
      <c r="AMU13" s="224"/>
      <c r="AMV13" s="217" t="s">
        <v>41</v>
      </c>
      <c r="AMW13" s="218"/>
      <c r="AMX13" s="222">
        <v>0</v>
      </c>
      <c r="AMY13" s="223"/>
      <c r="AMZ13" s="224"/>
      <c r="ANA13" s="217" t="s">
        <v>99</v>
      </c>
      <c r="ANB13" s="218"/>
      <c r="ANC13" s="222">
        <v>22272.5</v>
      </c>
      <c r="AND13" s="223"/>
      <c r="ANE13" s="224"/>
      <c r="ANF13" s="217" t="s">
        <v>98</v>
      </c>
      <c r="ANG13" s="218"/>
      <c r="ANH13" s="222">
        <v>0</v>
      </c>
      <c r="ANI13" s="223"/>
      <c r="ANJ13" s="224"/>
      <c r="ANK13" s="217" t="s">
        <v>97</v>
      </c>
      <c r="ANL13" s="218"/>
      <c r="ANM13" s="222">
        <v>0</v>
      </c>
      <c r="ANN13" s="223"/>
      <c r="ANO13" s="224"/>
      <c r="ANP13" s="217" t="s">
        <v>96</v>
      </c>
      <c r="ANQ13" s="218"/>
      <c r="ANR13" s="222">
        <v>7740</v>
      </c>
      <c r="ANS13" s="223"/>
      <c r="ANT13" s="224"/>
      <c r="ANU13" s="217" t="s">
        <v>102</v>
      </c>
      <c r="ANV13" s="218"/>
      <c r="ANW13" s="222">
        <v>71272</v>
      </c>
      <c r="ANX13" s="223"/>
      <c r="ANY13" s="224"/>
      <c r="ANZ13" s="217" t="s">
        <v>101</v>
      </c>
      <c r="AOA13" s="218"/>
      <c r="AOB13" s="222">
        <v>106908</v>
      </c>
      <c r="AOC13" s="223"/>
      <c r="AOD13" s="224"/>
      <c r="AOE13" s="217" t="s">
        <v>41</v>
      </c>
      <c r="AOF13" s="218"/>
      <c r="AOG13" s="222">
        <v>0</v>
      </c>
      <c r="AOH13" s="223"/>
      <c r="AOI13" s="224"/>
      <c r="AOJ13" s="217" t="s">
        <v>99</v>
      </c>
      <c r="AOK13" s="218"/>
      <c r="AOL13" s="222">
        <v>0</v>
      </c>
      <c r="AOM13" s="223"/>
      <c r="AON13" s="224"/>
      <c r="AOO13" s="217" t="s">
        <v>98</v>
      </c>
      <c r="AOP13" s="218"/>
      <c r="AOQ13" s="222">
        <v>0</v>
      </c>
      <c r="AOR13" s="223"/>
      <c r="AOS13" s="224"/>
      <c r="AOT13" s="217" t="s">
        <v>97</v>
      </c>
      <c r="AOU13" s="218"/>
      <c r="AOV13" s="222">
        <v>0</v>
      </c>
      <c r="AOW13" s="223"/>
      <c r="AOX13" s="224"/>
      <c r="AOY13" s="217" t="s">
        <v>96</v>
      </c>
      <c r="AOZ13" s="218"/>
      <c r="APA13" s="222">
        <v>42912.5</v>
      </c>
      <c r="APB13" s="223"/>
      <c r="APC13" s="224"/>
      <c r="APD13" s="217" t="s">
        <v>102</v>
      </c>
      <c r="APE13" s="218"/>
      <c r="APF13" s="222">
        <v>89090</v>
      </c>
      <c r="APG13" s="223"/>
      <c r="APH13" s="224"/>
      <c r="API13" s="217" t="s">
        <v>101</v>
      </c>
      <c r="APJ13" s="218"/>
      <c r="APK13" s="222">
        <v>75726.5</v>
      </c>
      <c r="APL13" s="223"/>
      <c r="APM13" s="224"/>
      <c r="APN13" s="217" t="s">
        <v>41</v>
      </c>
      <c r="APO13" s="218"/>
      <c r="APP13" s="222">
        <v>0</v>
      </c>
      <c r="APQ13" s="223"/>
      <c r="APR13" s="224"/>
      <c r="APS13" s="217" t="s">
        <v>99</v>
      </c>
      <c r="APT13" s="218"/>
      <c r="APU13" s="222">
        <v>0</v>
      </c>
      <c r="APV13" s="223"/>
      <c r="APW13" s="224"/>
      <c r="APX13" s="217" t="s">
        <v>98</v>
      </c>
      <c r="APY13" s="218"/>
      <c r="APZ13" s="222">
        <v>0</v>
      </c>
      <c r="AQA13" s="223"/>
      <c r="AQB13" s="224"/>
      <c r="AQC13" s="217" t="s">
        <v>97</v>
      </c>
      <c r="AQD13" s="218"/>
      <c r="AQE13" s="222">
        <v>0</v>
      </c>
      <c r="AQF13" s="223"/>
      <c r="AQG13" s="224"/>
      <c r="AQH13" s="217" t="s">
        <v>96</v>
      </c>
      <c r="AQI13" s="218"/>
      <c r="AQJ13" s="222">
        <v>30960</v>
      </c>
      <c r="AQK13" s="223"/>
      <c r="AQL13" s="224"/>
      <c r="AQM13" s="217" t="s">
        <v>102</v>
      </c>
      <c r="AQN13" s="218"/>
      <c r="AQO13" s="222">
        <v>160362</v>
      </c>
      <c r="AQP13" s="223"/>
      <c r="AQQ13" s="224"/>
      <c r="AQR13" s="217" t="s">
        <v>101</v>
      </c>
      <c r="AQS13" s="218"/>
      <c r="AQT13" s="222">
        <v>40090.5</v>
      </c>
      <c r="AQU13" s="223"/>
      <c r="AQV13" s="224"/>
      <c r="AQW13" s="217" t="s">
        <v>41</v>
      </c>
      <c r="AQX13" s="218"/>
      <c r="AQY13" s="222">
        <v>0</v>
      </c>
      <c r="AQZ13" s="223"/>
      <c r="ARA13" s="224"/>
      <c r="ARB13" s="217" t="s">
        <v>99</v>
      </c>
      <c r="ARC13" s="218"/>
      <c r="ARD13" s="222">
        <v>0</v>
      </c>
      <c r="ARE13" s="223"/>
      <c r="ARF13" s="224"/>
      <c r="ARG13" s="217" t="s">
        <v>98</v>
      </c>
      <c r="ARH13" s="218"/>
      <c r="ARI13" s="222">
        <v>0</v>
      </c>
      <c r="ARJ13" s="223"/>
      <c r="ARK13" s="224"/>
      <c r="ARL13" s="217" t="s">
        <v>97</v>
      </c>
      <c r="ARM13" s="218"/>
      <c r="ARN13" s="222">
        <v>0</v>
      </c>
      <c r="ARO13" s="223"/>
      <c r="ARP13" s="224"/>
      <c r="ARQ13" s="217" t="s">
        <v>96</v>
      </c>
      <c r="ARR13" s="218"/>
      <c r="ARS13" s="222">
        <v>62363</v>
      </c>
      <c r="ART13" s="223"/>
      <c r="ARU13" s="224"/>
      <c r="ARV13" s="217" t="s">
        <v>102</v>
      </c>
      <c r="ARW13" s="218"/>
      <c r="ARX13" s="222">
        <v>39163.5</v>
      </c>
      <c r="ARY13" s="223"/>
      <c r="ARZ13" s="224"/>
      <c r="ASA13" s="217" t="s">
        <v>101</v>
      </c>
      <c r="ASB13" s="218"/>
      <c r="ASC13" s="222">
        <v>5160</v>
      </c>
      <c r="ASD13" s="223"/>
      <c r="ASE13" s="224"/>
      <c r="ASF13" s="217" t="s">
        <v>41</v>
      </c>
      <c r="ASG13" s="218"/>
      <c r="ASH13" s="222">
        <v>0</v>
      </c>
      <c r="ASI13" s="223"/>
      <c r="ASJ13" s="224"/>
      <c r="ASK13" s="217" t="s">
        <v>99</v>
      </c>
      <c r="ASL13" s="218"/>
      <c r="ASM13" s="222">
        <v>5160</v>
      </c>
      <c r="ASN13" s="223"/>
      <c r="ASO13" s="224"/>
      <c r="ASP13" s="217" t="s">
        <v>98</v>
      </c>
      <c r="ASQ13" s="218"/>
      <c r="ASR13" s="222">
        <v>0</v>
      </c>
      <c r="ASS13" s="223"/>
      <c r="AST13" s="224"/>
      <c r="ASU13" s="217" t="s">
        <v>97</v>
      </c>
      <c r="ASV13" s="218"/>
      <c r="ASW13" s="222">
        <v>0</v>
      </c>
      <c r="ASX13" s="223"/>
      <c r="ASY13" s="224"/>
      <c r="ASZ13" s="217" t="s">
        <v>96</v>
      </c>
      <c r="ATA13" s="218"/>
      <c r="ATB13" s="222">
        <v>5160</v>
      </c>
      <c r="ATC13" s="223"/>
      <c r="ATD13" s="224"/>
      <c r="ATE13" s="217" t="s">
        <v>102</v>
      </c>
      <c r="ATF13" s="218"/>
      <c r="ATG13" s="222">
        <v>0</v>
      </c>
      <c r="ATH13" s="223"/>
      <c r="ATI13" s="224"/>
      <c r="ATJ13" s="217" t="s">
        <v>101</v>
      </c>
      <c r="ATK13" s="218"/>
      <c r="ATL13" s="222">
        <v>17818</v>
      </c>
      <c r="ATM13" s="223"/>
      <c r="ATN13" s="224"/>
      <c r="ATO13" s="217" t="s">
        <v>41</v>
      </c>
      <c r="ATP13" s="218"/>
      <c r="ATQ13" s="222">
        <v>0</v>
      </c>
      <c r="ATR13" s="223"/>
      <c r="ATS13" s="224"/>
      <c r="ATT13" s="217" t="s">
        <v>99</v>
      </c>
      <c r="ATU13" s="218"/>
      <c r="ATV13" s="222">
        <v>0</v>
      </c>
      <c r="ATW13" s="223"/>
      <c r="ATX13" s="224"/>
      <c r="ATY13" s="217" t="s">
        <v>98</v>
      </c>
      <c r="ATZ13" s="218"/>
      <c r="AUA13" s="222">
        <v>0</v>
      </c>
      <c r="AUB13" s="223"/>
      <c r="AUC13" s="224"/>
      <c r="AUD13" s="217" t="s">
        <v>97</v>
      </c>
      <c r="AUE13" s="218"/>
      <c r="AUF13" s="222">
        <v>0</v>
      </c>
      <c r="AUG13" s="223"/>
      <c r="AUH13" s="224"/>
      <c r="AUI13" s="217" t="s">
        <v>96</v>
      </c>
      <c r="AUJ13" s="218"/>
      <c r="AUK13" s="222">
        <v>17818</v>
      </c>
      <c r="AUL13" s="223"/>
      <c r="AUM13" s="224"/>
      <c r="AUN13" s="217" t="s">
        <v>102</v>
      </c>
      <c r="AUO13" s="218"/>
      <c r="AUP13" s="222">
        <v>62363</v>
      </c>
      <c r="AUQ13" s="223"/>
      <c r="AUR13" s="224"/>
      <c r="AUS13" s="217" t="s">
        <v>101</v>
      </c>
      <c r="AUT13" s="218"/>
      <c r="AUU13" s="222">
        <v>97999</v>
      </c>
      <c r="AUV13" s="223"/>
      <c r="AUW13" s="224"/>
      <c r="AUX13" s="217" t="s">
        <v>41</v>
      </c>
      <c r="AUY13" s="218"/>
      <c r="AUZ13" s="222">
        <v>0</v>
      </c>
      <c r="AVA13" s="223"/>
      <c r="AVB13" s="224"/>
      <c r="AVC13" s="217" t="s">
        <v>99</v>
      </c>
      <c r="AVD13" s="218"/>
      <c r="AVE13" s="222">
        <v>0</v>
      </c>
      <c r="AVF13" s="223"/>
      <c r="AVG13" s="224"/>
      <c r="AVH13" s="217" t="s">
        <v>98</v>
      </c>
      <c r="AVI13" s="218"/>
      <c r="AVJ13" s="222">
        <v>0</v>
      </c>
      <c r="AVK13" s="223"/>
      <c r="AVL13" s="224"/>
      <c r="AVM13" s="217" t="s">
        <v>97</v>
      </c>
      <c r="AVN13" s="218"/>
      <c r="AVO13" s="222">
        <v>0</v>
      </c>
      <c r="AVP13" s="223"/>
      <c r="AVQ13" s="224"/>
      <c r="AVR13" s="217" t="s">
        <v>96</v>
      </c>
      <c r="AVS13" s="218"/>
      <c r="AVT13" s="222">
        <v>13363.5</v>
      </c>
      <c r="AVU13" s="223"/>
      <c r="AVV13" s="224"/>
      <c r="AVW13" s="217" t="s">
        <v>102</v>
      </c>
      <c r="AVX13" s="218"/>
      <c r="AVY13" s="222">
        <v>26727</v>
      </c>
      <c r="AVZ13" s="223"/>
      <c r="AWA13" s="224"/>
      <c r="AWB13" s="217" t="s">
        <v>101</v>
      </c>
      <c r="AWC13" s="218"/>
      <c r="AWD13" s="222">
        <v>17818</v>
      </c>
      <c r="AWE13" s="223"/>
      <c r="AWF13" s="224"/>
      <c r="AWG13" s="217" t="s">
        <v>41</v>
      </c>
      <c r="AWH13" s="218"/>
      <c r="AWI13" s="222">
        <v>0</v>
      </c>
      <c r="AWJ13" s="223"/>
      <c r="AWK13" s="224"/>
      <c r="AWL13" s="217" t="s">
        <v>99</v>
      </c>
      <c r="AWM13" s="218"/>
      <c r="AWN13" s="222">
        <v>18060</v>
      </c>
      <c r="AWO13" s="223"/>
      <c r="AWP13" s="224"/>
      <c r="AWQ13" s="217" t="s">
        <v>98</v>
      </c>
      <c r="AWR13" s="218"/>
      <c r="AWS13" s="222">
        <v>0</v>
      </c>
      <c r="AWT13" s="223"/>
      <c r="AWU13" s="224"/>
      <c r="AWV13" s="217" t="s">
        <v>97</v>
      </c>
      <c r="AWW13" s="218"/>
      <c r="AWX13" s="222">
        <v>0</v>
      </c>
      <c r="AWY13" s="223"/>
      <c r="AWZ13" s="224"/>
      <c r="AXA13" s="217" t="s">
        <v>96</v>
      </c>
      <c r="AXB13" s="218"/>
      <c r="AXC13" s="222">
        <v>0</v>
      </c>
      <c r="AXD13" s="223"/>
      <c r="AXE13" s="224"/>
      <c r="AXF13" s="217" t="s">
        <v>102</v>
      </c>
      <c r="AXG13" s="218"/>
      <c r="AXH13" s="222">
        <v>8909</v>
      </c>
      <c r="AXI13" s="223"/>
      <c r="AXJ13" s="224"/>
      <c r="AXK13" s="217" t="s">
        <v>101</v>
      </c>
      <c r="AXL13" s="218"/>
      <c r="AXM13" s="222">
        <v>8909</v>
      </c>
      <c r="AXN13" s="223"/>
      <c r="AXO13" s="224"/>
      <c r="AXP13" s="217" t="s">
        <v>41</v>
      </c>
      <c r="AXQ13" s="218"/>
      <c r="AXR13" s="222">
        <v>0</v>
      </c>
      <c r="AXS13" s="223"/>
      <c r="AXT13" s="224"/>
      <c r="AXU13" s="217" t="s">
        <v>99</v>
      </c>
      <c r="AXV13" s="218"/>
      <c r="AXW13" s="222">
        <v>0</v>
      </c>
      <c r="AXX13" s="223"/>
      <c r="AXY13" s="224"/>
      <c r="AXZ13" s="217" t="s">
        <v>98</v>
      </c>
      <c r="AYA13" s="218"/>
      <c r="AYB13" s="222">
        <v>38700</v>
      </c>
      <c r="AYC13" s="223"/>
      <c r="AYD13" s="224"/>
      <c r="AYE13" s="217" t="s">
        <v>97</v>
      </c>
      <c r="AYF13" s="218"/>
      <c r="AYG13" s="222">
        <v>0</v>
      </c>
      <c r="AYH13" s="223"/>
      <c r="AYI13" s="224"/>
      <c r="AYJ13" s="217" t="s">
        <v>96</v>
      </c>
      <c r="AYK13" s="218"/>
      <c r="AYL13" s="222">
        <v>0</v>
      </c>
      <c r="AYM13" s="223"/>
      <c r="AYN13" s="224"/>
      <c r="AYO13" s="217" t="s">
        <v>102</v>
      </c>
      <c r="AYP13" s="218"/>
      <c r="AYQ13" s="222">
        <v>8909</v>
      </c>
      <c r="AYR13" s="223"/>
      <c r="AYS13" s="224"/>
      <c r="AYT13" s="217" t="s">
        <v>99</v>
      </c>
      <c r="AYU13" s="218"/>
      <c r="AYV13" s="222">
        <v>0</v>
      </c>
      <c r="AYW13" s="223"/>
      <c r="AYX13" s="224"/>
      <c r="AYY13" s="217" t="s">
        <v>98</v>
      </c>
      <c r="AYZ13" s="218"/>
      <c r="AZA13" s="222">
        <v>0</v>
      </c>
      <c r="AZB13" s="223"/>
      <c r="AZC13" s="224"/>
      <c r="AZD13" s="217" t="s">
        <v>97</v>
      </c>
      <c r="AZE13" s="218"/>
      <c r="AZF13" s="222">
        <v>0</v>
      </c>
      <c r="AZG13" s="223"/>
      <c r="AZH13" s="224"/>
      <c r="AZI13" s="217" t="s">
        <v>96</v>
      </c>
      <c r="AZJ13" s="218"/>
      <c r="AZK13" s="222">
        <v>0</v>
      </c>
      <c r="AZL13" s="223"/>
      <c r="AZM13" s="224"/>
      <c r="AZN13" s="217" t="s">
        <v>102</v>
      </c>
      <c r="AZO13" s="218"/>
      <c r="AZP13" s="222">
        <v>11581.7</v>
      </c>
      <c r="AZQ13" s="223"/>
      <c r="AZR13" s="224"/>
      <c r="AZS13" s="217" t="s">
        <v>101</v>
      </c>
      <c r="AZT13" s="218"/>
      <c r="AZU13" s="222">
        <v>0</v>
      </c>
      <c r="AZV13" s="223"/>
      <c r="AZW13" s="224"/>
      <c r="AZX13" s="217" t="s">
        <v>41</v>
      </c>
      <c r="AZY13" s="218"/>
      <c r="AZZ13" s="222">
        <v>0</v>
      </c>
      <c r="BAA13" s="223"/>
      <c r="BAB13" s="224"/>
      <c r="BAC13" s="217" t="s">
        <v>99</v>
      </c>
      <c r="BAD13" s="218"/>
      <c r="BAE13" s="222">
        <v>0</v>
      </c>
      <c r="BAF13" s="223"/>
      <c r="BAG13" s="224"/>
      <c r="BAH13" s="217" t="s">
        <v>98</v>
      </c>
      <c r="BAI13" s="218"/>
      <c r="BAJ13" s="222">
        <v>890.90000000000009</v>
      </c>
      <c r="BAK13" s="223"/>
      <c r="BAL13" s="224"/>
      <c r="BAM13" s="217" t="s">
        <v>97</v>
      </c>
      <c r="BAN13" s="218"/>
      <c r="BAO13" s="222">
        <v>0</v>
      </c>
      <c r="BAP13" s="223"/>
      <c r="BAQ13" s="224"/>
      <c r="BAR13" s="217" t="s">
        <v>96</v>
      </c>
      <c r="BAS13" s="218"/>
      <c r="BAT13" s="222">
        <v>0</v>
      </c>
      <c r="BAU13" s="223"/>
      <c r="BAV13" s="224"/>
      <c r="BAW13" s="217" t="s">
        <v>102</v>
      </c>
      <c r="BAX13" s="218"/>
      <c r="BAY13" s="222">
        <v>72240</v>
      </c>
      <c r="BAZ13" s="223"/>
      <c r="BBA13" s="224"/>
      <c r="BBB13" s="217" t="s">
        <v>101</v>
      </c>
      <c r="BBC13" s="218"/>
      <c r="BBD13" s="222">
        <v>46440</v>
      </c>
      <c r="BBE13" s="223"/>
      <c r="BBF13" s="224"/>
      <c r="BBG13" s="217" t="s">
        <v>41</v>
      </c>
      <c r="BBH13" s="218"/>
      <c r="BBI13" s="222">
        <v>4454.5</v>
      </c>
      <c r="BBJ13" s="223"/>
      <c r="BBK13" s="224"/>
      <c r="BBL13" s="217" t="s">
        <v>99</v>
      </c>
      <c r="BBM13" s="218"/>
      <c r="BBN13" s="222">
        <v>0</v>
      </c>
      <c r="BBO13" s="223"/>
      <c r="BBP13" s="224"/>
      <c r="BBQ13" s="217" t="s">
        <v>98</v>
      </c>
      <c r="BBR13" s="218"/>
      <c r="BBS13" s="222">
        <v>0</v>
      </c>
      <c r="BBT13" s="223"/>
      <c r="BBU13" s="224"/>
      <c r="BBV13" s="217" t="s">
        <v>97</v>
      </c>
      <c r="BBW13" s="218"/>
      <c r="BBX13" s="222">
        <v>0</v>
      </c>
      <c r="BBY13" s="223"/>
      <c r="BBZ13" s="224"/>
      <c r="BCA13" s="217" t="s">
        <v>96</v>
      </c>
      <c r="BCB13" s="218"/>
      <c r="BCC13" s="222">
        <v>890.90000000000009</v>
      </c>
      <c r="BCD13" s="223"/>
      <c r="BCE13" s="224"/>
      <c r="BCF13" s="217" t="s">
        <v>102</v>
      </c>
      <c r="BCG13" s="218"/>
      <c r="BCH13" s="222">
        <v>13363.5</v>
      </c>
      <c r="BCI13" s="223"/>
      <c r="BCJ13" s="224"/>
      <c r="BCK13" s="217" t="s">
        <v>102</v>
      </c>
      <c r="BCL13" s="218"/>
      <c r="BCM13" s="222">
        <v>4454.5</v>
      </c>
      <c r="BCN13" s="223"/>
      <c r="BCO13" s="224"/>
      <c r="BCP13" s="217" t="s">
        <v>101</v>
      </c>
      <c r="BCQ13" s="218"/>
      <c r="BCR13" s="222">
        <v>0</v>
      </c>
      <c r="BCS13" s="223"/>
      <c r="BCT13" s="224"/>
      <c r="BCU13" s="217" t="s">
        <v>41</v>
      </c>
      <c r="BCV13" s="218"/>
      <c r="BCW13" s="222">
        <v>0</v>
      </c>
      <c r="BCX13" s="223"/>
      <c r="BCY13" s="224"/>
      <c r="BCZ13" s="217" t="s">
        <v>99</v>
      </c>
      <c r="BDA13" s="218"/>
      <c r="BDB13" s="222">
        <v>0</v>
      </c>
      <c r="BDC13" s="223"/>
      <c r="BDD13" s="224"/>
      <c r="BDE13" s="217" t="s">
        <v>98</v>
      </c>
      <c r="BDF13" s="218"/>
      <c r="BDG13" s="222">
        <v>2580</v>
      </c>
      <c r="BDH13" s="223"/>
      <c r="BDI13" s="224"/>
      <c r="BDJ13" s="217" t="s">
        <v>97</v>
      </c>
      <c r="BDK13" s="218"/>
      <c r="BDL13" s="222">
        <v>0</v>
      </c>
      <c r="BDM13" s="223"/>
      <c r="BDN13" s="224"/>
      <c r="BDO13" s="217" t="s">
        <v>96</v>
      </c>
      <c r="BDP13" s="218"/>
      <c r="BDQ13" s="222">
        <v>5160</v>
      </c>
      <c r="BDR13" s="223"/>
      <c r="BDS13" s="224"/>
      <c r="BDT13" s="217" t="s">
        <v>102</v>
      </c>
      <c r="BDU13" s="218"/>
      <c r="BDV13" s="222">
        <v>27432.5</v>
      </c>
      <c r="BDW13" s="223"/>
      <c r="BDX13" s="224"/>
      <c r="BDY13" s="217" t="s">
        <v>101</v>
      </c>
      <c r="BDZ13" s="218"/>
      <c r="BEA13" s="222">
        <v>80181</v>
      </c>
      <c r="BEB13" s="223"/>
      <c r="BEC13" s="224"/>
      <c r="BED13" s="217" t="s">
        <v>41</v>
      </c>
      <c r="BEE13" s="218"/>
      <c r="BEF13" s="222">
        <v>0</v>
      </c>
      <c r="BEG13" s="223"/>
      <c r="BEH13" s="224"/>
      <c r="BEI13" s="217" t="s">
        <v>98</v>
      </c>
      <c r="BEJ13" s="218"/>
      <c r="BEK13" s="222">
        <v>0</v>
      </c>
      <c r="BEL13" s="223"/>
      <c r="BEM13" s="224"/>
      <c r="BEN13" s="217" t="s">
        <v>97</v>
      </c>
      <c r="BEO13" s="218"/>
      <c r="BEP13" s="222">
        <v>0</v>
      </c>
      <c r="BEQ13" s="223"/>
      <c r="BER13" s="224"/>
      <c r="BES13" s="217" t="s">
        <v>96</v>
      </c>
      <c r="BET13" s="218"/>
      <c r="BEU13" s="222">
        <v>0</v>
      </c>
      <c r="BEV13" s="223"/>
      <c r="BEW13" s="224"/>
      <c r="BEX13" s="217" t="s">
        <v>102</v>
      </c>
      <c r="BEY13" s="218"/>
      <c r="BEZ13" s="222">
        <v>34467</v>
      </c>
      <c r="BFA13" s="223"/>
      <c r="BFB13" s="224"/>
      <c r="BFC13" s="217" t="s">
        <v>101</v>
      </c>
      <c r="BFD13" s="218"/>
      <c r="BFE13" s="222">
        <v>0</v>
      </c>
      <c r="BFF13" s="223"/>
      <c r="BFG13" s="224"/>
      <c r="BFH13" s="217" t="s">
        <v>41</v>
      </c>
      <c r="BFI13" s="218"/>
      <c r="BFJ13" s="222">
        <v>0</v>
      </c>
      <c r="BFK13" s="223"/>
      <c r="BFL13" s="224"/>
      <c r="BFM13" s="217" t="s">
        <v>99</v>
      </c>
      <c r="BFN13" s="218"/>
      <c r="BFO13" s="222">
        <v>0</v>
      </c>
      <c r="BFP13" s="223"/>
      <c r="BFQ13" s="224"/>
      <c r="BFR13" s="217" t="s">
        <v>98</v>
      </c>
      <c r="BFS13" s="218"/>
      <c r="BFT13" s="222">
        <v>0</v>
      </c>
      <c r="BFU13" s="223"/>
      <c r="BFV13" s="224"/>
      <c r="BFW13" s="217" t="s">
        <v>97</v>
      </c>
      <c r="BFX13" s="218"/>
      <c r="BFY13" s="222">
        <v>0</v>
      </c>
      <c r="BFZ13" s="223"/>
      <c r="BGA13" s="224"/>
      <c r="BGB13" s="217" t="s">
        <v>96</v>
      </c>
      <c r="BGC13" s="218"/>
      <c r="BGD13" s="222">
        <v>0</v>
      </c>
      <c r="BGE13" s="223"/>
      <c r="BGF13" s="224"/>
      <c r="BGG13" s="217" t="s">
        <v>102</v>
      </c>
      <c r="BGH13" s="218"/>
      <c r="BGI13" s="222">
        <v>52769</v>
      </c>
      <c r="BGJ13" s="223"/>
      <c r="BGK13" s="224"/>
      <c r="BGL13" s="217" t="s">
        <v>41</v>
      </c>
      <c r="BGM13" s="218"/>
      <c r="BGN13" s="222">
        <v>0</v>
      </c>
      <c r="BGO13" s="223"/>
      <c r="BGP13" s="224"/>
      <c r="BGQ13" s="217" t="s">
        <v>99</v>
      </c>
      <c r="BGR13" s="218"/>
      <c r="BGS13" s="222">
        <v>0</v>
      </c>
      <c r="BGT13" s="223"/>
      <c r="BGU13" s="224"/>
      <c r="BGV13" s="217" t="s">
        <v>98</v>
      </c>
      <c r="BGW13" s="218"/>
      <c r="BGX13" s="222">
        <v>0</v>
      </c>
      <c r="BGY13" s="223"/>
      <c r="BGZ13" s="224"/>
      <c r="BHA13" s="217" t="s">
        <v>97</v>
      </c>
      <c r="BHB13" s="218"/>
      <c r="BHC13" s="222">
        <v>0</v>
      </c>
      <c r="BHD13" s="223"/>
      <c r="BHE13" s="224"/>
      <c r="BHF13" s="217" t="s">
        <v>96</v>
      </c>
      <c r="BHG13" s="218"/>
      <c r="BHH13" s="222">
        <v>2580</v>
      </c>
      <c r="BHI13" s="223"/>
      <c r="BHJ13" s="224"/>
      <c r="BHK13" s="217" t="s">
        <v>102</v>
      </c>
      <c r="BHL13" s="218"/>
      <c r="BHM13" s="222">
        <v>97334.5</v>
      </c>
      <c r="BHN13" s="223"/>
      <c r="BHO13" s="224"/>
      <c r="BHP13" s="217" t="s">
        <v>101</v>
      </c>
      <c r="BHQ13" s="218"/>
      <c r="BHR13" s="222">
        <v>28380</v>
      </c>
      <c r="BHS13" s="223"/>
      <c r="BHT13" s="224"/>
      <c r="BHU13" s="217" t="s">
        <v>41</v>
      </c>
      <c r="BHV13" s="218"/>
      <c r="BHW13" s="222">
        <v>0</v>
      </c>
      <c r="BHX13" s="223"/>
      <c r="BHY13" s="224"/>
      <c r="BHZ13" s="217" t="s">
        <v>99</v>
      </c>
      <c r="BIA13" s="218"/>
      <c r="BIB13" s="222">
        <v>12900</v>
      </c>
      <c r="BIC13" s="223"/>
      <c r="BID13" s="224"/>
      <c r="BIE13" s="217" t="s">
        <v>98</v>
      </c>
      <c r="BIF13" s="218"/>
      <c r="BIG13" s="222">
        <v>0</v>
      </c>
      <c r="BIH13" s="223"/>
      <c r="BII13" s="224"/>
      <c r="BIJ13" s="217" t="s">
        <v>102</v>
      </c>
      <c r="BIK13" s="218"/>
      <c r="BIL13" s="222">
        <v>30960</v>
      </c>
      <c r="BIM13" s="223"/>
      <c r="BIN13" s="224"/>
      <c r="BIO13" s="217" t="s">
        <v>101</v>
      </c>
      <c r="BIP13" s="218"/>
      <c r="BIQ13" s="222">
        <v>16649</v>
      </c>
      <c r="BIR13" s="223"/>
      <c r="BIS13" s="224"/>
      <c r="BIT13" s="217" t="s">
        <v>41</v>
      </c>
      <c r="BIU13" s="218"/>
      <c r="BIV13" s="222">
        <v>0</v>
      </c>
      <c r="BIW13" s="223"/>
      <c r="BIX13" s="224"/>
      <c r="BIY13" s="217" t="s">
        <v>99</v>
      </c>
      <c r="BIZ13" s="218"/>
      <c r="BJA13" s="222">
        <v>0</v>
      </c>
      <c r="BJB13" s="223"/>
      <c r="BJC13" s="224"/>
      <c r="BJD13" s="217" t="s">
        <v>98</v>
      </c>
      <c r="BJE13" s="218"/>
      <c r="BJF13" s="222">
        <v>0</v>
      </c>
      <c r="BJG13" s="223"/>
      <c r="BJH13" s="224"/>
      <c r="BJI13" s="217" t="s">
        <v>97</v>
      </c>
      <c r="BJJ13" s="218"/>
      <c r="BJK13" s="222">
        <v>0</v>
      </c>
      <c r="BJL13" s="223"/>
      <c r="BJM13" s="224"/>
      <c r="BJN13" s="217" t="s">
        <v>41</v>
      </c>
      <c r="BJO13" s="218"/>
      <c r="BJP13" s="222">
        <v>0</v>
      </c>
      <c r="BJQ13" s="223"/>
      <c r="BJR13" s="224"/>
      <c r="BJS13" s="217" t="s">
        <v>99</v>
      </c>
      <c r="BJT13" s="218"/>
      <c r="BJU13" s="222">
        <v>0</v>
      </c>
      <c r="BJV13" s="223"/>
      <c r="BJW13" s="224"/>
      <c r="BJX13" s="217" t="s">
        <v>99</v>
      </c>
      <c r="BJY13" s="218"/>
      <c r="BJZ13" s="222">
        <v>0</v>
      </c>
      <c r="BKA13" s="223"/>
      <c r="BKB13" s="224"/>
      <c r="BKC13" s="217" t="s">
        <v>96</v>
      </c>
      <c r="BKD13" s="218"/>
      <c r="BKE13" s="222">
        <v>13363.5</v>
      </c>
      <c r="BKF13" s="223"/>
      <c r="BKG13" s="224"/>
      <c r="BKH13" s="217" t="s">
        <v>102</v>
      </c>
      <c r="BKI13" s="218"/>
      <c r="BKJ13" s="222">
        <v>4454.5</v>
      </c>
      <c r="BKK13" s="223"/>
      <c r="BKL13" s="224"/>
      <c r="BKM13" s="217" t="s">
        <v>101</v>
      </c>
      <c r="BKN13" s="218"/>
      <c r="BKO13" s="222">
        <v>0</v>
      </c>
      <c r="BKP13" s="223"/>
      <c r="BKQ13" s="224"/>
      <c r="BKR13" s="217" t="s">
        <v>99</v>
      </c>
      <c r="BKS13" s="218"/>
      <c r="BKT13" s="222">
        <v>0</v>
      </c>
      <c r="BKU13" s="223"/>
      <c r="BKV13" s="224"/>
      <c r="BKW13" s="217" t="s">
        <v>96</v>
      </c>
      <c r="BKX13" s="218"/>
      <c r="BKY13" s="222">
        <v>6681.75</v>
      </c>
      <c r="BKZ13" s="223"/>
      <c r="BLA13" s="224"/>
      <c r="BLB13" s="217" t="s">
        <v>102</v>
      </c>
      <c r="BLC13" s="218"/>
      <c r="BLD13" s="222">
        <v>0</v>
      </c>
      <c r="BLE13" s="223"/>
      <c r="BLF13" s="224"/>
      <c r="BLG13" s="217" t="s">
        <v>101</v>
      </c>
      <c r="BLH13" s="218"/>
      <c r="BLI13" s="222">
        <v>0</v>
      </c>
      <c r="BLJ13" s="223"/>
      <c r="BLK13" s="224"/>
      <c r="BLL13" s="217" t="s">
        <v>41</v>
      </c>
      <c r="BLM13" s="218"/>
      <c r="BLN13" s="222">
        <v>0</v>
      </c>
      <c r="BLO13" s="223"/>
      <c r="BLP13" s="224"/>
      <c r="BLQ13" s="217" t="s">
        <v>99</v>
      </c>
      <c r="BLR13" s="218"/>
      <c r="BLS13" s="222">
        <v>0</v>
      </c>
      <c r="BLT13" s="223"/>
      <c r="BLU13" s="224"/>
      <c r="BLV13" s="217" t="s">
        <v>96</v>
      </c>
      <c r="BLW13" s="218"/>
      <c r="BLX13" s="222">
        <v>16649</v>
      </c>
      <c r="BLY13" s="223"/>
      <c r="BLZ13" s="224"/>
      <c r="BMA13" s="217" t="s">
        <v>102</v>
      </c>
      <c r="BMB13" s="218"/>
      <c r="BMC13" s="222">
        <v>22272.5</v>
      </c>
      <c r="BMD13" s="223"/>
      <c r="BME13" s="224"/>
      <c r="BMF13" s="217" t="s">
        <v>101</v>
      </c>
      <c r="BMG13" s="218"/>
      <c r="BMH13" s="222">
        <v>2580</v>
      </c>
      <c r="BMI13" s="223"/>
      <c r="BMJ13" s="224"/>
      <c r="BMK13" s="217" t="s">
        <v>41</v>
      </c>
      <c r="BML13" s="218"/>
      <c r="BMM13" s="222">
        <v>0</v>
      </c>
      <c r="BMN13" s="223"/>
      <c r="BMO13" s="224"/>
      <c r="BMP13" s="217" t="s">
        <v>96</v>
      </c>
      <c r="BMQ13" s="218"/>
      <c r="BMR13" s="222">
        <v>12900</v>
      </c>
      <c r="BMS13" s="223"/>
      <c r="BMT13" s="224"/>
      <c r="BMU13" s="217" t="s">
        <v>102</v>
      </c>
      <c r="BMV13" s="218"/>
      <c r="BMW13" s="222">
        <v>9614.5</v>
      </c>
      <c r="BMX13" s="223"/>
      <c r="BMY13" s="224"/>
      <c r="BMZ13" s="217" t="s">
        <v>101</v>
      </c>
      <c r="BNA13" s="218"/>
      <c r="BNB13" s="222">
        <v>7127.2000000000007</v>
      </c>
      <c r="BNC13" s="223"/>
      <c r="BND13" s="224"/>
      <c r="BNE13" s="217" t="s">
        <v>99</v>
      </c>
      <c r="BNF13" s="218"/>
      <c r="BNG13" s="222">
        <v>0</v>
      </c>
      <c r="BNH13" s="223"/>
      <c r="BNI13" s="224"/>
      <c r="BNJ13" s="217" t="s">
        <v>101</v>
      </c>
      <c r="BNK13" s="218"/>
      <c r="BNL13" s="222">
        <v>25558</v>
      </c>
      <c r="BNM13" s="223"/>
      <c r="BNN13" s="224"/>
      <c r="BNO13" s="217" t="s">
        <v>41</v>
      </c>
      <c r="BNP13" s="218"/>
      <c r="BNQ13" s="222">
        <v>0</v>
      </c>
      <c r="BNR13" s="223"/>
      <c r="BNS13" s="224"/>
      <c r="BNT13" s="217" t="s">
        <v>99</v>
      </c>
      <c r="BNU13" s="218"/>
      <c r="BNV13" s="222">
        <v>8909</v>
      </c>
      <c r="BNW13" s="223"/>
      <c r="BNX13" s="224"/>
      <c r="BNY13" s="217" t="s">
        <v>96</v>
      </c>
      <c r="BNZ13" s="218"/>
      <c r="BOA13" s="222">
        <v>21809</v>
      </c>
      <c r="BOB13" s="223"/>
      <c r="BOC13" s="224"/>
      <c r="BOD13" s="217" t="s">
        <v>41</v>
      </c>
      <c r="BOE13" s="218"/>
      <c r="BOF13" s="222">
        <v>0</v>
      </c>
      <c r="BOG13" s="223"/>
      <c r="BOH13" s="224"/>
      <c r="BOI13" s="217" t="s">
        <v>99</v>
      </c>
      <c r="BOJ13" s="218"/>
      <c r="BOK13" s="222">
        <v>0</v>
      </c>
      <c r="BOL13" s="223"/>
      <c r="BOM13" s="224"/>
      <c r="BON13" s="217" t="s">
        <v>98</v>
      </c>
      <c r="BOO13" s="218"/>
      <c r="BOP13" s="222">
        <v>0</v>
      </c>
      <c r="BOQ13" s="223"/>
      <c r="BOR13" s="224"/>
      <c r="BOS13" s="217" t="s">
        <v>97</v>
      </c>
      <c r="BOT13" s="218"/>
      <c r="BOU13" s="222">
        <v>0</v>
      </c>
      <c r="BOV13" s="223"/>
      <c r="BOW13" s="224"/>
      <c r="BOX13" s="217" t="s">
        <v>96</v>
      </c>
      <c r="BOY13" s="218"/>
      <c r="BOZ13" s="222">
        <v>22272.5</v>
      </c>
      <c r="BPA13" s="223"/>
      <c r="BPB13" s="224"/>
      <c r="BPC13" s="217" t="s">
        <v>102</v>
      </c>
      <c r="BPD13" s="218"/>
      <c r="BPE13" s="222">
        <v>64963.5</v>
      </c>
      <c r="BPF13" s="223"/>
      <c r="BPG13" s="224"/>
      <c r="BPH13" s="217" t="s">
        <v>101</v>
      </c>
      <c r="BPI13" s="218"/>
      <c r="BPJ13" s="222">
        <v>97999</v>
      </c>
      <c r="BPK13" s="223"/>
      <c r="BPL13" s="224"/>
      <c r="BPM13" s="217" t="s">
        <v>41</v>
      </c>
      <c r="BPN13" s="218"/>
      <c r="BPO13" s="222">
        <v>0</v>
      </c>
      <c r="BPP13" s="223"/>
      <c r="BPQ13" s="224"/>
      <c r="BPR13" s="217" t="s">
        <v>99</v>
      </c>
      <c r="BPS13" s="218"/>
      <c r="BPT13" s="222">
        <v>0</v>
      </c>
      <c r="BPU13" s="223"/>
      <c r="BPV13" s="224"/>
      <c r="BPW13" s="217" t="s">
        <v>98</v>
      </c>
      <c r="BPX13" s="218"/>
      <c r="BPY13" s="222">
        <v>0</v>
      </c>
      <c r="BPZ13" s="223"/>
      <c r="BQA13" s="224"/>
      <c r="BQB13" s="217" t="s">
        <v>97</v>
      </c>
      <c r="BQC13" s="218"/>
      <c r="BQD13" s="222">
        <v>0</v>
      </c>
      <c r="BQE13" s="223"/>
      <c r="BQF13" s="224"/>
      <c r="BQG13" s="217" t="s">
        <v>96</v>
      </c>
      <c r="BQH13" s="218"/>
      <c r="BQI13" s="222">
        <v>10690.8</v>
      </c>
      <c r="BQJ13" s="223"/>
      <c r="BQK13" s="224"/>
      <c r="BQL13" s="217" t="s">
        <v>102</v>
      </c>
      <c r="BQM13" s="218"/>
      <c r="BQN13" s="222">
        <v>0</v>
      </c>
      <c r="BQO13" s="223"/>
      <c r="BQP13" s="224"/>
      <c r="BQQ13" s="217" t="s">
        <v>101</v>
      </c>
      <c r="BQR13" s="218"/>
      <c r="BQS13" s="222">
        <v>66817.5</v>
      </c>
      <c r="BQT13" s="223"/>
      <c r="BQU13" s="224"/>
      <c r="BQV13" s="217" t="s">
        <v>41</v>
      </c>
      <c r="BQW13" s="218"/>
      <c r="BQX13" s="222">
        <v>0</v>
      </c>
      <c r="BQY13" s="223"/>
      <c r="BQZ13" s="224"/>
      <c r="BRA13" s="217" t="s">
        <v>99</v>
      </c>
      <c r="BRB13" s="218"/>
      <c r="BRC13" s="222">
        <v>0</v>
      </c>
      <c r="BRD13" s="223"/>
      <c r="BRE13" s="224"/>
      <c r="BRF13" s="217" t="s">
        <v>98</v>
      </c>
      <c r="BRG13" s="218"/>
      <c r="BRH13" s="222">
        <v>0</v>
      </c>
      <c r="BRI13" s="223"/>
      <c r="BRJ13" s="224"/>
      <c r="BRK13" s="217" t="s">
        <v>97</v>
      </c>
      <c r="BRL13" s="218"/>
      <c r="BRM13" s="222">
        <v>0</v>
      </c>
      <c r="BRN13" s="223"/>
      <c r="BRO13" s="224"/>
      <c r="BRP13" s="217" t="s">
        <v>96</v>
      </c>
      <c r="BRQ13" s="218"/>
      <c r="BRR13" s="222">
        <v>0</v>
      </c>
      <c r="BRS13" s="223"/>
      <c r="BRT13" s="224"/>
      <c r="BRU13" s="217" t="s">
        <v>102</v>
      </c>
      <c r="BRV13" s="218"/>
      <c r="BRW13" s="222">
        <v>53454</v>
      </c>
      <c r="BRX13" s="223"/>
      <c r="BRY13" s="224"/>
      <c r="BRZ13" s="217" t="s">
        <v>101</v>
      </c>
      <c r="BSA13" s="218"/>
      <c r="BSB13" s="222">
        <v>0</v>
      </c>
      <c r="BSC13" s="223"/>
      <c r="BSD13" s="224"/>
      <c r="BSE13" s="217" t="s">
        <v>41</v>
      </c>
      <c r="BSF13" s="218"/>
      <c r="BSG13" s="222">
        <v>0</v>
      </c>
      <c r="BSH13" s="223"/>
      <c r="BSI13" s="224"/>
      <c r="BSJ13" s="217" t="s">
        <v>99</v>
      </c>
      <c r="BSK13" s="218"/>
      <c r="BSL13" s="222">
        <v>0</v>
      </c>
      <c r="BSM13" s="223"/>
      <c r="BSN13" s="224"/>
      <c r="BSO13" s="217" t="s">
        <v>98</v>
      </c>
      <c r="BSP13" s="218"/>
      <c r="BSQ13" s="222">
        <v>0</v>
      </c>
      <c r="BSR13" s="223"/>
      <c r="BSS13" s="224"/>
      <c r="BST13" s="217" t="s">
        <v>97</v>
      </c>
      <c r="BSU13" s="218"/>
      <c r="BSV13" s="222">
        <v>0</v>
      </c>
      <c r="BSW13" s="223"/>
      <c r="BSX13" s="224"/>
      <c r="BSY13" s="217" t="s">
        <v>96</v>
      </c>
      <c r="BSZ13" s="218"/>
      <c r="BTA13" s="222">
        <v>44545</v>
      </c>
      <c r="BTB13" s="223"/>
      <c r="BTC13" s="224"/>
      <c r="BTD13" s="217" t="s">
        <v>102</v>
      </c>
      <c r="BTE13" s="218"/>
      <c r="BTF13" s="222">
        <v>0</v>
      </c>
      <c r="BTG13" s="223"/>
      <c r="BTH13" s="224"/>
      <c r="BTI13" s="217" t="s">
        <v>101</v>
      </c>
      <c r="BTJ13" s="218"/>
      <c r="BTK13" s="222">
        <v>4454.5</v>
      </c>
      <c r="BTL13" s="223"/>
      <c r="BTM13" s="224"/>
      <c r="BTN13" s="217" t="s">
        <v>41</v>
      </c>
      <c r="BTO13" s="218"/>
      <c r="BTP13" s="222">
        <v>0</v>
      </c>
      <c r="BTQ13" s="223"/>
      <c r="BTR13" s="224"/>
      <c r="BTS13" s="217" t="s">
        <v>99</v>
      </c>
      <c r="BTT13" s="218"/>
      <c r="BTU13" s="222">
        <v>0</v>
      </c>
      <c r="BTV13" s="223"/>
      <c r="BTW13" s="224"/>
      <c r="BTX13" s="217" t="s">
        <v>98</v>
      </c>
      <c r="BTY13" s="218"/>
      <c r="BTZ13" s="222">
        <v>0</v>
      </c>
      <c r="BUA13" s="223"/>
      <c r="BUB13" s="224"/>
      <c r="BUC13" s="217" t="s">
        <v>97</v>
      </c>
      <c r="BUD13" s="218"/>
      <c r="BUE13" s="222">
        <v>0</v>
      </c>
      <c r="BUF13" s="223"/>
      <c r="BUG13" s="224"/>
      <c r="BUH13" s="217" t="s">
        <v>98</v>
      </c>
      <c r="BUI13" s="218"/>
      <c r="BUJ13" s="222">
        <v>0</v>
      </c>
      <c r="BUK13" s="223"/>
      <c r="BUL13" s="224"/>
      <c r="BUM13" s="217" t="s">
        <v>97</v>
      </c>
      <c r="BUN13" s="218"/>
      <c r="BUO13" s="222">
        <v>0</v>
      </c>
      <c r="BUP13" s="223"/>
      <c r="BUQ13" s="224"/>
      <c r="BUR13" s="217" t="s">
        <v>96</v>
      </c>
      <c r="BUS13" s="218"/>
      <c r="BUT13" s="222">
        <v>0</v>
      </c>
      <c r="BUU13" s="223"/>
      <c r="BUV13" s="224"/>
      <c r="BUW13" s="217" t="s">
        <v>102</v>
      </c>
      <c r="BUX13" s="218"/>
      <c r="BUY13" s="222">
        <v>84635.5</v>
      </c>
      <c r="BUZ13" s="223"/>
      <c r="BVA13" s="224"/>
      <c r="BVB13" s="217" t="s">
        <v>101</v>
      </c>
      <c r="BVC13" s="218"/>
      <c r="BVD13" s="222">
        <v>13363.5</v>
      </c>
      <c r="BVE13" s="223"/>
      <c r="BVF13" s="224"/>
      <c r="BVG13" s="217" t="s">
        <v>101</v>
      </c>
      <c r="BVH13" s="218"/>
      <c r="BVI13" s="222">
        <v>0</v>
      </c>
      <c r="BVJ13" s="223"/>
      <c r="BVK13" s="224"/>
      <c r="BVL13" s="217" t="s">
        <v>41</v>
      </c>
      <c r="BVM13" s="218"/>
      <c r="BVN13" s="222">
        <v>0</v>
      </c>
      <c r="BVO13" s="223"/>
      <c r="BVP13" s="224"/>
      <c r="BVQ13" s="217" t="s">
        <v>99</v>
      </c>
      <c r="BVR13" s="218"/>
      <c r="BVS13" s="222">
        <v>0</v>
      </c>
      <c r="BVT13" s="223"/>
      <c r="BVU13" s="224"/>
      <c r="BVV13" s="217" t="s">
        <v>98</v>
      </c>
      <c r="BVW13" s="218"/>
      <c r="BVX13" s="222">
        <v>8909</v>
      </c>
      <c r="BVY13" s="223"/>
      <c r="BVZ13" s="224"/>
      <c r="BWA13" s="217" t="s">
        <v>97</v>
      </c>
      <c r="BWB13" s="218"/>
      <c r="BWC13" s="222">
        <v>0</v>
      </c>
      <c r="BWD13" s="223"/>
      <c r="BWE13" s="224"/>
      <c r="BWF13" s="217" t="s">
        <v>96</v>
      </c>
      <c r="BWG13" s="218"/>
      <c r="BWH13" s="222">
        <v>22272.5</v>
      </c>
      <c r="BWI13" s="223"/>
      <c r="BWJ13" s="224"/>
      <c r="BWK13" s="217" t="s">
        <v>102</v>
      </c>
      <c r="BWL13" s="218"/>
      <c r="BWM13" s="222">
        <v>106908</v>
      </c>
      <c r="BWN13" s="223"/>
      <c r="BWO13" s="224"/>
      <c r="BWP13" s="217" t="s">
        <v>101</v>
      </c>
      <c r="BWQ13" s="218"/>
      <c r="BWR13" s="222">
        <v>31181.5</v>
      </c>
      <c r="BWS13" s="223"/>
      <c r="BWT13" s="224"/>
      <c r="BWU13" s="217" t="s">
        <v>41</v>
      </c>
      <c r="BWV13" s="218"/>
      <c r="BWW13" s="222">
        <v>0</v>
      </c>
      <c r="BWX13" s="223"/>
      <c r="BWY13" s="224"/>
      <c r="BWZ13" s="217" t="s">
        <v>99</v>
      </c>
      <c r="BXA13" s="218"/>
      <c r="BXB13" s="222">
        <v>0</v>
      </c>
      <c r="BXC13" s="223"/>
      <c r="BXD13" s="224"/>
      <c r="BXE13" s="217" t="s">
        <v>98</v>
      </c>
      <c r="BXF13" s="218"/>
      <c r="BXG13" s="222">
        <v>0</v>
      </c>
      <c r="BXH13" s="223"/>
      <c r="BXI13" s="224"/>
      <c r="BXJ13" s="217" t="s">
        <v>97</v>
      </c>
      <c r="BXK13" s="218"/>
      <c r="BXL13" s="222">
        <v>0</v>
      </c>
      <c r="BXM13" s="223"/>
      <c r="BXN13" s="224"/>
      <c r="BXO13" s="217" t="s">
        <v>96</v>
      </c>
      <c r="BXP13" s="218"/>
      <c r="BXQ13" s="222">
        <v>71272</v>
      </c>
      <c r="BXR13" s="223"/>
      <c r="BXS13" s="224"/>
      <c r="BXT13" s="217" t="s">
        <v>102</v>
      </c>
      <c r="BXU13" s="218"/>
      <c r="BXV13" s="222">
        <v>0</v>
      </c>
      <c r="BXW13" s="223"/>
      <c r="BXX13" s="224"/>
      <c r="BXY13" s="217" t="s">
        <v>102</v>
      </c>
      <c r="BXZ13" s="218"/>
      <c r="BYA13" s="222">
        <v>11581.7</v>
      </c>
      <c r="BYB13" s="223"/>
      <c r="BYC13" s="224"/>
      <c r="BYD13" s="217" t="s">
        <v>102</v>
      </c>
      <c r="BYE13" s="218"/>
      <c r="BYF13" s="222">
        <v>11581.7</v>
      </c>
      <c r="BYG13" s="223"/>
      <c r="BYH13" s="224"/>
      <c r="BYI13" s="217" t="s">
        <v>101</v>
      </c>
      <c r="BYJ13" s="218"/>
      <c r="BYK13" s="222">
        <v>0</v>
      </c>
      <c r="BYL13" s="223"/>
      <c r="BYM13" s="224"/>
      <c r="BYN13" s="217" t="s">
        <v>41</v>
      </c>
      <c r="BYO13" s="218"/>
      <c r="BYP13" s="222">
        <v>0</v>
      </c>
      <c r="BYQ13" s="223"/>
      <c r="BYR13" s="224"/>
      <c r="BYS13" s="217" t="s">
        <v>99</v>
      </c>
      <c r="BYT13" s="218"/>
      <c r="BYU13" s="222">
        <v>0</v>
      </c>
      <c r="BYV13" s="223"/>
      <c r="BYW13" s="224"/>
      <c r="BYX13" s="217" t="s">
        <v>98</v>
      </c>
      <c r="BYY13" s="218"/>
      <c r="BYZ13" s="222">
        <v>4454.5</v>
      </c>
      <c r="BZA13" s="223"/>
      <c r="BZB13" s="224"/>
      <c r="BZC13" s="217" t="s">
        <v>97</v>
      </c>
      <c r="BZD13" s="218"/>
      <c r="BZE13" s="222">
        <v>17818</v>
      </c>
      <c r="BZF13" s="223"/>
      <c r="BZG13" s="224"/>
      <c r="BZH13" s="217" t="s">
        <v>96</v>
      </c>
      <c r="BZI13" s="218"/>
      <c r="BZJ13" s="222">
        <v>4454.5</v>
      </c>
      <c r="BZK13" s="223"/>
      <c r="BZL13" s="224"/>
      <c r="BZM13" s="217" t="s">
        <v>102</v>
      </c>
      <c r="BZN13" s="218"/>
      <c r="BZO13" s="222">
        <v>8909</v>
      </c>
      <c r="BZP13" s="223"/>
      <c r="BZQ13" s="224"/>
      <c r="BZR13" s="217" t="s">
        <v>101</v>
      </c>
      <c r="BZS13" s="218"/>
      <c r="BZT13" s="222">
        <v>0</v>
      </c>
      <c r="BZU13" s="223"/>
      <c r="BZV13" s="224"/>
      <c r="BZW13" s="217" t="s">
        <v>41</v>
      </c>
      <c r="BZX13" s="218"/>
      <c r="BZY13" s="222">
        <v>0</v>
      </c>
      <c r="BZZ13" s="223"/>
      <c r="CAA13" s="224"/>
      <c r="CAB13" s="217" t="s">
        <v>99</v>
      </c>
      <c r="CAC13" s="218"/>
      <c r="CAD13" s="222">
        <v>0</v>
      </c>
      <c r="CAE13" s="223"/>
      <c r="CAF13" s="224"/>
      <c r="CAG13" s="217" t="s">
        <v>96</v>
      </c>
      <c r="CAH13" s="218"/>
      <c r="CAI13" s="222">
        <v>0</v>
      </c>
      <c r="CAJ13" s="223"/>
      <c r="CAK13" s="224"/>
      <c r="CAL13" s="217" t="s">
        <v>102</v>
      </c>
      <c r="CAM13" s="218"/>
      <c r="CAN13" s="222">
        <v>66817.5</v>
      </c>
      <c r="CAO13" s="223"/>
      <c r="CAP13" s="224"/>
      <c r="CAQ13" s="217" t="s">
        <v>101</v>
      </c>
      <c r="CAR13" s="218"/>
      <c r="CAS13" s="222">
        <v>0</v>
      </c>
      <c r="CAT13" s="223"/>
      <c r="CAU13" s="224"/>
      <c r="CAV13" s="217" t="s">
        <v>41</v>
      </c>
      <c r="CAW13" s="218"/>
      <c r="CAX13" s="222">
        <v>0</v>
      </c>
      <c r="CAY13" s="223"/>
      <c r="CAZ13" s="224"/>
      <c r="CBA13" s="217" t="s">
        <v>99</v>
      </c>
      <c r="CBB13" s="218"/>
      <c r="CBC13" s="222">
        <v>0</v>
      </c>
      <c r="CBD13" s="223"/>
      <c r="CBE13" s="224"/>
      <c r="CBF13" s="217" t="s">
        <v>98</v>
      </c>
      <c r="CBG13" s="218"/>
      <c r="CBH13" s="222">
        <v>0</v>
      </c>
      <c r="CBI13" s="223"/>
      <c r="CBJ13" s="224"/>
      <c r="CBK13" s="217" t="s">
        <v>97</v>
      </c>
      <c r="CBL13" s="218"/>
      <c r="CBM13" s="222">
        <v>17818</v>
      </c>
      <c r="CBN13" s="223"/>
      <c r="CBO13" s="224"/>
      <c r="CBP13" s="217" t="s">
        <v>96</v>
      </c>
      <c r="CBQ13" s="218"/>
      <c r="CBR13" s="222">
        <v>0</v>
      </c>
      <c r="CBS13" s="223"/>
      <c r="CBT13" s="224"/>
      <c r="CBU13" s="217" t="s">
        <v>102</v>
      </c>
      <c r="CBV13" s="218"/>
      <c r="CBW13" s="222">
        <v>40090.5</v>
      </c>
      <c r="CBX13" s="223"/>
      <c r="CBY13" s="224"/>
      <c r="CBZ13" s="217" t="s">
        <v>101</v>
      </c>
      <c r="CCA13" s="218"/>
      <c r="CCB13" s="222">
        <v>22272.5</v>
      </c>
      <c r="CCC13" s="223"/>
      <c r="CCD13" s="224"/>
      <c r="CCE13" s="217" t="s">
        <v>41</v>
      </c>
      <c r="CCF13" s="218"/>
      <c r="CCG13" s="222">
        <v>0</v>
      </c>
      <c r="CCH13" s="223"/>
      <c r="CCI13" s="224"/>
      <c r="CCJ13" s="217" t="s">
        <v>99</v>
      </c>
      <c r="CCK13" s="218"/>
      <c r="CCL13" s="222">
        <v>0</v>
      </c>
      <c r="CCM13" s="223"/>
      <c r="CCN13" s="224"/>
      <c r="CCO13" s="217" t="s">
        <v>98</v>
      </c>
      <c r="CCP13" s="218"/>
      <c r="CCQ13" s="222">
        <v>0</v>
      </c>
      <c r="CCR13" s="223"/>
      <c r="CCS13" s="224"/>
      <c r="CCT13" s="217" t="s">
        <v>97</v>
      </c>
      <c r="CCU13" s="218"/>
      <c r="CCV13" s="222">
        <v>17818</v>
      </c>
      <c r="CCW13" s="223"/>
      <c r="CCX13" s="224"/>
      <c r="CCY13" s="217" t="s">
        <v>102</v>
      </c>
      <c r="CCZ13" s="218"/>
      <c r="CDA13" s="222">
        <v>17818</v>
      </c>
      <c r="CDB13" s="223"/>
      <c r="CDC13" s="224"/>
      <c r="CDD13" s="217" t="s">
        <v>101</v>
      </c>
      <c r="CDE13" s="218"/>
      <c r="CDF13" s="222">
        <v>26727</v>
      </c>
      <c r="CDG13" s="223"/>
      <c r="CDH13" s="224"/>
      <c r="CDI13" s="217" t="s">
        <v>41</v>
      </c>
      <c r="CDJ13" s="218"/>
      <c r="CDK13" s="222">
        <v>0</v>
      </c>
      <c r="CDL13" s="223"/>
      <c r="CDM13" s="224"/>
      <c r="CDN13" s="217" t="s">
        <v>99</v>
      </c>
      <c r="CDO13" s="218"/>
      <c r="CDP13" s="222">
        <v>0</v>
      </c>
      <c r="CDQ13" s="223"/>
      <c r="CDR13" s="224"/>
      <c r="CDS13" s="217" t="s">
        <v>98</v>
      </c>
      <c r="CDT13" s="218"/>
      <c r="CDU13" s="222">
        <v>0</v>
      </c>
      <c r="CDV13" s="223"/>
      <c r="CDW13" s="224"/>
      <c r="CDX13" s="217" t="s">
        <v>97</v>
      </c>
      <c r="CDY13" s="218"/>
      <c r="CDZ13" s="222">
        <v>8909</v>
      </c>
      <c r="CEA13" s="223"/>
      <c r="CEB13" s="224"/>
      <c r="CEC13" s="217" t="s">
        <v>96</v>
      </c>
      <c r="CED13" s="218"/>
      <c r="CEE13" s="222">
        <v>8909</v>
      </c>
      <c r="CEF13" s="223"/>
      <c r="CEG13" s="224"/>
      <c r="CEH13" s="217" t="s">
        <v>102</v>
      </c>
      <c r="CEI13" s="218"/>
      <c r="CEJ13" s="222">
        <v>173725.5</v>
      </c>
      <c r="CEK13" s="223"/>
      <c r="CEL13" s="224"/>
      <c r="CEM13" s="217" t="s">
        <v>101</v>
      </c>
      <c r="CEN13" s="218"/>
      <c r="CEO13" s="222">
        <v>0</v>
      </c>
      <c r="CEP13" s="223"/>
      <c r="CEQ13" s="224"/>
      <c r="CER13" s="217" t="s">
        <v>101</v>
      </c>
      <c r="CES13" s="218"/>
      <c r="CET13" s="222">
        <v>26727</v>
      </c>
      <c r="CEU13" s="223"/>
      <c r="CEV13" s="224"/>
      <c r="CEW13" s="217" t="s">
        <v>41</v>
      </c>
      <c r="CEX13" s="218"/>
      <c r="CEY13" s="222">
        <v>0</v>
      </c>
      <c r="CEZ13" s="223"/>
      <c r="CFA13" s="224"/>
      <c r="CFB13" s="217" t="s">
        <v>99</v>
      </c>
      <c r="CFC13" s="218"/>
      <c r="CFD13" s="222">
        <v>0</v>
      </c>
      <c r="CFE13" s="223"/>
      <c r="CFF13" s="224"/>
      <c r="CFG13" s="217" t="s">
        <v>98</v>
      </c>
      <c r="CFH13" s="218"/>
      <c r="CFI13" s="222">
        <v>0</v>
      </c>
      <c r="CFJ13" s="223"/>
      <c r="CFK13" s="224"/>
      <c r="CFL13" s="217" t="s">
        <v>97</v>
      </c>
      <c r="CFM13" s="218"/>
      <c r="CFN13" s="222">
        <v>8909</v>
      </c>
      <c r="CFO13" s="223"/>
      <c r="CFP13" s="224"/>
      <c r="CFQ13" s="217" t="s">
        <v>102</v>
      </c>
      <c r="CFR13" s="218"/>
      <c r="CFS13" s="222">
        <v>97999</v>
      </c>
      <c r="CFT13" s="223"/>
      <c r="CFU13" s="224"/>
      <c r="CFV13" s="217" t="s">
        <v>101</v>
      </c>
      <c r="CFW13" s="218"/>
      <c r="CFX13" s="222">
        <v>40090.5</v>
      </c>
      <c r="CFY13" s="223"/>
      <c r="CFZ13" s="224"/>
      <c r="CGA13" s="217" t="s">
        <v>41</v>
      </c>
      <c r="CGB13" s="218"/>
      <c r="CGC13" s="222">
        <v>0</v>
      </c>
      <c r="CGD13" s="223"/>
      <c r="CGE13" s="224"/>
      <c r="CGF13" s="217" t="s">
        <v>99</v>
      </c>
      <c r="CGG13" s="218"/>
      <c r="CGH13" s="222">
        <v>0</v>
      </c>
      <c r="CGI13" s="223"/>
      <c r="CGJ13" s="224"/>
      <c r="CGK13" s="217" t="s">
        <v>98</v>
      </c>
      <c r="CGL13" s="218"/>
      <c r="CGM13" s="222">
        <v>0</v>
      </c>
      <c r="CGN13" s="223"/>
      <c r="CGO13" s="224"/>
      <c r="CGP13" s="217" t="s">
        <v>97</v>
      </c>
      <c r="CGQ13" s="218"/>
      <c r="CGR13" s="222">
        <v>22272.5</v>
      </c>
      <c r="CGS13" s="223"/>
      <c r="CGT13" s="224"/>
      <c r="CGU13" s="217" t="s">
        <v>102</v>
      </c>
      <c r="CGV13" s="218"/>
      <c r="CGW13" s="222">
        <v>8909</v>
      </c>
      <c r="CGX13" s="223"/>
      <c r="CGY13" s="224"/>
      <c r="CGZ13" s="217" t="s">
        <v>101</v>
      </c>
      <c r="CHA13" s="218"/>
      <c r="CHB13" s="222">
        <v>0</v>
      </c>
      <c r="CHC13" s="223"/>
      <c r="CHD13" s="224"/>
      <c r="CHE13" s="217" t="s">
        <v>41</v>
      </c>
      <c r="CHF13" s="218"/>
      <c r="CHG13" s="222">
        <v>0</v>
      </c>
      <c r="CHH13" s="223"/>
      <c r="CHI13" s="224"/>
      <c r="CHJ13" s="217" t="s">
        <v>98</v>
      </c>
      <c r="CHK13" s="218"/>
      <c r="CHL13" s="222">
        <v>0</v>
      </c>
      <c r="CHM13" s="223"/>
      <c r="CHN13" s="224"/>
      <c r="CHO13" s="217" t="s">
        <v>97</v>
      </c>
      <c r="CHP13" s="218"/>
      <c r="CHQ13" s="222">
        <v>17818</v>
      </c>
      <c r="CHR13" s="223"/>
      <c r="CHS13" s="224"/>
      <c r="CHT13" s="217" t="s">
        <v>96</v>
      </c>
      <c r="CHU13" s="218"/>
      <c r="CHV13" s="222">
        <v>8909</v>
      </c>
      <c r="CHW13" s="223"/>
      <c r="CHX13" s="224"/>
      <c r="CHY13" s="217" t="s">
        <v>102</v>
      </c>
      <c r="CHZ13" s="218"/>
      <c r="CIA13" s="222">
        <v>8909</v>
      </c>
      <c r="CIB13" s="223"/>
      <c r="CIC13" s="224"/>
      <c r="CID13" s="217" t="s">
        <v>101</v>
      </c>
      <c r="CIE13" s="218"/>
      <c r="CIF13" s="222">
        <v>17818</v>
      </c>
      <c r="CIG13" s="223"/>
      <c r="CIH13" s="224"/>
      <c r="CII13" s="217" t="s">
        <v>41</v>
      </c>
      <c r="CIJ13" s="218"/>
      <c r="CIK13" s="222">
        <v>0</v>
      </c>
      <c r="CIL13" s="223"/>
      <c r="CIM13" s="224"/>
      <c r="CIN13" s="217" t="s">
        <v>99</v>
      </c>
      <c r="CIO13" s="218"/>
      <c r="CIP13" s="222">
        <v>0</v>
      </c>
      <c r="CIQ13" s="223"/>
      <c r="CIR13" s="224"/>
      <c r="CIS13" s="217" t="s">
        <v>98</v>
      </c>
      <c r="CIT13" s="218"/>
      <c r="CIU13" s="222">
        <v>0</v>
      </c>
      <c r="CIV13" s="223"/>
      <c r="CIW13" s="224"/>
      <c r="CIX13" s="217" t="s">
        <v>97</v>
      </c>
      <c r="CIY13" s="218"/>
      <c r="CIZ13" s="222">
        <v>0</v>
      </c>
      <c r="CJA13" s="223"/>
      <c r="CJB13" s="224"/>
      <c r="CJC13" s="217" t="s">
        <v>102</v>
      </c>
      <c r="CJD13" s="218"/>
      <c r="CJE13" s="222">
        <v>53454</v>
      </c>
      <c r="CJF13" s="223"/>
      <c r="CJG13" s="224"/>
      <c r="CJH13" s="217" t="s">
        <v>101</v>
      </c>
      <c r="CJI13" s="218"/>
      <c r="CJJ13" s="222">
        <v>8909</v>
      </c>
      <c r="CJK13" s="223"/>
      <c r="CJL13" s="224"/>
      <c r="CJM13" s="217" t="s">
        <v>41</v>
      </c>
      <c r="CJN13" s="218"/>
      <c r="CJO13" s="222">
        <v>0</v>
      </c>
      <c r="CJP13" s="223"/>
      <c r="CJQ13" s="224"/>
      <c r="CJR13" s="217" t="s">
        <v>99</v>
      </c>
      <c r="CJS13" s="218"/>
      <c r="CJT13" s="222">
        <v>0</v>
      </c>
      <c r="CJU13" s="223"/>
      <c r="CJV13" s="224"/>
      <c r="CJW13" s="217" t="s">
        <v>98</v>
      </c>
      <c r="CJX13" s="218"/>
      <c r="CJY13" s="222">
        <v>0</v>
      </c>
      <c r="CJZ13" s="223"/>
      <c r="CKA13" s="224"/>
      <c r="CKB13" s="217" t="s">
        <v>97</v>
      </c>
      <c r="CKC13" s="218"/>
      <c r="CKD13" s="222">
        <v>11581.7</v>
      </c>
      <c r="CKE13" s="223"/>
      <c r="CKF13" s="224"/>
      <c r="CKG13" s="217" t="s">
        <v>96</v>
      </c>
      <c r="CKH13" s="218"/>
      <c r="CKI13" s="222">
        <v>40090.5</v>
      </c>
      <c r="CKJ13" s="223"/>
      <c r="CKK13" s="224"/>
      <c r="CKL13" s="217" t="s">
        <v>102</v>
      </c>
      <c r="CKM13" s="218"/>
      <c r="CKN13" s="222">
        <v>106908</v>
      </c>
      <c r="CKO13" s="223"/>
      <c r="CKP13" s="224"/>
      <c r="CKQ13" s="217" t="s">
        <v>101</v>
      </c>
      <c r="CKR13" s="218"/>
      <c r="CKS13" s="222">
        <v>53454</v>
      </c>
      <c r="CKT13" s="223"/>
      <c r="CKU13" s="224"/>
      <c r="CKV13" s="217" t="s">
        <v>41</v>
      </c>
      <c r="CKW13" s="218"/>
      <c r="CKX13" s="222">
        <v>0</v>
      </c>
      <c r="CKY13" s="223"/>
      <c r="CKZ13" s="224"/>
      <c r="CLA13" s="217" t="s">
        <v>99</v>
      </c>
      <c r="CLB13" s="218"/>
      <c r="CLC13" s="222">
        <v>4454.5</v>
      </c>
      <c r="CLD13" s="223"/>
      <c r="CLE13" s="224"/>
      <c r="CLF13" s="217" t="s">
        <v>98</v>
      </c>
      <c r="CLG13" s="218"/>
      <c r="CLH13" s="222">
        <v>0</v>
      </c>
      <c r="CLI13" s="223"/>
      <c r="CLJ13" s="224"/>
      <c r="CLK13" s="217" t="s">
        <v>97</v>
      </c>
      <c r="CLL13" s="218"/>
      <c r="CLM13" s="222">
        <v>35636</v>
      </c>
      <c r="CLN13" s="223"/>
      <c r="CLO13" s="224"/>
      <c r="CLP13" s="217" t="s">
        <v>96</v>
      </c>
      <c r="CLQ13" s="218"/>
      <c r="CLR13" s="222">
        <v>17818</v>
      </c>
      <c r="CLS13" s="223"/>
      <c r="CLT13" s="224"/>
      <c r="CLU13" s="217" t="s">
        <v>102</v>
      </c>
      <c r="CLV13" s="218"/>
      <c r="CLW13" s="222">
        <v>0</v>
      </c>
      <c r="CLX13" s="223"/>
      <c r="CLY13" s="224"/>
      <c r="CLZ13" s="217" t="s">
        <v>101</v>
      </c>
      <c r="CMA13" s="218"/>
      <c r="CMB13" s="222">
        <v>8909</v>
      </c>
      <c r="CMC13" s="223"/>
      <c r="CMD13" s="224"/>
      <c r="CME13" s="217" t="s">
        <v>41</v>
      </c>
      <c r="CMF13" s="218"/>
      <c r="CMG13" s="222">
        <v>0</v>
      </c>
      <c r="CMH13" s="223"/>
      <c r="CMI13" s="224"/>
      <c r="CMJ13" s="217" t="s">
        <v>98</v>
      </c>
      <c r="CMK13" s="218"/>
      <c r="CML13" s="222">
        <v>0</v>
      </c>
      <c r="CMM13" s="223"/>
      <c r="CMN13" s="224"/>
      <c r="CMO13" s="217" t="s">
        <v>97</v>
      </c>
      <c r="CMP13" s="218"/>
      <c r="CMQ13" s="222">
        <v>0</v>
      </c>
      <c r="CMR13" s="223"/>
      <c r="CMS13" s="224"/>
      <c r="CMT13" s="217" t="s">
        <v>96</v>
      </c>
      <c r="CMU13" s="218"/>
      <c r="CMV13" s="222">
        <v>0</v>
      </c>
      <c r="CMW13" s="223"/>
      <c r="CMX13" s="224"/>
      <c r="CMY13" s="217" t="s">
        <v>102</v>
      </c>
      <c r="CMZ13" s="218"/>
      <c r="CNA13" s="222">
        <v>89090</v>
      </c>
      <c r="CNB13" s="223"/>
      <c r="CNC13" s="224"/>
      <c r="CND13" s="217" t="s">
        <v>101</v>
      </c>
      <c r="CNE13" s="218"/>
      <c r="CNF13" s="222">
        <v>26727</v>
      </c>
      <c r="CNG13" s="223"/>
      <c r="CNH13" s="224"/>
      <c r="CNI13" s="217" t="s">
        <v>41</v>
      </c>
      <c r="CNJ13" s="218"/>
      <c r="CNK13" s="222">
        <v>0</v>
      </c>
      <c r="CNL13" s="223"/>
      <c r="CNM13" s="224"/>
      <c r="CNN13" s="217" t="s">
        <v>99</v>
      </c>
      <c r="CNO13" s="218"/>
      <c r="CNP13" s="222">
        <v>0</v>
      </c>
      <c r="CNQ13" s="223"/>
      <c r="CNR13" s="224"/>
      <c r="CNS13" s="217" t="s">
        <v>98</v>
      </c>
      <c r="CNT13" s="218"/>
      <c r="CNU13" s="222">
        <v>0</v>
      </c>
      <c r="CNV13" s="223"/>
      <c r="CNW13" s="224"/>
      <c r="CNX13" s="217" t="s">
        <v>97</v>
      </c>
      <c r="CNY13" s="218"/>
      <c r="CNZ13" s="222">
        <v>44545</v>
      </c>
      <c r="COA13" s="223"/>
      <c r="COB13" s="224"/>
      <c r="COC13" s="217" t="s">
        <v>96</v>
      </c>
      <c r="COD13" s="218"/>
      <c r="COE13" s="222">
        <v>61920</v>
      </c>
      <c r="COF13" s="223"/>
      <c r="COG13" s="224"/>
      <c r="COH13" s="217" t="s">
        <v>102</v>
      </c>
      <c r="COI13" s="218"/>
      <c r="COJ13" s="222">
        <v>181527</v>
      </c>
      <c r="COK13" s="223"/>
      <c r="COL13" s="224"/>
      <c r="COM13" s="217" t="s">
        <v>101</v>
      </c>
      <c r="CON13" s="218"/>
      <c r="COO13" s="222">
        <v>142544</v>
      </c>
      <c r="COP13" s="223"/>
      <c r="COQ13" s="224"/>
      <c r="COR13" s="217" t="s">
        <v>101</v>
      </c>
      <c r="COS13" s="218"/>
      <c r="COT13" s="222">
        <v>0</v>
      </c>
      <c r="COU13" s="223"/>
      <c r="COV13" s="224"/>
      <c r="COW13" s="217" t="s">
        <v>41</v>
      </c>
      <c r="COX13" s="218"/>
      <c r="COY13" s="222">
        <v>0</v>
      </c>
      <c r="COZ13" s="223"/>
      <c r="CPA13" s="224"/>
      <c r="CPB13" s="217" t="s">
        <v>99</v>
      </c>
      <c r="CPC13" s="218"/>
      <c r="CPD13" s="222">
        <v>0</v>
      </c>
      <c r="CPE13" s="223"/>
      <c r="CPF13" s="224"/>
      <c r="CPG13" s="217" t="s">
        <v>99</v>
      </c>
      <c r="CPH13" s="218"/>
      <c r="CPI13" s="222">
        <v>0</v>
      </c>
      <c r="CPJ13" s="223"/>
      <c r="CPK13" s="224"/>
      <c r="CPL13" s="217" t="s">
        <v>99</v>
      </c>
      <c r="CPM13" s="218"/>
      <c r="CPN13" s="222">
        <v>0</v>
      </c>
      <c r="CPO13" s="223"/>
      <c r="CPP13" s="224"/>
      <c r="CPQ13" s="217" t="s">
        <v>98</v>
      </c>
      <c r="CPR13" s="218"/>
      <c r="CPS13" s="222">
        <v>0</v>
      </c>
      <c r="CPT13" s="223"/>
      <c r="CPU13" s="224"/>
      <c r="CPV13" s="217" t="s">
        <v>101</v>
      </c>
      <c r="CPW13" s="218"/>
      <c r="CPX13" s="222">
        <v>40090.5</v>
      </c>
      <c r="CPY13" s="223"/>
      <c r="CPZ13" s="224"/>
      <c r="CQA13" s="217" t="s">
        <v>41</v>
      </c>
      <c r="CQB13" s="218"/>
      <c r="CQC13" s="222">
        <v>0</v>
      </c>
      <c r="CQD13" s="223"/>
      <c r="CQE13" s="224"/>
      <c r="CQF13" s="217" t="s">
        <v>99</v>
      </c>
      <c r="CQG13" s="218"/>
      <c r="CQH13" s="222">
        <v>80181</v>
      </c>
      <c r="CQI13" s="223"/>
      <c r="CQJ13" s="224"/>
      <c r="CQK13" s="217" t="s">
        <v>98</v>
      </c>
      <c r="CQL13" s="218"/>
      <c r="CQM13" s="222">
        <v>0</v>
      </c>
      <c r="CQN13" s="223"/>
      <c r="CQO13" s="224"/>
      <c r="CQP13" s="217" t="s">
        <v>97</v>
      </c>
      <c r="CQQ13" s="218"/>
      <c r="CQR13" s="222">
        <v>8909</v>
      </c>
      <c r="CQS13" s="223"/>
      <c r="CQT13" s="224"/>
      <c r="CQU13" s="217" t="s">
        <v>102</v>
      </c>
      <c r="CQV13" s="218"/>
      <c r="CQW13" s="222">
        <v>57908.5</v>
      </c>
      <c r="CQX13" s="223"/>
      <c r="CQY13" s="224"/>
      <c r="CQZ13" s="217" t="s">
        <v>98</v>
      </c>
      <c r="CRA13" s="218"/>
      <c r="CRB13" s="222">
        <v>22272.5</v>
      </c>
      <c r="CRC13" s="223"/>
      <c r="CRD13" s="224"/>
      <c r="CRE13" s="310" t="s">
        <v>36</v>
      </c>
      <c r="CRF13" s="311"/>
      <c r="CRG13" s="312">
        <v>17818</v>
      </c>
      <c r="CRH13" s="313"/>
      <c r="CRI13" s="314"/>
      <c r="CRJ13" s="310" t="s">
        <v>41</v>
      </c>
      <c r="CRK13" s="311"/>
      <c r="CRL13" s="312"/>
      <c r="CRM13" s="313"/>
      <c r="CRN13" s="314"/>
      <c r="CRO13" s="310" t="s">
        <v>37</v>
      </c>
      <c r="CRP13" s="311"/>
      <c r="CRQ13" s="312">
        <v>0</v>
      </c>
      <c r="CRR13" s="313"/>
      <c r="CRS13" s="314"/>
      <c r="CRT13" s="310" t="s">
        <v>42</v>
      </c>
      <c r="CRU13" s="311"/>
      <c r="CRV13" s="312">
        <v>0</v>
      </c>
      <c r="CRW13" s="313"/>
      <c r="CRX13" s="314"/>
      <c r="CRY13" s="339" t="s">
        <v>42</v>
      </c>
      <c r="CRZ13" s="340"/>
      <c r="CSA13" s="341">
        <v>0</v>
      </c>
      <c r="CSB13" s="342"/>
      <c r="CSC13" s="339" t="s">
        <v>36</v>
      </c>
      <c r="CSD13" s="340"/>
      <c r="CSE13" s="341"/>
      <c r="CSF13" s="342"/>
      <c r="CSG13" s="339" t="s">
        <v>45</v>
      </c>
      <c r="CSH13" s="340"/>
      <c r="CSI13" s="341">
        <v>0</v>
      </c>
      <c r="CSJ13" s="342"/>
      <c r="CSK13" s="339" t="s">
        <v>45</v>
      </c>
      <c r="CSL13" s="340"/>
      <c r="CSM13" s="341">
        <v>17818</v>
      </c>
      <c r="CSN13" s="342"/>
      <c r="CSO13" s="339" t="s">
        <v>37</v>
      </c>
      <c r="CSP13" s="340"/>
      <c r="CSQ13" s="341">
        <v>0</v>
      </c>
      <c r="CSR13" s="342"/>
      <c r="CSS13" s="339" t="s">
        <v>37</v>
      </c>
      <c r="CST13" s="340"/>
      <c r="CSU13" s="341"/>
      <c r="CSV13" s="342"/>
      <c r="CSW13" s="339" t="s">
        <v>41</v>
      </c>
      <c r="CSX13" s="340"/>
      <c r="CSY13" s="341">
        <v>0</v>
      </c>
      <c r="CSZ13" s="342"/>
      <c r="CTA13" s="339" t="s">
        <v>37</v>
      </c>
      <c r="CTB13" s="340"/>
      <c r="CTC13" s="341">
        <v>0</v>
      </c>
      <c r="CTD13" s="342"/>
      <c r="CTE13" s="339" t="s">
        <v>42</v>
      </c>
      <c r="CTF13" s="340"/>
      <c r="CTG13" s="341">
        <v>53454</v>
      </c>
      <c r="CTH13" s="342"/>
      <c r="CTI13" s="339" t="s">
        <v>36</v>
      </c>
      <c r="CTJ13" s="340"/>
      <c r="CTK13" s="341">
        <v>26727</v>
      </c>
      <c r="CTL13" s="342"/>
      <c r="CTM13" s="339" t="s">
        <v>45</v>
      </c>
      <c r="CTN13" s="340"/>
      <c r="CTO13" s="341">
        <v>22272.5</v>
      </c>
      <c r="CTP13" s="342"/>
      <c r="CTQ13" s="339" t="s">
        <v>41</v>
      </c>
      <c r="CTR13" s="340"/>
      <c r="CTS13" s="341">
        <v>0</v>
      </c>
      <c r="CTT13" s="342"/>
      <c r="CTU13" s="339" t="s">
        <v>37</v>
      </c>
      <c r="CTV13" s="340"/>
      <c r="CTW13" s="341">
        <v>2227.25</v>
      </c>
      <c r="CTX13" s="342"/>
      <c r="CTY13" s="339" t="s">
        <v>42</v>
      </c>
      <c r="CTZ13" s="340"/>
      <c r="CUA13" s="341">
        <v>0</v>
      </c>
      <c r="CUB13" s="342"/>
      <c r="CUC13" s="339" t="s">
        <v>42</v>
      </c>
      <c r="CUD13" s="340"/>
      <c r="CUE13" s="341">
        <v>14190</v>
      </c>
      <c r="CUF13" s="342"/>
      <c r="CUG13" s="339" t="s">
        <v>45</v>
      </c>
      <c r="CUH13" s="340"/>
      <c r="CUI13" s="341">
        <v>0</v>
      </c>
      <c r="CUJ13" s="342"/>
      <c r="CUK13" s="339" t="s">
        <v>41</v>
      </c>
      <c r="CUL13" s="340"/>
      <c r="CUM13" s="341">
        <v>0</v>
      </c>
      <c r="CUN13" s="342"/>
      <c r="CUO13" s="339" t="s">
        <v>37</v>
      </c>
      <c r="CUP13" s="340"/>
      <c r="CUQ13" s="341">
        <v>0</v>
      </c>
      <c r="CUR13" s="342"/>
      <c r="CUS13" s="339" t="s">
        <v>37</v>
      </c>
      <c r="CUT13" s="340"/>
      <c r="CUU13" s="341"/>
      <c r="CUV13" s="342"/>
      <c r="CUW13" s="339" t="s">
        <v>45</v>
      </c>
      <c r="CUX13" s="340"/>
      <c r="CUY13" s="341">
        <v>22272.5</v>
      </c>
      <c r="CUZ13" s="342"/>
      <c r="CVA13" s="339" t="s">
        <v>41</v>
      </c>
      <c r="CVB13" s="340"/>
      <c r="CVC13" s="341">
        <v>0</v>
      </c>
      <c r="CVD13" s="342"/>
      <c r="CVE13" s="339" t="s">
        <v>37</v>
      </c>
      <c r="CVF13" s="340"/>
      <c r="CVG13" s="341"/>
      <c r="CVH13" s="342"/>
      <c r="CVI13" s="339" t="s">
        <v>37</v>
      </c>
      <c r="CVJ13" s="340"/>
      <c r="CVK13" s="341">
        <v>0</v>
      </c>
      <c r="CVL13" s="342"/>
      <c r="CVM13" s="339" t="s">
        <v>42</v>
      </c>
      <c r="CVN13" s="340"/>
      <c r="CVO13" s="341">
        <v>0</v>
      </c>
      <c r="CVP13" s="342"/>
      <c r="CVQ13" s="339" t="s">
        <v>36</v>
      </c>
      <c r="CVR13" s="340"/>
      <c r="CVS13" s="341">
        <v>17818</v>
      </c>
      <c r="CVT13" s="342"/>
      <c r="CVU13" s="339" t="s">
        <v>36</v>
      </c>
      <c r="CVV13" s="340"/>
      <c r="CVW13" s="341"/>
      <c r="CVX13" s="342"/>
      <c r="CVY13" s="339" t="s">
        <v>36</v>
      </c>
      <c r="CVZ13" s="340"/>
      <c r="CWA13" s="341">
        <v>37840</v>
      </c>
      <c r="CWB13" s="342"/>
      <c r="CWC13" s="339" t="s">
        <v>45</v>
      </c>
      <c r="CWD13" s="340"/>
      <c r="CWE13" s="341">
        <v>10679.970000000001</v>
      </c>
      <c r="CWF13" s="342"/>
      <c r="CWG13" s="339" t="s">
        <v>41</v>
      </c>
      <c r="CWH13" s="340"/>
      <c r="CWI13" s="341">
        <v>0</v>
      </c>
      <c r="CWJ13" s="342"/>
      <c r="CWK13" s="339" t="s">
        <v>37</v>
      </c>
      <c r="CWL13" s="340"/>
      <c r="CWM13" s="341">
        <v>0</v>
      </c>
      <c r="CWN13" s="342"/>
      <c r="CWO13" s="339" t="s">
        <v>42</v>
      </c>
      <c r="CWP13" s="340"/>
      <c r="CWQ13" s="341">
        <v>0</v>
      </c>
      <c r="CWR13" s="342"/>
      <c r="CWS13" s="339" t="s">
        <v>42</v>
      </c>
      <c r="CWT13" s="340"/>
      <c r="CWU13" s="341"/>
      <c r="CWV13" s="342"/>
      <c r="CWW13" s="339" t="s">
        <v>36</v>
      </c>
      <c r="CWX13" s="340"/>
      <c r="CWY13" s="341">
        <v>13363.5</v>
      </c>
      <c r="CWZ13" s="342"/>
      <c r="CXA13" s="368" t="s">
        <v>45</v>
      </c>
      <c r="CXB13" s="369"/>
      <c r="CXC13" s="370">
        <v>8909</v>
      </c>
      <c r="CXD13" s="371"/>
      <c r="CXE13" s="368" t="s">
        <v>45</v>
      </c>
      <c r="CXF13" s="369"/>
      <c r="CXG13" s="370">
        <v>0</v>
      </c>
      <c r="CXH13" s="371"/>
      <c r="CXI13" s="368" t="s">
        <v>37</v>
      </c>
      <c r="CXJ13" s="369"/>
      <c r="CXK13" s="370">
        <v>0</v>
      </c>
      <c r="CXL13" s="371"/>
      <c r="CXM13" s="368" t="s">
        <v>42</v>
      </c>
      <c r="CXN13" s="369"/>
      <c r="CXO13" s="370">
        <v>8909</v>
      </c>
      <c r="CXP13" s="371"/>
      <c r="CXQ13" s="368" t="s">
        <v>36</v>
      </c>
      <c r="CXR13" s="369"/>
      <c r="CXS13" s="370">
        <v>0</v>
      </c>
      <c r="CXT13" s="371"/>
      <c r="CXU13" s="26" t="s">
        <v>41</v>
      </c>
      <c r="CXW13" s="26">
        <v>0</v>
      </c>
      <c r="CXY13" s="26" t="s">
        <v>37</v>
      </c>
      <c r="CYA13" s="26">
        <v>0</v>
      </c>
      <c r="CYC13" s="26" t="s">
        <v>36</v>
      </c>
      <c r="CYE13" s="26">
        <v>20640</v>
      </c>
      <c r="CYG13" s="26" t="s">
        <v>5</v>
      </c>
      <c r="CYJ13" s="26">
        <v>73493</v>
      </c>
      <c r="CYK13" s="26" t="s">
        <v>5</v>
      </c>
      <c r="CYN13" s="26">
        <v>3005</v>
      </c>
      <c r="CYO13" s="26" t="s">
        <v>5</v>
      </c>
      <c r="CYR13" s="26">
        <v>629.6</v>
      </c>
      <c r="CYS13" s="26" t="s">
        <v>5</v>
      </c>
      <c r="CYV13" s="26">
        <v>6009</v>
      </c>
      <c r="CYW13" s="26" t="s">
        <v>5</v>
      </c>
      <c r="CYZ13" s="26">
        <v>4337</v>
      </c>
      <c r="CZA13" s="26" t="s">
        <v>5</v>
      </c>
      <c r="CZD13" s="26">
        <v>9578</v>
      </c>
      <c r="CZE13" s="26" t="s">
        <v>5</v>
      </c>
      <c r="CZH13" s="26">
        <v>32646</v>
      </c>
      <c r="CZI13" s="26" t="s">
        <v>5</v>
      </c>
      <c r="CZL13" s="26">
        <v>1330.89</v>
      </c>
      <c r="CZM13" s="26" t="s">
        <v>5</v>
      </c>
      <c r="CZP13" s="26">
        <v>15703.5</v>
      </c>
      <c r="CZQ13" s="26" t="s">
        <v>5</v>
      </c>
      <c r="CZT13" s="26">
        <v>5378</v>
      </c>
      <c r="CZU13" s="26" t="s">
        <v>5</v>
      </c>
      <c r="CZX13" s="26">
        <v>1604</v>
      </c>
      <c r="CZY13" s="26" t="s">
        <v>5</v>
      </c>
      <c r="DAB13" s="26">
        <v>3208</v>
      </c>
      <c r="DAC13" s="26" t="s">
        <v>5</v>
      </c>
      <c r="DAF13" s="26">
        <v>28071</v>
      </c>
      <c r="DAG13" s="26" t="s">
        <v>5</v>
      </c>
      <c r="DAJ13" s="26">
        <v>45455</v>
      </c>
      <c r="DAK13" s="26" t="s">
        <v>5</v>
      </c>
      <c r="DAN13" s="26">
        <v>36058</v>
      </c>
      <c r="DAO13" s="26" t="s">
        <v>5</v>
      </c>
      <c r="DAR13" s="26">
        <v>51216</v>
      </c>
      <c r="DAS13" s="26" t="s">
        <v>5</v>
      </c>
      <c r="DAV13" s="26">
        <v>17487</v>
      </c>
      <c r="DAW13" s="26" t="s">
        <v>5</v>
      </c>
      <c r="DAZ13" s="26">
        <v>38062.5</v>
      </c>
      <c r="DBA13" s="26" t="s">
        <v>5</v>
      </c>
      <c r="DBD13" s="26">
        <v>38159.5</v>
      </c>
      <c r="DBE13" s="26" t="s">
        <v>5</v>
      </c>
      <c r="DBH13" s="26">
        <v>30061</v>
      </c>
      <c r="DBI13" s="26" t="s">
        <v>5</v>
      </c>
      <c r="DBL13" s="26">
        <v>41374.75</v>
      </c>
      <c r="DBM13" s="26" t="s">
        <v>5</v>
      </c>
      <c r="DBP13" s="26">
        <v>46408.5</v>
      </c>
      <c r="DBQ13" s="26" t="s">
        <v>5</v>
      </c>
      <c r="DBT13" s="26">
        <v>8505</v>
      </c>
      <c r="DBU13" s="26" t="s">
        <v>5</v>
      </c>
      <c r="DBX13" s="26">
        <v>14239.5</v>
      </c>
      <c r="DBY13" s="26" t="s">
        <v>5</v>
      </c>
      <c r="DCB13" s="26">
        <v>6407</v>
      </c>
      <c r="DCC13" s="26" t="s">
        <v>5</v>
      </c>
      <c r="DCF13" s="26">
        <v>34090</v>
      </c>
      <c r="DCG13" s="26" t="s">
        <v>5</v>
      </c>
      <c r="DCJ13" s="26">
        <v>69331</v>
      </c>
      <c r="DCK13" s="26" t="s">
        <v>5</v>
      </c>
      <c r="DCN13" s="26">
        <v>82830</v>
      </c>
      <c r="DCO13" s="26" t="s">
        <v>5</v>
      </c>
      <c r="DCR13" s="26">
        <v>40565</v>
      </c>
      <c r="DCS13" s="26" t="s">
        <v>5</v>
      </c>
      <c r="DCV13" s="26">
        <v>20239.75</v>
      </c>
      <c r="DCW13" s="26" t="s">
        <v>5</v>
      </c>
      <c r="DCZ13" s="26">
        <v>12020</v>
      </c>
      <c r="DDA13" s="26" t="s">
        <v>5</v>
      </c>
      <c r="DDD13" s="26">
        <v>15205</v>
      </c>
      <c r="DDE13" s="26" t="s">
        <v>4</v>
      </c>
      <c r="DDI13" s="26" t="s">
        <v>4</v>
      </c>
      <c r="DDM13" s="26" t="s">
        <v>4</v>
      </c>
      <c r="DDO13" s="26" t="s">
        <v>6</v>
      </c>
      <c r="DDQ13" s="26" t="s">
        <v>34</v>
      </c>
      <c r="DDS13" s="26">
        <v>0</v>
      </c>
    </row>
    <row r="14" spans="1:2828" ht="14.4" thickBot="1" x14ac:dyDescent="0.3">
      <c r="A14" s="215" t="s">
        <v>101</v>
      </c>
      <c r="B14" s="216"/>
      <c r="C14" s="225">
        <v>0</v>
      </c>
      <c r="D14" s="226"/>
      <c r="E14" s="227"/>
      <c r="F14" s="215" t="s">
        <v>41</v>
      </c>
      <c r="G14" s="216"/>
      <c r="H14" s="225">
        <v>0</v>
      </c>
      <c r="I14" s="226"/>
      <c r="J14" s="227"/>
      <c r="K14" s="215" t="s">
        <v>99</v>
      </c>
      <c r="L14" s="216"/>
      <c r="M14" s="225">
        <v>0</v>
      </c>
      <c r="N14" s="226"/>
      <c r="O14" s="227"/>
      <c r="P14" s="215" t="s">
        <v>98</v>
      </c>
      <c r="Q14" s="216"/>
      <c r="R14" s="225">
        <v>0</v>
      </c>
      <c r="S14" s="226"/>
      <c r="T14" s="227"/>
      <c r="U14" s="215" t="s">
        <v>97</v>
      </c>
      <c r="V14" s="216"/>
      <c r="W14" s="225">
        <v>0</v>
      </c>
      <c r="X14" s="226"/>
      <c r="Y14" s="227"/>
      <c r="Z14" s="215" t="s">
        <v>96</v>
      </c>
      <c r="AA14" s="216"/>
      <c r="AB14" s="225">
        <v>0</v>
      </c>
      <c r="AC14" s="226"/>
      <c r="AD14" s="227"/>
      <c r="AE14" s="215" t="s">
        <v>102</v>
      </c>
      <c r="AF14" s="216"/>
      <c r="AG14" s="225">
        <v>26727</v>
      </c>
      <c r="AH14" s="226"/>
      <c r="AI14" s="227"/>
      <c r="AJ14" s="215" t="s">
        <v>101</v>
      </c>
      <c r="AK14" s="216"/>
      <c r="AL14" s="225">
        <v>0</v>
      </c>
      <c r="AM14" s="226"/>
      <c r="AN14" s="227"/>
      <c r="AO14" s="215" t="s">
        <v>41</v>
      </c>
      <c r="AP14" s="216"/>
      <c r="AQ14" s="225">
        <v>0</v>
      </c>
      <c r="AR14" s="226"/>
      <c r="AS14" s="227"/>
      <c r="AT14" s="215" t="s">
        <v>99</v>
      </c>
      <c r="AU14" s="216"/>
      <c r="AV14" s="225">
        <v>0</v>
      </c>
      <c r="AW14" s="226"/>
      <c r="AX14" s="227"/>
      <c r="AY14" s="215" t="s">
        <v>98</v>
      </c>
      <c r="AZ14" s="216"/>
      <c r="BA14" s="225">
        <v>0</v>
      </c>
      <c r="BB14" s="226"/>
      <c r="BC14" s="227"/>
      <c r="BD14" s="215" t="s">
        <v>97</v>
      </c>
      <c r="BE14" s="216"/>
      <c r="BF14" s="225">
        <v>0</v>
      </c>
      <c r="BG14" s="226"/>
      <c r="BH14" s="227"/>
      <c r="BI14" s="215" t="s">
        <v>96</v>
      </c>
      <c r="BJ14" s="216"/>
      <c r="BK14" s="225">
        <v>0</v>
      </c>
      <c r="BL14" s="226"/>
      <c r="BM14" s="227"/>
      <c r="BN14" s="215" t="s">
        <v>102</v>
      </c>
      <c r="BO14" s="216"/>
      <c r="BP14" s="225">
        <v>0</v>
      </c>
      <c r="BQ14" s="226"/>
      <c r="BR14" s="227"/>
      <c r="BS14" s="215" t="s">
        <v>101</v>
      </c>
      <c r="BT14" s="216"/>
      <c r="BU14" s="225">
        <v>0</v>
      </c>
      <c r="BV14" s="226"/>
      <c r="BW14" s="227"/>
      <c r="BX14" s="215" t="s">
        <v>41</v>
      </c>
      <c r="BY14" s="216"/>
      <c r="BZ14" s="225">
        <v>0</v>
      </c>
      <c r="CA14" s="226"/>
      <c r="CB14" s="227"/>
      <c r="CC14" s="215" t="s">
        <v>99</v>
      </c>
      <c r="CD14" s="216"/>
      <c r="CE14" s="225">
        <v>0</v>
      </c>
      <c r="CF14" s="226"/>
      <c r="CG14" s="227"/>
      <c r="CH14" s="215" t="s">
        <v>98</v>
      </c>
      <c r="CI14" s="216"/>
      <c r="CJ14" s="225">
        <v>0</v>
      </c>
      <c r="CK14" s="226"/>
      <c r="CL14" s="227"/>
      <c r="CM14" s="215" t="s">
        <v>97</v>
      </c>
      <c r="CN14" s="216"/>
      <c r="CO14" s="225">
        <v>0</v>
      </c>
      <c r="CP14" s="226"/>
      <c r="CQ14" s="227"/>
      <c r="CR14" s="215" t="s">
        <v>97</v>
      </c>
      <c r="CS14" s="216"/>
      <c r="CT14" s="225">
        <v>0</v>
      </c>
      <c r="CU14" s="226"/>
      <c r="CV14" s="227"/>
      <c r="CW14" s="215" t="s">
        <v>96</v>
      </c>
      <c r="CX14" s="216"/>
      <c r="CY14" s="225">
        <v>22272.5</v>
      </c>
      <c r="CZ14" s="226"/>
      <c r="DA14" s="227"/>
      <c r="DB14" s="215" t="s">
        <v>102</v>
      </c>
      <c r="DC14" s="216"/>
      <c r="DD14" s="225">
        <v>34467</v>
      </c>
      <c r="DE14" s="226"/>
      <c r="DF14" s="227"/>
      <c r="DG14" s="215" t="s">
        <v>101</v>
      </c>
      <c r="DH14" s="216"/>
      <c r="DI14" s="225">
        <v>0</v>
      </c>
      <c r="DJ14" s="226"/>
      <c r="DK14" s="227"/>
      <c r="DL14" s="215" t="s">
        <v>41</v>
      </c>
      <c r="DM14" s="216"/>
      <c r="DN14" s="225">
        <v>0</v>
      </c>
      <c r="DO14" s="226"/>
      <c r="DP14" s="227"/>
      <c r="DQ14" s="215" t="s">
        <v>99</v>
      </c>
      <c r="DR14" s="216"/>
      <c r="DS14" s="225">
        <v>0</v>
      </c>
      <c r="DT14" s="226"/>
      <c r="DU14" s="227"/>
      <c r="DV14" s="215" t="s">
        <v>98</v>
      </c>
      <c r="DW14" s="216"/>
      <c r="DX14" s="225">
        <v>0</v>
      </c>
      <c r="DY14" s="226"/>
      <c r="DZ14" s="227"/>
      <c r="EA14" s="215" t="s">
        <v>97</v>
      </c>
      <c r="EB14" s="216"/>
      <c r="EC14" s="225">
        <v>0</v>
      </c>
      <c r="ED14" s="226"/>
      <c r="EE14" s="227"/>
      <c r="EF14" s="215" t="s">
        <v>96</v>
      </c>
      <c r="EG14" s="216"/>
      <c r="EH14" s="225">
        <v>10320</v>
      </c>
      <c r="EI14" s="226"/>
      <c r="EJ14" s="227"/>
      <c r="EK14" s="215" t="s">
        <v>102</v>
      </c>
      <c r="EL14" s="216"/>
      <c r="EM14" s="225">
        <v>13363.5</v>
      </c>
      <c r="EN14" s="226"/>
      <c r="EO14" s="227"/>
      <c r="EP14" s="215" t="s">
        <v>101</v>
      </c>
      <c r="EQ14" s="216"/>
      <c r="ER14" s="225">
        <v>0</v>
      </c>
      <c r="ES14" s="226"/>
      <c r="ET14" s="227"/>
      <c r="EU14" s="215" t="s">
        <v>41</v>
      </c>
      <c r="EV14" s="216"/>
      <c r="EW14" s="225">
        <v>0</v>
      </c>
      <c r="EX14" s="226"/>
      <c r="EY14" s="227"/>
      <c r="EZ14" s="215" t="s">
        <v>99</v>
      </c>
      <c r="FA14" s="216"/>
      <c r="FB14" s="225">
        <v>0</v>
      </c>
      <c r="FC14" s="226"/>
      <c r="FD14" s="227"/>
      <c r="FE14" s="215" t="s">
        <v>98</v>
      </c>
      <c r="FF14" s="216"/>
      <c r="FG14" s="225">
        <v>0</v>
      </c>
      <c r="FH14" s="226"/>
      <c r="FI14" s="227"/>
      <c r="FJ14" s="215" t="s">
        <v>97</v>
      </c>
      <c r="FK14" s="216"/>
      <c r="FL14" s="225">
        <v>0</v>
      </c>
      <c r="FM14" s="226"/>
      <c r="FN14" s="227"/>
      <c r="FO14" s="215" t="s">
        <v>96</v>
      </c>
      <c r="FP14" s="216"/>
      <c r="FQ14" s="225">
        <v>0</v>
      </c>
      <c r="FR14" s="226"/>
      <c r="FS14" s="227"/>
      <c r="FT14" s="215" t="s">
        <v>102</v>
      </c>
      <c r="FU14" s="216"/>
      <c r="FV14" s="225">
        <v>8909</v>
      </c>
      <c r="FW14" s="226"/>
      <c r="FX14" s="227"/>
      <c r="FY14" s="215" t="s">
        <v>101</v>
      </c>
      <c r="FZ14" s="216"/>
      <c r="GA14" s="225">
        <v>31181.5</v>
      </c>
      <c r="GB14" s="226"/>
      <c r="GC14" s="227"/>
      <c r="GD14" s="215" t="s">
        <v>41</v>
      </c>
      <c r="GE14" s="216"/>
      <c r="GF14" s="225">
        <v>0</v>
      </c>
      <c r="GG14" s="226"/>
      <c r="GH14" s="227"/>
      <c r="GI14" s="215" t="s">
        <v>99</v>
      </c>
      <c r="GJ14" s="216"/>
      <c r="GK14" s="225">
        <v>0</v>
      </c>
      <c r="GL14" s="226"/>
      <c r="GM14" s="227"/>
      <c r="GN14" s="215" t="s">
        <v>98</v>
      </c>
      <c r="GO14" s="216"/>
      <c r="GP14" s="225">
        <v>0</v>
      </c>
      <c r="GQ14" s="226"/>
      <c r="GR14" s="227"/>
      <c r="GS14" s="215" t="s">
        <v>97</v>
      </c>
      <c r="GT14" s="216"/>
      <c r="GU14" s="225">
        <v>0</v>
      </c>
      <c r="GV14" s="226"/>
      <c r="GW14" s="227"/>
      <c r="GX14" s="215" t="s">
        <v>96</v>
      </c>
      <c r="GY14" s="216"/>
      <c r="GZ14" s="225">
        <v>0</v>
      </c>
      <c r="HA14" s="226"/>
      <c r="HB14" s="227"/>
      <c r="HC14" s="215" t="s">
        <v>102</v>
      </c>
      <c r="HD14" s="216"/>
      <c r="HE14" s="225">
        <v>13363.5</v>
      </c>
      <c r="HF14" s="226"/>
      <c r="HG14" s="227"/>
      <c r="HH14" s="215" t="s">
        <v>101</v>
      </c>
      <c r="HI14" s="216"/>
      <c r="HJ14" s="225">
        <v>0</v>
      </c>
      <c r="HK14" s="226"/>
      <c r="HL14" s="227"/>
      <c r="HM14" s="215" t="s">
        <v>41</v>
      </c>
      <c r="HN14" s="216"/>
      <c r="HO14" s="225">
        <v>0</v>
      </c>
      <c r="HP14" s="226"/>
      <c r="HQ14" s="227"/>
      <c r="HR14" s="215" t="s">
        <v>99</v>
      </c>
      <c r="HS14" s="216"/>
      <c r="HT14" s="225">
        <v>0</v>
      </c>
      <c r="HU14" s="226"/>
      <c r="HV14" s="227"/>
      <c r="HW14" s="215" t="s">
        <v>98</v>
      </c>
      <c r="HX14" s="216"/>
      <c r="HY14" s="225">
        <v>0</v>
      </c>
      <c r="HZ14" s="226"/>
      <c r="IA14" s="227"/>
      <c r="IB14" s="215" t="s">
        <v>97</v>
      </c>
      <c r="IC14" s="216"/>
      <c r="ID14" s="225">
        <v>0</v>
      </c>
      <c r="IE14" s="226"/>
      <c r="IF14" s="227"/>
      <c r="IG14" s="215" t="s">
        <v>96</v>
      </c>
      <c r="IH14" s="216"/>
      <c r="II14" s="225">
        <v>0</v>
      </c>
      <c r="IJ14" s="226"/>
      <c r="IK14" s="227"/>
      <c r="IL14" s="215" t="s">
        <v>102</v>
      </c>
      <c r="IM14" s="216"/>
      <c r="IN14" s="225">
        <v>0</v>
      </c>
      <c r="IO14" s="226"/>
      <c r="IP14" s="227"/>
      <c r="IQ14" s="215" t="s">
        <v>101</v>
      </c>
      <c r="IR14" s="216"/>
      <c r="IS14" s="225">
        <v>0</v>
      </c>
      <c r="IT14" s="226"/>
      <c r="IU14" s="227"/>
      <c r="IV14" s="215" t="s">
        <v>41</v>
      </c>
      <c r="IW14" s="216"/>
      <c r="IX14" s="225">
        <v>0</v>
      </c>
      <c r="IY14" s="226"/>
      <c r="IZ14" s="227"/>
      <c r="JA14" s="215" t="s">
        <v>99</v>
      </c>
      <c r="JB14" s="216"/>
      <c r="JC14" s="225">
        <v>0</v>
      </c>
      <c r="JD14" s="226"/>
      <c r="JE14" s="227"/>
      <c r="JF14" s="215" t="s">
        <v>98</v>
      </c>
      <c r="JG14" s="216"/>
      <c r="JH14" s="225">
        <v>0</v>
      </c>
      <c r="JI14" s="226"/>
      <c r="JJ14" s="227"/>
      <c r="JK14" s="215" t="s">
        <v>97</v>
      </c>
      <c r="JL14" s="216"/>
      <c r="JM14" s="225">
        <v>0</v>
      </c>
      <c r="JN14" s="226"/>
      <c r="JO14" s="227"/>
      <c r="JP14" s="215" t="s">
        <v>96</v>
      </c>
      <c r="JQ14" s="216"/>
      <c r="JR14" s="225">
        <v>0</v>
      </c>
      <c r="JS14" s="226"/>
      <c r="JT14" s="227"/>
      <c r="JU14" s="215" t="s">
        <v>102</v>
      </c>
      <c r="JV14" s="216"/>
      <c r="JW14" s="225">
        <v>0</v>
      </c>
      <c r="JX14" s="226"/>
      <c r="JY14" s="227"/>
      <c r="JZ14" s="215" t="s">
        <v>101</v>
      </c>
      <c r="KA14" s="216"/>
      <c r="KB14" s="225">
        <v>0</v>
      </c>
      <c r="KC14" s="226"/>
      <c r="KD14" s="227"/>
      <c r="KE14" s="215" t="s">
        <v>41</v>
      </c>
      <c r="KF14" s="216"/>
      <c r="KG14" s="225">
        <v>0</v>
      </c>
      <c r="KH14" s="226"/>
      <c r="KI14" s="227"/>
      <c r="KJ14" s="215" t="s">
        <v>99</v>
      </c>
      <c r="KK14" s="216"/>
      <c r="KL14" s="225">
        <v>0</v>
      </c>
      <c r="KM14" s="226"/>
      <c r="KN14" s="227"/>
      <c r="KO14" s="215" t="s">
        <v>98</v>
      </c>
      <c r="KP14" s="216"/>
      <c r="KQ14" s="225">
        <v>0</v>
      </c>
      <c r="KR14" s="226"/>
      <c r="KS14" s="227"/>
      <c r="KT14" s="215" t="s">
        <v>97</v>
      </c>
      <c r="KU14" s="216"/>
      <c r="KV14" s="225">
        <v>0</v>
      </c>
      <c r="KW14" s="226"/>
      <c r="KX14" s="227"/>
      <c r="KY14" s="215" t="s">
        <v>96</v>
      </c>
      <c r="KZ14" s="216"/>
      <c r="LA14" s="225">
        <v>0</v>
      </c>
      <c r="LB14" s="226"/>
      <c r="LC14" s="227"/>
      <c r="LD14" s="215" t="s">
        <v>102</v>
      </c>
      <c r="LE14" s="216"/>
      <c r="LF14" s="225">
        <v>0</v>
      </c>
      <c r="LG14" s="226"/>
      <c r="LH14" s="227"/>
      <c r="LI14" s="215" t="s">
        <v>101</v>
      </c>
      <c r="LJ14" s="216"/>
      <c r="LK14" s="225">
        <v>4454.5</v>
      </c>
      <c r="LL14" s="226"/>
      <c r="LM14" s="227"/>
      <c r="LN14" s="215" t="s">
        <v>41</v>
      </c>
      <c r="LO14" s="216"/>
      <c r="LP14" s="225">
        <v>0</v>
      </c>
      <c r="LQ14" s="226"/>
      <c r="LR14" s="227"/>
      <c r="LS14" s="215" t="s">
        <v>99</v>
      </c>
      <c r="LT14" s="216"/>
      <c r="LU14" s="225">
        <v>0</v>
      </c>
      <c r="LV14" s="226"/>
      <c r="LW14" s="227"/>
      <c r="LX14" s="215" t="s">
        <v>98</v>
      </c>
      <c r="LY14" s="216"/>
      <c r="LZ14" s="225">
        <v>0</v>
      </c>
      <c r="MA14" s="226"/>
      <c r="MB14" s="227"/>
      <c r="MC14" s="215" t="s">
        <v>97</v>
      </c>
      <c r="MD14" s="216"/>
      <c r="ME14" s="225">
        <v>0</v>
      </c>
      <c r="MF14" s="226"/>
      <c r="MG14" s="227"/>
      <c r="MH14" s="215" t="s">
        <v>96</v>
      </c>
      <c r="MI14" s="216"/>
      <c r="MJ14" s="225">
        <v>0</v>
      </c>
      <c r="MK14" s="226"/>
      <c r="ML14" s="227"/>
      <c r="MM14" s="215" t="s">
        <v>102</v>
      </c>
      <c r="MN14" s="216"/>
      <c r="MO14" s="225">
        <v>57908.5</v>
      </c>
      <c r="MP14" s="226"/>
      <c r="MQ14" s="227"/>
      <c r="MR14" s="215" t="s">
        <v>101</v>
      </c>
      <c r="MS14" s="216"/>
      <c r="MT14" s="225">
        <v>0</v>
      </c>
      <c r="MU14" s="226"/>
      <c r="MV14" s="227"/>
      <c r="MW14" s="215" t="s">
        <v>101</v>
      </c>
      <c r="MX14" s="216"/>
      <c r="MY14" s="225">
        <v>0</v>
      </c>
      <c r="MZ14" s="226"/>
      <c r="NA14" s="227"/>
      <c r="NB14" s="215" t="s">
        <v>41</v>
      </c>
      <c r="NC14" s="216"/>
      <c r="ND14" s="225">
        <v>0</v>
      </c>
      <c r="NE14" s="226"/>
      <c r="NF14" s="227"/>
      <c r="NG14" s="215" t="s">
        <v>99</v>
      </c>
      <c r="NH14" s="216"/>
      <c r="NI14" s="225">
        <v>0</v>
      </c>
      <c r="NJ14" s="226"/>
      <c r="NK14" s="227"/>
      <c r="NL14" s="215" t="s">
        <v>98</v>
      </c>
      <c r="NM14" s="216"/>
      <c r="NN14" s="225">
        <v>0</v>
      </c>
      <c r="NO14" s="226"/>
      <c r="NP14" s="227"/>
      <c r="NQ14" s="215" t="s">
        <v>97</v>
      </c>
      <c r="NR14" s="216"/>
      <c r="NS14" s="225">
        <v>0</v>
      </c>
      <c r="NT14" s="226"/>
      <c r="NU14" s="227"/>
      <c r="NV14" s="215" t="s">
        <v>96</v>
      </c>
      <c r="NW14" s="216"/>
      <c r="NX14" s="225">
        <v>0</v>
      </c>
      <c r="NY14" s="226"/>
      <c r="NZ14" s="227"/>
      <c r="OA14" s="215" t="s">
        <v>102</v>
      </c>
      <c r="OB14" s="216"/>
      <c r="OC14" s="225">
        <v>0</v>
      </c>
      <c r="OD14" s="226"/>
      <c r="OE14" s="227"/>
      <c r="OF14" s="215" t="s">
        <v>102</v>
      </c>
      <c r="OG14" s="216"/>
      <c r="OH14" s="225">
        <v>0</v>
      </c>
      <c r="OI14" s="226"/>
      <c r="OJ14" s="227"/>
      <c r="OK14" s="215" t="s">
        <v>101</v>
      </c>
      <c r="OL14" s="216"/>
      <c r="OM14" s="225">
        <v>0</v>
      </c>
      <c r="ON14" s="226"/>
      <c r="OO14" s="227"/>
      <c r="OP14" s="215" t="s">
        <v>41</v>
      </c>
      <c r="OQ14" s="216"/>
      <c r="OR14" s="225">
        <v>0</v>
      </c>
      <c r="OS14" s="226"/>
      <c r="OT14" s="227"/>
      <c r="OU14" s="215" t="s">
        <v>99</v>
      </c>
      <c r="OV14" s="216"/>
      <c r="OW14" s="225">
        <v>0</v>
      </c>
      <c r="OX14" s="226"/>
      <c r="OY14" s="227"/>
      <c r="OZ14" s="215" t="s">
        <v>98</v>
      </c>
      <c r="PA14" s="216"/>
      <c r="PB14" s="225">
        <v>0</v>
      </c>
      <c r="PC14" s="226"/>
      <c r="PD14" s="227"/>
      <c r="PE14" s="215" t="s">
        <v>97</v>
      </c>
      <c r="PF14" s="216"/>
      <c r="PG14" s="225">
        <v>0</v>
      </c>
      <c r="PH14" s="226"/>
      <c r="PI14" s="227"/>
      <c r="PJ14" s="215" t="s">
        <v>96</v>
      </c>
      <c r="PK14" s="216"/>
      <c r="PL14" s="225">
        <v>0</v>
      </c>
      <c r="PM14" s="226"/>
      <c r="PN14" s="227"/>
      <c r="PO14" s="215" t="s">
        <v>102</v>
      </c>
      <c r="PP14" s="216"/>
      <c r="PQ14" s="225">
        <v>61920</v>
      </c>
      <c r="PR14" s="226"/>
      <c r="PS14" s="227"/>
      <c r="PT14" s="215" t="s">
        <v>101</v>
      </c>
      <c r="PU14" s="216"/>
      <c r="PV14" s="225">
        <v>0</v>
      </c>
      <c r="PW14" s="226"/>
      <c r="PX14" s="227"/>
      <c r="PY14" s="215" t="s">
        <v>41</v>
      </c>
      <c r="PZ14" s="216"/>
      <c r="QA14" s="225">
        <v>0</v>
      </c>
      <c r="QB14" s="226"/>
      <c r="QC14" s="227"/>
      <c r="QD14" s="215" t="s">
        <v>99</v>
      </c>
      <c r="QE14" s="216"/>
      <c r="QF14" s="225">
        <v>0</v>
      </c>
      <c r="QG14" s="226"/>
      <c r="QH14" s="227"/>
      <c r="QI14" s="215" t="s">
        <v>98</v>
      </c>
      <c r="QJ14" s="216"/>
      <c r="QK14" s="225">
        <v>0</v>
      </c>
      <c r="QL14" s="226"/>
      <c r="QM14" s="227"/>
      <c r="QN14" s="215" t="s">
        <v>98</v>
      </c>
      <c r="QO14" s="216"/>
      <c r="QP14" s="225">
        <v>0</v>
      </c>
      <c r="QQ14" s="226"/>
      <c r="QR14" s="227"/>
      <c r="QS14" s="215" t="s">
        <v>97</v>
      </c>
      <c r="QT14" s="216"/>
      <c r="QU14" s="225">
        <v>0</v>
      </c>
      <c r="QV14" s="226"/>
      <c r="QW14" s="227"/>
      <c r="QX14" s="215" t="s">
        <v>96</v>
      </c>
      <c r="QY14" s="216"/>
      <c r="QZ14" s="225">
        <v>0</v>
      </c>
      <c r="RA14" s="226"/>
      <c r="RB14" s="227"/>
      <c r="RC14" s="215" t="s">
        <v>102</v>
      </c>
      <c r="RD14" s="216"/>
      <c r="RE14" s="225">
        <v>26727</v>
      </c>
      <c r="RF14" s="226"/>
      <c r="RG14" s="227"/>
      <c r="RH14" s="215" t="s">
        <v>101</v>
      </c>
      <c r="RI14" s="216"/>
      <c r="RJ14" s="225">
        <v>0</v>
      </c>
      <c r="RK14" s="226"/>
      <c r="RL14" s="227"/>
      <c r="RM14" s="215" t="s">
        <v>41</v>
      </c>
      <c r="RN14" s="216"/>
      <c r="RO14" s="225">
        <v>57908.5</v>
      </c>
      <c r="RP14" s="226"/>
      <c r="RQ14" s="227"/>
      <c r="RR14" s="215" t="s">
        <v>99</v>
      </c>
      <c r="RS14" s="216"/>
      <c r="RT14" s="225">
        <v>0</v>
      </c>
      <c r="RU14" s="226"/>
      <c r="RV14" s="227"/>
      <c r="RW14" s="215" t="s">
        <v>99</v>
      </c>
      <c r="RX14" s="216"/>
      <c r="RY14" s="225">
        <v>0</v>
      </c>
      <c r="RZ14" s="226"/>
      <c r="SA14" s="227"/>
      <c r="SB14" s="215" t="s">
        <v>98</v>
      </c>
      <c r="SC14" s="216"/>
      <c r="SD14" s="225">
        <v>0</v>
      </c>
      <c r="SE14" s="226"/>
      <c r="SF14" s="227"/>
      <c r="SG14" s="215" t="s">
        <v>97</v>
      </c>
      <c r="SH14" s="216"/>
      <c r="SI14" s="225">
        <v>0</v>
      </c>
      <c r="SJ14" s="226"/>
      <c r="SK14" s="227"/>
      <c r="SL14" s="215" t="s">
        <v>96</v>
      </c>
      <c r="SM14" s="216"/>
      <c r="SN14" s="225">
        <v>8909</v>
      </c>
      <c r="SO14" s="226"/>
      <c r="SP14" s="227"/>
      <c r="SQ14" s="215" t="s">
        <v>102</v>
      </c>
      <c r="SR14" s="216"/>
      <c r="SS14" s="225">
        <v>0</v>
      </c>
      <c r="ST14" s="226"/>
      <c r="SU14" s="227"/>
      <c r="SV14" s="215" t="s">
        <v>101</v>
      </c>
      <c r="SW14" s="216"/>
      <c r="SX14" s="225">
        <v>51600</v>
      </c>
      <c r="SY14" s="226"/>
      <c r="SZ14" s="227"/>
      <c r="TA14" s="215" t="s">
        <v>41</v>
      </c>
      <c r="TB14" s="216"/>
      <c r="TC14" s="225">
        <v>0</v>
      </c>
      <c r="TD14" s="226"/>
      <c r="TE14" s="227"/>
      <c r="TF14" s="215" t="s">
        <v>99</v>
      </c>
      <c r="TG14" s="216"/>
      <c r="TH14" s="225">
        <v>0</v>
      </c>
      <c r="TI14" s="226"/>
      <c r="TJ14" s="227"/>
      <c r="TK14" s="215" t="s">
        <v>98</v>
      </c>
      <c r="TL14" s="216"/>
      <c r="TM14" s="225">
        <v>0</v>
      </c>
      <c r="TN14" s="226"/>
      <c r="TO14" s="227"/>
      <c r="TP14" s="215" t="s">
        <v>97</v>
      </c>
      <c r="TQ14" s="216"/>
      <c r="TR14" s="225">
        <v>0</v>
      </c>
      <c r="TS14" s="226"/>
      <c r="TT14" s="227"/>
      <c r="TU14" s="215" t="s">
        <v>96</v>
      </c>
      <c r="TV14" s="216"/>
      <c r="TW14" s="225">
        <v>35636</v>
      </c>
      <c r="TX14" s="226"/>
      <c r="TY14" s="227"/>
      <c r="TZ14" s="215" t="s">
        <v>102</v>
      </c>
      <c r="UA14" s="216"/>
      <c r="UB14" s="225">
        <v>0</v>
      </c>
      <c r="UC14" s="226"/>
      <c r="UD14" s="227"/>
      <c r="UE14" s="215" t="s">
        <v>101</v>
      </c>
      <c r="UF14" s="216"/>
      <c r="UG14" s="225">
        <v>0</v>
      </c>
      <c r="UH14" s="226"/>
      <c r="UI14" s="227"/>
      <c r="UJ14" s="215" t="s">
        <v>41</v>
      </c>
      <c r="UK14" s="216"/>
      <c r="UL14" s="225">
        <v>0</v>
      </c>
      <c r="UM14" s="226"/>
      <c r="UN14" s="227"/>
      <c r="UO14" s="215" t="s">
        <v>99</v>
      </c>
      <c r="UP14" s="216"/>
      <c r="UQ14" s="225">
        <v>0</v>
      </c>
      <c r="UR14" s="226"/>
      <c r="US14" s="227"/>
      <c r="UT14" s="215" t="s">
        <v>98</v>
      </c>
      <c r="UU14" s="216"/>
      <c r="UV14" s="225">
        <v>0</v>
      </c>
      <c r="UW14" s="226"/>
      <c r="UX14" s="227"/>
      <c r="UY14" s="215" t="s">
        <v>97</v>
      </c>
      <c r="UZ14" s="216"/>
      <c r="VA14" s="225">
        <v>0</v>
      </c>
      <c r="VB14" s="226"/>
      <c r="VC14" s="227"/>
      <c r="VD14" s="215" t="s">
        <v>96</v>
      </c>
      <c r="VE14" s="216"/>
      <c r="VF14" s="225">
        <v>0</v>
      </c>
      <c r="VG14" s="226"/>
      <c r="VH14" s="227"/>
      <c r="VI14" s="215" t="s">
        <v>102</v>
      </c>
      <c r="VJ14" s="216"/>
      <c r="VK14" s="225">
        <v>8909</v>
      </c>
      <c r="VL14" s="226"/>
      <c r="VM14" s="227"/>
      <c r="VN14" s="215" t="s">
        <v>101</v>
      </c>
      <c r="VO14" s="216"/>
      <c r="VP14" s="225">
        <v>0</v>
      </c>
      <c r="VQ14" s="226"/>
      <c r="VR14" s="227"/>
      <c r="VS14" s="215" t="s">
        <v>41</v>
      </c>
      <c r="VT14" s="216"/>
      <c r="VU14" s="225">
        <v>0</v>
      </c>
      <c r="VV14" s="226"/>
      <c r="VW14" s="227"/>
      <c r="VX14" s="215" t="s">
        <v>99</v>
      </c>
      <c r="VY14" s="216"/>
      <c r="VZ14" s="225">
        <v>0</v>
      </c>
      <c r="WA14" s="226"/>
      <c r="WB14" s="227"/>
      <c r="WC14" s="215" t="s">
        <v>98</v>
      </c>
      <c r="WD14" s="216"/>
      <c r="WE14" s="225">
        <v>0</v>
      </c>
      <c r="WF14" s="226"/>
      <c r="WG14" s="227"/>
      <c r="WH14" s="215" t="s">
        <v>96</v>
      </c>
      <c r="WI14" s="216"/>
      <c r="WJ14" s="225">
        <v>26727</v>
      </c>
      <c r="WK14" s="226"/>
      <c r="WL14" s="227"/>
      <c r="WM14" s="215" t="s">
        <v>102</v>
      </c>
      <c r="WN14" s="216"/>
      <c r="WO14" s="225">
        <v>17818</v>
      </c>
      <c r="WP14" s="226"/>
      <c r="WQ14" s="227"/>
      <c r="WR14" s="215" t="s">
        <v>101</v>
      </c>
      <c r="WS14" s="216"/>
      <c r="WT14" s="225">
        <v>2672.7</v>
      </c>
      <c r="WU14" s="226"/>
      <c r="WV14" s="227"/>
      <c r="WW14" s="215" t="s">
        <v>41</v>
      </c>
      <c r="WX14" s="216"/>
      <c r="WY14" s="225">
        <v>8909</v>
      </c>
      <c r="WZ14" s="226"/>
      <c r="XA14" s="227"/>
      <c r="XB14" s="215" t="s">
        <v>99</v>
      </c>
      <c r="XC14" s="216"/>
      <c r="XD14" s="225">
        <v>26727</v>
      </c>
      <c r="XE14" s="226"/>
      <c r="XF14" s="227"/>
      <c r="XG14" s="215" t="s">
        <v>98</v>
      </c>
      <c r="XH14" s="216"/>
      <c r="XI14" s="225">
        <v>48999.5</v>
      </c>
      <c r="XJ14" s="226"/>
      <c r="XK14" s="227"/>
      <c r="XL14" s="215" t="s">
        <v>97</v>
      </c>
      <c r="XM14" s="216"/>
      <c r="XN14" s="225">
        <v>0</v>
      </c>
      <c r="XO14" s="226"/>
      <c r="XP14" s="227"/>
      <c r="XQ14" s="215" t="s">
        <v>96</v>
      </c>
      <c r="XR14" s="216"/>
      <c r="XS14" s="225">
        <v>35636</v>
      </c>
      <c r="XT14" s="226"/>
      <c r="XU14" s="227"/>
      <c r="XV14" s="215" t="s">
        <v>102</v>
      </c>
      <c r="XW14" s="216"/>
      <c r="XX14" s="225">
        <v>0</v>
      </c>
      <c r="XY14" s="226"/>
      <c r="XZ14" s="227"/>
      <c r="YA14" s="215" t="s">
        <v>101</v>
      </c>
      <c r="YB14" s="216"/>
      <c r="YC14" s="225">
        <v>0</v>
      </c>
      <c r="YD14" s="226"/>
      <c r="YE14" s="227"/>
      <c r="YF14" s="215" t="s">
        <v>41</v>
      </c>
      <c r="YG14" s="216"/>
      <c r="YH14" s="225">
        <v>0</v>
      </c>
      <c r="YI14" s="226"/>
      <c r="YJ14" s="227"/>
      <c r="YK14" s="215" t="s">
        <v>99</v>
      </c>
      <c r="YL14" s="216"/>
      <c r="YM14" s="225">
        <v>0</v>
      </c>
      <c r="YN14" s="226"/>
      <c r="YO14" s="227"/>
      <c r="YP14" s="215" t="s">
        <v>98</v>
      </c>
      <c r="YQ14" s="216"/>
      <c r="YR14" s="225">
        <v>0</v>
      </c>
      <c r="YS14" s="226"/>
      <c r="YT14" s="227"/>
      <c r="YU14" s="215" t="s">
        <v>97</v>
      </c>
      <c r="YV14" s="216"/>
      <c r="YW14" s="225">
        <v>0</v>
      </c>
      <c r="YX14" s="226"/>
      <c r="YY14" s="227"/>
      <c r="YZ14" s="215" t="s">
        <v>96</v>
      </c>
      <c r="ZA14" s="216"/>
      <c r="ZB14" s="225">
        <v>0</v>
      </c>
      <c r="ZC14" s="226"/>
      <c r="ZD14" s="227"/>
      <c r="ZE14" s="215" t="s">
        <v>102</v>
      </c>
      <c r="ZF14" s="216"/>
      <c r="ZG14" s="225">
        <v>22272.5</v>
      </c>
      <c r="ZH14" s="226"/>
      <c r="ZI14" s="227"/>
      <c r="ZJ14" s="215" t="s">
        <v>101</v>
      </c>
      <c r="ZK14" s="216"/>
      <c r="ZL14" s="225">
        <v>0</v>
      </c>
      <c r="ZM14" s="226"/>
      <c r="ZN14" s="227"/>
      <c r="ZO14" s="215" t="s">
        <v>41</v>
      </c>
      <c r="ZP14" s="216"/>
      <c r="ZQ14" s="225">
        <v>0</v>
      </c>
      <c r="ZR14" s="226"/>
      <c r="ZS14" s="227"/>
      <c r="ZT14" s="215" t="s">
        <v>99</v>
      </c>
      <c r="ZU14" s="216"/>
      <c r="ZV14" s="225">
        <v>0</v>
      </c>
      <c r="ZW14" s="226"/>
      <c r="ZX14" s="227"/>
      <c r="ZY14" s="215" t="s">
        <v>98</v>
      </c>
      <c r="ZZ14" s="216"/>
      <c r="AAA14" s="225">
        <v>0</v>
      </c>
      <c r="AAB14" s="226"/>
      <c r="AAC14" s="227"/>
      <c r="AAD14" s="215" t="s">
        <v>97</v>
      </c>
      <c r="AAE14" s="216"/>
      <c r="AAF14" s="225">
        <v>0</v>
      </c>
      <c r="AAG14" s="226"/>
      <c r="AAH14" s="227"/>
      <c r="AAI14" s="215" t="s">
        <v>102</v>
      </c>
      <c r="AAJ14" s="216"/>
      <c r="AAK14" s="225">
        <v>0</v>
      </c>
      <c r="AAL14" s="226"/>
      <c r="AAM14" s="227"/>
      <c r="AAN14" s="215" t="s">
        <v>101</v>
      </c>
      <c r="AAO14" s="216"/>
      <c r="AAP14" s="225">
        <v>0</v>
      </c>
      <c r="AAQ14" s="226"/>
      <c r="AAR14" s="227"/>
      <c r="AAS14" s="215" t="s">
        <v>41</v>
      </c>
      <c r="AAT14" s="216"/>
      <c r="AAU14" s="225">
        <v>0</v>
      </c>
      <c r="AAV14" s="226"/>
      <c r="AAW14" s="227"/>
      <c r="AAX14" s="215" t="s">
        <v>99</v>
      </c>
      <c r="AAY14" s="216"/>
      <c r="AAZ14" s="225">
        <v>0</v>
      </c>
      <c r="ABA14" s="226"/>
      <c r="ABB14" s="227"/>
      <c r="ABC14" s="215" t="s">
        <v>98</v>
      </c>
      <c r="ABD14" s="216"/>
      <c r="ABE14" s="225">
        <v>0</v>
      </c>
      <c r="ABF14" s="226"/>
      <c r="ABG14" s="227"/>
      <c r="ABH14" s="215" t="s">
        <v>97</v>
      </c>
      <c r="ABI14" s="216"/>
      <c r="ABJ14" s="225">
        <v>5160</v>
      </c>
      <c r="ABK14" s="226"/>
      <c r="ABL14" s="227"/>
      <c r="ABM14" s="215" t="s">
        <v>96</v>
      </c>
      <c r="ABN14" s="216"/>
      <c r="ABO14" s="225">
        <v>0</v>
      </c>
      <c r="ABP14" s="226"/>
      <c r="ABQ14" s="227"/>
      <c r="ABR14" s="215" t="s">
        <v>102</v>
      </c>
      <c r="ABS14" s="216"/>
      <c r="ABT14" s="225">
        <v>0</v>
      </c>
      <c r="ABU14" s="226"/>
      <c r="ABV14" s="227"/>
      <c r="ABW14" s="215" t="s">
        <v>101</v>
      </c>
      <c r="ABX14" s="216"/>
      <c r="ABY14" s="225">
        <v>0</v>
      </c>
      <c r="ABZ14" s="226"/>
      <c r="ACA14" s="227"/>
      <c r="ACB14" s="215" t="s">
        <v>41</v>
      </c>
      <c r="ACC14" s="216"/>
      <c r="ACD14" s="225">
        <v>0</v>
      </c>
      <c r="ACE14" s="226"/>
      <c r="ACF14" s="227"/>
      <c r="ACG14" s="215" t="s">
        <v>99</v>
      </c>
      <c r="ACH14" s="216"/>
      <c r="ACI14" s="225">
        <v>0</v>
      </c>
      <c r="ACJ14" s="226"/>
      <c r="ACK14" s="227"/>
      <c r="ACL14" s="215" t="s">
        <v>98</v>
      </c>
      <c r="ACM14" s="216"/>
      <c r="ACN14" s="225">
        <v>0</v>
      </c>
      <c r="ACO14" s="226"/>
      <c r="ACP14" s="227"/>
      <c r="ACQ14" s="215" t="s">
        <v>98</v>
      </c>
      <c r="ACR14" s="216"/>
      <c r="ACS14" s="225">
        <v>0</v>
      </c>
      <c r="ACT14" s="226"/>
      <c r="ACU14" s="227"/>
      <c r="ACV14" s="215" t="s">
        <v>97</v>
      </c>
      <c r="ACW14" s="216"/>
      <c r="ACX14" s="225">
        <v>0</v>
      </c>
      <c r="ACY14" s="226"/>
      <c r="ACZ14" s="227"/>
      <c r="ADA14" s="215" t="s">
        <v>96</v>
      </c>
      <c r="ADB14" s="216"/>
      <c r="ADC14" s="225">
        <v>0</v>
      </c>
      <c r="ADD14" s="226"/>
      <c r="ADE14" s="227"/>
      <c r="ADF14" s="215" t="s">
        <v>102</v>
      </c>
      <c r="ADG14" s="216"/>
      <c r="ADH14" s="225">
        <v>0</v>
      </c>
      <c r="ADI14" s="226"/>
      <c r="ADJ14" s="227"/>
      <c r="ADK14" s="215" t="s">
        <v>101</v>
      </c>
      <c r="ADL14" s="216"/>
      <c r="ADM14" s="225">
        <v>25800</v>
      </c>
      <c r="ADN14" s="226"/>
      <c r="ADO14" s="227"/>
      <c r="ADP14" s="215" t="s">
        <v>99</v>
      </c>
      <c r="ADQ14" s="216"/>
      <c r="ADR14" s="225">
        <v>0</v>
      </c>
      <c r="ADS14" s="226"/>
      <c r="ADT14" s="227"/>
      <c r="ADU14" s="215" t="s">
        <v>98</v>
      </c>
      <c r="ADV14" s="216"/>
      <c r="ADW14" s="225">
        <v>0</v>
      </c>
      <c r="ADX14" s="226"/>
      <c r="ADY14" s="227"/>
      <c r="ADZ14" s="215" t="s">
        <v>96</v>
      </c>
      <c r="AEA14" s="216"/>
      <c r="AEB14" s="225">
        <v>0</v>
      </c>
      <c r="AEC14" s="226"/>
      <c r="AED14" s="227"/>
      <c r="AEE14" s="215" t="s">
        <v>102</v>
      </c>
      <c r="AEF14" s="216"/>
      <c r="AEG14" s="225">
        <v>0</v>
      </c>
      <c r="AEH14" s="226"/>
      <c r="AEI14" s="227"/>
      <c r="AEJ14" s="215" t="s">
        <v>101</v>
      </c>
      <c r="AEK14" s="216"/>
      <c r="AEL14" s="225">
        <v>0</v>
      </c>
      <c r="AEM14" s="226"/>
      <c r="AEN14" s="227"/>
      <c r="AEO14" s="215" t="s">
        <v>41</v>
      </c>
      <c r="AEP14" s="216"/>
      <c r="AEQ14" s="225">
        <v>0</v>
      </c>
      <c r="AER14" s="226"/>
      <c r="AES14" s="227"/>
      <c r="AET14" s="215" t="s">
        <v>98</v>
      </c>
      <c r="AEU14" s="216"/>
      <c r="AEV14" s="225">
        <v>0</v>
      </c>
      <c r="AEW14" s="226"/>
      <c r="AEX14" s="227"/>
      <c r="AEY14" s="215" t="s">
        <v>96</v>
      </c>
      <c r="AEZ14" s="216"/>
      <c r="AFA14" s="225">
        <v>0</v>
      </c>
      <c r="AFB14" s="226"/>
      <c r="AFC14" s="227"/>
      <c r="AFD14" s="215" t="s">
        <v>102</v>
      </c>
      <c r="AFE14" s="216"/>
      <c r="AFF14" s="225">
        <v>41280</v>
      </c>
      <c r="AFG14" s="226"/>
      <c r="AFH14" s="227"/>
      <c r="AFI14" s="215" t="s">
        <v>101</v>
      </c>
      <c r="AFJ14" s="216"/>
      <c r="AFK14" s="225">
        <v>0</v>
      </c>
      <c r="AFL14" s="226"/>
      <c r="AFM14" s="227"/>
      <c r="AFN14" s="215" t="s">
        <v>41</v>
      </c>
      <c r="AFO14" s="216"/>
      <c r="AFP14" s="225">
        <v>0</v>
      </c>
      <c r="AFQ14" s="226"/>
      <c r="AFR14" s="227"/>
      <c r="AFS14" s="215" t="s">
        <v>99</v>
      </c>
      <c r="AFT14" s="216"/>
      <c r="AFU14" s="225">
        <v>0</v>
      </c>
      <c r="AFV14" s="226"/>
      <c r="AFW14" s="227"/>
      <c r="AFX14" s="215" t="s">
        <v>98</v>
      </c>
      <c r="AFY14" s="216"/>
      <c r="AFZ14" s="225">
        <v>0</v>
      </c>
      <c r="AGA14" s="226"/>
      <c r="AGB14" s="227"/>
      <c r="AGC14" s="215" t="s">
        <v>96</v>
      </c>
      <c r="AGD14" s="216"/>
      <c r="AGE14" s="225">
        <v>17818</v>
      </c>
      <c r="AGF14" s="226"/>
      <c r="AGG14" s="227"/>
      <c r="AGH14" s="215" t="s">
        <v>102</v>
      </c>
      <c r="AGI14" s="216"/>
      <c r="AGJ14" s="225">
        <v>0</v>
      </c>
      <c r="AGK14" s="226"/>
      <c r="AGL14" s="227"/>
      <c r="AGM14" s="215" t="s">
        <v>101</v>
      </c>
      <c r="AGN14" s="216"/>
      <c r="AGO14" s="225">
        <v>0</v>
      </c>
      <c r="AGP14" s="226"/>
      <c r="AGQ14" s="227"/>
      <c r="AGR14" s="215" t="s">
        <v>41</v>
      </c>
      <c r="AGS14" s="216"/>
      <c r="AGT14" s="225">
        <v>0</v>
      </c>
      <c r="AGU14" s="226"/>
      <c r="AGV14" s="227"/>
      <c r="AGW14" s="215" t="s">
        <v>41</v>
      </c>
      <c r="AGX14" s="216"/>
      <c r="AGY14" s="225">
        <v>0</v>
      </c>
      <c r="AGZ14" s="226"/>
      <c r="AHA14" s="227"/>
      <c r="AHB14" s="215" t="s">
        <v>99</v>
      </c>
      <c r="AHC14" s="216"/>
      <c r="AHD14" s="225">
        <v>0</v>
      </c>
      <c r="AHE14" s="226"/>
      <c r="AHF14" s="227"/>
      <c r="AHG14" s="215" t="s">
        <v>98</v>
      </c>
      <c r="AHH14" s="216"/>
      <c r="AHI14" s="225">
        <v>0</v>
      </c>
      <c r="AHJ14" s="226"/>
      <c r="AHK14" s="227"/>
      <c r="AHL14" s="215" t="s">
        <v>96</v>
      </c>
      <c r="AHM14" s="216"/>
      <c r="AHN14" s="225">
        <v>0</v>
      </c>
      <c r="AHO14" s="226"/>
      <c r="AHP14" s="227"/>
      <c r="AHQ14" s="215" t="s">
        <v>102</v>
      </c>
      <c r="AHR14" s="216"/>
      <c r="AHS14" s="225">
        <v>17001.75</v>
      </c>
      <c r="AHT14" s="226"/>
      <c r="AHU14" s="227"/>
      <c r="AHV14" s="215" t="s">
        <v>101</v>
      </c>
      <c r="AHW14" s="216"/>
      <c r="AHX14" s="225">
        <v>0</v>
      </c>
      <c r="AHY14" s="226"/>
      <c r="AHZ14" s="227"/>
      <c r="AIA14" s="215" t="s">
        <v>41</v>
      </c>
      <c r="AIB14" s="216"/>
      <c r="AIC14" s="225">
        <v>0</v>
      </c>
      <c r="AID14" s="226"/>
      <c r="AIE14" s="227"/>
      <c r="AIF14" s="215" t="s">
        <v>99</v>
      </c>
      <c r="AIG14" s="216"/>
      <c r="AIH14" s="225">
        <v>0</v>
      </c>
      <c r="AII14" s="226"/>
      <c r="AIJ14" s="227"/>
      <c r="AIK14" s="215" t="s">
        <v>98</v>
      </c>
      <c r="AIL14" s="216"/>
      <c r="AIM14" s="225">
        <v>0</v>
      </c>
      <c r="AIN14" s="226"/>
      <c r="AIO14" s="227"/>
      <c r="AIP14" s="215" t="s">
        <v>96</v>
      </c>
      <c r="AIQ14" s="216"/>
      <c r="AIR14" s="225">
        <v>0</v>
      </c>
      <c r="AIS14" s="226"/>
      <c r="AIT14" s="227"/>
      <c r="AIU14" s="215" t="s">
        <v>102</v>
      </c>
      <c r="AIV14" s="216"/>
      <c r="AIW14" s="225">
        <v>7740</v>
      </c>
      <c r="AIX14" s="226"/>
      <c r="AIY14" s="227"/>
      <c r="AIZ14" s="215" t="s">
        <v>101</v>
      </c>
      <c r="AJA14" s="216"/>
      <c r="AJB14" s="225">
        <v>5160</v>
      </c>
      <c r="AJC14" s="226"/>
      <c r="AJD14" s="227"/>
      <c r="AJE14" s="215" t="s">
        <v>41</v>
      </c>
      <c r="AJF14" s="216"/>
      <c r="AJG14" s="225">
        <v>0</v>
      </c>
      <c r="AJH14" s="226"/>
      <c r="AJI14" s="227"/>
      <c r="AJJ14" s="215" t="s">
        <v>99</v>
      </c>
      <c r="AJK14" s="216"/>
      <c r="AJL14" s="225">
        <v>0</v>
      </c>
      <c r="AJM14" s="226"/>
      <c r="AJN14" s="227"/>
      <c r="AJO14" s="215" t="s">
        <v>98</v>
      </c>
      <c r="AJP14" s="216"/>
      <c r="AJQ14" s="225">
        <v>0</v>
      </c>
      <c r="AJR14" s="226"/>
      <c r="AJS14" s="227"/>
      <c r="AJT14" s="215" t="s">
        <v>97</v>
      </c>
      <c r="AJU14" s="216"/>
      <c r="AJV14" s="225">
        <v>0</v>
      </c>
      <c r="AJW14" s="226"/>
      <c r="AJX14" s="227"/>
      <c r="AJY14" s="215" t="s">
        <v>96</v>
      </c>
      <c r="AJZ14" s="216"/>
      <c r="AKA14" s="225">
        <v>13363.5</v>
      </c>
      <c r="AKB14" s="226"/>
      <c r="AKC14" s="227"/>
      <c r="AKD14" s="215" t="s">
        <v>102</v>
      </c>
      <c r="AKE14" s="216"/>
      <c r="AKF14" s="225">
        <v>0</v>
      </c>
      <c r="AKG14" s="226"/>
      <c r="AKH14" s="227"/>
      <c r="AKI14" s="215" t="s">
        <v>101</v>
      </c>
      <c r="AKJ14" s="216"/>
      <c r="AKK14" s="225">
        <v>0</v>
      </c>
      <c r="AKL14" s="226"/>
      <c r="AKM14" s="227"/>
      <c r="AKN14" s="215" t="s">
        <v>41</v>
      </c>
      <c r="AKO14" s="216"/>
      <c r="AKP14" s="225">
        <v>0</v>
      </c>
      <c r="AKQ14" s="226"/>
      <c r="AKR14" s="227"/>
      <c r="AKS14" s="215" t="s">
        <v>99</v>
      </c>
      <c r="AKT14" s="216"/>
      <c r="AKU14" s="225">
        <v>0</v>
      </c>
      <c r="AKV14" s="226"/>
      <c r="AKW14" s="227"/>
      <c r="AKX14" s="215" t="s">
        <v>98</v>
      </c>
      <c r="AKY14" s="216"/>
      <c r="AKZ14" s="225">
        <v>0</v>
      </c>
      <c r="ALA14" s="226"/>
      <c r="ALB14" s="227"/>
      <c r="ALC14" s="215" t="s">
        <v>97</v>
      </c>
      <c r="ALD14" s="216"/>
      <c r="ALE14" s="225">
        <v>0</v>
      </c>
      <c r="ALF14" s="226"/>
      <c r="ALG14" s="227"/>
      <c r="ALH14" s="215" t="s">
        <v>96</v>
      </c>
      <c r="ALI14" s="216"/>
      <c r="ALJ14" s="225">
        <v>0</v>
      </c>
      <c r="ALK14" s="226"/>
      <c r="ALL14" s="227"/>
      <c r="ALM14" s="215" t="s">
        <v>102</v>
      </c>
      <c r="ALN14" s="216"/>
      <c r="ALO14" s="225">
        <v>8909</v>
      </c>
      <c r="ALP14" s="226"/>
      <c r="ALQ14" s="227"/>
      <c r="ALR14" s="215" t="s">
        <v>101</v>
      </c>
      <c r="ALS14" s="216"/>
      <c r="ALT14" s="225">
        <v>0</v>
      </c>
      <c r="ALU14" s="226"/>
      <c r="ALV14" s="227"/>
      <c r="ALW14" s="215" t="s">
        <v>41</v>
      </c>
      <c r="ALX14" s="216"/>
      <c r="ALY14" s="225">
        <v>0</v>
      </c>
      <c r="ALZ14" s="226"/>
      <c r="AMA14" s="227"/>
      <c r="AMB14" s="215" t="s">
        <v>99</v>
      </c>
      <c r="AMC14" s="216"/>
      <c r="AMD14" s="225">
        <v>0</v>
      </c>
      <c r="AME14" s="226"/>
      <c r="AMF14" s="227"/>
      <c r="AMG14" s="215" t="s">
        <v>98</v>
      </c>
      <c r="AMH14" s="216"/>
      <c r="AMI14" s="225">
        <v>0</v>
      </c>
      <c r="AMJ14" s="226"/>
      <c r="AMK14" s="227"/>
      <c r="AML14" s="215" t="s">
        <v>96</v>
      </c>
      <c r="AMM14" s="216"/>
      <c r="AMN14" s="225">
        <v>0</v>
      </c>
      <c r="AMO14" s="226"/>
      <c r="AMP14" s="227"/>
      <c r="AMQ14" s="215" t="s">
        <v>102</v>
      </c>
      <c r="AMR14" s="216"/>
      <c r="AMS14" s="225">
        <v>6681.75</v>
      </c>
      <c r="AMT14" s="226"/>
      <c r="AMU14" s="227"/>
      <c r="AMV14" s="215" t="s">
        <v>101</v>
      </c>
      <c r="AMW14" s="216"/>
      <c r="AMX14" s="225">
        <v>0</v>
      </c>
      <c r="AMY14" s="226"/>
      <c r="AMZ14" s="227"/>
      <c r="ANA14" s="215" t="s">
        <v>41</v>
      </c>
      <c r="ANB14" s="216"/>
      <c r="ANC14" s="225">
        <v>0</v>
      </c>
      <c r="AND14" s="226"/>
      <c r="ANE14" s="227"/>
      <c r="ANF14" s="215" t="s">
        <v>99</v>
      </c>
      <c r="ANG14" s="216"/>
      <c r="ANH14" s="225">
        <v>0</v>
      </c>
      <c r="ANI14" s="226"/>
      <c r="ANJ14" s="227"/>
      <c r="ANK14" s="215" t="s">
        <v>98</v>
      </c>
      <c r="ANL14" s="216"/>
      <c r="ANM14" s="225">
        <v>0</v>
      </c>
      <c r="ANN14" s="226"/>
      <c r="ANO14" s="227"/>
      <c r="ANP14" s="215" t="s">
        <v>97</v>
      </c>
      <c r="ANQ14" s="216"/>
      <c r="ANR14" s="225">
        <v>0</v>
      </c>
      <c r="ANS14" s="226"/>
      <c r="ANT14" s="227"/>
      <c r="ANU14" s="215" t="s">
        <v>96</v>
      </c>
      <c r="ANV14" s="216"/>
      <c r="ANW14" s="225">
        <v>0</v>
      </c>
      <c r="ANX14" s="226"/>
      <c r="ANY14" s="227"/>
      <c r="ANZ14" s="215" t="s">
        <v>102</v>
      </c>
      <c r="AOA14" s="216"/>
      <c r="AOB14" s="225">
        <v>0</v>
      </c>
      <c r="AOC14" s="226"/>
      <c r="AOD14" s="227"/>
      <c r="AOE14" s="215" t="s">
        <v>101</v>
      </c>
      <c r="AOF14" s="216"/>
      <c r="AOG14" s="225">
        <v>0</v>
      </c>
      <c r="AOH14" s="226"/>
      <c r="AOI14" s="227"/>
      <c r="AOJ14" s="215" t="s">
        <v>41</v>
      </c>
      <c r="AOK14" s="216"/>
      <c r="AOL14" s="225">
        <v>35636</v>
      </c>
      <c r="AOM14" s="226"/>
      <c r="AON14" s="227"/>
      <c r="AOO14" s="215" t="s">
        <v>99</v>
      </c>
      <c r="AOP14" s="216"/>
      <c r="AOQ14" s="225">
        <v>0</v>
      </c>
      <c r="AOR14" s="226"/>
      <c r="AOS14" s="227"/>
      <c r="AOT14" s="215" t="s">
        <v>98</v>
      </c>
      <c r="AOU14" s="216"/>
      <c r="AOV14" s="225">
        <v>0</v>
      </c>
      <c r="AOW14" s="226"/>
      <c r="AOX14" s="227"/>
      <c r="AOY14" s="215" t="s">
        <v>97</v>
      </c>
      <c r="AOZ14" s="216"/>
      <c r="APA14" s="225">
        <v>0</v>
      </c>
      <c r="APB14" s="226"/>
      <c r="APC14" s="227"/>
      <c r="APD14" s="215" t="s">
        <v>96</v>
      </c>
      <c r="APE14" s="216"/>
      <c r="APF14" s="225">
        <v>0</v>
      </c>
      <c r="APG14" s="226"/>
      <c r="APH14" s="227"/>
      <c r="API14" s="215" t="s">
        <v>102</v>
      </c>
      <c r="APJ14" s="216"/>
      <c r="APK14" s="225">
        <v>8909</v>
      </c>
      <c r="APL14" s="226"/>
      <c r="APM14" s="227"/>
      <c r="APN14" s="215" t="s">
        <v>101</v>
      </c>
      <c r="APO14" s="216"/>
      <c r="APP14" s="225">
        <v>5160</v>
      </c>
      <c r="APQ14" s="226"/>
      <c r="APR14" s="227"/>
      <c r="APS14" s="215" t="s">
        <v>41</v>
      </c>
      <c r="APT14" s="216"/>
      <c r="APU14" s="225">
        <v>0</v>
      </c>
      <c r="APV14" s="226"/>
      <c r="APW14" s="227"/>
      <c r="APX14" s="215" t="s">
        <v>99</v>
      </c>
      <c r="APY14" s="216"/>
      <c r="APZ14" s="225">
        <v>0</v>
      </c>
      <c r="AQA14" s="226"/>
      <c r="AQB14" s="227"/>
      <c r="AQC14" s="215" t="s">
        <v>98</v>
      </c>
      <c r="AQD14" s="216"/>
      <c r="AQE14" s="225">
        <v>0</v>
      </c>
      <c r="AQF14" s="226"/>
      <c r="AQG14" s="227"/>
      <c r="AQH14" s="215" t="s">
        <v>97</v>
      </c>
      <c r="AQI14" s="216"/>
      <c r="AQJ14" s="225">
        <v>0</v>
      </c>
      <c r="AQK14" s="226"/>
      <c r="AQL14" s="227"/>
      <c r="AQM14" s="215" t="s">
        <v>96</v>
      </c>
      <c r="AQN14" s="216"/>
      <c r="AQO14" s="225">
        <v>0</v>
      </c>
      <c r="AQP14" s="226"/>
      <c r="AQQ14" s="227"/>
      <c r="AQR14" s="215" t="s">
        <v>102</v>
      </c>
      <c r="AQS14" s="216"/>
      <c r="AQT14" s="225">
        <v>0</v>
      </c>
      <c r="AQU14" s="226"/>
      <c r="AQV14" s="227"/>
      <c r="AQW14" s="215" t="s">
        <v>101</v>
      </c>
      <c r="AQX14" s="216"/>
      <c r="AQY14" s="225">
        <v>8909</v>
      </c>
      <c r="AQZ14" s="226"/>
      <c r="ARA14" s="227"/>
      <c r="ARB14" s="215" t="s">
        <v>41</v>
      </c>
      <c r="ARC14" s="216"/>
      <c r="ARD14" s="225">
        <v>0</v>
      </c>
      <c r="ARE14" s="226"/>
      <c r="ARF14" s="227"/>
      <c r="ARG14" s="215" t="s">
        <v>99</v>
      </c>
      <c r="ARH14" s="216"/>
      <c r="ARI14" s="225">
        <v>0</v>
      </c>
      <c r="ARJ14" s="226"/>
      <c r="ARK14" s="227"/>
      <c r="ARL14" s="215" t="s">
        <v>98</v>
      </c>
      <c r="ARM14" s="216"/>
      <c r="ARN14" s="225">
        <v>0</v>
      </c>
      <c r="ARO14" s="226"/>
      <c r="ARP14" s="227"/>
      <c r="ARQ14" s="215" t="s">
        <v>97</v>
      </c>
      <c r="ARR14" s="216"/>
      <c r="ARS14" s="225">
        <v>0</v>
      </c>
      <c r="ART14" s="226"/>
      <c r="ARU14" s="227"/>
      <c r="ARV14" s="215" t="s">
        <v>96</v>
      </c>
      <c r="ARW14" s="216"/>
      <c r="ARX14" s="225">
        <v>0</v>
      </c>
      <c r="ARY14" s="226"/>
      <c r="ARZ14" s="227"/>
      <c r="ASA14" s="215" t="s">
        <v>102</v>
      </c>
      <c r="ASB14" s="216"/>
      <c r="ASC14" s="225">
        <v>0</v>
      </c>
      <c r="ASD14" s="226"/>
      <c r="ASE14" s="227"/>
      <c r="ASF14" s="215" t="s">
        <v>101</v>
      </c>
      <c r="ASG14" s="216"/>
      <c r="ASH14" s="225">
        <v>0</v>
      </c>
      <c r="ASI14" s="226"/>
      <c r="ASJ14" s="227"/>
      <c r="ASK14" s="215" t="s">
        <v>41</v>
      </c>
      <c r="ASL14" s="216"/>
      <c r="ASM14" s="225">
        <v>0</v>
      </c>
      <c r="ASN14" s="226"/>
      <c r="ASO14" s="227"/>
      <c r="ASP14" s="215" t="s">
        <v>99</v>
      </c>
      <c r="ASQ14" s="216"/>
      <c r="ASR14" s="225">
        <v>0</v>
      </c>
      <c r="ASS14" s="226"/>
      <c r="AST14" s="227"/>
      <c r="ASU14" s="215" t="s">
        <v>98</v>
      </c>
      <c r="ASV14" s="216"/>
      <c r="ASW14" s="225">
        <v>0</v>
      </c>
      <c r="ASX14" s="226"/>
      <c r="ASY14" s="227"/>
      <c r="ASZ14" s="215" t="s">
        <v>97</v>
      </c>
      <c r="ATA14" s="216"/>
      <c r="ATB14" s="225">
        <v>0</v>
      </c>
      <c r="ATC14" s="226"/>
      <c r="ATD14" s="227"/>
      <c r="ATE14" s="215" t="s">
        <v>96</v>
      </c>
      <c r="ATF14" s="216"/>
      <c r="ATG14" s="225">
        <v>0</v>
      </c>
      <c r="ATH14" s="226"/>
      <c r="ATI14" s="227"/>
      <c r="ATJ14" s="215" t="s">
        <v>102</v>
      </c>
      <c r="ATK14" s="216"/>
      <c r="ATL14" s="225">
        <v>1336.35</v>
      </c>
      <c r="ATM14" s="226"/>
      <c r="ATN14" s="227"/>
      <c r="ATO14" s="215" t="s">
        <v>101</v>
      </c>
      <c r="ATP14" s="216"/>
      <c r="ATQ14" s="225">
        <v>0</v>
      </c>
      <c r="ATR14" s="226"/>
      <c r="ATS14" s="227"/>
      <c r="ATT14" s="215" t="s">
        <v>41</v>
      </c>
      <c r="ATU14" s="216"/>
      <c r="ATV14" s="225">
        <v>0</v>
      </c>
      <c r="ATW14" s="226"/>
      <c r="ATX14" s="227"/>
      <c r="ATY14" s="215" t="s">
        <v>99</v>
      </c>
      <c r="ATZ14" s="216"/>
      <c r="AUA14" s="225">
        <v>0</v>
      </c>
      <c r="AUB14" s="226"/>
      <c r="AUC14" s="227"/>
      <c r="AUD14" s="215" t="s">
        <v>98</v>
      </c>
      <c r="AUE14" s="216"/>
      <c r="AUF14" s="225">
        <v>0</v>
      </c>
      <c r="AUG14" s="226"/>
      <c r="AUH14" s="227"/>
      <c r="AUI14" s="215" t="s">
        <v>97</v>
      </c>
      <c r="AUJ14" s="216"/>
      <c r="AUK14" s="225">
        <v>0</v>
      </c>
      <c r="AUL14" s="226"/>
      <c r="AUM14" s="227"/>
      <c r="AUN14" s="215" t="s">
        <v>96</v>
      </c>
      <c r="AUO14" s="216"/>
      <c r="AUP14" s="225">
        <v>0</v>
      </c>
      <c r="AUQ14" s="226"/>
      <c r="AUR14" s="227"/>
      <c r="AUS14" s="215" t="s">
        <v>102</v>
      </c>
      <c r="AUT14" s="216"/>
      <c r="AUU14" s="225">
        <v>0</v>
      </c>
      <c r="AUV14" s="226"/>
      <c r="AUW14" s="227"/>
      <c r="AUX14" s="215" t="s">
        <v>101</v>
      </c>
      <c r="AUY14" s="216"/>
      <c r="AUZ14" s="225">
        <v>0</v>
      </c>
      <c r="AVA14" s="226"/>
      <c r="AVB14" s="227"/>
      <c r="AVC14" s="215" t="s">
        <v>41</v>
      </c>
      <c r="AVD14" s="216"/>
      <c r="AVE14" s="225">
        <v>0</v>
      </c>
      <c r="AVF14" s="226"/>
      <c r="AVG14" s="227"/>
      <c r="AVH14" s="215" t="s">
        <v>99</v>
      </c>
      <c r="AVI14" s="216"/>
      <c r="AVJ14" s="225">
        <v>0</v>
      </c>
      <c r="AVK14" s="226"/>
      <c r="AVL14" s="227"/>
      <c r="AVM14" s="215" t="s">
        <v>98</v>
      </c>
      <c r="AVN14" s="216"/>
      <c r="AVO14" s="225">
        <v>0</v>
      </c>
      <c r="AVP14" s="226"/>
      <c r="AVQ14" s="227"/>
      <c r="AVR14" s="215" t="s">
        <v>97</v>
      </c>
      <c r="AVS14" s="216"/>
      <c r="AVT14" s="225">
        <v>0</v>
      </c>
      <c r="AVU14" s="226"/>
      <c r="AVV14" s="227"/>
      <c r="AVW14" s="215" t="s">
        <v>96</v>
      </c>
      <c r="AVX14" s="216"/>
      <c r="AVY14" s="225">
        <v>0</v>
      </c>
      <c r="AVZ14" s="226"/>
      <c r="AWA14" s="227"/>
      <c r="AWB14" s="215" t="s">
        <v>102</v>
      </c>
      <c r="AWC14" s="216"/>
      <c r="AWD14" s="225">
        <v>0</v>
      </c>
      <c r="AWE14" s="226"/>
      <c r="AWF14" s="227"/>
      <c r="AWG14" s="215" t="s">
        <v>101</v>
      </c>
      <c r="AWH14" s="216"/>
      <c r="AWI14" s="225">
        <v>5160</v>
      </c>
      <c r="AWJ14" s="226"/>
      <c r="AWK14" s="227"/>
      <c r="AWL14" s="215" t="s">
        <v>41</v>
      </c>
      <c r="AWM14" s="216"/>
      <c r="AWN14" s="225">
        <v>0</v>
      </c>
      <c r="AWO14" s="226"/>
      <c r="AWP14" s="227"/>
      <c r="AWQ14" s="215" t="s">
        <v>99</v>
      </c>
      <c r="AWR14" s="216"/>
      <c r="AWS14" s="225">
        <v>0</v>
      </c>
      <c r="AWT14" s="226"/>
      <c r="AWU14" s="227"/>
      <c r="AWV14" s="215" t="s">
        <v>98</v>
      </c>
      <c r="AWW14" s="216"/>
      <c r="AWX14" s="225">
        <v>0</v>
      </c>
      <c r="AWY14" s="226"/>
      <c r="AWZ14" s="227"/>
      <c r="AXA14" s="215" t="s">
        <v>97</v>
      </c>
      <c r="AXB14" s="216"/>
      <c r="AXC14" s="225">
        <v>0</v>
      </c>
      <c r="AXD14" s="226"/>
      <c r="AXE14" s="227"/>
      <c r="AXF14" s="215" t="s">
        <v>96</v>
      </c>
      <c r="AXG14" s="216"/>
      <c r="AXH14" s="225">
        <v>0</v>
      </c>
      <c r="AXI14" s="226"/>
      <c r="AXJ14" s="227"/>
      <c r="AXK14" s="215" t="s">
        <v>102</v>
      </c>
      <c r="AXL14" s="216"/>
      <c r="AXM14" s="225">
        <v>5160</v>
      </c>
      <c r="AXN14" s="226"/>
      <c r="AXO14" s="227"/>
      <c r="AXP14" s="215" t="s">
        <v>101</v>
      </c>
      <c r="AXQ14" s="216"/>
      <c r="AXR14" s="225">
        <v>0</v>
      </c>
      <c r="AXS14" s="226"/>
      <c r="AXT14" s="227"/>
      <c r="AXU14" s="215" t="s">
        <v>41</v>
      </c>
      <c r="AXV14" s="216"/>
      <c r="AXW14" s="225">
        <v>0</v>
      </c>
      <c r="AXX14" s="226"/>
      <c r="AXY14" s="227"/>
      <c r="AXZ14" s="215" t="s">
        <v>99</v>
      </c>
      <c r="AYA14" s="216"/>
      <c r="AYB14" s="225">
        <v>0</v>
      </c>
      <c r="AYC14" s="226"/>
      <c r="AYD14" s="227"/>
      <c r="AYE14" s="215" t="s">
        <v>98</v>
      </c>
      <c r="AYF14" s="216"/>
      <c r="AYG14" s="225">
        <v>0</v>
      </c>
      <c r="AYH14" s="226"/>
      <c r="AYI14" s="227"/>
      <c r="AYJ14" s="215" t="s">
        <v>97</v>
      </c>
      <c r="AYK14" s="216"/>
      <c r="AYL14" s="225">
        <v>0</v>
      </c>
      <c r="AYM14" s="226"/>
      <c r="AYN14" s="227"/>
      <c r="AYO14" s="215" t="s">
        <v>96</v>
      </c>
      <c r="AYP14" s="216"/>
      <c r="AYQ14" s="225">
        <v>0</v>
      </c>
      <c r="AYR14" s="226"/>
      <c r="AYS14" s="227"/>
      <c r="AYT14" s="215" t="s">
        <v>41</v>
      </c>
      <c r="AYU14" s="216"/>
      <c r="AYV14" s="225">
        <v>0</v>
      </c>
      <c r="AYW14" s="226"/>
      <c r="AYX14" s="227"/>
      <c r="AYY14" s="215" t="s">
        <v>99</v>
      </c>
      <c r="AYZ14" s="216"/>
      <c r="AZA14" s="225">
        <v>0</v>
      </c>
      <c r="AZB14" s="226"/>
      <c r="AZC14" s="227"/>
      <c r="AZD14" s="215" t="s">
        <v>98</v>
      </c>
      <c r="AZE14" s="216"/>
      <c r="AZF14" s="225">
        <v>0</v>
      </c>
      <c r="AZG14" s="226"/>
      <c r="AZH14" s="227"/>
      <c r="AZI14" s="215" t="s">
        <v>97</v>
      </c>
      <c r="AZJ14" s="216"/>
      <c r="AZK14" s="225">
        <v>0</v>
      </c>
      <c r="AZL14" s="226"/>
      <c r="AZM14" s="227"/>
      <c r="AZN14" s="215" t="s">
        <v>96</v>
      </c>
      <c r="AZO14" s="216"/>
      <c r="AZP14" s="225">
        <v>0</v>
      </c>
      <c r="AZQ14" s="226"/>
      <c r="AZR14" s="227"/>
      <c r="AZS14" s="215" t="s">
        <v>102</v>
      </c>
      <c r="AZT14" s="216"/>
      <c r="AZU14" s="225">
        <v>0</v>
      </c>
      <c r="AZV14" s="226"/>
      <c r="AZW14" s="227"/>
      <c r="AZX14" s="215" t="s">
        <v>101</v>
      </c>
      <c r="AZY14" s="216"/>
      <c r="AZZ14" s="225">
        <v>0</v>
      </c>
      <c r="BAA14" s="226"/>
      <c r="BAB14" s="227"/>
      <c r="BAC14" s="215" t="s">
        <v>41</v>
      </c>
      <c r="BAD14" s="216"/>
      <c r="BAE14" s="225">
        <v>0</v>
      </c>
      <c r="BAF14" s="226"/>
      <c r="BAG14" s="227"/>
      <c r="BAH14" s="215" t="s">
        <v>99</v>
      </c>
      <c r="BAI14" s="216"/>
      <c r="BAJ14" s="225">
        <v>0</v>
      </c>
      <c r="BAK14" s="226"/>
      <c r="BAL14" s="227"/>
      <c r="BAM14" s="215" t="s">
        <v>98</v>
      </c>
      <c r="BAN14" s="216"/>
      <c r="BAO14" s="225">
        <v>0</v>
      </c>
      <c r="BAP14" s="226"/>
      <c r="BAQ14" s="227"/>
      <c r="BAR14" s="215" t="s">
        <v>97</v>
      </c>
      <c r="BAS14" s="216"/>
      <c r="BAT14" s="225">
        <v>0</v>
      </c>
      <c r="BAU14" s="226"/>
      <c r="BAV14" s="227"/>
      <c r="BAW14" s="215" t="s">
        <v>96</v>
      </c>
      <c r="BAX14" s="216"/>
      <c r="BAY14" s="225">
        <v>10320</v>
      </c>
      <c r="BAZ14" s="226"/>
      <c r="BBA14" s="227"/>
      <c r="BBB14" s="215" t="s">
        <v>102</v>
      </c>
      <c r="BBC14" s="216"/>
      <c r="BBD14" s="225">
        <v>15480</v>
      </c>
      <c r="BBE14" s="226"/>
      <c r="BBF14" s="227"/>
      <c r="BBG14" s="215" t="s">
        <v>101</v>
      </c>
      <c r="BBH14" s="216"/>
      <c r="BBI14" s="225">
        <v>0</v>
      </c>
      <c r="BBJ14" s="226"/>
      <c r="BBK14" s="227"/>
      <c r="BBL14" s="215" t="s">
        <v>41</v>
      </c>
      <c r="BBM14" s="216"/>
      <c r="BBN14" s="225">
        <v>0</v>
      </c>
      <c r="BBO14" s="226"/>
      <c r="BBP14" s="227"/>
      <c r="BBQ14" s="215" t="s">
        <v>99</v>
      </c>
      <c r="BBR14" s="216"/>
      <c r="BBS14" s="225">
        <v>0</v>
      </c>
      <c r="BBT14" s="226"/>
      <c r="BBU14" s="227"/>
      <c r="BBV14" s="215" t="s">
        <v>98</v>
      </c>
      <c r="BBW14" s="216"/>
      <c r="BBX14" s="225">
        <v>0</v>
      </c>
      <c r="BBY14" s="226"/>
      <c r="BBZ14" s="227"/>
      <c r="BCA14" s="215" t="s">
        <v>97</v>
      </c>
      <c r="BCB14" s="216"/>
      <c r="BCC14" s="225">
        <v>0</v>
      </c>
      <c r="BCD14" s="226"/>
      <c r="BCE14" s="227"/>
      <c r="BCF14" s="215" t="s">
        <v>96</v>
      </c>
      <c r="BCG14" s="216"/>
      <c r="BCH14" s="225">
        <v>0</v>
      </c>
      <c r="BCI14" s="226"/>
      <c r="BCJ14" s="227"/>
      <c r="BCK14" s="215" t="s">
        <v>96</v>
      </c>
      <c r="BCL14" s="216"/>
      <c r="BCM14" s="225">
        <v>0</v>
      </c>
      <c r="BCN14" s="226"/>
      <c r="BCO14" s="227"/>
      <c r="BCP14" s="215" t="s">
        <v>102</v>
      </c>
      <c r="BCQ14" s="216"/>
      <c r="BCR14" s="225">
        <v>0</v>
      </c>
      <c r="BCS14" s="226"/>
      <c r="BCT14" s="227"/>
      <c r="BCU14" s="215" t="s">
        <v>101</v>
      </c>
      <c r="BCV14" s="216"/>
      <c r="BCW14" s="225">
        <v>5160</v>
      </c>
      <c r="BCX14" s="226"/>
      <c r="BCY14" s="227"/>
      <c r="BCZ14" s="215" t="s">
        <v>41</v>
      </c>
      <c r="BDA14" s="216"/>
      <c r="BDB14" s="225">
        <v>0</v>
      </c>
      <c r="BDC14" s="226"/>
      <c r="BDD14" s="227"/>
      <c r="BDE14" s="215" t="s">
        <v>99</v>
      </c>
      <c r="BDF14" s="216"/>
      <c r="BDG14" s="225">
        <v>0</v>
      </c>
      <c r="BDH14" s="226"/>
      <c r="BDI14" s="227"/>
      <c r="BDJ14" s="215" t="s">
        <v>98</v>
      </c>
      <c r="BDK14" s="216"/>
      <c r="BDL14" s="225">
        <v>0</v>
      </c>
      <c r="BDM14" s="226"/>
      <c r="BDN14" s="227"/>
      <c r="BDO14" s="215" t="s">
        <v>97</v>
      </c>
      <c r="BDP14" s="216"/>
      <c r="BDQ14" s="225">
        <v>0</v>
      </c>
      <c r="BDR14" s="226"/>
      <c r="BDS14" s="227"/>
      <c r="BDT14" s="215" t="s">
        <v>96</v>
      </c>
      <c r="BDU14" s="216"/>
      <c r="BDV14" s="225">
        <v>0</v>
      </c>
      <c r="BDW14" s="226"/>
      <c r="BDX14" s="227"/>
      <c r="BDY14" s="215" t="s">
        <v>102</v>
      </c>
      <c r="BDZ14" s="216"/>
      <c r="BEA14" s="225">
        <v>0</v>
      </c>
      <c r="BEB14" s="226"/>
      <c r="BEC14" s="227"/>
      <c r="BED14" s="215" t="s">
        <v>101</v>
      </c>
      <c r="BEE14" s="216"/>
      <c r="BEF14" s="225">
        <v>7740</v>
      </c>
      <c r="BEG14" s="226"/>
      <c r="BEH14" s="227"/>
      <c r="BEI14" s="215" t="s">
        <v>99</v>
      </c>
      <c r="BEJ14" s="216"/>
      <c r="BEK14" s="225">
        <v>0</v>
      </c>
      <c r="BEL14" s="226"/>
      <c r="BEM14" s="227"/>
      <c r="BEN14" s="215" t="s">
        <v>98</v>
      </c>
      <c r="BEO14" s="216"/>
      <c r="BEP14" s="225">
        <v>0</v>
      </c>
      <c r="BEQ14" s="226"/>
      <c r="BER14" s="227"/>
      <c r="BES14" s="215" t="s">
        <v>97</v>
      </c>
      <c r="BET14" s="216"/>
      <c r="BEU14" s="225">
        <v>0</v>
      </c>
      <c r="BEV14" s="226"/>
      <c r="BEW14" s="227"/>
      <c r="BEX14" s="215" t="s">
        <v>96</v>
      </c>
      <c r="BEY14" s="216"/>
      <c r="BEZ14" s="225">
        <v>15480</v>
      </c>
      <c r="BFA14" s="226"/>
      <c r="BFB14" s="227"/>
      <c r="BFC14" s="215" t="s">
        <v>102</v>
      </c>
      <c r="BFD14" s="216"/>
      <c r="BFE14" s="225">
        <v>0</v>
      </c>
      <c r="BFF14" s="226"/>
      <c r="BFG14" s="227"/>
      <c r="BFH14" s="215" t="s">
        <v>101</v>
      </c>
      <c r="BFI14" s="216"/>
      <c r="BFJ14" s="225">
        <v>0</v>
      </c>
      <c r="BFK14" s="226"/>
      <c r="BFL14" s="227"/>
      <c r="BFM14" s="215" t="s">
        <v>41</v>
      </c>
      <c r="BFN14" s="216"/>
      <c r="BFO14" s="225">
        <v>0</v>
      </c>
      <c r="BFP14" s="226"/>
      <c r="BFQ14" s="227"/>
      <c r="BFR14" s="215" t="s">
        <v>99</v>
      </c>
      <c r="BFS14" s="216"/>
      <c r="BFT14" s="225">
        <v>0</v>
      </c>
      <c r="BFU14" s="226"/>
      <c r="BFV14" s="227"/>
      <c r="BFW14" s="215" t="s">
        <v>98</v>
      </c>
      <c r="BFX14" s="216"/>
      <c r="BFY14" s="225">
        <v>0</v>
      </c>
      <c r="BFZ14" s="226"/>
      <c r="BGA14" s="227"/>
      <c r="BGB14" s="215" t="s">
        <v>97</v>
      </c>
      <c r="BGC14" s="216"/>
      <c r="BGD14" s="225">
        <v>0</v>
      </c>
      <c r="BGE14" s="226"/>
      <c r="BGF14" s="227"/>
      <c r="BGG14" s="215" t="s">
        <v>96</v>
      </c>
      <c r="BGH14" s="216"/>
      <c r="BGI14" s="225">
        <v>0</v>
      </c>
      <c r="BGJ14" s="226"/>
      <c r="BGK14" s="227"/>
      <c r="BGL14" s="215" t="s">
        <v>101</v>
      </c>
      <c r="BGM14" s="216"/>
      <c r="BGN14" s="225">
        <v>0</v>
      </c>
      <c r="BGO14" s="226"/>
      <c r="BGP14" s="227"/>
      <c r="BGQ14" s="215" t="s">
        <v>41</v>
      </c>
      <c r="BGR14" s="216"/>
      <c r="BGS14" s="225">
        <v>0</v>
      </c>
      <c r="BGT14" s="226"/>
      <c r="BGU14" s="227"/>
      <c r="BGV14" s="215" t="s">
        <v>99</v>
      </c>
      <c r="BGW14" s="216"/>
      <c r="BGX14" s="225">
        <v>0</v>
      </c>
      <c r="BGY14" s="226"/>
      <c r="BGZ14" s="227"/>
      <c r="BHA14" s="215" t="s">
        <v>98</v>
      </c>
      <c r="BHB14" s="216"/>
      <c r="BHC14" s="225">
        <v>0</v>
      </c>
      <c r="BHD14" s="226"/>
      <c r="BHE14" s="227"/>
      <c r="BHF14" s="215" t="s">
        <v>97</v>
      </c>
      <c r="BHG14" s="216"/>
      <c r="BHH14" s="225">
        <v>0</v>
      </c>
      <c r="BHI14" s="226"/>
      <c r="BHJ14" s="227"/>
      <c r="BHK14" s="215" t="s">
        <v>96</v>
      </c>
      <c r="BHL14" s="216"/>
      <c r="BHM14" s="225">
        <v>0</v>
      </c>
      <c r="BHN14" s="226"/>
      <c r="BHO14" s="227"/>
      <c r="BHP14" s="215" t="s">
        <v>102</v>
      </c>
      <c r="BHQ14" s="216"/>
      <c r="BHR14" s="225">
        <v>0</v>
      </c>
      <c r="BHS14" s="226"/>
      <c r="BHT14" s="227"/>
      <c r="BHU14" s="215" t="s">
        <v>101</v>
      </c>
      <c r="BHV14" s="216"/>
      <c r="BHW14" s="225">
        <v>20640</v>
      </c>
      <c r="BHX14" s="226"/>
      <c r="BHY14" s="227"/>
      <c r="BHZ14" s="215" t="s">
        <v>41</v>
      </c>
      <c r="BIA14" s="216"/>
      <c r="BIB14" s="225">
        <v>0</v>
      </c>
      <c r="BIC14" s="226"/>
      <c r="BID14" s="227"/>
      <c r="BIE14" s="215" t="s">
        <v>99</v>
      </c>
      <c r="BIF14" s="216"/>
      <c r="BIG14" s="225">
        <v>0</v>
      </c>
      <c r="BIH14" s="226"/>
      <c r="BII14" s="227"/>
      <c r="BIJ14" s="215" t="s">
        <v>96</v>
      </c>
      <c r="BIK14" s="216"/>
      <c r="BIL14" s="225">
        <v>0</v>
      </c>
      <c r="BIM14" s="226"/>
      <c r="BIN14" s="227"/>
      <c r="BIO14" s="215" t="s">
        <v>102</v>
      </c>
      <c r="BIP14" s="216"/>
      <c r="BIQ14" s="225">
        <v>7740</v>
      </c>
      <c r="BIR14" s="226"/>
      <c r="BIS14" s="227"/>
      <c r="BIT14" s="215" t="s">
        <v>101</v>
      </c>
      <c r="BIU14" s="216"/>
      <c r="BIV14" s="225">
        <v>0</v>
      </c>
      <c r="BIW14" s="226"/>
      <c r="BIX14" s="227"/>
      <c r="BIY14" s="215" t="s">
        <v>41</v>
      </c>
      <c r="BIZ14" s="216"/>
      <c r="BJA14" s="225">
        <v>0</v>
      </c>
      <c r="BJB14" s="226"/>
      <c r="BJC14" s="227"/>
      <c r="BJD14" s="215" t="s">
        <v>99</v>
      </c>
      <c r="BJE14" s="216"/>
      <c r="BJF14" s="225">
        <v>0</v>
      </c>
      <c r="BJG14" s="226"/>
      <c r="BJH14" s="227"/>
      <c r="BJI14" s="215" t="s">
        <v>98</v>
      </c>
      <c r="BJJ14" s="216"/>
      <c r="BJK14" s="225">
        <v>0</v>
      </c>
      <c r="BJL14" s="226"/>
      <c r="BJM14" s="227"/>
      <c r="BJN14" s="215" t="s">
        <v>101</v>
      </c>
      <c r="BJO14" s="216"/>
      <c r="BJP14" s="225">
        <v>20640</v>
      </c>
      <c r="BJQ14" s="226"/>
      <c r="BJR14" s="227"/>
      <c r="BJS14" s="215" t="s">
        <v>41</v>
      </c>
      <c r="BJT14" s="216"/>
      <c r="BJU14" s="225">
        <v>0</v>
      </c>
      <c r="BJV14" s="226"/>
      <c r="BJW14" s="227"/>
      <c r="BJX14" s="215" t="s">
        <v>41</v>
      </c>
      <c r="BJY14" s="216"/>
      <c r="BJZ14" s="225">
        <v>0</v>
      </c>
      <c r="BKA14" s="226"/>
      <c r="BKB14" s="227"/>
      <c r="BKC14" s="215" t="s">
        <v>97</v>
      </c>
      <c r="BKD14" s="216"/>
      <c r="BKE14" s="225">
        <v>0</v>
      </c>
      <c r="BKF14" s="226"/>
      <c r="BKG14" s="227"/>
      <c r="BKH14" s="215" t="s">
        <v>96</v>
      </c>
      <c r="BKI14" s="216"/>
      <c r="BKJ14" s="225">
        <v>0</v>
      </c>
      <c r="BKK14" s="226"/>
      <c r="BKL14" s="227"/>
      <c r="BKM14" s="215" t="s">
        <v>102</v>
      </c>
      <c r="BKN14" s="216"/>
      <c r="BKO14" s="225">
        <v>0</v>
      </c>
      <c r="BKP14" s="226"/>
      <c r="BKQ14" s="227"/>
      <c r="BKR14" s="215" t="s">
        <v>41</v>
      </c>
      <c r="BKS14" s="216"/>
      <c r="BKT14" s="225">
        <v>0</v>
      </c>
      <c r="BKU14" s="226"/>
      <c r="BKV14" s="227"/>
      <c r="BKW14" s="215" t="s">
        <v>97</v>
      </c>
      <c r="BKX14" s="216"/>
      <c r="BKY14" s="225">
        <v>0</v>
      </c>
      <c r="BKZ14" s="226"/>
      <c r="BLA14" s="227"/>
      <c r="BLB14" s="215" t="s">
        <v>96</v>
      </c>
      <c r="BLC14" s="216"/>
      <c r="BLD14" s="225">
        <v>0</v>
      </c>
      <c r="BLE14" s="226"/>
      <c r="BLF14" s="227"/>
      <c r="BLG14" s="215" t="s">
        <v>102</v>
      </c>
      <c r="BLH14" s="216"/>
      <c r="BLI14" s="225">
        <v>5160</v>
      </c>
      <c r="BLJ14" s="226"/>
      <c r="BLK14" s="227"/>
      <c r="BLL14" s="215" t="s">
        <v>101</v>
      </c>
      <c r="BLM14" s="216"/>
      <c r="BLN14" s="225">
        <v>0</v>
      </c>
      <c r="BLO14" s="226"/>
      <c r="BLP14" s="227"/>
      <c r="BLQ14" s="215" t="s">
        <v>41</v>
      </c>
      <c r="BLR14" s="216"/>
      <c r="BLS14" s="225">
        <v>0</v>
      </c>
      <c r="BLT14" s="226"/>
      <c r="BLU14" s="227"/>
      <c r="BLV14" s="215" t="s">
        <v>97</v>
      </c>
      <c r="BLW14" s="216"/>
      <c r="BLX14" s="225">
        <v>0</v>
      </c>
      <c r="BLY14" s="226"/>
      <c r="BLZ14" s="227"/>
      <c r="BMA14" s="215" t="s">
        <v>96</v>
      </c>
      <c r="BMB14" s="216"/>
      <c r="BMC14" s="225">
        <v>0</v>
      </c>
      <c r="BMD14" s="226"/>
      <c r="BME14" s="227"/>
      <c r="BMF14" s="215" t="s">
        <v>102</v>
      </c>
      <c r="BMG14" s="216"/>
      <c r="BMH14" s="225">
        <v>7740</v>
      </c>
      <c r="BMI14" s="226"/>
      <c r="BMJ14" s="227"/>
      <c r="BMK14" s="215" t="s">
        <v>101</v>
      </c>
      <c r="BML14" s="216"/>
      <c r="BMM14" s="225">
        <v>0</v>
      </c>
      <c r="BMN14" s="226"/>
      <c r="BMO14" s="227"/>
      <c r="BMP14" s="215" t="s">
        <v>97</v>
      </c>
      <c r="BMQ14" s="216"/>
      <c r="BMR14" s="225">
        <v>0</v>
      </c>
      <c r="BMS14" s="226"/>
      <c r="BMT14" s="227"/>
      <c r="BMU14" s="215" t="s">
        <v>96</v>
      </c>
      <c r="BMV14" s="216"/>
      <c r="BMW14" s="225">
        <v>0</v>
      </c>
      <c r="BMX14" s="226"/>
      <c r="BMY14" s="227"/>
      <c r="BMZ14" s="215" t="s">
        <v>102</v>
      </c>
      <c r="BNA14" s="216"/>
      <c r="BNB14" s="225">
        <v>0</v>
      </c>
      <c r="BNC14" s="226"/>
      <c r="BND14" s="227"/>
      <c r="BNE14" s="215" t="s">
        <v>41</v>
      </c>
      <c r="BNF14" s="216"/>
      <c r="BNG14" s="225">
        <v>0</v>
      </c>
      <c r="BNH14" s="226"/>
      <c r="BNI14" s="227"/>
      <c r="BNJ14" s="215" t="s">
        <v>102</v>
      </c>
      <c r="BNK14" s="216"/>
      <c r="BNL14" s="225">
        <v>0</v>
      </c>
      <c r="BNM14" s="226"/>
      <c r="BNN14" s="227"/>
      <c r="BNO14" s="215" t="s">
        <v>101</v>
      </c>
      <c r="BNP14" s="216"/>
      <c r="BNQ14" s="225">
        <v>0</v>
      </c>
      <c r="BNR14" s="226"/>
      <c r="BNS14" s="227"/>
      <c r="BNT14" s="215" t="s">
        <v>41</v>
      </c>
      <c r="BNU14" s="216"/>
      <c r="BNV14" s="225">
        <v>0</v>
      </c>
      <c r="BNW14" s="226"/>
      <c r="BNX14" s="227"/>
      <c r="BNY14" s="215" t="s">
        <v>97</v>
      </c>
      <c r="BNZ14" s="216"/>
      <c r="BOA14" s="225">
        <v>0</v>
      </c>
      <c r="BOB14" s="226"/>
      <c r="BOC14" s="227"/>
      <c r="BOD14" s="215" t="s">
        <v>101</v>
      </c>
      <c r="BOE14" s="216"/>
      <c r="BOF14" s="225">
        <v>0</v>
      </c>
      <c r="BOG14" s="226"/>
      <c r="BOH14" s="227"/>
      <c r="BOI14" s="215" t="s">
        <v>41</v>
      </c>
      <c r="BOJ14" s="216"/>
      <c r="BOK14" s="225">
        <v>0</v>
      </c>
      <c r="BOL14" s="226"/>
      <c r="BOM14" s="227"/>
      <c r="BON14" s="215" t="s">
        <v>99</v>
      </c>
      <c r="BOO14" s="216"/>
      <c r="BOP14" s="225">
        <v>0</v>
      </c>
      <c r="BOQ14" s="226"/>
      <c r="BOR14" s="227"/>
      <c r="BOS14" s="215" t="s">
        <v>98</v>
      </c>
      <c r="BOT14" s="216"/>
      <c r="BOU14" s="225">
        <v>0</v>
      </c>
      <c r="BOV14" s="226"/>
      <c r="BOW14" s="227"/>
      <c r="BOX14" s="215" t="s">
        <v>97</v>
      </c>
      <c r="BOY14" s="216"/>
      <c r="BOZ14" s="225">
        <v>0</v>
      </c>
      <c r="BPA14" s="226"/>
      <c r="BPB14" s="227"/>
      <c r="BPC14" s="215" t="s">
        <v>96</v>
      </c>
      <c r="BPD14" s="216"/>
      <c r="BPE14" s="225">
        <v>0</v>
      </c>
      <c r="BPF14" s="226"/>
      <c r="BPG14" s="227"/>
      <c r="BPH14" s="215" t="s">
        <v>102</v>
      </c>
      <c r="BPI14" s="216"/>
      <c r="BPJ14" s="225">
        <v>4454.5</v>
      </c>
      <c r="BPK14" s="226"/>
      <c r="BPL14" s="227"/>
      <c r="BPM14" s="215" t="s">
        <v>101</v>
      </c>
      <c r="BPN14" s="216"/>
      <c r="BPO14" s="225">
        <v>0</v>
      </c>
      <c r="BPP14" s="226"/>
      <c r="BPQ14" s="227"/>
      <c r="BPR14" s="215" t="s">
        <v>41</v>
      </c>
      <c r="BPS14" s="216"/>
      <c r="BPT14" s="225">
        <v>0</v>
      </c>
      <c r="BPU14" s="226"/>
      <c r="BPV14" s="227"/>
      <c r="BPW14" s="215" t="s">
        <v>99</v>
      </c>
      <c r="BPX14" s="216"/>
      <c r="BPY14" s="225">
        <v>0</v>
      </c>
      <c r="BPZ14" s="226"/>
      <c r="BQA14" s="227"/>
      <c r="BQB14" s="215" t="s">
        <v>98</v>
      </c>
      <c r="BQC14" s="216"/>
      <c r="BQD14" s="225">
        <v>0</v>
      </c>
      <c r="BQE14" s="226"/>
      <c r="BQF14" s="227"/>
      <c r="BQG14" s="215" t="s">
        <v>97</v>
      </c>
      <c r="BQH14" s="216"/>
      <c r="BQI14" s="225">
        <v>0</v>
      </c>
      <c r="BQJ14" s="226"/>
      <c r="BQK14" s="227"/>
      <c r="BQL14" s="215" t="s">
        <v>96</v>
      </c>
      <c r="BQM14" s="216"/>
      <c r="BQN14" s="225">
        <v>0</v>
      </c>
      <c r="BQO14" s="226"/>
      <c r="BQP14" s="227"/>
      <c r="BQQ14" s="215" t="s">
        <v>102</v>
      </c>
      <c r="BQR14" s="216"/>
      <c r="BQS14" s="225">
        <v>8909</v>
      </c>
      <c r="BQT14" s="226"/>
      <c r="BQU14" s="227"/>
      <c r="BQV14" s="215" t="s">
        <v>101</v>
      </c>
      <c r="BQW14" s="216"/>
      <c r="BQX14" s="225">
        <v>0</v>
      </c>
      <c r="BQY14" s="226"/>
      <c r="BQZ14" s="227"/>
      <c r="BRA14" s="215" t="s">
        <v>41</v>
      </c>
      <c r="BRB14" s="216"/>
      <c r="BRC14" s="225">
        <v>0</v>
      </c>
      <c r="BRD14" s="226"/>
      <c r="BRE14" s="227"/>
      <c r="BRF14" s="215" t="s">
        <v>99</v>
      </c>
      <c r="BRG14" s="216"/>
      <c r="BRH14" s="225">
        <v>0</v>
      </c>
      <c r="BRI14" s="226"/>
      <c r="BRJ14" s="227"/>
      <c r="BRK14" s="215" t="s">
        <v>98</v>
      </c>
      <c r="BRL14" s="216"/>
      <c r="BRM14" s="225">
        <v>0</v>
      </c>
      <c r="BRN14" s="226"/>
      <c r="BRO14" s="227"/>
      <c r="BRP14" s="215" t="s">
        <v>97</v>
      </c>
      <c r="BRQ14" s="216"/>
      <c r="BRR14" s="225">
        <v>0</v>
      </c>
      <c r="BRS14" s="226"/>
      <c r="BRT14" s="227"/>
      <c r="BRU14" s="215" t="s">
        <v>96</v>
      </c>
      <c r="BRV14" s="216"/>
      <c r="BRW14" s="225">
        <v>0</v>
      </c>
      <c r="BRX14" s="226"/>
      <c r="BRY14" s="227"/>
      <c r="BRZ14" s="215" t="s">
        <v>102</v>
      </c>
      <c r="BSA14" s="216"/>
      <c r="BSB14" s="225">
        <v>5160</v>
      </c>
      <c r="BSC14" s="226"/>
      <c r="BSD14" s="227"/>
      <c r="BSE14" s="215" t="s">
        <v>101</v>
      </c>
      <c r="BSF14" s="216"/>
      <c r="BSG14" s="225">
        <v>0</v>
      </c>
      <c r="BSH14" s="226"/>
      <c r="BSI14" s="227"/>
      <c r="BSJ14" s="215" t="s">
        <v>41</v>
      </c>
      <c r="BSK14" s="216"/>
      <c r="BSL14" s="225">
        <v>0</v>
      </c>
      <c r="BSM14" s="226"/>
      <c r="BSN14" s="227"/>
      <c r="BSO14" s="215" t="s">
        <v>99</v>
      </c>
      <c r="BSP14" s="216"/>
      <c r="BSQ14" s="225">
        <v>0</v>
      </c>
      <c r="BSR14" s="226"/>
      <c r="BSS14" s="227"/>
      <c r="BST14" s="215" t="s">
        <v>98</v>
      </c>
      <c r="BSU14" s="216"/>
      <c r="BSV14" s="225">
        <v>0</v>
      </c>
      <c r="BSW14" s="226"/>
      <c r="BSX14" s="227"/>
      <c r="BSY14" s="215" t="s">
        <v>97</v>
      </c>
      <c r="BSZ14" s="216"/>
      <c r="BTA14" s="225">
        <v>0</v>
      </c>
      <c r="BTB14" s="226"/>
      <c r="BTC14" s="227"/>
      <c r="BTD14" s="215" t="s">
        <v>96</v>
      </c>
      <c r="BTE14" s="216"/>
      <c r="BTF14" s="225">
        <v>0</v>
      </c>
      <c r="BTG14" s="226"/>
      <c r="BTH14" s="227"/>
      <c r="BTI14" s="215" t="s">
        <v>102</v>
      </c>
      <c r="BTJ14" s="216"/>
      <c r="BTK14" s="225">
        <v>17818</v>
      </c>
      <c r="BTL14" s="226"/>
      <c r="BTM14" s="227"/>
      <c r="BTN14" s="215" t="s">
        <v>101</v>
      </c>
      <c r="BTO14" s="216"/>
      <c r="BTP14" s="225">
        <v>0</v>
      </c>
      <c r="BTQ14" s="226"/>
      <c r="BTR14" s="227"/>
      <c r="BTS14" s="215" t="s">
        <v>41</v>
      </c>
      <c r="BTT14" s="216"/>
      <c r="BTU14" s="225">
        <v>0</v>
      </c>
      <c r="BTV14" s="226"/>
      <c r="BTW14" s="227"/>
      <c r="BTX14" s="215" t="s">
        <v>99</v>
      </c>
      <c r="BTY14" s="216"/>
      <c r="BTZ14" s="225">
        <v>0</v>
      </c>
      <c r="BUA14" s="226"/>
      <c r="BUB14" s="227"/>
      <c r="BUC14" s="215" t="s">
        <v>98</v>
      </c>
      <c r="BUD14" s="216"/>
      <c r="BUE14" s="225">
        <v>0</v>
      </c>
      <c r="BUF14" s="226"/>
      <c r="BUG14" s="227"/>
      <c r="BUH14" s="215" t="s">
        <v>99</v>
      </c>
      <c r="BUI14" s="216"/>
      <c r="BUJ14" s="225">
        <v>0</v>
      </c>
      <c r="BUK14" s="226"/>
      <c r="BUL14" s="227"/>
      <c r="BUM14" s="215" t="s">
        <v>98</v>
      </c>
      <c r="BUN14" s="216"/>
      <c r="BUO14" s="225">
        <v>0</v>
      </c>
      <c r="BUP14" s="226"/>
      <c r="BUQ14" s="227"/>
      <c r="BUR14" s="215" t="s">
        <v>97</v>
      </c>
      <c r="BUS14" s="216"/>
      <c r="BUT14" s="225">
        <v>0</v>
      </c>
      <c r="BUU14" s="226"/>
      <c r="BUV14" s="227"/>
      <c r="BUW14" s="215" t="s">
        <v>96</v>
      </c>
      <c r="BUX14" s="216"/>
      <c r="BUY14" s="225">
        <v>0</v>
      </c>
      <c r="BUZ14" s="226"/>
      <c r="BVA14" s="227"/>
      <c r="BVB14" s="215" t="s">
        <v>102</v>
      </c>
      <c r="BVC14" s="216"/>
      <c r="BVD14" s="225">
        <v>0</v>
      </c>
      <c r="BVE14" s="226"/>
      <c r="BVF14" s="227"/>
      <c r="BVG14" s="215" t="s">
        <v>102</v>
      </c>
      <c r="BVH14" s="216"/>
      <c r="BVI14" s="225">
        <v>0</v>
      </c>
      <c r="BVJ14" s="226"/>
      <c r="BVK14" s="227"/>
      <c r="BVL14" s="215" t="s">
        <v>101</v>
      </c>
      <c r="BVM14" s="216"/>
      <c r="BVN14" s="225">
        <v>0</v>
      </c>
      <c r="BVO14" s="226"/>
      <c r="BVP14" s="227"/>
      <c r="BVQ14" s="215" t="s">
        <v>41</v>
      </c>
      <c r="BVR14" s="216"/>
      <c r="BVS14" s="225">
        <v>0</v>
      </c>
      <c r="BVT14" s="226"/>
      <c r="BVU14" s="227"/>
      <c r="BVV14" s="215" t="s">
        <v>99</v>
      </c>
      <c r="BVW14" s="216"/>
      <c r="BVX14" s="225">
        <v>0</v>
      </c>
      <c r="BVY14" s="226"/>
      <c r="BVZ14" s="227"/>
      <c r="BWA14" s="215" t="s">
        <v>98</v>
      </c>
      <c r="BWB14" s="216"/>
      <c r="BWC14" s="225">
        <v>0</v>
      </c>
      <c r="BWD14" s="226"/>
      <c r="BWE14" s="227"/>
      <c r="BWF14" s="215" t="s">
        <v>97</v>
      </c>
      <c r="BWG14" s="216"/>
      <c r="BWH14" s="225">
        <v>0</v>
      </c>
      <c r="BWI14" s="226"/>
      <c r="BWJ14" s="227"/>
      <c r="BWK14" s="215" t="s">
        <v>96</v>
      </c>
      <c r="BWL14" s="216"/>
      <c r="BWM14" s="225">
        <v>4454.5</v>
      </c>
      <c r="BWN14" s="226"/>
      <c r="BWO14" s="227"/>
      <c r="BWP14" s="215" t="s">
        <v>102</v>
      </c>
      <c r="BWQ14" s="216"/>
      <c r="BWR14" s="225">
        <v>44545</v>
      </c>
      <c r="BWS14" s="226"/>
      <c r="BWT14" s="227"/>
      <c r="BWU14" s="215" t="s">
        <v>101</v>
      </c>
      <c r="BWV14" s="216"/>
      <c r="BWW14" s="225">
        <v>0</v>
      </c>
      <c r="BWX14" s="226"/>
      <c r="BWY14" s="227"/>
      <c r="BWZ14" s="215" t="s">
        <v>41</v>
      </c>
      <c r="BXA14" s="216"/>
      <c r="BXB14" s="225">
        <v>0</v>
      </c>
      <c r="BXC14" s="226"/>
      <c r="BXD14" s="227"/>
      <c r="BXE14" s="215" t="s">
        <v>99</v>
      </c>
      <c r="BXF14" s="216"/>
      <c r="BXG14" s="225">
        <v>0</v>
      </c>
      <c r="BXH14" s="226"/>
      <c r="BXI14" s="227"/>
      <c r="BXJ14" s="215" t="s">
        <v>98</v>
      </c>
      <c r="BXK14" s="216"/>
      <c r="BXL14" s="225">
        <v>0</v>
      </c>
      <c r="BXM14" s="226"/>
      <c r="BXN14" s="227"/>
      <c r="BXO14" s="215" t="s">
        <v>97</v>
      </c>
      <c r="BXP14" s="216"/>
      <c r="BXQ14" s="225">
        <v>0</v>
      </c>
      <c r="BXR14" s="226"/>
      <c r="BXS14" s="227"/>
      <c r="BXT14" s="215" t="s">
        <v>96</v>
      </c>
      <c r="BXU14" s="216"/>
      <c r="BXV14" s="225">
        <v>0</v>
      </c>
      <c r="BXW14" s="226"/>
      <c r="BXX14" s="227"/>
      <c r="BXY14" s="215" t="s">
        <v>96</v>
      </c>
      <c r="BXZ14" s="216"/>
      <c r="BYA14" s="225">
        <v>1336.35</v>
      </c>
      <c r="BYB14" s="226"/>
      <c r="BYC14" s="227"/>
      <c r="BYD14" s="215" t="s">
        <v>96</v>
      </c>
      <c r="BYE14" s="216"/>
      <c r="BYF14" s="225">
        <v>1336.35</v>
      </c>
      <c r="BYG14" s="226"/>
      <c r="BYH14" s="227"/>
      <c r="BYI14" s="215" t="s">
        <v>102</v>
      </c>
      <c r="BYJ14" s="216"/>
      <c r="BYK14" s="225">
        <v>0</v>
      </c>
      <c r="BYL14" s="226"/>
      <c r="BYM14" s="227"/>
      <c r="BYN14" s="215" t="s">
        <v>101</v>
      </c>
      <c r="BYO14" s="216"/>
      <c r="BYP14" s="225">
        <v>0</v>
      </c>
      <c r="BYQ14" s="226"/>
      <c r="BYR14" s="227"/>
      <c r="BYS14" s="215" t="s">
        <v>41</v>
      </c>
      <c r="BYT14" s="216"/>
      <c r="BYU14" s="225">
        <v>0</v>
      </c>
      <c r="BYV14" s="226"/>
      <c r="BYW14" s="227"/>
      <c r="BYX14" s="215" t="s">
        <v>99</v>
      </c>
      <c r="BYY14" s="216"/>
      <c r="BYZ14" s="225">
        <v>0</v>
      </c>
      <c r="BZA14" s="226"/>
      <c r="BZB14" s="227"/>
      <c r="BZC14" s="215" t="s">
        <v>98</v>
      </c>
      <c r="BZD14" s="216"/>
      <c r="BZE14" s="225">
        <v>0</v>
      </c>
      <c r="BZF14" s="226"/>
      <c r="BZG14" s="227"/>
      <c r="BZH14" s="215" t="s">
        <v>97</v>
      </c>
      <c r="BZI14" s="216"/>
      <c r="BZJ14" s="225">
        <v>0</v>
      </c>
      <c r="BZK14" s="226"/>
      <c r="BZL14" s="227"/>
      <c r="BZM14" s="215" t="s">
        <v>96</v>
      </c>
      <c r="BZN14" s="216"/>
      <c r="BZO14" s="225">
        <v>0</v>
      </c>
      <c r="BZP14" s="226"/>
      <c r="BZQ14" s="227"/>
      <c r="BZR14" s="215" t="s">
        <v>102</v>
      </c>
      <c r="BZS14" s="216"/>
      <c r="BZT14" s="225">
        <v>102453.5</v>
      </c>
      <c r="BZU14" s="226"/>
      <c r="BZV14" s="227"/>
      <c r="BZW14" s="215" t="s">
        <v>101</v>
      </c>
      <c r="BZX14" s="216"/>
      <c r="BZY14" s="225">
        <v>0</v>
      </c>
      <c r="BZZ14" s="226"/>
      <c r="CAA14" s="227"/>
      <c r="CAB14" s="215" t="s">
        <v>41</v>
      </c>
      <c r="CAC14" s="216"/>
      <c r="CAD14" s="225">
        <v>0</v>
      </c>
      <c r="CAE14" s="226"/>
      <c r="CAF14" s="227"/>
      <c r="CAG14" s="215" t="s">
        <v>97</v>
      </c>
      <c r="CAH14" s="216"/>
      <c r="CAI14" s="225">
        <v>0</v>
      </c>
      <c r="CAJ14" s="226"/>
      <c r="CAK14" s="227"/>
      <c r="CAL14" s="215" t="s">
        <v>96</v>
      </c>
      <c r="CAM14" s="216"/>
      <c r="CAN14" s="225">
        <v>0</v>
      </c>
      <c r="CAO14" s="226"/>
      <c r="CAP14" s="227"/>
      <c r="CAQ14" s="215" t="s">
        <v>102</v>
      </c>
      <c r="CAR14" s="216"/>
      <c r="CAS14" s="225">
        <v>0</v>
      </c>
      <c r="CAT14" s="226"/>
      <c r="CAU14" s="227"/>
      <c r="CAV14" s="215" t="s">
        <v>101</v>
      </c>
      <c r="CAW14" s="216"/>
      <c r="CAX14" s="225">
        <v>0</v>
      </c>
      <c r="CAY14" s="226"/>
      <c r="CAZ14" s="227"/>
      <c r="CBA14" s="215" t="s">
        <v>41</v>
      </c>
      <c r="CBB14" s="216"/>
      <c r="CBC14" s="225">
        <v>0</v>
      </c>
      <c r="CBD14" s="226"/>
      <c r="CBE14" s="227"/>
      <c r="CBF14" s="215" t="s">
        <v>99</v>
      </c>
      <c r="CBG14" s="216"/>
      <c r="CBH14" s="225">
        <v>0</v>
      </c>
      <c r="CBI14" s="226"/>
      <c r="CBJ14" s="227"/>
      <c r="CBK14" s="215" t="s">
        <v>98</v>
      </c>
      <c r="CBL14" s="216"/>
      <c r="CBM14" s="225">
        <v>0</v>
      </c>
      <c r="CBN14" s="226"/>
      <c r="CBO14" s="227"/>
      <c r="CBP14" s="215" t="s">
        <v>97</v>
      </c>
      <c r="CBQ14" s="216"/>
      <c r="CBR14" s="225">
        <v>0</v>
      </c>
      <c r="CBS14" s="226"/>
      <c r="CBT14" s="227"/>
      <c r="CBU14" s="215" t="s">
        <v>96</v>
      </c>
      <c r="CBV14" s="216"/>
      <c r="CBW14" s="225">
        <v>0</v>
      </c>
      <c r="CBX14" s="226"/>
      <c r="CBY14" s="227"/>
      <c r="CBZ14" s="215" t="s">
        <v>102</v>
      </c>
      <c r="CCA14" s="216"/>
      <c r="CCB14" s="225">
        <v>0</v>
      </c>
      <c r="CCC14" s="226"/>
      <c r="CCD14" s="227"/>
      <c r="CCE14" s="215" t="s">
        <v>101</v>
      </c>
      <c r="CCF14" s="216"/>
      <c r="CCG14" s="225">
        <v>0</v>
      </c>
      <c r="CCH14" s="226"/>
      <c r="CCI14" s="227"/>
      <c r="CCJ14" s="215" t="s">
        <v>41</v>
      </c>
      <c r="CCK14" s="216"/>
      <c r="CCL14" s="225">
        <v>0</v>
      </c>
      <c r="CCM14" s="226"/>
      <c r="CCN14" s="227"/>
      <c r="CCO14" s="215" t="s">
        <v>99</v>
      </c>
      <c r="CCP14" s="216"/>
      <c r="CCQ14" s="225">
        <v>0</v>
      </c>
      <c r="CCR14" s="226"/>
      <c r="CCS14" s="227"/>
      <c r="CCT14" s="215" t="s">
        <v>98</v>
      </c>
      <c r="CCU14" s="216"/>
      <c r="CCV14" s="225">
        <v>0</v>
      </c>
      <c r="CCW14" s="226"/>
      <c r="CCX14" s="227"/>
      <c r="CCY14" s="215" t="s">
        <v>96</v>
      </c>
      <c r="CCZ14" s="216"/>
      <c r="CDA14" s="225">
        <v>0</v>
      </c>
      <c r="CDB14" s="226"/>
      <c r="CDC14" s="227"/>
      <c r="CDD14" s="215" t="s">
        <v>102</v>
      </c>
      <c r="CDE14" s="216"/>
      <c r="CDF14" s="225">
        <v>0</v>
      </c>
      <c r="CDG14" s="226"/>
      <c r="CDH14" s="227"/>
      <c r="CDI14" s="215" t="s">
        <v>101</v>
      </c>
      <c r="CDJ14" s="216"/>
      <c r="CDK14" s="225">
        <v>0</v>
      </c>
      <c r="CDL14" s="226"/>
      <c r="CDM14" s="227"/>
      <c r="CDN14" s="215" t="s">
        <v>41</v>
      </c>
      <c r="CDO14" s="216"/>
      <c r="CDP14" s="225">
        <v>0</v>
      </c>
      <c r="CDQ14" s="226"/>
      <c r="CDR14" s="227"/>
      <c r="CDS14" s="215" t="s">
        <v>99</v>
      </c>
      <c r="CDT14" s="216"/>
      <c r="CDU14" s="225">
        <v>0</v>
      </c>
      <c r="CDV14" s="226"/>
      <c r="CDW14" s="227"/>
      <c r="CDX14" s="215" t="s">
        <v>98</v>
      </c>
      <c r="CDY14" s="216"/>
      <c r="CDZ14" s="225">
        <v>0</v>
      </c>
      <c r="CEA14" s="226"/>
      <c r="CEB14" s="227"/>
      <c r="CEC14" s="215" t="s">
        <v>97</v>
      </c>
      <c r="CED14" s="216"/>
      <c r="CEE14" s="225">
        <v>0</v>
      </c>
      <c r="CEF14" s="226"/>
      <c r="CEG14" s="227"/>
      <c r="CEH14" s="215" t="s">
        <v>96</v>
      </c>
      <c r="CEI14" s="216"/>
      <c r="CEJ14" s="225">
        <v>0</v>
      </c>
      <c r="CEK14" s="226"/>
      <c r="CEL14" s="227"/>
      <c r="CEM14" s="215" t="s">
        <v>102</v>
      </c>
      <c r="CEN14" s="216"/>
      <c r="CEO14" s="225">
        <v>0</v>
      </c>
      <c r="CEP14" s="226"/>
      <c r="CEQ14" s="227"/>
      <c r="CER14" s="215" t="s">
        <v>102</v>
      </c>
      <c r="CES14" s="216"/>
      <c r="CET14" s="225">
        <v>0</v>
      </c>
      <c r="CEU14" s="226"/>
      <c r="CEV14" s="227"/>
      <c r="CEW14" s="215" t="s">
        <v>101</v>
      </c>
      <c r="CEX14" s="216"/>
      <c r="CEY14" s="225">
        <v>0</v>
      </c>
      <c r="CEZ14" s="226"/>
      <c r="CFA14" s="227"/>
      <c r="CFB14" s="215" t="s">
        <v>41</v>
      </c>
      <c r="CFC14" s="216"/>
      <c r="CFD14" s="225">
        <v>0</v>
      </c>
      <c r="CFE14" s="226"/>
      <c r="CFF14" s="227"/>
      <c r="CFG14" s="215" t="s">
        <v>99</v>
      </c>
      <c r="CFH14" s="216"/>
      <c r="CFI14" s="225">
        <v>0</v>
      </c>
      <c r="CFJ14" s="226"/>
      <c r="CFK14" s="227"/>
      <c r="CFL14" s="215" t="s">
        <v>98</v>
      </c>
      <c r="CFM14" s="216"/>
      <c r="CFN14" s="225">
        <v>0</v>
      </c>
      <c r="CFO14" s="226"/>
      <c r="CFP14" s="227"/>
      <c r="CFQ14" s="215" t="s">
        <v>96</v>
      </c>
      <c r="CFR14" s="216"/>
      <c r="CFS14" s="225">
        <v>1336.35</v>
      </c>
      <c r="CFT14" s="226"/>
      <c r="CFU14" s="227"/>
      <c r="CFV14" s="215" t="s">
        <v>102</v>
      </c>
      <c r="CFW14" s="216"/>
      <c r="CFX14" s="225">
        <v>8909</v>
      </c>
      <c r="CFY14" s="226"/>
      <c r="CFZ14" s="227"/>
      <c r="CGA14" s="215" t="s">
        <v>101</v>
      </c>
      <c r="CGB14" s="216"/>
      <c r="CGC14" s="225">
        <v>0</v>
      </c>
      <c r="CGD14" s="226"/>
      <c r="CGE14" s="227"/>
      <c r="CGF14" s="215" t="s">
        <v>41</v>
      </c>
      <c r="CGG14" s="216"/>
      <c r="CGH14" s="225">
        <v>0</v>
      </c>
      <c r="CGI14" s="226"/>
      <c r="CGJ14" s="227"/>
      <c r="CGK14" s="215" t="s">
        <v>99</v>
      </c>
      <c r="CGL14" s="216"/>
      <c r="CGM14" s="225">
        <v>0</v>
      </c>
      <c r="CGN14" s="226"/>
      <c r="CGO14" s="227"/>
      <c r="CGP14" s="215" t="s">
        <v>98</v>
      </c>
      <c r="CGQ14" s="216"/>
      <c r="CGR14" s="225">
        <v>0</v>
      </c>
      <c r="CGS14" s="226"/>
      <c r="CGT14" s="227"/>
      <c r="CGU14" s="215" t="s">
        <v>96</v>
      </c>
      <c r="CGV14" s="216"/>
      <c r="CGW14" s="225">
        <v>0</v>
      </c>
      <c r="CGX14" s="226"/>
      <c r="CGY14" s="227"/>
      <c r="CGZ14" s="215" t="s">
        <v>102</v>
      </c>
      <c r="CHA14" s="216"/>
      <c r="CHB14" s="225">
        <v>0</v>
      </c>
      <c r="CHC14" s="226"/>
      <c r="CHD14" s="227"/>
      <c r="CHE14" s="215" t="s">
        <v>101</v>
      </c>
      <c r="CHF14" s="216"/>
      <c r="CHG14" s="225">
        <v>0</v>
      </c>
      <c r="CHH14" s="226"/>
      <c r="CHI14" s="227"/>
      <c r="CHJ14" s="215" t="s">
        <v>99</v>
      </c>
      <c r="CHK14" s="216"/>
      <c r="CHL14" s="225">
        <v>0</v>
      </c>
      <c r="CHM14" s="226"/>
      <c r="CHN14" s="227"/>
      <c r="CHO14" s="215" t="s">
        <v>98</v>
      </c>
      <c r="CHP14" s="216"/>
      <c r="CHQ14" s="225">
        <v>0</v>
      </c>
      <c r="CHR14" s="226"/>
      <c r="CHS14" s="227"/>
      <c r="CHT14" s="215" t="s">
        <v>97</v>
      </c>
      <c r="CHU14" s="216"/>
      <c r="CHV14" s="225">
        <v>0</v>
      </c>
      <c r="CHW14" s="226"/>
      <c r="CHX14" s="227"/>
      <c r="CHY14" s="215" t="s">
        <v>96</v>
      </c>
      <c r="CHZ14" s="216"/>
      <c r="CIA14" s="225">
        <v>0</v>
      </c>
      <c r="CIB14" s="226"/>
      <c r="CIC14" s="227"/>
      <c r="CID14" s="215" t="s">
        <v>102</v>
      </c>
      <c r="CIE14" s="216"/>
      <c r="CIF14" s="225">
        <v>0</v>
      </c>
      <c r="CIG14" s="226"/>
      <c r="CIH14" s="227"/>
      <c r="CII14" s="215" t="s">
        <v>101</v>
      </c>
      <c r="CIJ14" s="216"/>
      <c r="CIK14" s="225">
        <v>0</v>
      </c>
      <c r="CIL14" s="226"/>
      <c r="CIM14" s="227"/>
      <c r="CIN14" s="215" t="s">
        <v>41</v>
      </c>
      <c r="CIO14" s="216"/>
      <c r="CIP14" s="225">
        <v>0</v>
      </c>
      <c r="CIQ14" s="226"/>
      <c r="CIR14" s="227"/>
      <c r="CIS14" s="215" t="s">
        <v>99</v>
      </c>
      <c r="CIT14" s="216"/>
      <c r="CIU14" s="225">
        <v>0</v>
      </c>
      <c r="CIV14" s="226"/>
      <c r="CIW14" s="227"/>
      <c r="CIX14" s="215" t="s">
        <v>98</v>
      </c>
      <c r="CIY14" s="216"/>
      <c r="CIZ14" s="225">
        <v>0</v>
      </c>
      <c r="CJA14" s="226"/>
      <c r="CJB14" s="227"/>
      <c r="CJC14" s="215" t="s">
        <v>96</v>
      </c>
      <c r="CJD14" s="216"/>
      <c r="CJE14" s="225">
        <v>0</v>
      </c>
      <c r="CJF14" s="226"/>
      <c r="CJG14" s="227"/>
      <c r="CJH14" s="215" t="s">
        <v>102</v>
      </c>
      <c r="CJI14" s="216"/>
      <c r="CJJ14" s="225">
        <v>0</v>
      </c>
      <c r="CJK14" s="226"/>
      <c r="CJL14" s="227"/>
      <c r="CJM14" s="215" t="s">
        <v>101</v>
      </c>
      <c r="CJN14" s="216"/>
      <c r="CJO14" s="225">
        <v>0</v>
      </c>
      <c r="CJP14" s="226"/>
      <c r="CJQ14" s="227"/>
      <c r="CJR14" s="215" t="s">
        <v>41</v>
      </c>
      <c r="CJS14" s="216"/>
      <c r="CJT14" s="225">
        <v>0</v>
      </c>
      <c r="CJU14" s="226"/>
      <c r="CJV14" s="227"/>
      <c r="CJW14" s="215" t="s">
        <v>99</v>
      </c>
      <c r="CJX14" s="216"/>
      <c r="CJY14" s="225">
        <v>0</v>
      </c>
      <c r="CJZ14" s="226"/>
      <c r="CKA14" s="227"/>
      <c r="CKB14" s="215" t="s">
        <v>98</v>
      </c>
      <c r="CKC14" s="216"/>
      <c r="CKD14" s="225">
        <v>0</v>
      </c>
      <c r="CKE14" s="226"/>
      <c r="CKF14" s="227"/>
      <c r="CKG14" s="215" t="s">
        <v>97</v>
      </c>
      <c r="CKH14" s="216"/>
      <c r="CKI14" s="225">
        <v>0</v>
      </c>
      <c r="CKJ14" s="226"/>
      <c r="CKK14" s="227"/>
      <c r="CKL14" s="215" t="s">
        <v>96</v>
      </c>
      <c r="CKM14" s="216"/>
      <c r="CKN14" s="225">
        <v>4454.5</v>
      </c>
      <c r="CKO14" s="226"/>
      <c r="CKP14" s="227"/>
      <c r="CKQ14" s="215" t="s">
        <v>102</v>
      </c>
      <c r="CKR14" s="216"/>
      <c r="CKS14" s="225">
        <v>26727</v>
      </c>
      <c r="CKT14" s="226"/>
      <c r="CKU14" s="227"/>
      <c r="CKV14" s="215" t="s">
        <v>101</v>
      </c>
      <c r="CKW14" s="216"/>
      <c r="CKX14" s="225">
        <v>0</v>
      </c>
      <c r="CKY14" s="226"/>
      <c r="CKZ14" s="227"/>
      <c r="CLA14" s="215" t="s">
        <v>41</v>
      </c>
      <c r="CLB14" s="216"/>
      <c r="CLC14" s="225">
        <v>0</v>
      </c>
      <c r="CLD14" s="226"/>
      <c r="CLE14" s="227"/>
      <c r="CLF14" s="215" t="s">
        <v>99</v>
      </c>
      <c r="CLG14" s="216"/>
      <c r="CLH14" s="225">
        <v>0</v>
      </c>
      <c r="CLI14" s="226"/>
      <c r="CLJ14" s="227"/>
      <c r="CLK14" s="215" t="s">
        <v>98</v>
      </c>
      <c r="CLL14" s="216"/>
      <c r="CLM14" s="225">
        <v>0</v>
      </c>
      <c r="CLN14" s="226"/>
      <c r="CLO14" s="227"/>
      <c r="CLP14" s="215" t="s">
        <v>97</v>
      </c>
      <c r="CLQ14" s="216"/>
      <c r="CLR14" s="225">
        <v>0</v>
      </c>
      <c r="CLS14" s="226"/>
      <c r="CLT14" s="227"/>
      <c r="CLU14" s="215" t="s">
        <v>96</v>
      </c>
      <c r="CLV14" s="216"/>
      <c r="CLW14" s="225">
        <v>0</v>
      </c>
      <c r="CLX14" s="226"/>
      <c r="CLY14" s="227"/>
      <c r="CLZ14" s="215" t="s">
        <v>102</v>
      </c>
      <c r="CMA14" s="216"/>
      <c r="CMB14" s="225">
        <v>0</v>
      </c>
      <c r="CMC14" s="226"/>
      <c r="CMD14" s="227"/>
      <c r="CME14" s="215" t="s">
        <v>101</v>
      </c>
      <c r="CMF14" s="216"/>
      <c r="CMG14" s="225">
        <v>17818</v>
      </c>
      <c r="CMH14" s="226"/>
      <c r="CMI14" s="227"/>
      <c r="CMJ14" s="215" t="s">
        <v>99</v>
      </c>
      <c r="CMK14" s="216"/>
      <c r="CML14" s="225">
        <v>0</v>
      </c>
      <c r="CMM14" s="226"/>
      <c r="CMN14" s="227"/>
      <c r="CMO14" s="215" t="s">
        <v>98</v>
      </c>
      <c r="CMP14" s="216"/>
      <c r="CMQ14" s="225">
        <v>0</v>
      </c>
      <c r="CMR14" s="226"/>
      <c r="CMS14" s="227"/>
      <c r="CMT14" s="215" t="s">
        <v>97</v>
      </c>
      <c r="CMU14" s="216"/>
      <c r="CMV14" s="225">
        <v>0</v>
      </c>
      <c r="CMW14" s="226"/>
      <c r="CMX14" s="227"/>
      <c r="CMY14" s="215" t="s">
        <v>96</v>
      </c>
      <c r="CMZ14" s="216"/>
      <c r="CNA14" s="225">
        <v>0</v>
      </c>
      <c r="CNB14" s="226"/>
      <c r="CNC14" s="227"/>
      <c r="CND14" s="215" t="s">
        <v>102</v>
      </c>
      <c r="CNE14" s="216"/>
      <c r="CNF14" s="225">
        <v>0</v>
      </c>
      <c r="CNG14" s="226"/>
      <c r="CNH14" s="227"/>
      <c r="CNI14" s="215" t="s">
        <v>101</v>
      </c>
      <c r="CNJ14" s="216"/>
      <c r="CNK14" s="225">
        <v>0</v>
      </c>
      <c r="CNL14" s="226"/>
      <c r="CNM14" s="227"/>
      <c r="CNN14" s="215" t="s">
        <v>41</v>
      </c>
      <c r="CNO14" s="216"/>
      <c r="CNP14" s="225">
        <v>0</v>
      </c>
      <c r="CNQ14" s="226"/>
      <c r="CNR14" s="227"/>
      <c r="CNS14" s="215" t="s">
        <v>99</v>
      </c>
      <c r="CNT14" s="216"/>
      <c r="CNU14" s="225">
        <v>0</v>
      </c>
      <c r="CNV14" s="226"/>
      <c r="CNW14" s="227"/>
      <c r="CNX14" s="215" t="s">
        <v>98</v>
      </c>
      <c r="CNY14" s="216"/>
      <c r="CNZ14" s="225">
        <v>0</v>
      </c>
      <c r="COA14" s="226"/>
      <c r="COB14" s="227"/>
      <c r="COC14" s="215" t="s">
        <v>97</v>
      </c>
      <c r="COD14" s="216"/>
      <c r="COE14" s="225">
        <v>0</v>
      </c>
      <c r="COF14" s="226"/>
      <c r="COG14" s="227"/>
      <c r="COH14" s="215" t="s">
        <v>96</v>
      </c>
      <c r="COI14" s="216"/>
      <c r="COJ14" s="225">
        <v>0</v>
      </c>
      <c r="COK14" s="226"/>
      <c r="COL14" s="227"/>
      <c r="COM14" s="215" t="s">
        <v>102</v>
      </c>
      <c r="CON14" s="216"/>
      <c r="COO14" s="225">
        <v>5160</v>
      </c>
      <c r="COP14" s="226"/>
      <c r="COQ14" s="227"/>
      <c r="COR14" s="215" t="s">
        <v>102</v>
      </c>
      <c r="COS14" s="216"/>
      <c r="COT14" s="225">
        <v>0</v>
      </c>
      <c r="COU14" s="226"/>
      <c r="COV14" s="227"/>
      <c r="COW14" s="215" t="s">
        <v>101</v>
      </c>
      <c r="COX14" s="216"/>
      <c r="COY14" s="225">
        <v>0</v>
      </c>
      <c r="COZ14" s="226"/>
      <c r="CPA14" s="227"/>
      <c r="CPB14" s="215" t="s">
        <v>41</v>
      </c>
      <c r="CPC14" s="216"/>
      <c r="CPD14" s="225">
        <v>0</v>
      </c>
      <c r="CPE14" s="226"/>
      <c r="CPF14" s="227"/>
      <c r="CPG14" s="215" t="s">
        <v>41</v>
      </c>
      <c r="CPH14" s="216"/>
      <c r="CPI14" s="225">
        <v>0</v>
      </c>
      <c r="CPJ14" s="226"/>
      <c r="CPK14" s="227"/>
      <c r="CPL14" s="215" t="s">
        <v>41</v>
      </c>
      <c r="CPM14" s="216"/>
      <c r="CPN14" s="225">
        <v>0</v>
      </c>
      <c r="CPO14" s="226"/>
      <c r="CPP14" s="227"/>
      <c r="CPQ14" s="215" t="s">
        <v>99</v>
      </c>
      <c r="CPR14" s="216"/>
      <c r="CPS14" s="225">
        <v>0</v>
      </c>
      <c r="CPT14" s="226"/>
      <c r="CPU14" s="227"/>
      <c r="CPV14" s="215" t="s">
        <v>102</v>
      </c>
      <c r="CPW14" s="216"/>
      <c r="CPX14" s="225">
        <v>4454.5</v>
      </c>
      <c r="CPY14" s="226"/>
      <c r="CPZ14" s="227"/>
      <c r="CQA14" s="215" t="s">
        <v>101</v>
      </c>
      <c r="CQB14" s="216"/>
      <c r="CQC14" s="225">
        <v>8909</v>
      </c>
      <c r="CQD14" s="226"/>
      <c r="CQE14" s="227"/>
      <c r="CQF14" s="215" t="s">
        <v>41</v>
      </c>
      <c r="CQG14" s="216"/>
      <c r="CQH14" s="225">
        <v>0</v>
      </c>
      <c r="CQI14" s="226"/>
      <c r="CQJ14" s="227"/>
      <c r="CQK14" s="215" t="s">
        <v>99</v>
      </c>
      <c r="CQL14" s="216"/>
      <c r="CQM14" s="225">
        <v>0</v>
      </c>
      <c r="CQN14" s="226"/>
      <c r="CQO14" s="227"/>
      <c r="CQP14" s="215" t="s">
        <v>98</v>
      </c>
      <c r="CQQ14" s="216"/>
      <c r="CQR14" s="225">
        <v>0</v>
      </c>
      <c r="CQS14" s="226"/>
      <c r="CQT14" s="227"/>
      <c r="CQU14" s="215" t="s">
        <v>96</v>
      </c>
      <c r="CQV14" s="216"/>
      <c r="CQW14" s="225">
        <v>17818</v>
      </c>
      <c r="CQX14" s="226"/>
      <c r="CQY14" s="227"/>
      <c r="CQZ14" s="215" t="s">
        <v>99</v>
      </c>
      <c r="CRA14" s="216"/>
      <c r="CRB14" s="225">
        <v>0</v>
      </c>
      <c r="CRC14" s="226"/>
      <c r="CRD14" s="227"/>
      <c r="CRE14" s="326" t="s">
        <v>42</v>
      </c>
      <c r="CRF14" s="327"/>
      <c r="CRG14" s="279">
        <v>0</v>
      </c>
      <c r="CRH14" s="280"/>
      <c r="CRI14" s="281"/>
      <c r="CRJ14" s="326" t="s">
        <v>45</v>
      </c>
      <c r="CRK14" s="327"/>
      <c r="CRL14" s="279">
        <v>46440</v>
      </c>
      <c r="CRM14" s="280"/>
      <c r="CRN14" s="281"/>
      <c r="CRO14" s="326" t="s">
        <v>45</v>
      </c>
      <c r="CRP14" s="327"/>
      <c r="CRQ14" s="279">
        <v>0</v>
      </c>
      <c r="CRR14" s="280"/>
      <c r="CRS14" s="281"/>
      <c r="CRT14" s="326" t="s">
        <v>37</v>
      </c>
      <c r="CRU14" s="327"/>
      <c r="CRV14" s="279">
        <v>0</v>
      </c>
      <c r="CRW14" s="280"/>
      <c r="CRX14" s="281"/>
      <c r="CRY14" s="343" t="s">
        <v>37</v>
      </c>
      <c r="CRZ14" s="344"/>
      <c r="CSA14" s="345">
        <v>0</v>
      </c>
      <c r="CSB14" s="346"/>
      <c r="CSC14" s="343" t="s">
        <v>42</v>
      </c>
      <c r="CSD14" s="344"/>
      <c r="CSE14" s="345"/>
      <c r="CSF14" s="346"/>
      <c r="CSG14" s="343" t="s">
        <v>34</v>
      </c>
      <c r="CSH14" s="344"/>
      <c r="CSI14" s="345">
        <v>0</v>
      </c>
      <c r="CSJ14" s="346"/>
      <c r="CSK14" s="343" t="s">
        <v>34</v>
      </c>
      <c r="CSL14" s="344"/>
      <c r="CSM14" s="345">
        <v>8909</v>
      </c>
      <c r="CSN14" s="346"/>
      <c r="CSO14" s="343" t="s">
        <v>45</v>
      </c>
      <c r="CSP14" s="344"/>
      <c r="CSQ14" s="345">
        <v>0</v>
      </c>
      <c r="CSR14" s="346"/>
      <c r="CSS14" s="343" t="s">
        <v>45</v>
      </c>
      <c r="CST14" s="344"/>
      <c r="CSU14" s="345"/>
      <c r="CSV14" s="346"/>
      <c r="CSW14" s="343" t="s">
        <v>45</v>
      </c>
      <c r="CSX14" s="344"/>
      <c r="CSY14" s="345">
        <v>48999.5</v>
      </c>
      <c r="CSZ14" s="346"/>
      <c r="CTA14" s="343" t="s">
        <v>45</v>
      </c>
      <c r="CTB14" s="344"/>
      <c r="CTC14" s="345">
        <v>0</v>
      </c>
      <c r="CTD14" s="346"/>
      <c r="CTE14" s="343" t="s">
        <v>37</v>
      </c>
      <c r="CTF14" s="344"/>
      <c r="CTG14" s="345">
        <v>0</v>
      </c>
      <c r="CTH14" s="346"/>
      <c r="CTI14" s="343" t="s">
        <v>42</v>
      </c>
      <c r="CTJ14" s="344"/>
      <c r="CTK14" s="345">
        <v>1225</v>
      </c>
      <c r="CTL14" s="346"/>
      <c r="CTM14" s="343" t="s">
        <v>34</v>
      </c>
      <c r="CTN14" s="344"/>
      <c r="CTO14" s="345">
        <v>0</v>
      </c>
      <c r="CTP14" s="346"/>
      <c r="CTQ14" s="343" t="s">
        <v>45</v>
      </c>
      <c r="CTR14" s="344"/>
      <c r="CTS14" s="345">
        <v>0</v>
      </c>
      <c r="CTT14" s="346"/>
      <c r="CTU14" s="343" t="s">
        <v>45</v>
      </c>
      <c r="CTV14" s="344"/>
      <c r="CTW14" s="345">
        <v>0</v>
      </c>
      <c r="CTX14" s="346"/>
      <c r="CTY14" s="343" t="s">
        <v>37</v>
      </c>
      <c r="CTZ14" s="344"/>
      <c r="CUA14" s="345">
        <v>0</v>
      </c>
      <c r="CUB14" s="346"/>
      <c r="CUC14" s="343" t="s">
        <v>37</v>
      </c>
      <c r="CUD14" s="344"/>
      <c r="CUE14" s="345"/>
      <c r="CUF14" s="346"/>
      <c r="CUG14" s="343" t="s">
        <v>34</v>
      </c>
      <c r="CUH14" s="344"/>
      <c r="CUI14" s="345">
        <v>10320</v>
      </c>
      <c r="CUJ14" s="346"/>
      <c r="CUK14" s="343" t="s">
        <v>45</v>
      </c>
      <c r="CUL14" s="344"/>
      <c r="CUM14" s="345">
        <v>0</v>
      </c>
      <c r="CUN14" s="346"/>
      <c r="CUO14" s="343" t="s">
        <v>45</v>
      </c>
      <c r="CUP14" s="344"/>
      <c r="CUQ14" s="345">
        <v>0</v>
      </c>
      <c r="CUR14" s="346"/>
      <c r="CUS14" s="343" t="s">
        <v>45</v>
      </c>
      <c r="CUT14" s="344"/>
      <c r="CUU14" s="345"/>
      <c r="CUV14" s="346"/>
      <c r="CUW14" s="343" t="s">
        <v>34</v>
      </c>
      <c r="CUX14" s="344"/>
      <c r="CUY14" s="345">
        <v>10320</v>
      </c>
      <c r="CUZ14" s="346"/>
      <c r="CVA14" s="343" t="s">
        <v>45</v>
      </c>
      <c r="CVB14" s="344"/>
      <c r="CVC14" s="345">
        <v>0</v>
      </c>
      <c r="CVD14" s="346"/>
      <c r="CVE14" s="343" t="s">
        <v>45</v>
      </c>
      <c r="CVF14" s="344"/>
      <c r="CVG14" s="345"/>
      <c r="CVH14" s="346"/>
      <c r="CVI14" s="343" t="s">
        <v>45</v>
      </c>
      <c r="CVJ14" s="344"/>
      <c r="CVK14" s="345">
        <v>0</v>
      </c>
      <c r="CVL14" s="346"/>
      <c r="CVM14" s="343" t="s">
        <v>37</v>
      </c>
      <c r="CVN14" s="344"/>
      <c r="CVO14" s="345">
        <v>0</v>
      </c>
      <c r="CVP14" s="346"/>
      <c r="CVQ14" s="343" t="s">
        <v>42</v>
      </c>
      <c r="CVR14" s="344"/>
      <c r="CVS14" s="345">
        <v>0</v>
      </c>
      <c r="CVT14" s="346"/>
      <c r="CVU14" s="343" t="s">
        <v>42</v>
      </c>
      <c r="CVV14" s="344"/>
      <c r="CVW14" s="345"/>
      <c r="CVX14" s="346"/>
      <c r="CVY14" s="343" t="s">
        <v>42</v>
      </c>
      <c r="CVZ14" s="344"/>
      <c r="CWA14" s="345"/>
      <c r="CWB14" s="346"/>
      <c r="CWC14" s="343" t="s">
        <v>34</v>
      </c>
      <c r="CWD14" s="344"/>
      <c r="CWE14" s="345">
        <v>7740</v>
      </c>
      <c r="CWF14" s="346"/>
      <c r="CWG14" s="343" t="s">
        <v>45</v>
      </c>
      <c r="CWH14" s="344"/>
      <c r="CWI14" s="345">
        <v>0</v>
      </c>
      <c r="CWJ14" s="346"/>
      <c r="CWK14" s="343" t="s">
        <v>45</v>
      </c>
      <c r="CWL14" s="344"/>
      <c r="CWM14" s="345">
        <v>0</v>
      </c>
      <c r="CWN14" s="346"/>
      <c r="CWO14" s="343" t="s">
        <v>37</v>
      </c>
      <c r="CWP14" s="344"/>
      <c r="CWQ14" s="345">
        <v>0</v>
      </c>
      <c r="CWR14" s="346"/>
      <c r="CWS14" s="343" t="s">
        <v>37</v>
      </c>
      <c r="CWT14" s="344"/>
      <c r="CWU14" s="345"/>
      <c r="CWV14" s="346"/>
      <c r="CWW14" s="343" t="s">
        <v>42</v>
      </c>
      <c r="CWX14" s="344"/>
      <c r="CWY14" s="345">
        <v>0</v>
      </c>
      <c r="CWZ14" s="346"/>
      <c r="CXA14" s="372" t="s">
        <v>34</v>
      </c>
      <c r="CXB14" s="373"/>
      <c r="CXC14" s="374">
        <v>0</v>
      </c>
      <c r="CXD14" s="375"/>
      <c r="CXE14" s="372" t="s">
        <v>34</v>
      </c>
      <c r="CXF14" s="373"/>
      <c r="CXG14" s="374">
        <v>0</v>
      </c>
      <c r="CXH14" s="375"/>
      <c r="CXI14" s="372" t="s">
        <v>45</v>
      </c>
      <c r="CXJ14" s="373"/>
      <c r="CXK14" s="374">
        <v>0</v>
      </c>
      <c r="CXL14" s="375"/>
      <c r="CXM14" s="372" t="s">
        <v>37</v>
      </c>
      <c r="CXN14" s="373"/>
      <c r="CXO14" s="374">
        <v>0</v>
      </c>
      <c r="CXP14" s="375"/>
      <c r="CXQ14" s="372" t="s">
        <v>42</v>
      </c>
      <c r="CXR14" s="373"/>
      <c r="CXS14" s="374">
        <v>0</v>
      </c>
      <c r="CXT14" s="375"/>
      <c r="CXU14" s="26" t="s">
        <v>45</v>
      </c>
      <c r="CXW14" s="26">
        <v>0</v>
      </c>
      <c r="CXY14" s="26" t="s">
        <v>45</v>
      </c>
      <c r="CYA14" s="26">
        <v>0</v>
      </c>
      <c r="CYC14" s="26" t="s">
        <v>42</v>
      </c>
      <c r="CYE14" s="26">
        <v>0</v>
      </c>
      <c r="CYG14" s="26" t="s">
        <v>4</v>
      </c>
      <c r="CYK14" s="26" t="s">
        <v>4</v>
      </c>
      <c r="CYO14" s="26" t="s">
        <v>4</v>
      </c>
      <c r="CYS14" s="26" t="s">
        <v>4</v>
      </c>
      <c r="CYW14" s="26" t="s">
        <v>4</v>
      </c>
      <c r="CZA14" s="26" t="s">
        <v>4</v>
      </c>
      <c r="CZE14" s="26" t="s">
        <v>4</v>
      </c>
      <c r="CZI14" s="26" t="s">
        <v>4</v>
      </c>
      <c r="CZM14" s="26" t="s">
        <v>4</v>
      </c>
      <c r="CZQ14" s="26" t="s">
        <v>4</v>
      </c>
      <c r="CZU14" s="26" t="s">
        <v>4</v>
      </c>
      <c r="CZY14" s="26" t="s">
        <v>4</v>
      </c>
      <c r="DAC14" s="26" t="s">
        <v>4</v>
      </c>
      <c r="DAG14" s="26" t="s">
        <v>4</v>
      </c>
      <c r="DAK14" s="26" t="s">
        <v>4</v>
      </c>
      <c r="DAO14" s="26" t="s">
        <v>4</v>
      </c>
      <c r="DAS14" s="26" t="s">
        <v>4</v>
      </c>
      <c r="DAW14" s="26" t="s">
        <v>4</v>
      </c>
      <c r="DBA14" s="26" t="s">
        <v>4</v>
      </c>
      <c r="DBE14" s="26" t="s">
        <v>4</v>
      </c>
      <c r="DBI14" s="26" t="s">
        <v>4</v>
      </c>
      <c r="DBM14" s="26" t="s">
        <v>4</v>
      </c>
      <c r="DBQ14" s="26" t="s">
        <v>4</v>
      </c>
      <c r="DBU14" s="26" t="s">
        <v>4</v>
      </c>
      <c r="DBY14" s="26" t="s">
        <v>4</v>
      </c>
      <c r="DCC14" s="26" t="s">
        <v>4</v>
      </c>
      <c r="DCG14" s="26" t="s">
        <v>4</v>
      </c>
      <c r="DCK14" s="26" t="s">
        <v>4</v>
      </c>
      <c r="DCO14" s="26" t="s">
        <v>4</v>
      </c>
      <c r="DCS14" s="26" t="s">
        <v>4</v>
      </c>
      <c r="DCW14" s="26" t="s">
        <v>4</v>
      </c>
      <c r="DDA14" s="26" t="s">
        <v>4</v>
      </c>
      <c r="DDE14" s="26" t="s">
        <v>34</v>
      </c>
      <c r="DDG14" s="26">
        <v>10279</v>
      </c>
      <c r="DDI14" s="26" t="s">
        <v>41</v>
      </c>
      <c r="DDK14" s="26">
        <v>0</v>
      </c>
      <c r="DDM14" s="26" t="s">
        <v>37</v>
      </c>
      <c r="DDO14" s="26">
        <v>0</v>
      </c>
      <c r="DDQ14" s="26" t="s">
        <v>35</v>
      </c>
      <c r="DDS14" s="26">
        <v>14384</v>
      </c>
    </row>
    <row r="15" spans="1:2828" x14ac:dyDescent="0.25">
      <c r="A15" s="267" t="s">
        <v>5</v>
      </c>
      <c r="B15" s="268"/>
      <c r="C15" s="269"/>
      <c r="D15" s="239">
        <v>16524</v>
      </c>
      <c r="E15" s="240"/>
      <c r="F15" s="267" t="s">
        <v>5</v>
      </c>
      <c r="G15" s="268"/>
      <c r="H15" s="269"/>
      <c r="I15" s="239">
        <v>4506</v>
      </c>
      <c r="J15" s="240"/>
      <c r="K15" s="267" t="s">
        <v>5</v>
      </c>
      <c r="L15" s="268"/>
      <c r="M15" s="269"/>
      <c r="N15" s="239">
        <v>0</v>
      </c>
      <c r="O15" s="240"/>
      <c r="P15" s="267" t="s">
        <v>5</v>
      </c>
      <c r="Q15" s="268"/>
      <c r="R15" s="269"/>
      <c r="S15" s="239">
        <v>2016.5</v>
      </c>
      <c r="T15" s="240"/>
      <c r="U15" s="267" t="s">
        <v>5</v>
      </c>
      <c r="V15" s="268"/>
      <c r="W15" s="269"/>
      <c r="X15" s="239">
        <v>5840</v>
      </c>
      <c r="Y15" s="240"/>
      <c r="Z15" s="267" t="s">
        <v>5</v>
      </c>
      <c r="AA15" s="268"/>
      <c r="AB15" s="269"/>
      <c r="AC15" s="239">
        <v>19530</v>
      </c>
      <c r="AD15" s="240"/>
      <c r="AE15" s="267" t="s">
        <v>5</v>
      </c>
      <c r="AF15" s="268"/>
      <c r="AG15" s="269"/>
      <c r="AH15" s="239">
        <v>10517</v>
      </c>
      <c r="AI15" s="240"/>
      <c r="AJ15" s="267" t="s">
        <v>5</v>
      </c>
      <c r="AK15" s="268"/>
      <c r="AL15" s="269"/>
      <c r="AM15" s="239">
        <v>0</v>
      </c>
      <c r="AN15" s="240"/>
      <c r="AO15" s="267" t="s">
        <v>5</v>
      </c>
      <c r="AP15" s="268"/>
      <c r="AQ15" s="269"/>
      <c r="AR15" s="239">
        <v>1502</v>
      </c>
      <c r="AS15" s="240"/>
      <c r="AT15" s="267" t="s">
        <v>5</v>
      </c>
      <c r="AU15" s="268"/>
      <c r="AV15" s="269"/>
      <c r="AW15" s="239">
        <v>4506</v>
      </c>
      <c r="AX15" s="240"/>
      <c r="AY15" s="267" t="s">
        <v>5</v>
      </c>
      <c r="AZ15" s="268"/>
      <c r="BA15" s="269"/>
      <c r="BB15" s="239">
        <v>3208</v>
      </c>
      <c r="BC15" s="240"/>
      <c r="BD15" s="267" t="s">
        <v>5</v>
      </c>
      <c r="BE15" s="268"/>
      <c r="BF15" s="269"/>
      <c r="BG15" s="239">
        <v>29060.5</v>
      </c>
      <c r="BH15" s="240"/>
      <c r="BI15" s="267" t="s">
        <v>5</v>
      </c>
      <c r="BJ15" s="268"/>
      <c r="BK15" s="269"/>
      <c r="BL15" s="239">
        <v>8299.5</v>
      </c>
      <c r="BM15" s="240"/>
      <c r="BN15" s="267" t="s">
        <v>5</v>
      </c>
      <c r="BO15" s="268"/>
      <c r="BP15" s="269"/>
      <c r="BQ15" s="239">
        <v>13521.5</v>
      </c>
      <c r="BR15" s="240"/>
      <c r="BS15" s="267" t="s">
        <v>5</v>
      </c>
      <c r="BT15" s="268"/>
      <c r="BU15" s="269"/>
      <c r="BV15" s="239">
        <v>6010</v>
      </c>
      <c r="BW15" s="240"/>
      <c r="BX15" s="267" t="s">
        <v>5</v>
      </c>
      <c r="BY15" s="268"/>
      <c r="BZ15" s="269"/>
      <c r="CA15" s="239">
        <v>0</v>
      </c>
      <c r="CB15" s="240"/>
      <c r="CC15" s="267" t="s">
        <v>5</v>
      </c>
      <c r="CD15" s="268"/>
      <c r="CE15" s="269"/>
      <c r="CF15" s="239">
        <v>9014</v>
      </c>
      <c r="CG15" s="240"/>
      <c r="CH15" s="267" t="s">
        <v>5</v>
      </c>
      <c r="CI15" s="268"/>
      <c r="CJ15" s="269"/>
      <c r="CK15" s="239">
        <v>7057.75</v>
      </c>
      <c r="CL15" s="240"/>
      <c r="CM15" s="267" t="s">
        <v>5</v>
      </c>
      <c r="CN15" s="268"/>
      <c r="CO15" s="269"/>
      <c r="CP15" s="239">
        <v>15023</v>
      </c>
      <c r="CQ15" s="240"/>
      <c r="CR15" s="267" t="s">
        <v>5</v>
      </c>
      <c r="CS15" s="268"/>
      <c r="CT15" s="269"/>
      <c r="CU15" s="239">
        <v>7172</v>
      </c>
      <c r="CV15" s="240"/>
      <c r="CW15" s="267" t="s">
        <v>5</v>
      </c>
      <c r="CX15" s="268"/>
      <c r="CY15" s="269"/>
      <c r="CZ15" s="239">
        <v>18172</v>
      </c>
      <c r="DA15" s="240"/>
      <c r="DB15" s="267" t="s">
        <v>5</v>
      </c>
      <c r="DC15" s="268"/>
      <c r="DD15" s="269"/>
      <c r="DE15" s="239">
        <v>0</v>
      </c>
      <c r="DF15" s="240"/>
      <c r="DG15" s="267" t="s">
        <v>5</v>
      </c>
      <c r="DH15" s="268"/>
      <c r="DI15" s="269"/>
      <c r="DJ15" s="239">
        <v>0</v>
      </c>
      <c r="DK15" s="240"/>
      <c r="DL15" s="267" t="s">
        <v>5</v>
      </c>
      <c r="DM15" s="268"/>
      <c r="DN15" s="269"/>
      <c r="DO15" s="239">
        <v>0</v>
      </c>
      <c r="DP15" s="240"/>
      <c r="DQ15" s="267" t="s">
        <v>5</v>
      </c>
      <c r="DR15" s="268"/>
      <c r="DS15" s="269"/>
      <c r="DT15" s="239">
        <v>1502</v>
      </c>
      <c r="DU15" s="240"/>
      <c r="DV15" s="267" t="s">
        <v>5</v>
      </c>
      <c r="DW15" s="268"/>
      <c r="DX15" s="269"/>
      <c r="DY15" s="239">
        <v>30700.25</v>
      </c>
      <c r="DZ15" s="240"/>
      <c r="EA15" s="267" t="s">
        <v>5</v>
      </c>
      <c r="EB15" s="268"/>
      <c r="EC15" s="269"/>
      <c r="ED15" s="239">
        <v>43566</v>
      </c>
      <c r="EE15" s="240"/>
      <c r="EF15" s="267" t="s">
        <v>5</v>
      </c>
      <c r="EG15" s="268"/>
      <c r="EH15" s="269"/>
      <c r="EI15" s="239">
        <v>10516</v>
      </c>
      <c r="EJ15" s="240"/>
      <c r="EK15" s="267" t="s">
        <v>5</v>
      </c>
      <c r="EL15" s="268"/>
      <c r="EM15" s="269"/>
      <c r="EN15" s="239">
        <v>33052</v>
      </c>
      <c r="EO15" s="240"/>
      <c r="EP15" s="267" t="s">
        <v>5</v>
      </c>
      <c r="EQ15" s="268"/>
      <c r="ER15" s="269"/>
      <c r="ES15" s="239">
        <v>802</v>
      </c>
      <c r="ET15" s="240"/>
      <c r="EU15" s="267" t="s">
        <v>5</v>
      </c>
      <c r="EV15" s="268"/>
      <c r="EW15" s="269"/>
      <c r="EX15" s="239">
        <v>9013</v>
      </c>
      <c r="EY15" s="240"/>
      <c r="EZ15" s="267" t="s">
        <v>5</v>
      </c>
      <c r="FA15" s="268"/>
      <c r="FB15" s="269"/>
      <c r="FC15" s="239">
        <v>4592</v>
      </c>
      <c r="FD15" s="240"/>
      <c r="FE15" s="267" t="s">
        <v>5</v>
      </c>
      <c r="FF15" s="268"/>
      <c r="FG15" s="269"/>
      <c r="FH15" s="239">
        <v>5535</v>
      </c>
      <c r="FI15" s="240"/>
      <c r="FJ15" s="267" t="s">
        <v>5</v>
      </c>
      <c r="FK15" s="268"/>
      <c r="FL15" s="269"/>
      <c r="FM15" s="239">
        <v>19529</v>
      </c>
      <c r="FN15" s="240"/>
      <c r="FO15" s="267" t="s">
        <v>5</v>
      </c>
      <c r="FP15" s="268"/>
      <c r="FQ15" s="269"/>
      <c r="FR15" s="239">
        <v>11182.1</v>
      </c>
      <c r="FS15" s="240"/>
      <c r="FT15" s="267" t="s">
        <v>5</v>
      </c>
      <c r="FU15" s="268"/>
      <c r="FV15" s="269"/>
      <c r="FW15" s="239">
        <v>20475.400000000001</v>
      </c>
      <c r="FX15" s="240"/>
      <c r="FY15" s="267" t="s">
        <v>5</v>
      </c>
      <c r="FZ15" s="268"/>
      <c r="GA15" s="269"/>
      <c r="GB15" s="239">
        <v>0</v>
      </c>
      <c r="GC15" s="240"/>
      <c r="GD15" s="267" t="s">
        <v>5</v>
      </c>
      <c r="GE15" s="268"/>
      <c r="GF15" s="269"/>
      <c r="GG15" s="239">
        <v>1574</v>
      </c>
      <c r="GH15" s="240"/>
      <c r="GI15" s="267" t="s">
        <v>5</v>
      </c>
      <c r="GJ15" s="268"/>
      <c r="GK15" s="269"/>
      <c r="GL15" s="239">
        <v>4507</v>
      </c>
      <c r="GM15" s="240"/>
      <c r="GN15" s="267" t="s">
        <v>5</v>
      </c>
      <c r="GO15" s="268"/>
      <c r="GP15" s="269"/>
      <c r="GQ15" s="239">
        <v>0</v>
      </c>
      <c r="GR15" s="240"/>
      <c r="GS15" s="267" t="s">
        <v>5</v>
      </c>
      <c r="GT15" s="268"/>
      <c r="GU15" s="269"/>
      <c r="GV15" s="239">
        <v>6008</v>
      </c>
      <c r="GW15" s="240"/>
      <c r="GX15" s="267" t="s">
        <v>5</v>
      </c>
      <c r="GY15" s="268"/>
      <c r="GZ15" s="269"/>
      <c r="HA15" s="239">
        <v>17040.5</v>
      </c>
      <c r="HB15" s="240"/>
      <c r="HC15" s="267" t="s">
        <v>5</v>
      </c>
      <c r="HD15" s="268"/>
      <c r="HE15" s="269"/>
      <c r="HF15" s="239">
        <v>40561</v>
      </c>
      <c r="HG15" s="240"/>
      <c r="HH15" s="267" t="s">
        <v>5</v>
      </c>
      <c r="HI15" s="268"/>
      <c r="HJ15" s="269"/>
      <c r="HK15" s="239">
        <v>0</v>
      </c>
      <c r="HL15" s="240"/>
      <c r="HM15" s="267" t="s">
        <v>5</v>
      </c>
      <c r="HN15" s="268"/>
      <c r="HO15" s="269"/>
      <c r="HP15" s="239">
        <v>9014</v>
      </c>
      <c r="HQ15" s="240"/>
      <c r="HR15" s="267" t="s">
        <v>5</v>
      </c>
      <c r="HS15" s="268"/>
      <c r="HT15" s="269"/>
      <c r="HU15" s="239">
        <v>15024</v>
      </c>
      <c r="HV15" s="240"/>
      <c r="HW15" s="267" t="s">
        <v>5</v>
      </c>
      <c r="HX15" s="268"/>
      <c r="HY15" s="269"/>
      <c r="HZ15" s="239">
        <v>49648</v>
      </c>
      <c r="IA15" s="240"/>
      <c r="IB15" s="267" t="s">
        <v>5</v>
      </c>
      <c r="IC15" s="268"/>
      <c r="ID15" s="269"/>
      <c r="IE15" s="239">
        <v>48074</v>
      </c>
      <c r="IF15" s="240"/>
      <c r="IG15" s="267" t="s">
        <v>5</v>
      </c>
      <c r="IH15" s="268"/>
      <c r="II15" s="269"/>
      <c r="IJ15" s="239">
        <v>39059</v>
      </c>
      <c r="IK15" s="240"/>
      <c r="IL15" s="267" t="s">
        <v>5</v>
      </c>
      <c r="IM15" s="268"/>
      <c r="IN15" s="269"/>
      <c r="IO15" s="239">
        <v>15023</v>
      </c>
      <c r="IP15" s="240"/>
      <c r="IQ15" s="267" t="s">
        <v>5</v>
      </c>
      <c r="IR15" s="268"/>
      <c r="IS15" s="269"/>
      <c r="IT15" s="239">
        <v>6010</v>
      </c>
      <c r="IU15" s="240"/>
      <c r="IV15" s="267" t="s">
        <v>5</v>
      </c>
      <c r="IW15" s="268"/>
      <c r="IX15" s="269"/>
      <c r="IY15" s="239">
        <v>7512</v>
      </c>
      <c r="IZ15" s="240"/>
      <c r="JA15" s="267" t="s">
        <v>5</v>
      </c>
      <c r="JB15" s="268"/>
      <c r="JC15" s="269"/>
      <c r="JD15" s="239">
        <v>0</v>
      </c>
      <c r="JE15" s="240"/>
      <c r="JF15" s="267" t="s">
        <v>5</v>
      </c>
      <c r="JG15" s="268"/>
      <c r="JH15" s="269"/>
      <c r="JI15" s="239">
        <v>0</v>
      </c>
      <c r="JJ15" s="240"/>
      <c r="JK15" s="267" t="s">
        <v>5</v>
      </c>
      <c r="JL15" s="268"/>
      <c r="JM15" s="269"/>
      <c r="JN15" s="239">
        <v>17040.5</v>
      </c>
      <c r="JO15" s="240"/>
      <c r="JP15" s="267" t="s">
        <v>5</v>
      </c>
      <c r="JQ15" s="268"/>
      <c r="JR15" s="269"/>
      <c r="JS15" s="239">
        <v>4507</v>
      </c>
      <c r="JT15" s="240"/>
      <c r="JU15" s="267" t="s">
        <v>5</v>
      </c>
      <c r="JV15" s="268"/>
      <c r="JW15" s="269"/>
      <c r="JX15" s="239">
        <v>7512</v>
      </c>
      <c r="JY15" s="240"/>
      <c r="JZ15" s="267" t="s">
        <v>5</v>
      </c>
      <c r="KA15" s="268"/>
      <c r="KB15" s="269"/>
      <c r="KC15" s="239">
        <v>18028</v>
      </c>
      <c r="KD15" s="240"/>
      <c r="KE15" s="267" t="s">
        <v>5</v>
      </c>
      <c r="KF15" s="268"/>
      <c r="KG15" s="269"/>
      <c r="KH15" s="239">
        <v>3004</v>
      </c>
      <c r="KI15" s="240"/>
      <c r="KJ15" s="267" t="s">
        <v>5</v>
      </c>
      <c r="KK15" s="268"/>
      <c r="KL15" s="269"/>
      <c r="KM15" s="239">
        <v>3004</v>
      </c>
      <c r="KN15" s="240"/>
      <c r="KO15" s="267" t="s">
        <v>5</v>
      </c>
      <c r="KP15" s="268"/>
      <c r="KQ15" s="269"/>
      <c r="KR15" s="239">
        <v>2835</v>
      </c>
      <c r="KS15" s="240"/>
      <c r="KT15" s="267" t="s">
        <v>5</v>
      </c>
      <c r="KU15" s="268"/>
      <c r="KV15" s="269"/>
      <c r="KW15" s="239">
        <v>43567</v>
      </c>
      <c r="KX15" s="240"/>
      <c r="KY15" s="267" t="s">
        <v>5</v>
      </c>
      <c r="KZ15" s="268"/>
      <c r="LA15" s="269"/>
      <c r="LB15" s="239">
        <v>0</v>
      </c>
      <c r="LC15" s="240"/>
      <c r="LD15" s="267" t="s">
        <v>5</v>
      </c>
      <c r="LE15" s="268"/>
      <c r="LF15" s="269"/>
      <c r="LG15" s="239">
        <v>9013</v>
      </c>
      <c r="LH15" s="240"/>
      <c r="LI15" s="267" t="s">
        <v>5</v>
      </c>
      <c r="LJ15" s="268"/>
      <c r="LK15" s="269"/>
      <c r="LL15" s="239">
        <v>0</v>
      </c>
      <c r="LM15" s="240"/>
      <c r="LN15" s="267" t="s">
        <v>5</v>
      </c>
      <c r="LO15" s="268"/>
      <c r="LP15" s="269"/>
      <c r="LQ15" s="239">
        <v>3076</v>
      </c>
      <c r="LR15" s="240"/>
      <c r="LS15" s="267" t="s">
        <v>5</v>
      </c>
      <c r="LT15" s="268"/>
      <c r="LU15" s="269"/>
      <c r="LV15" s="239">
        <v>3148</v>
      </c>
      <c r="LW15" s="240"/>
      <c r="LX15" s="267" t="s">
        <v>5</v>
      </c>
      <c r="LY15" s="268"/>
      <c r="LZ15" s="269"/>
      <c r="MA15" s="239">
        <v>15094</v>
      </c>
      <c r="MB15" s="240"/>
      <c r="MC15" s="267" t="s">
        <v>5</v>
      </c>
      <c r="MD15" s="268"/>
      <c r="ME15" s="269"/>
      <c r="MF15" s="239">
        <v>13421</v>
      </c>
      <c r="MG15" s="240"/>
      <c r="MH15" s="267" t="s">
        <v>5</v>
      </c>
      <c r="MI15" s="268"/>
      <c r="MJ15" s="269"/>
      <c r="MK15" s="239">
        <v>15024</v>
      </c>
      <c r="ML15" s="240"/>
      <c r="MM15" s="267" t="s">
        <v>5</v>
      </c>
      <c r="MN15" s="268"/>
      <c r="MO15" s="269"/>
      <c r="MP15" s="239">
        <v>9013</v>
      </c>
      <c r="MQ15" s="240"/>
      <c r="MR15" s="267" t="s">
        <v>5</v>
      </c>
      <c r="MS15" s="268"/>
      <c r="MT15" s="269"/>
      <c r="MU15" s="239">
        <v>0</v>
      </c>
      <c r="MV15" s="240"/>
      <c r="MW15" s="267" t="s">
        <v>5</v>
      </c>
      <c r="MX15" s="268"/>
      <c r="MY15" s="269"/>
      <c r="MZ15" s="239">
        <v>0</v>
      </c>
      <c r="NA15" s="240"/>
      <c r="NB15" s="267" t="s">
        <v>5</v>
      </c>
      <c r="NC15" s="268"/>
      <c r="ND15" s="269"/>
      <c r="NE15" s="239">
        <v>3076</v>
      </c>
      <c r="NF15" s="240"/>
      <c r="NG15" s="267" t="s">
        <v>5</v>
      </c>
      <c r="NH15" s="268"/>
      <c r="NI15" s="269"/>
      <c r="NJ15" s="239">
        <v>4507</v>
      </c>
      <c r="NK15" s="240"/>
      <c r="NL15" s="267" t="s">
        <v>5</v>
      </c>
      <c r="NM15" s="268"/>
      <c r="NN15" s="269"/>
      <c r="NO15" s="239">
        <v>1574</v>
      </c>
      <c r="NP15" s="240"/>
      <c r="NQ15" s="267" t="s">
        <v>5</v>
      </c>
      <c r="NR15" s="268"/>
      <c r="NS15" s="269"/>
      <c r="NT15" s="239">
        <v>13423</v>
      </c>
      <c r="NU15" s="240"/>
      <c r="NV15" s="267" t="s">
        <v>5</v>
      </c>
      <c r="NW15" s="268"/>
      <c r="NX15" s="269"/>
      <c r="NY15" s="239">
        <v>4033</v>
      </c>
      <c r="NZ15" s="240"/>
      <c r="OA15" s="267" t="s">
        <v>5</v>
      </c>
      <c r="OB15" s="268"/>
      <c r="OC15" s="269"/>
      <c r="OD15" s="239">
        <v>14638.45</v>
      </c>
      <c r="OE15" s="240"/>
      <c r="OF15" s="267" t="s">
        <v>5</v>
      </c>
      <c r="OG15" s="268"/>
      <c r="OH15" s="269"/>
      <c r="OI15" s="239">
        <v>14638.45</v>
      </c>
      <c r="OJ15" s="240"/>
      <c r="OK15" s="267" t="s">
        <v>5</v>
      </c>
      <c r="OL15" s="268"/>
      <c r="OM15" s="269"/>
      <c r="ON15" s="239">
        <v>0</v>
      </c>
      <c r="OO15" s="240"/>
      <c r="OP15" s="267" t="s">
        <v>5</v>
      </c>
      <c r="OQ15" s="268"/>
      <c r="OR15" s="269"/>
      <c r="OS15" s="239">
        <v>0</v>
      </c>
      <c r="OT15" s="240"/>
      <c r="OU15" s="267" t="s">
        <v>5</v>
      </c>
      <c r="OV15" s="268"/>
      <c r="OW15" s="269"/>
      <c r="OX15" s="239">
        <v>3148</v>
      </c>
      <c r="OY15" s="240"/>
      <c r="OZ15" s="267" t="s">
        <v>5</v>
      </c>
      <c r="PA15" s="268"/>
      <c r="PB15" s="269"/>
      <c r="PC15" s="239">
        <v>27113</v>
      </c>
      <c r="PD15" s="240"/>
      <c r="PE15" s="267" t="s">
        <v>5</v>
      </c>
      <c r="PF15" s="268"/>
      <c r="PG15" s="269"/>
      <c r="PH15" s="239">
        <v>58188</v>
      </c>
      <c r="PI15" s="240"/>
      <c r="PJ15" s="267" t="s">
        <v>5</v>
      </c>
      <c r="PK15" s="268"/>
      <c r="PL15" s="269"/>
      <c r="PM15" s="239">
        <v>28540</v>
      </c>
      <c r="PN15" s="240"/>
      <c r="PO15" s="267" t="s">
        <v>5</v>
      </c>
      <c r="PP15" s="268"/>
      <c r="PQ15" s="269"/>
      <c r="PR15" s="239">
        <v>47757</v>
      </c>
      <c r="PS15" s="240"/>
      <c r="PT15" s="267" t="s">
        <v>5</v>
      </c>
      <c r="PU15" s="268"/>
      <c r="PV15" s="269"/>
      <c r="PW15" s="239">
        <v>16132</v>
      </c>
      <c r="PX15" s="240"/>
      <c r="PY15" s="267" t="s">
        <v>5</v>
      </c>
      <c r="PZ15" s="268"/>
      <c r="QA15" s="269"/>
      <c r="QB15" s="239">
        <v>1502</v>
      </c>
      <c r="QC15" s="240"/>
      <c r="QD15" s="267" t="s">
        <v>5</v>
      </c>
      <c r="QE15" s="268"/>
      <c r="QF15" s="269"/>
      <c r="QG15" s="239">
        <v>25982</v>
      </c>
      <c r="QH15" s="240"/>
      <c r="QI15" s="267" t="s">
        <v>5</v>
      </c>
      <c r="QJ15" s="268"/>
      <c r="QK15" s="269"/>
      <c r="QL15" s="239">
        <v>52721</v>
      </c>
      <c r="QM15" s="240"/>
      <c r="QN15" s="267" t="s">
        <v>5</v>
      </c>
      <c r="QO15" s="268"/>
      <c r="QP15" s="269"/>
      <c r="QQ15" s="239">
        <v>52721</v>
      </c>
      <c r="QR15" s="240"/>
      <c r="QS15" s="267" t="s">
        <v>5</v>
      </c>
      <c r="QT15" s="268"/>
      <c r="QU15" s="269"/>
      <c r="QV15" s="239">
        <v>70752</v>
      </c>
      <c r="QW15" s="240"/>
      <c r="QX15" s="267" t="s">
        <v>5</v>
      </c>
      <c r="QY15" s="268"/>
      <c r="QZ15" s="269"/>
      <c r="RA15" s="239">
        <v>67604</v>
      </c>
      <c r="RB15" s="240"/>
      <c r="RC15" s="267" t="s">
        <v>5</v>
      </c>
      <c r="RD15" s="268"/>
      <c r="RE15" s="269"/>
      <c r="RF15" s="239">
        <v>48073</v>
      </c>
      <c r="RG15" s="240"/>
      <c r="RH15" s="267" t="s">
        <v>5</v>
      </c>
      <c r="RI15" s="268"/>
      <c r="RJ15" s="269"/>
      <c r="RK15" s="239">
        <v>472.2</v>
      </c>
      <c r="RL15" s="240"/>
      <c r="RM15" s="267" t="s">
        <v>5</v>
      </c>
      <c r="RN15" s="268"/>
      <c r="RO15" s="269"/>
      <c r="RP15" s="239">
        <v>4033</v>
      </c>
      <c r="RQ15" s="240"/>
      <c r="RR15" s="267" t="s">
        <v>5</v>
      </c>
      <c r="RS15" s="268"/>
      <c r="RT15" s="269"/>
      <c r="RU15" s="239">
        <v>30188.5</v>
      </c>
      <c r="RV15" s="240"/>
      <c r="RW15" s="267" t="s">
        <v>5</v>
      </c>
      <c r="RX15" s="268"/>
      <c r="RY15" s="269"/>
      <c r="RZ15" s="239">
        <v>30188.5</v>
      </c>
      <c r="SA15" s="240"/>
      <c r="SB15" s="267" t="s">
        <v>5</v>
      </c>
      <c r="SC15" s="268"/>
      <c r="SD15" s="269"/>
      <c r="SE15" s="239">
        <v>37559</v>
      </c>
      <c r="SF15" s="240"/>
      <c r="SG15" s="267" t="s">
        <v>5</v>
      </c>
      <c r="SH15" s="268"/>
      <c r="SI15" s="269"/>
      <c r="SJ15" s="239">
        <v>18028</v>
      </c>
      <c r="SK15" s="240"/>
      <c r="SL15" s="267" t="s">
        <v>5</v>
      </c>
      <c r="SM15" s="268"/>
      <c r="SN15" s="269"/>
      <c r="SO15" s="239">
        <v>0</v>
      </c>
      <c r="SP15" s="240"/>
      <c r="SQ15" s="267" t="s">
        <v>5</v>
      </c>
      <c r="SR15" s="268"/>
      <c r="SS15" s="269"/>
      <c r="ST15" s="239">
        <v>34554</v>
      </c>
      <c r="SU15" s="240"/>
      <c r="SV15" s="267" t="s">
        <v>5</v>
      </c>
      <c r="SW15" s="268"/>
      <c r="SX15" s="269"/>
      <c r="SY15" s="239">
        <v>6009</v>
      </c>
      <c r="SZ15" s="240"/>
      <c r="TA15" s="267" t="s">
        <v>5</v>
      </c>
      <c r="TB15" s="268"/>
      <c r="TC15" s="269"/>
      <c r="TD15" s="239">
        <v>16818.75</v>
      </c>
      <c r="TE15" s="240"/>
      <c r="TF15" s="267" t="s">
        <v>5</v>
      </c>
      <c r="TG15" s="268"/>
      <c r="TH15" s="269"/>
      <c r="TI15" s="239">
        <v>11070</v>
      </c>
      <c r="TJ15" s="240"/>
      <c r="TK15" s="267" t="s">
        <v>5</v>
      </c>
      <c r="TL15" s="268"/>
      <c r="TM15" s="269"/>
      <c r="TN15" s="239">
        <v>21626.5</v>
      </c>
      <c r="TO15" s="240"/>
      <c r="TP15" s="267" t="s">
        <v>5</v>
      </c>
      <c r="TQ15" s="268"/>
      <c r="TR15" s="269"/>
      <c r="TS15" s="239">
        <v>11763.5</v>
      </c>
      <c r="TT15" s="240"/>
      <c r="TU15" s="267" t="s">
        <v>5</v>
      </c>
      <c r="TV15" s="268"/>
      <c r="TW15" s="269"/>
      <c r="TX15" s="239">
        <v>18780</v>
      </c>
      <c r="TY15" s="240"/>
      <c r="TZ15" s="267" t="s">
        <v>5</v>
      </c>
      <c r="UA15" s="268"/>
      <c r="UB15" s="269"/>
      <c r="UC15" s="239">
        <v>37703</v>
      </c>
      <c r="UD15" s="240"/>
      <c r="UE15" s="267" t="s">
        <v>5</v>
      </c>
      <c r="UF15" s="268"/>
      <c r="UG15" s="269"/>
      <c r="UH15" s="239">
        <v>36201</v>
      </c>
      <c r="UI15" s="240"/>
      <c r="UJ15" s="267" t="s">
        <v>5</v>
      </c>
      <c r="UK15" s="268"/>
      <c r="UL15" s="269"/>
      <c r="UM15" s="239">
        <v>15024</v>
      </c>
      <c r="UN15" s="240"/>
      <c r="UO15" s="267" t="s">
        <v>5</v>
      </c>
      <c r="UP15" s="268"/>
      <c r="UQ15" s="269"/>
      <c r="UR15" s="239">
        <v>12018</v>
      </c>
      <c r="US15" s="240"/>
      <c r="UT15" s="267" t="s">
        <v>5</v>
      </c>
      <c r="UU15" s="268"/>
      <c r="UV15" s="269"/>
      <c r="UW15" s="239">
        <v>6009</v>
      </c>
      <c r="UX15" s="240"/>
      <c r="UY15" s="267" t="s">
        <v>5</v>
      </c>
      <c r="UZ15" s="268"/>
      <c r="VA15" s="269"/>
      <c r="VB15" s="239">
        <v>22027</v>
      </c>
      <c r="VC15" s="240"/>
      <c r="VD15" s="267" t="s">
        <v>5</v>
      </c>
      <c r="VE15" s="268"/>
      <c r="VF15" s="269"/>
      <c r="VG15" s="239">
        <v>21030</v>
      </c>
      <c r="VH15" s="240"/>
      <c r="VI15" s="267" t="s">
        <v>5</v>
      </c>
      <c r="VJ15" s="268"/>
      <c r="VK15" s="269"/>
      <c r="VL15" s="239">
        <v>0</v>
      </c>
      <c r="VM15" s="240"/>
      <c r="VN15" s="267" t="s">
        <v>5</v>
      </c>
      <c r="VO15" s="268"/>
      <c r="VP15" s="269"/>
      <c r="VQ15" s="239">
        <v>15023</v>
      </c>
      <c r="VR15" s="240"/>
      <c r="VS15" s="267" t="s">
        <v>5</v>
      </c>
      <c r="VT15" s="268"/>
      <c r="VU15" s="269"/>
      <c r="VV15" s="239">
        <v>31836</v>
      </c>
      <c r="VW15" s="240"/>
      <c r="VX15" s="267" t="s">
        <v>5</v>
      </c>
      <c r="VY15" s="268"/>
      <c r="VZ15" s="269"/>
      <c r="WA15" s="239">
        <v>16526</v>
      </c>
      <c r="WB15" s="240"/>
      <c r="WC15" s="267" t="s">
        <v>5</v>
      </c>
      <c r="WD15" s="268"/>
      <c r="WE15" s="269"/>
      <c r="WF15" s="239">
        <v>10516</v>
      </c>
      <c r="WG15" s="240"/>
      <c r="WH15" s="267" t="s">
        <v>5</v>
      </c>
      <c r="WI15" s="268"/>
      <c r="WJ15" s="269"/>
      <c r="WK15" s="239">
        <v>4507</v>
      </c>
      <c r="WL15" s="240"/>
      <c r="WM15" s="267" t="s">
        <v>5</v>
      </c>
      <c r="WN15" s="268"/>
      <c r="WO15" s="269"/>
      <c r="WP15" s="239">
        <v>17264.5</v>
      </c>
      <c r="WQ15" s="240"/>
      <c r="WR15" s="267" t="s">
        <v>5</v>
      </c>
      <c r="WS15" s="268"/>
      <c r="WT15" s="269"/>
      <c r="WU15" s="239">
        <v>15021</v>
      </c>
      <c r="WV15" s="240"/>
      <c r="WW15" s="267" t="s">
        <v>5</v>
      </c>
      <c r="WX15" s="268"/>
      <c r="WY15" s="269"/>
      <c r="WZ15" s="239">
        <v>6080</v>
      </c>
      <c r="XA15" s="240"/>
      <c r="XB15" s="267" t="s">
        <v>5</v>
      </c>
      <c r="XC15" s="268"/>
      <c r="XD15" s="269"/>
      <c r="XE15" s="239">
        <v>0</v>
      </c>
      <c r="XF15" s="240"/>
      <c r="XG15" s="267" t="s">
        <v>5</v>
      </c>
      <c r="XH15" s="268"/>
      <c r="XI15" s="269"/>
      <c r="XJ15" s="239">
        <v>16525</v>
      </c>
      <c r="XK15" s="240"/>
      <c r="XL15" s="267" t="s">
        <v>5</v>
      </c>
      <c r="XM15" s="268"/>
      <c r="XN15" s="269"/>
      <c r="XO15" s="239">
        <v>3004</v>
      </c>
      <c r="XP15" s="240"/>
      <c r="XQ15" s="267" t="s">
        <v>5</v>
      </c>
      <c r="XR15" s="268"/>
      <c r="XS15" s="269"/>
      <c r="XT15" s="239">
        <v>0</v>
      </c>
      <c r="XU15" s="240"/>
      <c r="XV15" s="267" t="s">
        <v>5</v>
      </c>
      <c r="XW15" s="268"/>
      <c r="XX15" s="269"/>
      <c r="XY15" s="239">
        <v>9014</v>
      </c>
      <c r="XZ15" s="240"/>
      <c r="YA15" s="267" t="s">
        <v>5</v>
      </c>
      <c r="YB15" s="268"/>
      <c r="YC15" s="269"/>
      <c r="YD15" s="239">
        <v>0</v>
      </c>
      <c r="YE15" s="240"/>
      <c r="YF15" s="267" t="s">
        <v>5</v>
      </c>
      <c r="YG15" s="268"/>
      <c r="YH15" s="269"/>
      <c r="YI15" s="239">
        <v>0</v>
      </c>
      <c r="YJ15" s="240"/>
      <c r="YK15" s="267" t="s">
        <v>5</v>
      </c>
      <c r="YL15" s="268"/>
      <c r="YM15" s="269"/>
      <c r="YN15" s="239">
        <v>4033</v>
      </c>
      <c r="YO15" s="240"/>
      <c r="YP15" s="267" t="s">
        <v>5</v>
      </c>
      <c r="YQ15" s="268"/>
      <c r="YR15" s="269"/>
      <c r="YS15" s="239">
        <v>4442.25</v>
      </c>
      <c r="YT15" s="240"/>
      <c r="YU15" s="267" t="s">
        <v>5</v>
      </c>
      <c r="YV15" s="268"/>
      <c r="YW15" s="269"/>
      <c r="YX15" s="239">
        <v>17706</v>
      </c>
      <c r="YY15" s="240"/>
      <c r="YZ15" s="267" t="s">
        <v>5</v>
      </c>
      <c r="ZA15" s="268"/>
      <c r="ZB15" s="269"/>
      <c r="ZC15" s="239">
        <v>0</v>
      </c>
      <c r="ZD15" s="240"/>
      <c r="ZE15" s="267" t="s">
        <v>5</v>
      </c>
      <c r="ZF15" s="268"/>
      <c r="ZG15" s="269"/>
      <c r="ZH15" s="239">
        <v>12018</v>
      </c>
      <c r="ZI15" s="240"/>
      <c r="ZJ15" s="267" t="s">
        <v>5</v>
      </c>
      <c r="ZK15" s="268"/>
      <c r="ZL15" s="269"/>
      <c r="ZM15" s="239">
        <v>0</v>
      </c>
      <c r="ZN15" s="240"/>
      <c r="ZO15" s="267" t="s">
        <v>5</v>
      </c>
      <c r="ZP15" s="268"/>
      <c r="ZQ15" s="269"/>
      <c r="ZR15" s="239">
        <v>3005</v>
      </c>
      <c r="ZS15" s="240"/>
      <c r="ZT15" s="267" t="s">
        <v>5</v>
      </c>
      <c r="ZU15" s="268"/>
      <c r="ZV15" s="269"/>
      <c r="ZW15" s="239">
        <v>0</v>
      </c>
      <c r="ZX15" s="240"/>
      <c r="ZY15" s="267" t="s">
        <v>5</v>
      </c>
      <c r="ZZ15" s="268"/>
      <c r="AAA15" s="269"/>
      <c r="AAB15" s="239">
        <v>0</v>
      </c>
      <c r="AAC15" s="240"/>
      <c r="AAD15" s="267" t="s">
        <v>5</v>
      </c>
      <c r="AAE15" s="268"/>
      <c r="AAF15" s="269"/>
      <c r="AAG15" s="239">
        <v>15525</v>
      </c>
      <c r="AAH15" s="240"/>
      <c r="AAI15" s="267" t="s">
        <v>5</v>
      </c>
      <c r="AAJ15" s="268"/>
      <c r="AAK15" s="269"/>
      <c r="AAL15" s="239">
        <v>0</v>
      </c>
      <c r="AAM15" s="240"/>
      <c r="AAN15" s="267" t="s">
        <v>5</v>
      </c>
      <c r="AAO15" s="268"/>
      <c r="AAP15" s="269"/>
      <c r="AAQ15" s="239">
        <v>1574</v>
      </c>
      <c r="AAR15" s="240"/>
      <c r="AAS15" s="267" t="s">
        <v>5</v>
      </c>
      <c r="AAT15" s="268"/>
      <c r="AAU15" s="269"/>
      <c r="AAV15" s="239">
        <v>75119</v>
      </c>
      <c r="AAW15" s="240"/>
      <c r="AAX15" s="267" t="s">
        <v>5</v>
      </c>
      <c r="AAY15" s="268"/>
      <c r="AAZ15" s="269"/>
      <c r="ABA15" s="239">
        <v>100655</v>
      </c>
      <c r="ABB15" s="240"/>
      <c r="ABC15" s="267" t="s">
        <v>5</v>
      </c>
      <c r="ABD15" s="268"/>
      <c r="ABE15" s="269"/>
      <c r="ABF15" s="239">
        <v>99294</v>
      </c>
      <c r="ABG15" s="240"/>
      <c r="ABH15" s="267" t="s">
        <v>5</v>
      </c>
      <c r="ABI15" s="268"/>
      <c r="ABJ15" s="269"/>
      <c r="ABK15" s="239">
        <v>97722</v>
      </c>
      <c r="ABL15" s="240"/>
      <c r="ABM15" s="267" t="s">
        <v>5</v>
      </c>
      <c r="ABN15" s="268"/>
      <c r="ABO15" s="269"/>
      <c r="ABP15" s="239">
        <v>16439.5</v>
      </c>
      <c r="ABQ15" s="240"/>
      <c r="ABR15" s="267" t="s">
        <v>5</v>
      </c>
      <c r="ABS15" s="268"/>
      <c r="ABT15" s="269"/>
      <c r="ABU15" s="239">
        <v>37559</v>
      </c>
      <c r="ABV15" s="240"/>
      <c r="ABW15" s="267" t="s">
        <v>5</v>
      </c>
      <c r="ABX15" s="268"/>
      <c r="ABY15" s="269"/>
      <c r="ABZ15" s="239">
        <v>45071</v>
      </c>
      <c r="ACA15" s="240"/>
      <c r="ACB15" s="267" t="s">
        <v>5</v>
      </c>
      <c r="ACC15" s="268"/>
      <c r="ACD15" s="269"/>
      <c r="ACE15" s="239">
        <v>22364</v>
      </c>
      <c r="ACF15" s="240"/>
      <c r="ACG15" s="267" t="s">
        <v>5</v>
      </c>
      <c r="ACH15" s="268"/>
      <c r="ACI15" s="269"/>
      <c r="ACJ15" s="239">
        <v>27182</v>
      </c>
      <c r="ACK15" s="240"/>
      <c r="ACL15" s="267" t="s">
        <v>5</v>
      </c>
      <c r="ACM15" s="268"/>
      <c r="ACN15" s="269"/>
      <c r="ACO15" s="239">
        <v>44948.5</v>
      </c>
      <c r="ACP15" s="240"/>
      <c r="ACQ15" s="267" t="s">
        <v>5</v>
      </c>
      <c r="ACR15" s="268"/>
      <c r="ACS15" s="269"/>
      <c r="ACT15" s="239">
        <v>44948.5</v>
      </c>
      <c r="ACU15" s="240"/>
      <c r="ACV15" s="267" t="s">
        <v>5</v>
      </c>
      <c r="ACW15" s="268"/>
      <c r="ACX15" s="269"/>
      <c r="ACY15" s="239">
        <v>34553</v>
      </c>
      <c r="ACZ15" s="240"/>
      <c r="ADA15" s="267" t="s">
        <v>5</v>
      </c>
      <c r="ADB15" s="268"/>
      <c r="ADC15" s="269"/>
      <c r="ADD15" s="239">
        <v>51154</v>
      </c>
      <c r="ADE15" s="240"/>
      <c r="ADF15" s="267" t="s">
        <v>5</v>
      </c>
      <c r="ADG15" s="268"/>
      <c r="ADH15" s="269"/>
      <c r="ADI15" s="239">
        <v>22537</v>
      </c>
      <c r="ADJ15" s="240"/>
      <c r="ADK15" s="267" t="s">
        <v>5</v>
      </c>
      <c r="ADL15" s="268"/>
      <c r="ADM15" s="269"/>
      <c r="ADN15" s="239">
        <v>18029</v>
      </c>
      <c r="ADO15" s="240"/>
      <c r="ADP15" s="267" t="s">
        <v>5</v>
      </c>
      <c r="ADQ15" s="268"/>
      <c r="ADR15" s="269"/>
      <c r="ADS15" s="239">
        <v>30047</v>
      </c>
      <c r="ADT15" s="240"/>
      <c r="ADU15" s="267" t="s">
        <v>5</v>
      </c>
      <c r="ADV15" s="268"/>
      <c r="ADW15" s="269"/>
      <c r="ADX15" s="239">
        <v>40563</v>
      </c>
      <c r="ADY15" s="240"/>
      <c r="ADZ15" s="267" t="s">
        <v>5</v>
      </c>
      <c r="AEA15" s="268"/>
      <c r="AEB15" s="269"/>
      <c r="AEC15" s="239">
        <v>39491</v>
      </c>
      <c r="AED15" s="240"/>
      <c r="AEE15" s="267" t="s">
        <v>5</v>
      </c>
      <c r="AEF15" s="268"/>
      <c r="AEG15" s="269"/>
      <c r="AEH15" s="239">
        <v>4579</v>
      </c>
      <c r="AEI15" s="240"/>
      <c r="AEJ15" s="267" t="s">
        <v>5</v>
      </c>
      <c r="AEK15" s="268"/>
      <c r="AEL15" s="269"/>
      <c r="AEM15" s="239">
        <v>9014</v>
      </c>
      <c r="AEN15" s="240"/>
      <c r="AEO15" s="267" t="s">
        <v>5</v>
      </c>
      <c r="AEP15" s="268"/>
      <c r="AEQ15" s="269"/>
      <c r="AER15" s="239">
        <v>10517</v>
      </c>
      <c r="AES15" s="240"/>
      <c r="AET15" s="267" t="s">
        <v>5</v>
      </c>
      <c r="AEU15" s="268"/>
      <c r="AEV15" s="269"/>
      <c r="AEW15" s="239">
        <v>54156</v>
      </c>
      <c r="AEX15" s="240"/>
      <c r="AEY15" s="267" t="s">
        <v>5</v>
      </c>
      <c r="AEZ15" s="268"/>
      <c r="AFA15" s="269"/>
      <c r="AFB15" s="239">
        <v>32576</v>
      </c>
      <c r="AFC15" s="240"/>
      <c r="AFD15" s="267" t="s">
        <v>5</v>
      </c>
      <c r="AFE15" s="268"/>
      <c r="AFF15" s="269"/>
      <c r="AFG15" s="239">
        <v>68277.5</v>
      </c>
      <c r="AFH15" s="240"/>
      <c r="AFI15" s="267" t="s">
        <v>5</v>
      </c>
      <c r="AFJ15" s="268"/>
      <c r="AFK15" s="269"/>
      <c r="AFL15" s="239">
        <v>15109.5</v>
      </c>
      <c r="AFM15" s="240"/>
      <c r="AFN15" s="267" t="s">
        <v>5</v>
      </c>
      <c r="AFO15" s="268"/>
      <c r="AFP15" s="269"/>
      <c r="AFQ15" s="239">
        <v>7257.5</v>
      </c>
      <c r="AFR15" s="240"/>
      <c r="AFS15" s="267" t="s">
        <v>5</v>
      </c>
      <c r="AFT15" s="268"/>
      <c r="AFU15" s="269"/>
      <c r="AFV15" s="239">
        <v>42065</v>
      </c>
      <c r="AFW15" s="240"/>
      <c r="AFX15" s="267" t="s">
        <v>5</v>
      </c>
      <c r="AFY15" s="268"/>
      <c r="AFZ15" s="269"/>
      <c r="AGA15" s="239">
        <v>68121.5</v>
      </c>
      <c r="AGB15" s="240"/>
      <c r="AGC15" s="267" t="s">
        <v>5</v>
      </c>
      <c r="AGD15" s="268"/>
      <c r="AGE15" s="269"/>
      <c r="AGF15" s="239">
        <v>1008.25</v>
      </c>
      <c r="AGG15" s="240"/>
      <c r="AGH15" s="267" t="s">
        <v>5</v>
      </c>
      <c r="AGI15" s="268"/>
      <c r="AGJ15" s="269"/>
      <c r="AGK15" s="239">
        <v>43641</v>
      </c>
      <c r="AGL15" s="240"/>
      <c r="AGM15" s="267" t="s">
        <v>5</v>
      </c>
      <c r="AGN15" s="268"/>
      <c r="AGO15" s="269"/>
      <c r="AGP15" s="239">
        <v>24039</v>
      </c>
      <c r="AGQ15" s="240"/>
      <c r="AGR15" s="267" t="s">
        <v>5</v>
      </c>
      <c r="AGS15" s="268"/>
      <c r="AGT15" s="269"/>
      <c r="AGU15" s="239">
        <v>37559</v>
      </c>
      <c r="AGV15" s="240"/>
      <c r="AGW15" s="267" t="s">
        <v>5</v>
      </c>
      <c r="AGX15" s="268"/>
      <c r="AGY15" s="269"/>
      <c r="AGZ15" s="239">
        <v>0</v>
      </c>
      <c r="AHA15" s="240"/>
      <c r="AHB15" s="267" t="s">
        <v>5</v>
      </c>
      <c r="AHC15" s="268"/>
      <c r="AHD15" s="269"/>
      <c r="AHE15" s="239">
        <v>50288</v>
      </c>
      <c r="AHF15" s="240"/>
      <c r="AHG15" s="267" t="s">
        <v>5</v>
      </c>
      <c r="AHH15" s="268"/>
      <c r="AHI15" s="269"/>
      <c r="AHJ15" s="239">
        <v>19674</v>
      </c>
      <c r="AHK15" s="240"/>
      <c r="AHL15" s="267" t="s">
        <v>5</v>
      </c>
      <c r="AHM15" s="268"/>
      <c r="AHN15" s="269"/>
      <c r="AHO15" s="239">
        <v>31546</v>
      </c>
      <c r="AHP15" s="240"/>
      <c r="AHQ15" s="267" t="s">
        <v>5</v>
      </c>
      <c r="AHR15" s="268"/>
      <c r="AHS15" s="269"/>
      <c r="AHT15" s="239">
        <v>46574</v>
      </c>
      <c r="AHU15" s="240"/>
      <c r="AHV15" s="267" t="s">
        <v>5</v>
      </c>
      <c r="AHW15" s="268"/>
      <c r="AHX15" s="269"/>
      <c r="AHY15" s="239">
        <v>42287.25</v>
      </c>
      <c r="AHZ15" s="240"/>
      <c r="AIA15" s="267" t="s">
        <v>5</v>
      </c>
      <c r="AIB15" s="268"/>
      <c r="AIC15" s="269"/>
      <c r="AID15" s="239">
        <v>37280</v>
      </c>
      <c r="AIE15" s="240"/>
      <c r="AIF15" s="267" t="s">
        <v>5</v>
      </c>
      <c r="AIG15" s="268"/>
      <c r="AIH15" s="269"/>
      <c r="AII15" s="239">
        <v>38115</v>
      </c>
      <c r="AIJ15" s="240"/>
      <c r="AIK15" s="267" t="s">
        <v>5</v>
      </c>
      <c r="AIL15" s="268"/>
      <c r="AIM15" s="269"/>
      <c r="AIN15" s="239">
        <v>14214.25</v>
      </c>
      <c r="AIO15" s="240"/>
      <c r="AIP15" s="267" t="s">
        <v>5</v>
      </c>
      <c r="AIQ15" s="268"/>
      <c r="AIR15" s="269"/>
      <c r="AIS15" s="239">
        <v>42062</v>
      </c>
      <c r="AIT15" s="240"/>
      <c r="AIU15" s="267" t="s">
        <v>5</v>
      </c>
      <c r="AIV15" s="268"/>
      <c r="AIW15" s="269"/>
      <c r="AIX15" s="239">
        <v>49176</v>
      </c>
      <c r="AIY15" s="240"/>
      <c r="AIZ15" s="267" t="s">
        <v>5</v>
      </c>
      <c r="AJA15" s="268"/>
      <c r="AJB15" s="269"/>
      <c r="AJC15" s="239">
        <v>4506</v>
      </c>
      <c r="AJD15" s="240"/>
      <c r="AJE15" s="267" t="s">
        <v>5</v>
      </c>
      <c r="AJF15" s="268"/>
      <c r="AJG15" s="269"/>
      <c r="AJH15" s="239">
        <v>6166</v>
      </c>
      <c r="AJI15" s="240"/>
      <c r="AJJ15" s="267" t="s">
        <v>5</v>
      </c>
      <c r="AJK15" s="268"/>
      <c r="AJL15" s="269"/>
      <c r="AJM15" s="239">
        <v>13847.5</v>
      </c>
      <c r="AJN15" s="240"/>
      <c r="AJO15" s="267" t="s">
        <v>5</v>
      </c>
      <c r="AJP15" s="268"/>
      <c r="AJQ15" s="269"/>
      <c r="AJR15" s="239">
        <v>43251.5</v>
      </c>
      <c r="AJS15" s="240"/>
      <c r="AJT15" s="267" t="s">
        <v>5</v>
      </c>
      <c r="AJU15" s="268"/>
      <c r="AJV15" s="269"/>
      <c r="AJW15" s="239">
        <v>45152</v>
      </c>
      <c r="AJX15" s="240"/>
      <c r="AJY15" s="267" t="s">
        <v>5</v>
      </c>
      <c r="AJZ15" s="268"/>
      <c r="AKA15" s="269"/>
      <c r="AKB15" s="239">
        <v>0</v>
      </c>
      <c r="AKC15" s="240"/>
      <c r="AKD15" s="267" t="s">
        <v>5</v>
      </c>
      <c r="AKE15" s="268"/>
      <c r="AKF15" s="269"/>
      <c r="AKG15" s="239">
        <v>7551.5</v>
      </c>
      <c r="AKH15" s="240"/>
      <c r="AKI15" s="267" t="s">
        <v>5</v>
      </c>
      <c r="AKJ15" s="268"/>
      <c r="AKK15" s="269"/>
      <c r="AKL15" s="239">
        <v>0</v>
      </c>
      <c r="AKM15" s="240"/>
      <c r="AKN15" s="267" t="s">
        <v>5</v>
      </c>
      <c r="AKO15" s="268"/>
      <c r="AKP15" s="269"/>
      <c r="AKQ15" s="239">
        <v>0</v>
      </c>
      <c r="AKR15" s="240"/>
      <c r="AKS15" s="267" t="s">
        <v>5</v>
      </c>
      <c r="AKT15" s="268"/>
      <c r="AKU15" s="269"/>
      <c r="AKV15" s="239">
        <v>12644</v>
      </c>
      <c r="AKW15" s="240"/>
      <c r="AKX15" s="267" t="s">
        <v>5</v>
      </c>
      <c r="AKY15" s="268"/>
      <c r="AKZ15" s="269"/>
      <c r="ALA15" s="239">
        <v>36113.5</v>
      </c>
      <c r="ALB15" s="240"/>
      <c r="ALC15" s="267" t="s">
        <v>5</v>
      </c>
      <c r="ALD15" s="268"/>
      <c r="ALE15" s="269"/>
      <c r="ALF15" s="239">
        <v>65529</v>
      </c>
      <c r="ALG15" s="240"/>
      <c r="ALH15" s="267" t="s">
        <v>5</v>
      </c>
      <c r="ALI15" s="268"/>
      <c r="ALJ15" s="269"/>
      <c r="ALK15" s="239">
        <v>67748</v>
      </c>
      <c r="ALL15" s="240"/>
      <c r="ALM15" s="267" t="s">
        <v>5</v>
      </c>
      <c r="ALN15" s="268"/>
      <c r="ALO15" s="269"/>
      <c r="ALP15" s="239">
        <v>40707</v>
      </c>
      <c r="ALQ15" s="240"/>
      <c r="ALR15" s="267" t="s">
        <v>5</v>
      </c>
      <c r="ALS15" s="268"/>
      <c r="ALT15" s="269"/>
      <c r="ALU15" s="239">
        <v>44962.5</v>
      </c>
      <c r="ALV15" s="240"/>
      <c r="ALW15" s="267" t="s">
        <v>5</v>
      </c>
      <c r="ALX15" s="268"/>
      <c r="ALY15" s="269"/>
      <c r="ALZ15" s="239">
        <v>53918</v>
      </c>
      <c r="AMA15" s="240"/>
      <c r="AMB15" s="267" t="s">
        <v>5</v>
      </c>
      <c r="AMC15" s="268"/>
      <c r="AMD15" s="269"/>
      <c r="AME15" s="239">
        <v>0</v>
      </c>
      <c r="AMF15" s="240"/>
      <c r="AMG15" s="267" t="s">
        <v>5</v>
      </c>
      <c r="AMH15" s="268"/>
      <c r="AMI15" s="269"/>
      <c r="AMJ15" s="239">
        <v>6425.5</v>
      </c>
      <c r="AMK15" s="240"/>
      <c r="AML15" s="267" t="s">
        <v>5</v>
      </c>
      <c r="AMM15" s="268"/>
      <c r="AMN15" s="269"/>
      <c r="AMO15" s="239">
        <v>25536</v>
      </c>
      <c r="AMP15" s="240"/>
      <c r="AMQ15" s="267" t="s">
        <v>5</v>
      </c>
      <c r="AMR15" s="268"/>
      <c r="AMS15" s="269"/>
      <c r="AMT15" s="239">
        <v>33050</v>
      </c>
      <c r="AMU15" s="240"/>
      <c r="AMV15" s="267" t="s">
        <v>5</v>
      </c>
      <c r="AMW15" s="268"/>
      <c r="AMX15" s="269"/>
      <c r="AMY15" s="239" t="e">
        <v>#VALUE!</v>
      </c>
      <c r="AMZ15" s="240"/>
      <c r="ANA15" s="267" t="s">
        <v>5</v>
      </c>
      <c r="ANB15" s="268"/>
      <c r="ANC15" s="269"/>
      <c r="AND15" s="239">
        <v>0</v>
      </c>
      <c r="ANE15" s="240"/>
      <c r="ANF15" s="267" t="s">
        <v>5</v>
      </c>
      <c r="ANG15" s="268"/>
      <c r="ANH15" s="269"/>
      <c r="ANI15" s="239">
        <v>0</v>
      </c>
      <c r="ANJ15" s="240"/>
      <c r="ANK15" s="267" t="s">
        <v>5</v>
      </c>
      <c r="ANL15" s="268"/>
      <c r="ANM15" s="269"/>
      <c r="ANN15" s="239">
        <v>4033</v>
      </c>
      <c r="ANO15" s="240"/>
      <c r="ANP15" s="267" t="s">
        <v>5</v>
      </c>
      <c r="ANQ15" s="268"/>
      <c r="ANR15" s="269"/>
      <c r="ANS15" s="239">
        <v>9568</v>
      </c>
      <c r="ANT15" s="240"/>
      <c r="ANU15" s="267" t="s">
        <v>5</v>
      </c>
      <c r="ANV15" s="268"/>
      <c r="ANW15" s="269"/>
      <c r="ANX15" s="239">
        <v>52620.5</v>
      </c>
      <c r="ANY15" s="240"/>
      <c r="ANZ15" s="267" t="s">
        <v>5</v>
      </c>
      <c r="AOA15" s="268"/>
      <c r="AOB15" s="269"/>
      <c r="AOC15" s="239">
        <v>1991.3</v>
      </c>
      <c r="AOD15" s="240"/>
      <c r="AOE15" s="267" t="s">
        <v>5</v>
      </c>
      <c r="AOF15" s="268"/>
      <c r="AOG15" s="269"/>
      <c r="AOH15" s="239">
        <v>65273</v>
      </c>
      <c r="AOI15" s="240"/>
      <c r="AOJ15" s="267" t="s">
        <v>5</v>
      </c>
      <c r="AOK15" s="268"/>
      <c r="AOL15" s="269"/>
      <c r="AOM15" s="239">
        <v>28544</v>
      </c>
      <c r="AON15" s="240"/>
      <c r="AOO15" s="267" t="s">
        <v>5</v>
      </c>
      <c r="AOP15" s="268"/>
      <c r="AOQ15" s="269"/>
      <c r="AOR15" s="239">
        <v>17198.5</v>
      </c>
      <c r="AOS15" s="240"/>
      <c r="AOT15" s="267" t="s">
        <v>5</v>
      </c>
      <c r="AOU15" s="268"/>
      <c r="AOV15" s="269"/>
      <c r="AOW15" s="239">
        <v>31405</v>
      </c>
      <c r="AOX15" s="240"/>
      <c r="AOY15" s="267" t="s">
        <v>5</v>
      </c>
      <c r="AOZ15" s="268"/>
      <c r="APA15" s="269"/>
      <c r="APB15" s="239">
        <v>79847</v>
      </c>
      <c r="APC15" s="240"/>
      <c r="APD15" s="267" t="s">
        <v>5</v>
      </c>
      <c r="APE15" s="268"/>
      <c r="APF15" s="269"/>
      <c r="APG15" s="239">
        <v>60392.5</v>
      </c>
      <c r="APH15" s="240"/>
      <c r="API15" s="267" t="s">
        <v>5</v>
      </c>
      <c r="APJ15" s="268"/>
      <c r="APK15" s="269"/>
      <c r="APL15" s="239">
        <v>15023</v>
      </c>
      <c r="APM15" s="240"/>
      <c r="APN15" s="267" t="s">
        <v>5</v>
      </c>
      <c r="APO15" s="268"/>
      <c r="APP15" s="269"/>
      <c r="APQ15" s="239">
        <v>9344</v>
      </c>
      <c r="APR15" s="240"/>
      <c r="APS15" s="267" t="s">
        <v>5</v>
      </c>
      <c r="APT15" s="268"/>
      <c r="APU15" s="269"/>
      <c r="APV15" s="239">
        <v>16015.5</v>
      </c>
      <c r="APW15" s="240"/>
      <c r="APX15" s="267" t="s">
        <v>5</v>
      </c>
      <c r="APY15" s="268"/>
      <c r="APZ15" s="269"/>
      <c r="AQA15" s="239">
        <v>25208</v>
      </c>
      <c r="AQB15" s="240"/>
      <c r="AQC15" s="267" t="s">
        <v>5</v>
      </c>
      <c r="AQD15" s="268"/>
      <c r="AQE15" s="269"/>
      <c r="AQF15" s="239">
        <v>52662.5</v>
      </c>
      <c r="AQG15" s="240"/>
      <c r="AQH15" s="267" t="s">
        <v>5</v>
      </c>
      <c r="AQI15" s="268"/>
      <c r="AQJ15" s="269"/>
      <c r="AQK15" s="239">
        <v>54164.5</v>
      </c>
      <c r="AQL15" s="240"/>
      <c r="AQM15" s="267" t="s">
        <v>5</v>
      </c>
      <c r="AQN15" s="268"/>
      <c r="AQO15" s="269"/>
      <c r="AQP15" s="239">
        <v>15023</v>
      </c>
      <c r="AQQ15" s="240"/>
      <c r="AQR15" s="267" t="s">
        <v>5</v>
      </c>
      <c r="AQS15" s="268"/>
      <c r="AQT15" s="269"/>
      <c r="AQU15" s="239">
        <v>26093</v>
      </c>
      <c r="AQV15" s="240"/>
      <c r="AQW15" s="267" t="s">
        <v>5</v>
      </c>
      <c r="AQX15" s="268"/>
      <c r="AQY15" s="269"/>
      <c r="AQZ15" s="239">
        <v>6049.5</v>
      </c>
      <c r="ARA15" s="240"/>
      <c r="ARB15" s="267" t="s">
        <v>5</v>
      </c>
      <c r="ARC15" s="268"/>
      <c r="ARD15" s="269"/>
      <c r="ARE15" s="239">
        <v>8540</v>
      </c>
      <c r="ARF15" s="240"/>
      <c r="ARG15" s="267" t="s">
        <v>5</v>
      </c>
      <c r="ARH15" s="268"/>
      <c r="ARI15" s="269"/>
      <c r="ARJ15" s="239">
        <v>13520</v>
      </c>
      <c r="ARK15" s="240"/>
      <c r="ARL15" s="267" t="s">
        <v>5</v>
      </c>
      <c r="ARM15" s="268"/>
      <c r="ARN15" s="269"/>
      <c r="ARO15" s="239">
        <v>21189</v>
      </c>
      <c r="ARP15" s="240"/>
      <c r="ARQ15" s="267" t="s">
        <v>5</v>
      </c>
      <c r="ARR15" s="268"/>
      <c r="ARS15" s="269"/>
      <c r="ART15" s="239">
        <v>44629</v>
      </c>
      <c r="ARU15" s="240"/>
      <c r="ARV15" s="267" t="s">
        <v>5</v>
      </c>
      <c r="ARW15" s="268"/>
      <c r="ARX15" s="269"/>
      <c r="ARY15" s="239">
        <v>37264.9</v>
      </c>
      <c r="ARZ15" s="240"/>
      <c r="ASA15" s="267" t="s">
        <v>5</v>
      </c>
      <c r="ASB15" s="268"/>
      <c r="ASC15" s="269"/>
      <c r="ASD15" s="239">
        <v>0</v>
      </c>
      <c r="ASE15" s="240"/>
      <c r="ASF15" s="267" t="s">
        <v>5</v>
      </c>
      <c r="ASG15" s="268"/>
      <c r="ASH15" s="269"/>
      <c r="ASI15" s="239">
        <v>7017.25</v>
      </c>
      <c r="ASJ15" s="240"/>
      <c r="ASK15" s="267" t="s">
        <v>5</v>
      </c>
      <c r="ASL15" s="268"/>
      <c r="ASM15" s="269"/>
      <c r="ASN15" s="239">
        <v>0</v>
      </c>
      <c r="ASO15" s="240"/>
      <c r="ASP15" s="267" t="s">
        <v>5</v>
      </c>
      <c r="ASQ15" s="268"/>
      <c r="ASR15" s="269"/>
      <c r="ASS15" s="239">
        <v>34161</v>
      </c>
      <c r="AST15" s="240"/>
      <c r="ASU15" s="267" t="s">
        <v>5</v>
      </c>
      <c r="ASV15" s="268"/>
      <c r="ASW15" s="269"/>
      <c r="ASX15" s="239">
        <v>47170.5</v>
      </c>
      <c r="ASY15" s="240"/>
      <c r="ASZ15" s="267" t="s">
        <v>5</v>
      </c>
      <c r="ATA15" s="268"/>
      <c r="ATB15" s="269"/>
      <c r="ATC15" s="239">
        <v>28397</v>
      </c>
      <c r="ATD15" s="240"/>
      <c r="ATE15" s="267" t="s">
        <v>5</v>
      </c>
      <c r="ATF15" s="268"/>
      <c r="ATG15" s="269"/>
      <c r="ATH15" s="239">
        <v>38248.199999999997</v>
      </c>
      <c r="ATI15" s="240"/>
      <c r="ATJ15" s="267" t="s">
        <v>5</v>
      </c>
      <c r="ATK15" s="268"/>
      <c r="ATL15" s="269"/>
      <c r="ATM15" s="239">
        <v>3148</v>
      </c>
      <c r="ATN15" s="240"/>
      <c r="ATO15" s="267" t="s">
        <v>5</v>
      </c>
      <c r="ATP15" s="268"/>
      <c r="ATQ15" s="269"/>
      <c r="ATR15" s="239">
        <v>0</v>
      </c>
      <c r="ATS15" s="240"/>
      <c r="ATT15" s="267" t="s">
        <v>5</v>
      </c>
      <c r="ATU15" s="268"/>
      <c r="ATV15" s="269"/>
      <c r="ATW15" s="239">
        <v>2835</v>
      </c>
      <c r="ATX15" s="240"/>
      <c r="ATY15" s="267" t="s">
        <v>5</v>
      </c>
      <c r="ATZ15" s="268"/>
      <c r="AUA15" s="269"/>
      <c r="AUB15" s="239">
        <v>0</v>
      </c>
      <c r="AUC15" s="240"/>
      <c r="AUD15" s="267" t="s">
        <v>5</v>
      </c>
      <c r="AUE15" s="268"/>
      <c r="AUF15" s="269"/>
      <c r="AUG15" s="239">
        <v>12193.5</v>
      </c>
      <c r="AUH15" s="240"/>
      <c r="AUI15" s="267" t="s">
        <v>5</v>
      </c>
      <c r="AUJ15" s="268"/>
      <c r="AUK15" s="269"/>
      <c r="AUL15" s="239">
        <v>26287.5</v>
      </c>
      <c r="AUM15" s="240"/>
      <c r="AUN15" s="267" t="s">
        <v>5</v>
      </c>
      <c r="AUO15" s="268"/>
      <c r="AUP15" s="269"/>
      <c r="AUQ15" s="239">
        <v>7511</v>
      </c>
      <c r="AUR15" s="240"/>
      <c r="AUS15" s="267" t="s">
        <v>5</v>
      </c>
      <c r="AUT15" s="268"/>
      <c r="AUU15" s="269"/>
      <c r="AUV15" s="239">
        <v>13046</v>
      </c>
      <c r="AUW15" s="240"/>
      <c r="AUX15" s="267" t="s">
        <v>5</v>
      </c>
      <c r="AUY15" s="268"/>
      <c r="AUZ15" s="269"/>
      <c r="AVA15" s="239">
        <v>26399</v>
      </c>
      <c r="AVB15" s="240"/>
      <c r="AVC15" s="267" t="s">
        <v>5</v>
      </c>
      <c r="AVD15" s="268"/>
      <c r="AVE15" s="269"/>
      <c r="AVF15" s="239">
        <v>0</v>
      </c>
      <c r="AVG15" s="240"/>
      <c r="AVH15" s="267" t="s">
        <v>5</v>
      </c>
      <c r="AVI15" s="268"/>
      <c r="AVJ15" s="269"/>
      <c r="AVK15" s="239">
        <v>8066</v>
      </c>
      <c r="AVL15" s="240"/>
      <c r="AVM15" s="267" t="s">
        <v>5</v>
      </c>
      <c r="AVN15" s="268"/>
      <c r="AVO15" s="269"/>
      <c r="AVP15" s="239">
        <v>36689</v>
      </c>
      <c r="AVQ15" s="240"/>
      <c r="AVR15" s="267" t="s">
        <v>5</v>
      </c>
      <c r="AVS15" s="268"/>
      <c r="AVT15" s="269"/>
      <c r="AVU15" s="239">
        <v>39055.5</v>
      </c>
      <c r="AVV15" s="240"/>
      <c r="AVW15" s="267" t="s">
        <v>5</v>
      </c>
      <c r="AVX15" s="268"/>
      <c r="AVY15" s="269"/>
      <c r="AVZ15" s="239">
        <v>31547</v>
      </c>
      <c r="AWA15" s="240"/>
      <c r="AWB15" s="267" t="s">
        <v>5</v>
      </c>
      <c r="AWC15" s="268"/>
      <c r="AWD15" s="269"/>
      <c r="AWE15" s="239">
        <v>50554.8</v>
      </c>
      <c r="AWF15" s="240"/>
      <c r="AWG15" s="267" t="s">
        <v>5</v>
      </c>
      <c r="AWH15" s="268"/>
      <c r="AWI15" s="269"/>
      <c r="AWJ15" s="239">
        <v>3401</v>
      </c>
      <c r="AWK15" s="240"/>
      <c r="AWL15" s="267" t="s">
        <v>5</v>
      </c>
      <c r="AWM15" s="268"/>
      <c r="AWN15" s="269"/>
      <c r="AWO15" s="239">
        <v>9229</v>
      </c>
      <c r="AWP15" s="240"/>
      <c r="AWQ15" s="267" t="s">
        <v>5</v>
      </c>
      <c r="AWR15" s="268"/>
      <c r="AWS15" s="269"/>
      <c r="AWT15" s="239">
        <v>1502</v>
      </c>
      <c r="AWU15" s="240"/>
      <c r="AWV15" s="267" t="s">
        <v>5</v>
      </c>
      <c r="AWW15" s="268"/>
      <c r="AWX15" s="269"/>
      <c r="AWY15" s="239">
        <v>22298</v>
      </c>
      <c r="AWZ15" s="240"/>
      <c r="AXA15" s="267" t="s">
        <v>5</v>
      </c>
      <c r="AXB15" s="268"/>
      <c r="AXC15" s="269"/>
      <c r="AXD15" s="239">
        <v>34740</v>
      </c>
      <c r="AXE15" s="240"/>
      <c r="AXF15" s="267" t="s">
        <v>5</v>
      </c>
      <c r="AXG15" s="268"/>
      <c r="AXH15" s="269"/>
      <c r="AXI15" s="239">
        <v>16598</v>
      </c>
      <c r="AXJ15" s="240"/>
      <c r="AXK15" s="267" t="s">
        <v>5</v>
      </c>
      <c r="AXL15" s="268"/>
      <c r="AXM15" s="269"/>
      <c r="AXN15" s="239">
        <v>7530.75</v>
      </c>
      <c r="AXO15" s="240"/>
      <c r="AXP15" s="267" t="s">
        <v>5</v>
      </c>
      <c r="AXQ15" s="268"/>
      <c r="AXR15" s="269"/>
      <c r="AXS15" s="239">
        <v>4507</v>
      </c>
      <c r="AXT15" s="240"/>
      <c r="AXU15" s="267" t="s">
        <v>5</v>
      </c>
      <c r="AXV15" s="268"/>
      <c r="AXW15" s="269"/>
      <c r="AXX15" s="239">
        <v>6298</v>
      </c>
      <c r="AXY15" s="240"/>
      <c r="AXZ15" s="267" t="s">
        <v>5</v>
      </c>
      <c r="AYA15" s="268"/>
      <c r="AYB15" s="269"/>
      <c r="AYC15" s="239">
        <v>26546.25</v>
      </c>
      <c r="AYD15" s="240"/>
      <c r="AYE15" s="267" t="s">
        <v>5</v>
      </c>
      <c r="AYF15" s="268"/>
      <c r="AYG15" s="269"/>
      <c r="AYH15" s="239">
        <v>18988</v>
      </c>
      <c r="AYI15" s="240"/>
      <c r="AYJ15" s="267" t="s">
        <v>5</v>
      </c>
      <c r="AYK15" s="268"/>
      <c r="AYL15" s="269"/>
      <c r="AYM15" s="239">
        <v>29613.5</v>
      </c>
      <c r="AYN15" s="240"/>
      <c r="AYO15" s="267" t="s">
        <v>5</v>
      </c>
      <c r="AYP15" s="268"/>
      <c r="AYQ15" s="269"/>
      <c r="AYR15" s="239">
        <v>19531</v>
      </c>
      <c r="AYS15" s="240"/>
      <c r="AYT15" s="267" t="s">
        <v>5</v>
      </c>
      <c r="AYU15" s="268"/>
      <c r="AYV15" s="269"/>
      <c r="AYW15" s="239">
        <v>4357.8999999999996</v>
      </c>
      <c r="AYX15" s="240"/>
      <c r="AYY15" s="267" t="s">
        <v>5</v>
      </c>
      <c r="AYZ15" s="268"/>
      <c r="AZA15" s="269"/>
      <c r="AZB15" s="239">
        <v>6049.5</v>
      </c>
      <c r="AZC15" s="240"/>
      <c r="AZD15" s="267" t="s">
        <v>5</v>
      </c>
      <c r="AZE15" s="268"/>
      <c r="AZF15" s="269"/>
      <c r="AZG15" s="239">
        <v>28258</v>
      </c>
      <c r="AZH15" s="240"/>
      <c r="AZI15" s="267" t="s">
        <v>5</v>
      </c>
      <c r="AZJ15" s="268"/>
      <c r="AZK15" s="269"/>
      <c r="AZL15" s="239">
        <v>36611</v>
      </c>
      <c r="AZM15" s="240"/>
      <c r="AZN15" s="267" t="s">
        <v>5</v>
      </c>
      <c r="AZO15" s="268"/>
      <c r="AZP15" s="269"/>
      <c r="AZQ15" s="239">
        <v>60798.8</v>
      </c>
      <c r="AZR15" s="240"/>
      <c r="AZS15" s="267" t="s">
        <v>5</v>
      </c>
      <c r="AZT15" s="268"/>
      <c r="AZU15" s="269"/>
      <c r="AZV15" s="239">
        <v>46433</v>
      </c>
      <c r="AZW15" s="240"/>
      <c r="AZX15" s="267" t="s">
        <v>5</v>
      </c>
      <c r="AZY15" s="268"/>
      <c r="AZZ15" s="269"/>
      <c r="BAA15" s="239">
        <v>3004</v>
      </c>
      <c r="BAB15" s="240"/>
      <c r="BAC15" s="267" t="s">
        <v>5</v>
      </c>
      <c r="BAD15" s="268"/>
      <c r="BAE15" s="269"/>
      <c r="BAF15" s="239">
        <v>33496.5</v>
      </c>
      <c r="BAG15" s="240"/>
      <c r="BAH15" s="267" t="s">
        <v>5</v>
      </c>
      <c r="BAI15" s="268"/>
      <c r="BAJ15" s="269"/>
      <c r="BAK15" s="239">
        <v>9188.5</v>
      </c>
      <c r="BAL15" s="240"/>
      <c r="BAM15" s="267" t="s">
        <v>5</v>
      </c>
      <c r="BAN15" s="268"/>
      <c r="BAO15" s="269"/>
      <c r="BAP15" s="239">
        <v>17555</v>
      </c>
      <c r="BAQ15" s="240"/>
      <c r="BAR15" s="267" t="s">
        <v>5</v>
      </c>
      <c r="BAS15" s="268"/>
      <c r="BAT15" s="269"/>
      <c r="BAU15" s="239">
        <v>67113.5</v>
      </c>
      <c r="BAV15" s="240"/>
      <c r="BAW15" s="267" t="s">
        <v>5</v>
      </c>
      <c r="BAX15" s="268"/>
      <c r="BAY15" s="269"/>
      <c r="BAZ15" s="239">
        <v>46643</v>
      </c>
      <c r="BBA15" s="240"/>
      <c r="BBB15" s="267" t="s">
        <v>5</v>
      </c>
      <c r="BBC15" s="268"/>
      <c r="BBD15" s="269"/>
      <c r="BBE15" s="239">
        <v>47035.8</v>
      </c>
      <c r="BBF15" s="240"/>
      <c r="BBG15" s="267" t="s">
        <v>5</v>
      </c>
      <c r="BBH15" s="268"/>
      <c r="BBI15" s="269"/>
      <c r="BBJ15" s="239">
        <v>1574</v>
      </c>
      <c r="BBK15" s="240"/>
      <c r="BBL15" s="267" t="s">
        <v>5</v>
      </c>
      <c r="BBM15" s="268"/>
      <c r="BBN15" s="269"/>
      <c r="BBO15" s="239">
        <v>5020.5</v>
      </c>
      <c r="BBP15" s="240"/>
      <c r="BBQ15" s="267" t="s">
        <v>5</v>
      </c>
      <c r="BBR15" s="268"/>
      <c r="BBS15" s="269"/>
      <c r="BBT15" s="239">
        <v>24549.5</v>
      </c>
      <c r="BBU15" s="240"/>
      <c r="BBV15" s="267" t="s">
        <v>5</v>
      </c>
      <c r="BBW15" s="268"/>
      <c r="BBX15" s="269"/>
      <c r="BBY15" s="239">
        <v>11617</v>
      </c>
      <c r="BBZ15" s="240"/>
      <c r="BCA15" s="267" t="s">
        <v>5</v>
      </c>
      <c r="BCB15" s="268"/>
      <c r="BCC15" s="269"/>
      <c r="BCD15" s="239">
        <v>3005</v>
      </c>
      <c r="BCE15" s="240"/>
      <c r="BCF15" s="267" t="s">
        <v>5</v>
      </c>
      <c r="BCG15" s="268"/>
      <c r="BCH15" s="269"/>
      <c r="BCI15" s="239">
        <v>5670</v>
      </c>
      <c r="BCJ15" s="240"/>
      <c r="BCK15" s="267" t="s">
        <v>5</v>
      </c>
      <c r="BCL15" s="268"/>
      <c r="BCM15" s="269"/>
      <c r="BCN15" s="239">
        <v>24037</v>
      </c>
      <c r="BCO15" s="240"/>
      <c r="BCP15" s="267" t="s">
        <v>5</v>
      </c>
      <c r="BCQ15" s="268"/>
      <c r="BCR15" s="269"/>
      <c r="BCS15" s="239">
        <v>16597</v>
      </c>
      <c r="BCT15" s="240"/>
      <c r="BCU15" s="267" t="s">
        <v>5</v>
      </c>
      <c r="BCV15" s="268"/>
      <c r="BCW15" s="269"/>
      <c r="BCX15" s="239">
        <v>9014</v>
      </c>
      <c r="BCY15" s="240"/>
      <c r="BCZ15" s="267" t="s">
        <v>5</v>
      </c>
      <c r="BDA15" s="268"/>
      <c r="BDB15" s="269"/>
      <c r="BDC15" s="239">
        <v>2016.5</v>
      </c>
      <c r="BDD15" s="240"/>
      <c r="BDE15" s="267" t="s">
        <v>5</v>
      </c>
      <c r="BDF15" s="268"/>
      <c r="BDG15" s="269"/>
      <c r="BDH15" s="239">
        <v>15022</v>
      </c>
      <c r="BDI15" s="240"/>
      <c r="BDJ15" s="267" t="s">
        <v>5</v>
      </c>
      <c r="BDK15" s="268"/>
      <c r="BDL15" s="269"/>
      <c r="BDM15" s="239">
        <v>5670</v>
      </c>
      <c r="BDN15" s="240"/>
      <c r="BDO15" s="267" t="s">
        <v>5</v>
      </c>
      <c r="BDP15" s="268"/>
      <c r="BDQ15" s="269"/>
      <c r="BDR15" s="239">
        <v>17553</v>
      </c>
      <c r="BDS15" s="240"/>
      <c r="BDT15" s="267" t="s">
        <v>5</v>
      </c>
      <c r="BDU15" s="268"/>
      <c r="BDV15" s="269"/>
      <c r="BDW15" s="239">
        <v>16525</v>
      </c>
      <c r="BDX15" s="240"/>
      <c r="BDY15" s="267" t="s">
        <v>5</v>
      </c>
      <c r="BDZ15" s="268"/>
      <c r="BEA15" s="269"/>
      <c r="BEB15" s="239">
        <v>1502</v>
      </c>
      <c r="BEC15" s="240"/>
      <c r="BED15" s="267" t="s">
        <v>5</v>
      </c>
      <c r="BEE15" s="268"/>
      <c r="BEF15" s="269"/>
      <c r="BEG15" s="239">
        <v>4507</v>
      </c>
      <c r="BEH15" s="240"/>
      <c r="BEI15" s="267" t="s">
        <v>5</v>
      </c>
      <c r="BEJ15" s="268"/>
      <c r="BEK15" s="269"/>
      <c r="BEL15" s="239">
        <v>3826.75</v>
      </c>
      <c r="BEM15" s="240"/>
      <c r="BEN15" s="267" t="s">
        <v>5</v>
      </c>
      <c r="BEO15" s="268"/>
      <c r="BEP15" s="269"/>
      <c r="BEQ15" s="239">
        <v>49506</v>
      </c>
      <c r="BER15" s="240"/>
      <c r="BES15" s="267" t="s">
        <v>5</v>
      </c>
      <c r="BET15" s="268"/>
      <c r="BEU15" s="269"/>
      <c r="BEV15" s="239">
        <v>42470</v>
      </c>
      <c r="BEW15" s="240"/>
      <c r="BEX15" s="267" t="s">
        <v>5</v>
      </c>
      <c r="BEY15" s="268"/>
      <c r="BEZ15" s="269"/>
      <c r="BFA15" s="239">
        <v>31549</v>
      </c>
      <c r="BFB15" s="240"/>
      <c r="BFC15" s="267" t="s">
        <v>5</v>
      </c>
      <c r="BFD15" s="268"/>
      <c r="BFE15" s="269"/>
      <c r="BFF15" s="239">
        <v>16526</v>
      </c>
      <c r="BFG15" s="240"/>
      <c r="BFH15" s="267" t="s">
        <v>5</v>
      </c>
      <c r="BFI15" s="268"/>
      <c r="BFJ15" s="269"/>
      <c r="BFK15" s="239">
        <v>2835</v>
      </c>
      <c r="BFL15" s="240"/>
      <c r="BFM15" s="267" t="s">
        <v>5</v>
      </c>
      <c r="BFN15" s="268"/>
      <c r="BFO15" s="269"/>
      <c r="BFP15" s="239">
        <v>19674</v>
      </c>
      <c r="BFQ15" s="240"/>
      <c r="BFR15" s="267" t="s">
        <v>5</v>
      </c>
      <c r="BFS15" s="268"/>
      <c r="BFT15" s="269"/>
      <c r="BFU15" s="239">
        <v>16881</v>
      </c>
      <c r="BFV15" s="240"/>
      <c r="BFW15" s="267" t="s">
        <v>5</v>
      </c>
      <c r="BFX15" s="268"/>
      <c r="BFY15" s="269"/>
      <c r="BFZ15" s="239">
        <v>29401.5</v>
      </c>
      <c r="BGA15" s="240"/>
      <c r="BGB15" s="267" t="s">
        <v>5</v>
      </c>
      <c r="BGC15" s="268"/>
      <c r="BGD15" s="269"/>
      <c r="BGE15" s="239">
        <v>25759.75</v>
      </c>
      <c r="BGF15" s="240"/>
      <c r="BGG15" s="267" t="s">
        <v>5</v>
      </c>
      <c r="BGH15" s="268"/>
      <c r="BGI15" s="269"/>
      <c r="BGJ15" s="239">
        <v>17697</v>
      </c>
      <c r="BGK15" s="240"/>
      <c r="BGL15" s="267" t="s">
        <v>5</v>
      </c>
      <c r="BGM15" s="268"/>
      <c r="BGN15" s="269"/>
      <c r="BGO15" s="239">
        <v>160.4</v>
      </c>
      <c r="BGP15" s="240"/>
      <c r="BGQ15" s="267" t="s">
        <v>5</v>
      </c>
      <c r="BGR15" s="268"/>
      <c r="BGS15" s="269"/>
      <c r="BGT15" s="239">
        <v>7181</v>
      </c>
      <c r="BGU15" s="240"/>
      <c r="BGV15" s="267" t="s">
        <v>5</v>
      </c>
      <c r="BGW15" s="268"/>
      <c r="BGX15" s="269"/>
      <c r="BGY15" s="239">
        <v>20371</v>
      </c>
      <c r="BGZ15" s="240"/>
      <c r="BHA15" s="267" t="s">
        <v>5</v>
      </c>
      <c r="BHB15" s="268"/>
      <c r="BHC15" s="269"/>
      <c r="BHD15" s="239">
        <v>45273.25</v>
      </c>
      <c r="BHE15" s="240"/>
      <c r="BHF15" s="267" t="s">
        <v>5</v>
      </c>
      <c r="BHG15" s="268"/>
      <c r="BHH15" s="269"/>
      <c r="BHI15" s="239">
        <v>38600.5</v>
      </c>
      <c r="BHJ15" s="240"/>
      <c r="BHK15" s="267" t="s">
        <v>5</v>
      </c>
      <c r="BHL15" s="268"/>
      <c r="BHM15" s="269"/>
      <c r="BHN15" s="239">
        <v>24037</v>
      </c>
      <c r="BHO15" s="240"/>
      <c r="BHP15" s="267" t="s">
        <v>5</v>
      </c>
      <c r="BHQ15" s="268"/>
      <c r="BHR15" s="269"/>
      <c r="BHS15" s="239">
        <v>18646.3</v>
      </c>
      <c r="BHT15" s="240"/>
      <c r="BHU15" s="267" t="s">
        <v>5</v>
      </c>
      <c r="BHV15" s="268"/>
      <c r="BHW15" s="269"/>
      <c r="BHX15" s="239">
        <v>10517</v>
      </c>
      <c r="BHY15" s="240"/>
      <c r="BHZ15" s="267" t="s">
        <v>5</v>
      </c>
      <c r="BIA15" s="268"/>
      <c r="BIB15" s="269"/>
      <c r="BIC15" s="239">
        <v>9012</v>
      </c>
      <c r="BID15" s="240"/>
      <c r="BIE15" s="267" t="s">
        <v>5</v>
      </c>
      <c r="BIF15" s="268"/>
      <c r="BIG15" s="269"/>
      <c r="BIH15" s="239">
        <v>23047.5</v>
      </c>
      <c r="BII15" s="240"/>
      <c r="BIJ15" s="267" t="s">
        <v>5</v>
      </c>
      <c r="BIK15" s="268"/>
      <c r="BIL15" s="269"/>
      <c r="BIM15" s="239">
        <v>45071</v>
      </c>
      <c r="BIN15" s="240"/>
      <c r="BIO15" s="267" t="s">
        <v>5</v>
      </c>
      <c r="BIP15" s="268"/>
      <c r="BIQ15" s="269"/>
      <c r="BIR15" s="239">
        <v>12018</v>
      </c>
      <c r="BIS15" s="240"/>
      <c r="BIT15" s="267" t="s">
        <v>5</v>
      </c>
      <c r="BIU15" s="268"/>
      <c r="BIV15" s="269"/>
      <c r="BIW15" s="239">
        <v>0</v>
      </c>
      <c r="BIX15" s="240"/>
      <c r="BIY15" s="267" t="s">
        <v>5</v>
      </c>
      <c r="BIZ15" s="268"/>
      <c r="BJA15" s="269"/>
      <c r="BJB15" s="239">
        <v>15023</v>
      </c>
      <c r="BJC15" s="240"/>
      <c r="BJD15" s="267" t="s">
        <v>5</v>
      </c>
      <c r="BJE15" s="268"/>
      <c r="BJF15" s="269"/>
      <c r="BJG15" s="239">
        <v>22061</v>
      </c>
      <c r="BJH15" s="240"/>
      <c r="BJI15" s="267" t="s">
        <v>5</v>
      </c>
      <c r="BJJ15" s="268"/>
      <c r="BJK15" s="269"/>
      <c r="BJL15" s="239">
        <v>17534.25</v>
      </c>
      <c r="BJM15" s="240"/>
      <c r="BJN15" s="267" t="s">
        <v>5</v>
      </c>
      <c r="BJO15" s="268"/>
      <c r="BJP15" s="269"/>
      <c r="BJQ15" s="239">
        <v>0</v>
      </c>
      <c r="BJR15" s="240"/>
      <c r="BJS15" s="267" t="s">
        <v>5</v>
      </c>
      <c r="BJT15" s="268"/>
      <c r="BJU15" s="269"/>
      <c r="BJV15" s="239">
        <v>15024</v>
      </c>
      <c r="BJW15" s="240"/>
      <c r="BJX15" s="267" t="s">
        <v>5</v>
      </c>
      <c r="BJY15" s="268"/>
      <c r="BJZ15" s="269"/>
      <c r="BKA15" s="239">
        <v>3005</v>
      </c>
      <c r="BKB15" s="240"/>
      <c r="BKC15" s="267" t="s">
        <v>5</v>
      </c>
      <c r="BKD15" s="268"/>
      <c r="BKE15" s="269"/>
      <c r="BKF15" s="239">
        <v>24691</v>
      </c>
      <c r="BKG15" s="240"/>
      <c r="BKH15" s="267" t="s">
        <v>5</v>
      </c>
      <c r="BKI15" s="268"/>
      <c r="BKJ15" s="269"/>
      <c r="BKK15" s="239">
        <v>31549</v>
      </c>
      <c r="BKL15" s="240"/>
      <c r="BKM15" s="267" t="s">
        <v>5</v>
      </c>
      <c r="BKN15" s="268"/>
      <c r="BKO15" s="269"/>
      <c r="BKP15" s="239">
        <v>34555</v>
      </c>
      <c r="BKQ15" s="240"/>
      <c r="BKR15" s="267" t="s">
        <v>5</v>
      </c>
      <c r="BKS15" s="268"/>
      <c r="BKT15" s="269"/>
      <c r="BKU15" s="239">
        <v>6009</v>
      </c>
      <c r="BKV15" s="240"/>
      <c r="BKW15" s="267" t="s">
        <v>5</v>
      </c>
      <c r="BKX15" s="268"/>
      <c r="BKY15" s="269"/>
      <c r="BKZ15" s="239">
        <v>45575.05</v>
      </c>
      <c r="BLA15" s="240"/>
      <c r="BLB15" s="267" t="s">
        <v>5</v>
      </c>
      <c r="BLC15" s="268"/>
      <c r="BLD15" s="269"/>
      <c r="BLE15" s="239">
        <v>38316</v>
      </c>
      <c r="BLF15" s="240"/>
      <c r="BLG15" s="267" t="s">
        <v>5</v>
      </c>
      <c r="BLH15" s="268"/>
      <c r="BLI15" s="269"/>
      <c r="BLJ15" s="239">
        <v>3005</v>
      </c>
      <c r="BLK15" s="240"/>
      <c r="BLL15" s="267" t="s">
        <v>5</v>
      </c>
      <c r="BLM15" s="268"/>
      <c r="BLN15" s="269"/>
      <c r="BLO15" s="239">
        <v>10516</v>
      </c>
      <c r="BLP15" s="240"/>
      <c r="BLQ15" s="267" t="s">
        <v>5</v>
      </c>
      <c r="BLR15" s="268"/>
      <c r="BLS15" s="269"/>
      <c r="BLT15" s="239">
        <v>6009</v>
      </c>
      <c r="BLU15" s="240"/>
      <c r="BLV15" s="267" t="s">
        <v>5</v>
      </c>
      <c r="BLW15" s="268"/>
      <c r="BLX15" s="269"/>
      <c r="BLY15" s="239">
        <v>67375.8</v>
      </c>
      <c r="BLZ15" s="240"/>
      <c r="BMA15" s="267" t="s">
        <v>5</v>
      </c>
      <c r="BMB15" s="268"/>
      <c r="BMC15" s="269"/>
      <c r="BMD15" s="239">
        <v>44882.5</v>
      </c>
      <c r="BME15" s="240"/>
      <c r="BMF15" s="267" t="s">
        <v>5</v>
      </c>
      <c r="BMG15" s="268"/>
      <c r="BMH15" s="269"/>
      <c r="BMI15" s="239">
        <v>35411</v>
      </c>
      <c r="BMJ15" s="240"/>
      <c r="BMK15" s="267" t="s">
        <v>5</v>
      </c>
      <c r="BML15" s="268"/>
      <c r="BMM15" s="269"/>
      <c r="BMN15" s="239">
        <v>0</v>
      </c>
      <c r="BMO15" s="240"/>
      <c r="BMP15" s="267" t="s">
        <v>5</v>
      </c>
      <c r="BMQ15" s="268"/>
      <c r="BMR15" s="269"/>
      <c r="BMS15" s="239">
        <v>65467.75</v>
      </c>
      <c r="BMT15" s="240"/>
      <c r="BMU15" s="267" t="s">
        <v>5</v>
      </c>
      <c r="BMV15" s="268"/>
      <c r="BMW15" s="269"/>
      <c r="BMX15" s="239">
        <v>34552</v>
      </c>
      <c r="BMY15" s="240"/>
      <c r="BMZ15" s="267" t="s">
        <v>5</v>
      </c>
      <c r="BNA15" s="268"/>
      <c r="BNB15" s="269"/>
      <c r="BNC15" s="239">
        <v>1502</v>
      </c>
      <c r="BND15" s="240"/>
      <c r="BNE15" s="267" t="s">
        <v>5</v>
      </c>
      <c r="BNF15" s="268"/>
      <c r="BNG15" s="269"/>
      <c r="BNH15" s="239">
        <v>0</v>
      </c>
      <c r="BNI15" s="240"/>
      <c r="BNJ15" s="267" t="s">
        <v>5</v>
      </c>
      <c r="BNK15" s="268"/>
      <c r="BNL15" s="269"/>
      <c r="BNM15" s="239">
        <v>4507</v>
      </c>
      <c r="BNN15" s="240"/>
      <c r="BNO15" s="267" t="s">
        <v>5</v>
      </c>
      <c r="BNP15" s="268"/>
      <c r="BNQ15" s="269"/>
      <c r="BNR15" s="239">
        <v>0</v>
      </c>
      <c r="BNS15" s="240"/>
      <c r="BNT15" s="267" t="s">
        <v>5</v>
      </c>
      <c r="BNU15" s="268"/>
      <c r="BNV15" s="269"/>
      <c r="BNW15" s="239">
        <v>6009</v>
      </c>
      <c r="BNX15" s="240"/>
      <c r="BNY15" s="267" t="s">
        <v>5</v>
      </c>
      <c r="BNZ15" s="268"/>
      <c r="BOA15" s="269"/>
      <c r="BOB15" s="239">
        <v>22801</v>
      </c>
      <c r="BOC15" s="240"/>
      <c r="BOD15" s="267" t="s">
        <v>5</v>
      </c>
      <c r="BOE15" s="268"/>
      <c r="BOF15" s="269"/>
      <c r="BOG15" s="239">
        <v>3148</v>
      </c>
      <c r="BOH15" s="240"/>
      <c r="BOI15" s="267" t="s">
        <v>5</v>
      </c>
      <c r="BOJ15" s="268"/>
      <c r="BOK15" s="269"/>
      <c r="BOL15" s="239">
        <v>0</v>
      </c>
      <c r="BOM15" s="240"/>
      <c r="BON15" s="267" t="s">
        <v>5</v>
      </c>
      <c r="BOO15" s="268"/>
      <c r="BOP15" s="269"/>
      <c r="BOQ15" s="239">
        <v>1502</v>
      </c>
      <c r="BOR15" s="240"/>
      <c r="BOS15" s="267" t="s">
        <v>5</v>
      </c>
      <c r="BOT15" s="268"/>
      <c r="BOU15" s="269"/>
      <c r="BOV15" s="239">
        <v>14554.5</v>
      </c>
      <c r="BOW15" s="240"/>
      <c r="BOX15" s="267" t="s">
        <v>5</v>
      </c>
      <c r="BOY15" s="268"/>
      <c r="BOZ15" s="269"/>
      <c r="BPA15" s="239">
        <v>18057.5</v>
      </c>
      <c r="BPB15" s="240"/>
      <c r="BPC15" s="267" t="s">
        <v>5</v>
      </c>
      <c r="BPD15" s="268"/>
      <c r="BPE15" s="269"/>
      <c r="BPF15" s="239">
        <v>9014</v>
      </c>
      <c r="BPG15" s="240"/>
      <c r="BPH15" s="267" t="s">
        <v>5</v>
      </c>
      <c r="BPI15" s="268"/>
      <c r="BPJ15" s="269"/>
      <c r="BPK15" s="239">
        <v>22737</v>
      </c>
      <c r="BPL15" s="240"/>
      <c r="BPM15" s="267" t="s">
        <v>5</v>
      </c>
      <c r="BPN15" s="268"/>
      <c r="BPO15" s="269"/>
      <c r="BPP15" s="239">
        <v>0</v>
      </c>
      <c r="BPQ15" s="240"/>
      <c r="BPR15" s="267" t="s">
        <v>5</v>
      </c>
      <c r="BPS15" s="268"/>
      <c r="BPT15" s="269"/>
      <c r="BPU15" s="239">
        <v>2510.25</v>
      </c>
      <c r="BPV15" s="240"/>
      <c r="BPW15" s="267" t="s">
        <v>5</v>
      </c>
      <c r="BPX15" s="268"/>
      <c r="BPY15" s="269"/>
      <c r="BPZ15" s="239">
        <v>8776</v>
      </c>
      <c r="BQA15" s="240"/>
      <c r="BQB15" s="267" t="s">
        <v>5</v>
      </c>
      <c r="BQC15" s="268"/>
      <c r="BQD15" s="269"/>
      <c r="BQE15" s="239">
        <v>27883</v>
      </c>
      <c r="BQF15" s="240"/>
      <c r="BQG15" s="267" t="s">
        <v>5</v>
      </c>
      <c r="BQH15" s="268"/>
      <c r="BQI15" s="269"/>
      <c r="BQJ15" s="239">
        <v>55759</v>
      </c>
      <c r="BQK15" s="240"/>
      <c r="BQL15" s="267" t="s">
        <v>5</v>
      </c>
      <c r="BQM15" s="268"/>
      <c r="BQN15" s="269"/>
      <c r="BQO15" s="239">
        <v>69108</v>
      </c>
      <c r="BQP15" s="240"/>
      <c r="BQQ15" s="267" t="s">
        <v>5</v>
      </c>
      <c r="BQR15" s="268"/>
      <c r="BQS15" s="269"/>
      <c r="BQT15" s="239">
        <v>73615</v>
      </c>
      <c r="BQU15" s="240"/>
      <c r="BQV15" s="267" t="s">
        <v>5</v>
      </c>
      <c r="BQW15" s="268"/>
      <c r="BQX15" s="269"/>
      <c r="BQY15" s="239">
        <v>3620.5</v>
      </c>
      <c r="BQZ15" s="240"/>
      <c r="BRA15" s="267" t="s">
        <v>5</v>
      </c>
      <c r="BRB15" s="268"/>
      <c r="BRC15" s="269"/>
      <c r="BRD15" s="239">
        <v>3005</v>
      </c>
      <c r="BRE15" s="240"/>
      <c r="BRF15" s="267" t="s">
        <v>5</v>
      </c>
      <c r="BRG15" s="268"/>
      <c r="BRH15" s="269"/>
      <c r="BRI15" s="239">
        <v>14550</v>
      </c>
      <c r="BRJ15" s="240"/>
      <c r="BRK15" s="267" t="s">
        <v>5</v>
      </c>
      <c r="BRL15" s="268"/>
      <c r="BRM15" s="269"/>
      <c r="BRN15" s="239">
        <v>18171</v>
      </c>
      <c r="BRO15" s="240"/>
      <c r="BRP15" s="267" t="s">
        <v>5</v>
      </c>
      <c r="BRQ15" s="268"/>
      <c r="BRR15" s="269"/>
      <c r="BRS15" s="239">
        <v>21032</v>
      </c>
      <c r="BRT15" s="240"/>
      <c r="BRU15" s="267" t="s">
        <v>5</v>
      </c>
      <c r="BRV15" s="268"/>
      <c r="BRW15" s="269"/>
      <c r="BRX15" s="239">
        <v>15226</v>
      </c>
      <c r="BRY15" s="240"/>
      <c r="BRZ15" s="267" t="s">
        <v>5</v>
      </c>
      <c r="BSA15" s="268"/>
      <c r="BSB15" s="269"/>
      <c r="BSC15" s="239">
        <v>27144</v>
      </c>
      <c r="BSD15" s="240"/>
      <c r="BSE15" s="267" t="s">
        <v>5</v>
      </c>
      <c r="BSF15" s="268"/>
      <c r="BSG15" s="269"/>
      <c r="BSH15" s="239">
        <v>3005</v>
      </c>
      <c r="BSI15" s="240"/>
      <c r="BSJ15" s="267" t="s">
        <v>5</v>
      </c>
      <c r="BSK15" s="268"/>
      <c r="BSL15" s="269"/>
      <c r="BSM15" s="239">
        <v>5535</v>
      </c>
      <c r="BSN15" s="240"/>
      <c r="BSO15" s="267" t="s">
        <v>5</v>
      </c>
      <c r="BSP15" s="268"/>
      <c r="BSQ15" s="269"/>
      <c r="BSR15" s="239">
        <v>2510.25</v>
      </c>
      <c r="BSS15" s="240"/>
      <c r="BST15" s="267" t="s">
        <v>5</v>
      </c>
      <c r="BSU15" s="268"/>
      <c r="BSV15" s="269"/>
      <c r="BSW15" s="239">
        <v>5637</v>
      </c>
      <c r="BSX15" s="240"/>
      <c r="BSY15" s="267" t="s">
        <v>5</v>
      </c>
      <c r="BSZ15" s="268"/>
      <c r="BTA15" s="269"/>
      <c r="BTB15" s="239">
        <v>1502</v>
      </c>
      <c r="BTC15" s="240"/>
      <c r="BTD15" s="267" t="s">
        <v>5</v>
      </c>
      <c r="BTE15" s="268"/>
      <c r="BTF15" s="269"/>
      <c r="BTG15" s="239">
        <v>3106</v>
      </c>
      <c r="BTH15" s="240"/>
      <c r="BTI15" s="267" t="s">
        <v>5</v>
      </c>
      <c r="BTJ15" s="268"/>
      <c r="BTK15" s="269"/>
      <c r="BTL15" s="239">
        <v>23563</v>
      </c>
      <c r="BTM15" s="240"/>
      <c r="BTN15" s="267" t="s">
        <v>5</v>
      </c>
      <c r="BTO15" s="268"/>
      <c r="BTP15" s="269"/>
      <c r="BTQ15" s="239">
        <v>0</v>
      </c>
      <c r="BTR15" s="240"/>
      <c r="BTS15" s="267" t="s">
        <v>5</v>
      </c>
      <c r="BTT15" s="268"/>
      <c r="BTU15" s="269"/>
      <c r="BTV15" s="239">
        <v>12592</v>
      </c>
      <c r="BTW15" s="240"/>
      <c r="BTX15" s="267" t="s">
        <v>5</v>
      </c>
      <c r="BTY15" s="268"/>
      <c r="BTZ15" s="269"/>
      <c r="BUA15" s="239">
        <v>13935.5</v>
      </c>
      <c r="BUB15" s="240"/>
      <c r="BUC15" s="267" t="s">
        <v>5</v>
      </c>
      <c r="BUD15" s="268"/>
      <c r="BUE15" s="269"/>
      <c r="BUF15" s="239">
        <v>19405.25</v>
      </c>
      <c r="BUG15" s="240"/>
      <c r="BUH15" s="267" t="s">
        <v>5</v>
      </c>
      <c r="BUI15" s="268"/>
      <c r="BUJ15" s="269"/>
      <c r="BUK15" s="239">
        <v>35662</v>
      </c>
      <c r="BUL15" s="240"/>
      <c r="BUM15" s="267" t="s">
        <v>5</v>
      </c>
      <c r="BUN15" s="268"/>
      <c r="BUO15" s="269"/>
      <c r="BUP15" s="239">
        <v>56058</v>
      </c>
      <c r="BUQ15" s="240"/>
      <c r="BUR15" s="267" t="s">
        <v>5</v>
      </c>
      <c r="BUS15" s="268"/>
      <c r="BUT15" s="269"/>
      <c r="BUU15" s="239">
        <v>115800</v>
      </c>
      <c r="BUV15" s="240"/>
      <c r="BUW15" s="267" t="s">
        <v>5</v>
      </c>
      <c r="BUX15" s="268"/>
      <c r="BUY15" s="269"/>
      <c r="BUZ15" s="239">
        <v>69105</v>
      </c>
      <c r="BVA15" s="240"/>
      <c r="BVB15" s="267" t="s">
        <v>5</v>
      </c>
      <c r="BVC15" s="268"/>
      <c r="BVD15" s="269"/>
      <c r="BVE15" s="239">
        <v>10515</v>
      </c>
      <c r="BVF15" s="240"/>
      <c r="BVG15" s="267" t="s">
        <v>5</v>
      </c>
      <c r="BVH15" s="268"/>
      <c r="BVI15" s="269"/>
      <c r="BVJ15" s="239">
        <v>0</v>
      </c>
      <c r="BVK15" s="240"/>
      <c r="BVL15" s="267" t="s">
        <v>5</v>
      </c>
      <c r="BVM15" s="268"/>
      <c r="BVN15" s="269"/>
      <c r="BVO15" s="239">
        <v>0</v>
      </c>
      <c r="BVP15" s="240"/>
      <c r="BVQ15" s="267" t="s">
        <v>5</v>
      </c>
      <c r="BVR15" s="268"/>
      <c r="BVS15" s="269"/>
      <c r="BVT15" s="239">
        <v>1502</v>
      </c>
      <c r="BVU15" s="240"/>
      <c r="BVV15" s="267" t="s">
        <v>5</v>
      </c>
      <c r="BVW15" s="268"/>
      <c r="BVX15" s="269"/>
      <c r="BVY15" s="239">
        <v>28374</v>
      </c>
      <c r="BVZ15" s="240"/>
      <c r="BWA15" s="267" t="s">
        <v>5</v>
      </c>
      <c r="BWB15" s="268"/>
      <c r="BWC15" s="269"/>
      <c r="BWD15" s="239">
        <v>26973</v>
      </c>
      <c r="BWE15" s="240"/>
      <c r="BWF15" s="267" t="s">
        <v>5</v>
      </c>
      <c r="BWG15" s="268"/>
      <c r="BWH15" s="269"/>
      <c r="BWI15" s="239">
        <v>55902</v>
      </c>
      <c r="BWJ15" s="240"/>
      <c r="BWK15" s="267" t="s">
        <v>5</v>
      </c>
      <c r="BWL15" s="268"/>
      <c r="BWM15" s="269"/>
      <c r="BWN15" s="239">
        <v>77064.399999999994</v>
      </c>
      <c r="BWO15" s="240"/>
      <c r="BWP15" s="267" t="s">
        <v>5</v>
      </c>
      <c r="BWQ15" s="268"/>
      <c r="BWR15" s="269"/>
      <c r="BWS15" s="239">
        <v>81041.5</v>
      </c>
      <c r="BWT15" s="240"/>
      <c r="BWU15" s="267" t="s">
        <v>5</v>
      </c>
      <c r="BWV15" s="268"/>
      <c r="BWW15" s="269"/>
      <c r="BWX15" s="239">
        <v>2218.15</v>
      </c>
      <c r="BWY15" s="240"/>
      <c r="BWZ15" s="267" t="s">
        <v>5</v>
      </c>
      <c r="BXA15" s="268"/>
      <c r="BXB15" s="269"/>
      <c r="BXC15" s="239">
        <v>11993</v>
      </c>
      <c r="BXD15" s="240"/>
      <c r="BXE15" s="267" t="s">
        <v>5</v>
      </c>
      <c r="BXF15" s="268"/>
      <c r="BXG15" s="269"/>
      <c r="BXH15" s="239">
        <v>25121</v>
      </c>
      <c r="BXI15" s="240"/>
      <c r="BXJ15" s="267" t="s">
        <v>5</v>
      </c>
      <c r="BXK15" s="268"/>
      <c r="BXL15" s="269"/>
      <c r="BXM15" s="239">
        <v>13164</v>
      </c>
      <c r="BXN15" s="240"/>
      <c r="BXO15" s="267" t="s">
        <v>5</v>
      </c>
      <c r="BXP15" s="268"/>
      <c r="BXQ15" s="269"/>
      <c r="BXR15" s="239">
        <v>18540.5</v>
      </c>
      <c r="BXS15" s="240"/>
      <c r="BXT15" s="267" t="s">
        <v>5</v>
      </c>
      <c r="BXU15" s="268"/>
      <c r="BXV15" s="269"/>
      <c r="BXW15" s="239">
        <v>0</v>
      </c>
      <c r="BXX15" s="240"/>
      <c r="BXY15" s="267" t="s">
        <v>5</v>
      </c>
      <c r="BXZ15" s="268"/>
      <c r="BYA15" s="269"/>
      <c r="BYB15" s="239">
        <v>7684</v>
      </c>
      <c r="BYC15" s="240"/>
      <c r="BYD15" s="267" t="s">
        <v>5</v>
      </c>
      <c r="BYE15" s="268"/>
      <c r="BYF15" s="269"/>
      <c r="BYG15" s="239">
        <v>13980</v>
      </c>
      <c r="BYH15" s="240"/>
      <c r="BYI15" s="267" t="s">
        <v>5</v>
      </c>
      <c r="BYJ15" s="268"/>
      <c r="BYK15" s="269"/>
      <c r="BYL15" s="239">
        <v>36056</v>
      </c>
      <c r="BYM15" s="240"/>
      <c r="BYN15" s="267" t="s">
        <v>5</v>
      </c>
      <c r="BYO15" s="268"/>
      <c r="BYP15" s="269"/>
      <c r="BYQ15" s="239">
        <v>0</v>
      </c>
      <c r="BYR15" s="240"/>
      <c r="BYS15" s="267" t="s">
        <v>5</v>
      </c>
      <c r="BYT15" s="268"/>
      <c r="BYU15" s="269"/>
      <c r="BYV15" s="239">
        <v>5535</v>
      </c>
      <c r="BYW15" s="240"/>
      <c r="BYX15" s="267" t="s">
        <v>5</v>
      </c>
      <c r="BYY15" s="268"/>
      <c r="BYZ15" s="269"/>
      <c r="BZA15" s="239">
        <v>13046</v>
      </c>
      <c r="BZB15" s="240"/>
      <c r="BZC15" s="267" t="s">
        <v>5</v>
      </c>
      <c r="BZD15" s="268"/>
      <c r="BZE15" s="269"/>
      <c r="BZF15" s="239">
        <v>13722</v>
      </c>
      <c r="BZG15" s="240"/>
      <c r="BZH15" s="267" t="s">
        <v>5</v>
      </c>
      <c r="BZI15" s="268"/>
      <c r="BZJ15" s="269"/>
      <c r="BZK15" s="239">
        <v>33195</v>
      </c>
      <c r="BZL15" s="240"/>
      <c r="BZM15" s="267" t="s">
        <v>5</v>
      </c>
      <c r="BZN15" s="268"/>
      <c r="BZO15" s="269"/>
      <c r="BZP15" s="239">
        <v>30280.75</v>
      </c>
      <c r="BZQ15" s="240"/>
      <c r="BZR15" s="267" t="s">
        <v>5</v>
      </c>
      <c r="BZS15" s="268"/>
      <c r="BZT15" s="269"/>
      <c r="BZU15" s="239">
        <v>17283</v>
      </c>
      <c r="BZV15" s="240"/>
      <c r="BZW15" s="267" t="s">
        <v>5</v>
      </c>
      <c r="BZX15" s="268"/>
      <c r="BZY15" s="269"/>
      <c r="BZZ15" s="239">
        <v>29762</v>
      </c>
      <c r="CAA15" s="240"/>
      <c r="CAB15" s="267" t="s">
        <v>5</v>
      </c>
      <c r="CAC15" s="268"/>
      <c r="CAD15" s="269"/>
      <c r="CAE15" s="239">
        <v>4812</v>
      </c>
      <c r="CAF15" s="240"/>
      <c r="CAG15" s="267" t="s">
        <v>5</v>
      </c>
      <c r="CAH15" s="268"/>
      <c r="CAI15" s="269"/>
      <c r="CAJ15" s="239">
        <v>57166</v>
      </c>
      <c r="CAK15" s="240"/>
      <c r="CAL15" s="267" t="s">
        <v>5</v>
      </c>
      <c r="CAM15" s="268"/>
      <c r="CAN15" s="269"/>
      <c r="CAO15" s="239">
        <v>51077</v>
      </c>
      <c r="CAP15" s="240"/>
      <c r="CAQ15" s="267" t="s">
        <v>5</v>
      </c>
      <c r="CAR15" s="268"/>
      <c r="CAS15" s="269"/>
      <c r="CAT15" s="239">
        <v>17468.5</v>
      </c>
      <c r="CAU15" s="240"/>
      <c r="CAV15" s="267" t="s">
        <v>5</v>
      </c>
      <c r="CAW15" s="268"/>
      <c r="CAX15" s="269"/>
      <c r="CAY15" s="239">
        <v>0</v>
      </c>
      <c r="CAZ15" s="240"/>
      <c r="CBA15" s="267" t="s">
        <v>5</v>
      </c>
      <c r="CBB15" s="268"/>
      <c r="CBC15" s="269"/>
      <c r="CBD15" s="239">
        <v>0</v>
      </c>
      <c r="CBE15" s="240"/>
      <c r="CBF15" s="267" t="s">
        <v>5</v>
      </c>
      <c r="CBG15" s="268"/>
      <c r="CBH15" s="269"/>
      <c r="CBI15" s="239">
        <v>24493.5</v>
      </c>
      <c r="CBJ15" s="240"/>
      <c r="CBK15" s="267" t="s">
        <v>5</v>
      </c>
      <c r="CBL15" s="268"/>
      <c r="CBM15" s="269"/>
      <c r="CBN15" s="239">
        <v>19530</v>
      </c>
      <c r="CBO15" s="240"/>
      <c r="CBP15" s="267" t="s">
        <v>5</v>
      </c>
      <c r="CBQ15" s="268"/>
      <c r="CBR15" s="269"/>
      <c r="CBS15" s="239">
        <v>23055</v>
      </c>
      <c r="CBT15" s="240"/>
      <c r="CBU15" s="267" t="s">
        <v>5</v>
      </c>
      <c r="CBV15" s="268"/>
      <c r="CBW15" s="269"/>
      <c r="CBX15" s="239">
        <v>34755</v>
      </c>
      <c r="CBY15" s="240"/>
      <c r="CBZ15" s="267" t="s">
        <v>5</v>
      </c>
      <c r="CCA15" s="268"/>
      <c r="CCB15" s="269"/>
      <c r="CCC15" s="239">
        <v>33397</v>
      </c>
      <c r="CCD15" s="240"/>
      <c r="CCE15" s="267" t="s">
        <v>5</v>
      </c>
      <c r="CCF15" s="268"/>
      <c r="CCG15" s="269"/>
      <c r="CCH15" s="239">
        <v>10517</v>
      </c>
      <c r="CCI15" s="240"/>
      <c r="CCJ15" s="267" t="s">
        <v>5</v>
      </c>
      <c r="CCK15" s="268"/>
      <c r="CCL15" s="269"/>
      <c r="CCM15" s="239">
        <v>9013</v>
      </c>
      <c r="CCN15" s="240"/>
      <c r="CCO15" s="267" t="s">
        <v>5</v>
      </c>
      <c r="CCP15" s="268"/>
      <c r="CCQ15" s="269"/>
      <c r="CCR15" s="239">
        <v>9013</v>
      </c>
      <c r="CCS15" s="240"/>
      <c r="CCT15" s="267" t="s">
        <v>5</v>
      </c>
      <c r="CCU15" s="268"/>
      <c r="CCV15" s="269"/>
      <c r="CCW15" s="239">
        <v>23947</v>
      </c>
      <c r="CCX15" s="240"/>
      <c r="CCY15" s="267" t="s">
        <v>5</v>
      </c>
      <c r="CCZ15" s="268"/>
      <c r="CDA15" s="269"/>
      <c r="CDB15" s="239">
        <v>26692.25</v>
      </c>
      <c r="CDC15" s="240"/>
      <c r="CDD15" s="267" t="s">
        <v>5</v>
      </c>
      <c r="CDE15" s="268"/>
      <c r="CDF15" s="269"/>
      <c r="CDG15" s="239">
        <v>25538</v>
      </c>
      <c r="CDH15" s="240"/>
      <c r="CDI15" s="267" t="s">
        <v>5</v>
      </c>
      <c r="CDJ15" s="268"/>
      <c r="CDK15" s="269"/>
      <c r="CDL15" s="239">
        <v>6009</v>
      </c>
      <c r="CDM15" s="240"/>
      <c r="CDN15" s="267" t="s">
        <v>5</v>
      </c>
      <c r="CDO15" s="268"/>
      <c r="CDP15" s="269"/>
      <c r="CDQ15" s="239">
        <v>16524</v>
      </c>
      <c r="CDR15" s="240"/>
      <c r="CDS15" s="267" t="s">
        <v>5</v>
      </c>
      <c r="CDT15" s="268"/>
      <c r="CDU15" s="269"/>
      <c r="CDV15" s="239">
        <v>31829</v>
      </c>
      <c r="CDW15" s="240"/>
      <c r="CDX15" s="267" t="s">
        <v>5</v>
      </c>
      <c r="CDY15" s="268"/>
      <c r="CDZ15" s="269"/>
      <c r="CEA15" s="239">
        <v>43905</v>
      </c>
      <c r="CEB15" s="240"/>
      <c r="CEC15" s="267" t="s">
        <v>5</v>
      </c>
      <c r="CED15" s="268"/>
      <c r="CEE15" s="269"/>
      <c r="CEF15" s="239">
        <v>55296.5</v>
      </c>
      <c r="CEG15" s="240"/>
      <c r="CEH15" s="267" t="s">
        <v>5</v>
      </c>
      <c r="CEI15" s="268"/>
      <c r="CEJ15" s="269"/>
      <c r="CEK15" s="239">
        <v>35725</v>
      </c>
      <c r="CEL15" s="240"/>
      <c r="CEM15" s="267" t="s">
        <v>5</v>
      </c>
      <c r="CEN15" s="268"/>
      <c r="CEO15" s="269"/>
      <c r="CEP15" s="239">
        <v>0</v>
      </c>
      <c r="CEQ15" s="240"/>
      <c r="CER15" s="267" t="s">
        <v>5</v>
      </c>
      <c r="CES15" s="268"/>
      <c r="CET15" s="269"/>
      <c r="CEU15" s="239">
        <v>7512</v>
      </c>
      <c r="CEV15" s="240"/>
      <c r="CEW15" s="267" t="s">
        <v>5</v>
      </c>
      <c r="CEX15" s="268"/>
      <c r="CEY15" s="269"/>
      <c r="CEZ15" s="239">
        <v>18029</v>
      </c>
      <c r="CFA15" s="240"/>
      <c r="CFB15" s="267" t="s">
        <v>5</v>
      </c>
      <c r="CFC15" s="268"/>
      <c r="CFD15" s="269"/>
      <c r="CFE15" s="239">
        <v>21104</v>
      </c>
      <c r="CFF15" s="240"/>
      <c r="CFG15" s="267" t="s">
        <v>5</v>
      </c>
      <c r="CFH15" s="268"/>
      <c r="CFI15" s="269"/>
      <c r="CFJ15" s="239">
        <v>60562.5</v>
      </c>
      <c r="CFK15" s="240"/>
      <c r="CFL15" s="267" t="s">
        <v>5</v>
      </c>
      <c r="CFM15" s="268"/>
      <c r="CFN15" s="269"/>
      <c r="CFO15" s="239">
        <v>61674</v>
      </c>
      <c r="CFP15" s="240"/>
      <c r="CFQ15" s="267" t="s">
        <v>5</v>
      </c>
      <c r="CFR15" s="268"/>
      <c r="CFS15" s="269"/>
      <c r="CFT15" s="239">
        <v>63885</v>
      </c>
      <c r="CFU15" s="240"/>
      <c r="CFV15" s="267" t="s">
        <v>5</v>
      </c>
      <c r="CFW15" s="268"/>
      <c r="CFX15" s="269"/>
      <c r="CFY15" s="239">
        <v>0</v>
      </c>
      <c r="CFZ15" s="240"/>
      <c r="CGA15" s="267" t="s">
        <v>5</v>
      </c>
      <c r="CGB15" s="268"/>
      <c r="CGC15" s="269"/>
      <c r="CGD15" s="239">
        <v>5607</v>
      </c>
      <c r="CGE15" s="240"/>
      <c r="CGF15" s="267" t="s">
        <v>5</v>
      </c>
      <c r="CGG15" s="268"/>
      <c r="CGH15" s="269"/>
      <c r="CGI15" s="239">
        <v>46859</v>
      </c>
      <c r="CGJ15" s="240"/>
      <c r="CGK15" s="267" t="s">
        <v>5</v>
      </c>
      <c r="CGL15" s="268"/>
      <c r="CGM15" s="269"/>
      <c r="CGN15" s="239">
        <v>84208</v>
      </c>
      <c r="CGO15" s="240"/>
      <c r="CGP15" s="267" t="s">
        <v>5</v>
      </c>
      <c r="CGQ15" s="268"/>
      <c r="CGR15" s="269"/>
      <c r="CGS15" s="239">
        <v>48084</v>
      </c>
      <c r="CGT15" s="240"/>
      <c r="CGU15" s="267" t="s">
        <v>5</v>
      </c>
      <c r="CGV15" s="268"/>
      <c r="CGW15" s="269"/>
      <c r="CGX15" s="239">
        <v>9014</v>
      </c>
      <c r="CGY15" s="240"/>
      <c r="CGZ15" s="267" t="s">
        <v>5</v>
      </c>
      <c r="CHA15" s="268"/>
      <c r="CHB15" s="269"/>
      <c r="CHC15" s="239">
        <v>2833.2</v>
      </c>
      <c r="CHD15" s="240"/>
      <c r="CHE15" s="267" t="s">
        <v>5</v>
      </c>
      <c r="CHF15" s="268"/>
      <c r="CHG15" s="269"/>
      <c r="CHH15" s="239">
        <v>5670</v>
      </c>
      <c r="CHI15" s="240"/>
      <c r="CHJ15" s="267" t="s">
        <v>5</v>
      </c>
      <c r="CHK15" s="268"/>
      <c r="CHL15" s="269"/>
      <c r="CHM15" s="239">
        <v>7598</v>
      </c>
      <c r="CHN15" s="240"/>
      <c r="CHO15" s="267" t="s">
        <v>5</v>
      </c>
      <c r="CHP15" s="268"/>
      <c r="CHQ15" s="269"/>
      <c r="CHR15" s="239">
        <v>13594.5</v>
      </c>
      <c r="CHS15" s="240"/>
      <c r="CHT15" s="267" t="s">
        <v>5</v>
      </c>
      <c r="CHU15" s="268"/>
      <c r="CHV15" s="269"/>
      <c r="CHW15" s="239">
        <v>12159.5</v>
      </c>
      <c r="CHX15" s="240"/>
      <c r="CHY15" s="267" t="s">
        <v>5</v>
      </c>
      <c r="CHZ15" s="268"/>
      <c r="CIA15" s="269"/>
      <c r="CIB15" s="239">
        <v>15668</v>
      </c>
      <c r="CIC15" s="240"/>
      <c r="CID15" s="267" t="s">
        <v>5</v>
      </c>
      <c r="CIE15" s="268"/>
      <c r="CIF15" s="269"/>
      <c r="CIG15" s="239">
        <v>6008</v>
      </c>
      <c r="CIH15" s="240"/>
      <c r="CII15" s="267" t="s">
        <v>5</v>
      </c>
      <c r="CIJ15" s="268"/>
      <c r="CIK15" s="269"/>
      <c r="CIL15" s="239">
        <v>13521</v>
      </c>
      <c r="CIM15" s="240"/>
      <c r="CIN15" s="267" t="s">
        <v>5</v>
      </c>
      <c r="CIO15" s="268"/>
      <c r="CIP15" s="269"/>
      <c r="CIQ15" s="239">
        <v>9012</v>
      </c>
      <c r="CIR15" s="240"/>
      <c r="CIS15" s="267" t="s">
        <v>5</v>
      </c>
      <c r="CIT15" s="268"/>
      <c r="CIU15" s="269"/>
      <c r="CIV15" s="239">
        <v>7510</v>
      </c>
      <c r="CIW15" s="240"/>
      <c r="CIX15" s="267" t="s">
        <v>5</v>
      </c>
      <c r="CIY15" s="268"/>
      <c r="CIZ15" s="269"/>
      <c r="CJA15" s="239">
        <v>23559.5</v>
      </c>
      <c r="CJB15" s="240"/>
      <c r="CJC15" s="267" t="s">
        <v>5</v>
      </c>
      <c r="CJD15" s="268"/>
      <c r="CJE15" s="269"/>
      <c r="CJF15" s="239">
        <v>4013.25</v>
      </c>
      <c r="CJG15" s="240"/>
      <c r="CJH15" s="267" t="s">
        <v>5</v>
      </c>
      <c r="CJI15" s="268"/>
      <c r="CJJ15" s="269"/>
      <c r="CJK15" s="239">
        <v>0</v>
      </c>
      <c r="CJL15" s="240"/>
      <c r="CJM15" s="267" t="s">
        <v>5</v>
      </c>
      <c r="CJN15" s="268"/>
      <c r="CJO15" s="269"/>
      <c r="CJP15" s="239">
        <v>0</v>
      </c>
      <c r="CJQ15" s="240"/>
      <c r="CJR15" s="267" t="s">
        <v>5</v>
      </c>
      <c r="CJS15" s="268"/>
      <c r="CJT15" s="269"/>
      <c r="CJU15" s="239">
        <v>3021.5</v>
      </c>
      <c r="CJV15" s="240"/>
      <c r="CJW15" s="267" t="s">
        <v>5</v>
      </c>
      <c r="CJX15" s="268"/>
      <c r="CJY15" s="269"/>
      <c r="CJZ15" s="239">
        <v>9827.1</v>
      </c>
      <c r="CKA15" s="240"/>
      <c r="CKB15" s="267" t="s">
        <v>5</v>
      </c>
      <c r="CKC15" s="268"/>
      <c r="CKD15" s="269"/>
      <c r="CKE15" s="239">
        <v>12568</v>
      </c>
      <c r="CKF15" s="240"/>
      <c r="CKG15" s="267" t="s">
        <v>5</v>
      </c>
      <c r="CKH15" s="268"/>
      <c r="CKI15" s="269"/>
      <c r="CKJ15" s="239">
        <v>15023</v>
      </c>
      <c r="CKK15" s="240"/>
      <c r="CKL15" s="267" t="s">
        <v>5</v>
      </c>
      <c r="CKM15" s="268"/>
      <c r="CKN15" s="269"/>
      <c r="CKO15" s="239">
        <v>18100</v>
      </c>
      <c r="CKP15" s="240"/>
      <c r="CKQ15" s="267" t="s">
        <v>5</v>
      </c>
      <c r="CKR15" s="268"/>
      <c r="CKS15" s="269"/>
      <c r="CKT15" s="239">
        <v>21031</v>
      </c>
      <c r="CKU15" s="240"/>
      <c r="CKV15" s="267" t="s">
        <v>5</v>
      </c>
      <c r="CKW15" s="268"/>
      <c r="CKX15" s="269"/>
      <c r="CKY15" s="239">
        <v>4422.5</v>
      </c>
      <c r="CKZ15" s="240"/>
      <c r="CLA15" s="267" t="s">
        <v>5</v>
      </c>
      <c r="CLB15" s="268"/>
      <c r="CLC15" s="269"/>
      <c r="CLD15" s="239">
        <v>21032</v>
      </c>
      <c r="CLE15" s="240"/>
      <c r="CLF15" s="267" t="s">
        <v>5</v>
      </c>
      <c r="CLG15" s="268"/>
      <c r="CLH15" s="269"/>
      <c r="CLI15" s="239">
        <v>81465.899999999994</v>
      </c>
      <c r="CLJ15" s="240"/>
      <c r="CLK15" s="267" t="s">
        <v>5</v>
      </c>
      <c r="CLL15" s="268"/>
      <c r="CLM15" s="269"/>
      <c r="CLN15" s="239">
        <v>90675.199999999997</v>
      </c>
      <c r="CLO15" s="240"/>
      <c r="CLP15" s="267" t="s">
        <v>5</v>
      </c>
      <c r="CLQ15" s="268"/>
      <c r="CLR15" s="269"/>
      <c r="CLS15" s="239">
        <v>85740</v>
      </c>
      <c r="CLT15" s="240"/>
      <c r="CLU15" s="267" t="s">
        <v>5</v>
      </c>
      <c r="CLV15" s="268"/>
      <c r="CLW15" s="269"/>
      <c r="CLX15" s="239">
        <v>34694</v>
      </c>
      <c r="CLY15" s="240"/>
      <c r="CLZ15" s="267" t="s">
        <v>5</v>
      </c>
      <c r="CMA15" s="268"/>
      <c r="CMB15" s="269"/>
      <c r="CMC15" s="239">
        <v>1502</v>
      </c>
      <c r="CMD15" s="240"/>
      <c r="CME15" s="267" t="s">
        <v>5</v>
      </c>
      <c r="CMF15" s="268"/>
      <c r="CMG15" s="269"/>
      <c r="CMH15" s="239">
        <v>47450</v>
      </c>
      <c r="CMI15" s="240"/>
      <c r="CMJ15" s="267" t="s">
        <v>5</v>
      </c>
      <c r="CMK15" s="268"/>
      <c r="CML15" s="269"/>
      <c r="CMM15" s="239">
        <v>30047</v>
      </c>
      <c r="CMN15" s="240"/>
      <c r="CMO15" s="267" t="s">
        <v>5</v>
      </c>
      <c r="CMP15" s="268"/>
      <c r="CMQ15" s="269"/>
      <c r="CMR15" s="239">
        <v>36238.5</v>
      </c>
      <c r="CMS15" s="240"/>
      <c r="CMT15" s="267" t="s">
        <v>5</v>
      </c>
      <c r="CMU15" s="268"/>
      <c r="CMV15" s="269"/>
      <c r="CMW15" s="239">
        <v>44702</v>
      </c>
      <c r="CMX15" s="240"/>
      <c r="CMY15" s="267" t="s">
        <v>5</v>
      </c>
      <c r="CMZ15" s="268"/>
      <c r="CNA15" s="269"/>
      <c r="CNB15" s="239">
        <v>28261.75</v>
      </c>
      <c r="CNC15" s="240"/>
      <c r="CND15" s="267" t="s">
        <v>5</v>
      </c>
      <c r="CNE15" s="268"/>
      <c r="CNF15" s="269"/>
      <c r="CNG15" s="239">
        <v>14644.5</v>
      </c>
      <c r="CNH15" s="240"/>
      <c r="CNI15" s="267" t="s">
        <v>5</v>
      </c>
      <c r="CNJ15" s="268"/>
      <c r="CNK15" s="269"/>
      <c r="CNL15" s="239">
        <v>7512</v>
      </c>
      <c r="CNM15" s="240"/>
      <c r="CNN15" s="267" t="s">
        <v>5</v>
      </c>
      <c r="CNO15" s="268"/>
      <c r="CNP15" s="269"/>
      <c r="CNQ15" s="239">
        <v>21876</v>
      </c>
      <c r="CNR15" s="240"/>
      <c r="CNS15" s="267" t="s">
        <v>5</v>
      </c>
      <c r="CNT15" s="268"/>
      <c r="CNU15" s="269"/>
      <c r="CNV15" s="239">
        <v>27143</v>
      </c>
      <c r="CNW15" s="240"/>
      <c r="CNX15" s="267" t="s">
        <v>5</v>
      </c>
      <c r="CNY15" s="268"/>
      <c r="CNZ15" s="269"/>
      <c r="COA15" s="239">
        <v>50521.4</v>
      </c>
      <c r="COB15" s="240"/>
      <c r="COC15" s="267" t="s">
        <v>5</v>
      </c>
      <c r="COD15" s="268"/>
      <c r="COE15" s="269"/>
      <c r="COF15" s="239">
        <v>90102.399999999994</v>
      </c>
      <c r="COG15" s="240"/>
      <c r="COH15" s="267" t="s">
        <v>5</v>
      </c>
      <c r="COI15" s="268"/>
      <c r="COJ15" s="269"/>
      <c r="COK15" s="239">
        <v>28918</v>
      </c>
      <c r="COL15" s="240"/>
      <c r="COM15" s="267" t="s">
        <v>5</v>
      </c>
      <c r="CON15" s="268"/>
      <c r="COO15" s="269"/>
      <c r="COP15" s="239">
        <v>36385</v>
      </c>
      <c r="COQ15" s="240"/>
      <c r="COR15" s="267" t="s">
        <v>5</v>
      </c>
      <c r="COS15" s="268"/>
      <c r="COT15" s="269"/>
      <c r="COU15" s="239">
        <v>0</v>
      </c>
      <c r="COV15" s="240"/>
      <c r="COW15" s="267" t="s">
        <v>5</v>
      </c>
      <c r="COX15" s="268"/>
      <c r="COY15" s="269"/>
      <c r="COZ15" s="239">
        <v>8314.5</v>
      </c>
      <c r="CPA15" s="240"/>
      <c r="CPB15" s="267" t="s">
        <v>5</v>
      </c>
      <c r="CPC15" s="268"/>
      <c r="CPD15" s="269"/>
      <c r="CPE15" s="239">
        <v>28066.5</v>
      </c>
      <c r="CPF15" s="240"/>
      <c r="CPG15" s="267" t="s">
        <v>5</v>
      </c>
      <c r="CPH15" s="268"/>
      <c r="CPI15" s="269"/>
      <c r="CPJ15" s="239">
        <v>16763</v>
      </c>
      <c r="CPK15" s="240"/>
      <c r="CPL15" s="267" t="s">
        <v>5</v>
      </c>
      <c r="CPM15" s="268"/>
      <c r="CPN15" s="269"/>
      <c r="CPO15" s="239">
        <v>16182.78</v>
      </c>
      <c r="CPP15" s="240"/>
      <c r="CPQ15" s="267" t="s">
        <v>5</v>
      </c>
      <c r="CPR15" s="268"/>
      <c r="CPS15" s="269"/>
      <c r="CPT15" s="239">
        <v>33807</v>
      </c>
      <c r="CPU15" s="240"/>
      <c r="CPV15" s="267" t="s">
        <v>5</v>
      </c>
      <c r="CPW15" s="268"/>
      <c r="CPX15" s="269"/>
      <c r="CPY15" s="239">
        <v>32423.5</v>
      </c>
      <c r="CPZ15" s="240"/>
      <c r="CQA15" s="267" t="s">
        <v>5</v>
      </c>
      <c r="CQB15" s="268"/>
      <c r="CQC15" s="269"/>
      <c r="CQD15" s="239">
        <v>5621</v>
      </c>
      <c r="CQE15" s="240"/>
      <c r="CQF15" s="267" t="s">
        <v>5</v>
      </c>
      <c r="CQG15" s="268"/>
      <c r="CQH15" s="269"/>
      <c r="CQI15" s="239">
        <v>22980</v>
      </c>
      <c r="CQJ15" s="240"/>
      <c r="CQK15" s="267" t="s">
        <v>5</v>
      </c>
      <c r="CQL15" s="268"/>
      <c r="CQM15" s="269"/>
      <c r="CQN15" s="239">
        <v>61371</v>
      </c>
      <c r="CQO15" s="240"/>
      <c r="CQP15" s="267" t="s">
        <v>5</v>
      </c>
      <c r="CQQ15" s="268"/>
      <c r="CQR15" s="269"/>
      <c r="CQS15" s="239">
        <v>53650.5</v>
      </c>
      <c r="CQT15" s="240"/>
      <c r="CQU15" s="267" t="s">
        <v>5</v>
      </c>
      <c r="CQV15" s="268"/>
      <c r="CQW15" s="269"/>
      <c r="CQX15" s="239">
        <v>22534</v>
      </c>
      <c r="CQY15" s="240"/>
      <c r="CQZ15" s="267" t="s">
        <v>5</v>
      </c>
      <c r="CRA15" s="268"/>
      <c r="CRB15" s="269"/>
      <c r="CRC15" s="239">
        <v>44069.5</v>
      </c>
      <c r="CRD15" s="240"/>
      <c r="CRE15" s="300" t="s">
        <v>5</v>
      </c>
      <c r="CRF15" s="301"/>
      <c r="CRG15" s="302"/>
      <c r="CRH15" s="328">
        <v>68369.75</v>
      </c>
      <c r="CRI15" s="329"/>
      <c r="CRJ15" s="300" t="s">
        <v>5</v>
      </c>
      <c r="CRK15" s="301"/>
      <c r="CRL15" s="302"/>
      <c r="CRM15" s="328">
        <v>12118</v>
      </c>
      <c r="CRN15" s="329"/>
      <c r="CRO15" s="300" t="s">
        <v>5</v>
      </c>
      <c r="CRP15" s="301"/>
      <c r="CRQ15" s="302"/>
      <c r="CRR15" s="328">
        <v>11224.5</v>
      </c>
      <c r="CRS15" s="329"/>
      <c r="CRT15" s="300" t="s">
        <v>5</v>
      </c>
      <c r="CRU15" s="301"/>
      <c r="CRV15" s="302"/>
      <c r="CRW15" s="328">
        <v>28820.25</v>
      </c>
      <c r="CRX15" s="329"/>
      <c r="CRY15" s="300" t="s">
        <v>5</v>
      </c>
      <c r="CRZ15" s="301"/>
      <c r="CSA15" s="302"/>
      <c r="CSB15" s="20">
        <v>30128</v>
      </c>
      <c r="CSC15" s="300" t="s">
        <v>5</v>
      </c>
      <c r="CSD15" s="301"/>
      <c r="CSE15" s="302"/>
      <c r="CSF15" s="20">
        <v>45149</v>
      </c>
      <c r="CSG15" s="300" t="s">
        <v>5</v>
      </c>
      <c r="CSH15" s="301"/>
      <c r="CSI15" s="302"/>
      <c r="CSJ15" s="20">
        <v>39855</v>
      </c>
      <c r="CSK15" s="300" t="s">
        <v>5</v>
      </c>
      <c r="CSL15" s="301"/>
      <c r="CSM15" s="302"/>
      <c r="CSN15" s="20">
        <v>45358</v>
      </c>
      <c r="CSO15" s="300" t="s">
        <v>5</v>
      </c>
      <c r="CSP15" s="301"/>
      <c r="CSQ15" s="302"/>
      <c r="CSR15" s="20">
        <v>39250</v>
      </c>
      <c r="CSS15" s="300" t="s">
        <v>5</v>
      </c>
      <c r="CST15" s="301"/>
      <c r="CSU15" s="302"/>
      <c r="CSV15" s="20">
        <v>21301</v>
      </c>
      <c r="CSW15" s="300" t="s">
        <v>5</v>
      </c>
      <c r="CSX15" s="301"/>
      <c r="CSY15" s="302"/>
      <c r="CSZ15" s="20">
        <v>37386.75</v>
      </c>
      <c r="CTA15" s="300" t="s">
        <v>5</v>
      </c>
      <c r="CTB15" s="301"/>
      <c r="CTC15" s="302"/>
      <c r="CTD15" s="20">
        <v>21296.5</v>
      </c>
      <c r="CTE15" s="300" t="s">
        <v>5</v>
      </c>
      <c r="CTF15" s="301"/>
      <c r="CTG15" s="302"/>
      <c r="CTH15" s="20">
        <v>54582</v>
      </c>
      <c r="CTI15" s="300" t="s">
        <v>5</v>
      </c>
      <c r="CTJ15" s="301"/>
      <c r="CTK15" s="302"/>
      <c r="CTL15" s="20">
        <v>24983</v>
      </c>
      <c r="CTM15" s="300" t="s">
        <v>5</v>
      </c>
      <c r="CTN15" s="301"/>
      <c r="CTO15" s="302"/>
      <c r="CTP15" s="20">
        <v>28544</v>
      </c>
      <c r="CTQ15" s="300" t="s">
        <v>5</v>
      </c>
      <c r="CTR15" s="301"/>
      <c r="CTS15" s="302"/>
      <c r="CTT15" s="20">
        <v>5839</v>
      </c>
      <c r="CTU15" s="300" t="s">
        <v>5</v>
      </c>
      <c r="CTV15" s="301"/>
      <c r="CTW15" s="302"/>
      <c r="CTX15" s="20">
        <v>5535</v>
      </c>
      <c r="CTY15" s="300" t="s">
        <v>5</v>
      </c>
      <c r="CTZ15" s="301"/>
      <c r="CUA15" s="302"/>
      <c r="CUB15" s="20">
        <v>12099</v>
      </c>
      <c r="CUC15" s="300" t="s">
        <v>5</v>
      </c>
      <c r="CUD15" s="301"/>
      <c r="CUE15" s="302"/>
      <c r="CUF15" s="20">
        <v>18148</v>
      </c>
      <c r="CUG15" s="300" t="s">
        <v>5</v>
      </c>
      <c r="CUH15" s="301"/>
      <c r="CUI15" s="302"/>
      <c r="CUJ15" s="20">
        <v>45070</v>
      </c>
      <c r="CUK15" s="300" t="s">
        <v>5</v>
      </c>
      <c r="CUL15" s="301"/>
      <c r="CUM15" s="302"/>
      <c r="CUN15" s="20">
        <v>802</v>
      </c>
      <c r="CUO15" s="300" t="s">
        <v>5</v>
      </c>
      <c r="CUP15" s="301"/>
      <c r="CUQ15" s="302"/>
      <c r="CUR15" s="20">
        <v>6868</v>
      </c>
      <c r="CUS15" s="300" t="s">
        <v>5</v>
      </c>
      <c r="CUT15" s="301"/>
      <c r="CUU15" s="302"/>
      <c r="CUV15" s="20">
        <v>22061</v>
      </c>
      <c r="CUW15" s="300" t="s">
        <v>5</v>
      </c>
      <c r="CUX15" s="301"/>
      <c r="CUY15" s="302"/>
      <c r="CUZ15" s="20">
        <v>34554</v>
      </c>
      <c r="CVA15" s="300" t="s">
        <v>5</v>
      </c>
      <c r="CVB15" s="301"/>
      <c r="CVC15" s="302"/>
      <c r="CVD15" s="20">
        <v>708.75</v>
      </c>
      <c r="CVE15" s="300" t="s">
        <v>5</v>
      </c>
      <c r="CVF15" s="301"/>
      <c r="CVG15" s="302"/>
      <c r="CVH15" s="20">
        <v>0</v>
      </c>
      <c r="CVI15" s="300" t="s">
        <v>5</v>
      </c>
      <c r="CVJ15" s="301"/>
      <c r="CVK15" s="302"/>
      <c r="CVL15" s="20">
        <v>1502</v>
      </c>
      <c r="CVM15" s="300" t="s">
        <v>5</v>
      </c>
      <c r="CVN15" s="301"/>
      <c r="CVO15" s="302"/>
      <c r="CVP15" s="20">
        <v>5560.5</v>
      </c>
      <c r="CVQ15" s="300" t="s">
        <v>5</v>
      </c>
      <c r="CVR15" s="301"/>
      <c r="CVS15" s="302"/>
      <c r="CVT15" s="20">
        <v>20762</v>
      </c>
      <c r="CVU15" s="300" t="s">
        <v>5</v>
      </c>
      <c r="CVV15" s="301"/>
      <c r="CVW15" s="302"/>
      <c r="CVX15" s="20">
        <v>0</v>
      </c>
      <c r="CVY15" s="300" t="s">
        <v>5</v>
      </c>
      <c r="CVZ15" s="301"/>
      <c r="CWA15" s="302"/>
      <c r="CWB15" s="20">
        <v>35455</v>
      </c>
      <c r="CWC15" s="300" t="s">
        <v>5</v>
      </c>
      <c r="CWD15" s="301"/>
      <c r="CWE15" s="302"/>
      <c r="CWF15" s="20">
        <v>68745.5</v>
      </c>
      <c r="CWG15" s="300" t="s">
        <v>5</v>
      </c>
      <c r="CWH15" s="301"/>
      <c r="CWI15" s="302"/>
      <c r="CWJ15" s="20">
        <v>7655</v>
      </c>
      <c r="CWK15" s="300" t="s">
        <v>5</v>
      </c>
      <c r="CWL15" s="301"/>
      <c r="CWM15" s="302"/>
      <c r="CWN15" s="20">
        <v>7356.64</v>
      </c>
      <c r="CWO15" s="300" t="s">
        <v>5</v>
      </c>
      <c r="CWP15" s="301"/>
      <c r="CWQ15" s="302"/>
      <c r="CWR15" s="20">
        <v>27806.5</v>
      </c>
      <c r="CWS15" s="300" t="s">
        <v>5</v>
      </c>
      <c r="CWT15" s="301"/>
      <c r="CWU15" s="302"/>
      <c r="CWV15" s="20">
        <v>0</v>
      </c>
      <c r="CWW15" s="300" t="s">
        <v>5</v>
      </c>
      <c r="CWX15" s="301"/>
      <c r="CWY15" s="302"/>
      <c r="CWZ15" s="20">
        <v>30226</v>
      </c>
      <c r="CXA15" s="361" t="s">
        <v>5</v>
      </c>
      <c r="CXB15" s="362"/>
      <c r="CXC15" s="363"/>
      <c r="CXD15" s="38">
        <v>11031.5</v>
      </c>
      <c r="CXE15" s="361" t="s">
        <v>5</v>
      </c>
      <c r="CXF15" s="362"/>
      <c r="CXG15" s="363"/>
      <c r="CXH15" s="38">
        <v>10070.64</v>
      </c>
      <c r="CXI15" s="361" t="s">
        <v>5</v>
      </c>
      <c r="CXJ15" s="362"/>
      <c r="CXK15" s="363"/>
      <c r="CXL15" s="38">
        <v>13729.5</v>
      </c>
      <c r="CXM15" s="361" t="s">
        <v>5</v>
      </c>
      <c r="CXN15" s="362"/>
      <c r="CXO15" s="363"/>
      <c r="CXP15" s="38">
        <v>26478</v>
      </c>
      <c r="CXQ15" s="361" t="s">
        <v>5</v>
      </c>
      <c r="CXR15" s="362"/>
      <c r="CXS15" s="363"/>
      <c r="CXT15" s="38">
        <v>45995</v>
      </c>
      <c r="CXU15" s="26" t="s">
        <v>5</v>
      </c>
      <c r="CXX15" s="26">
        <v>4010</v>
      </c>
      <c r="CXY15" s="26" t="s">
        <v>5</v>
      </c>
      <c r="CYB15" s="26">
        <v>3208</v>
      </c>
      <c r="CYC15" s="26" t="s">
        <v>5</v>
      </c>
      <c r="CYF15" s="26">
        <v>47790</v>
      </c>
      <c r="CYG15" s="26" t="s">
        <v>45</v>
      </c>
      <c r="CYI15" s="26">
        <v>1417</v>
      </c>
      <c r="CYK15" s="26" t="s">
        <v>42</v>
      </c>
      <c r="CYM15" s="26">
        <v>0</v>
      </c>
      <c r="CYO15" s="26" t="s">
        <v>35</v>
      </c>
      <c r="CYQ15" s="26">
        <v>0</v>
      </c>
      <c r="CYS15" s="26" t="s">
        <v>42</v>
      </c>
      <c r="CYU15" s="26">
        <v>0</v>
      </c>
      <c r="CYW15" s="26" t="s">
        <v>36</v>
      </c>
      <c r="CYY15" s="26">
        <v>0</v>
      </c>
      <c r="CZA15" s="26" t="s">
        <v>36</v>
      </c>
      <c r="CZC15" s="26">
        <v>9578</v>
      </c>
      <c r="CZE15" s="26" t="s">
        <v>45</v>
      </c>
      <c r="CZG15" s="26">
        <v>8505</v>
      </c>
      <c r="CZI15" s="26" t="s">
        <v>42</v>
      </c>
      <c r="CZK15" s="26">
        <v>1330.89</v>
      </c>
      <c r="CZM15" s="26" t="s">
        <v>36</v>
      </c>
      <c r="CZO15" s="26">
        <v>6049.5</v>
      </c>
      <c r="CZQ15" s="26" t="s">
        <v>35</v>
      </c>
      <c r="CZS15" s="26">
        <v>0</v>
      </c>
      <c r="CZU15" s="26" t="s">
        <v>42</v>
      </c>
      <c r="CZW15" s="26">
        <v>1604</v>
      </c>
      <c r="CZY15" s="26" t="s">
        <v>36</v>
      </c>
      <c r="DAA15" s="26">
        <v>3208</v>
      </c>
      <c r="DAC15" s="26" t="s">
        <v>35</v>
      </c>
      <c r="DAE15" s="26">
        <v>20559</v>
      </c>
      <c r="DAG15" s="26" t="s">
        <v>45</v>
      </c>
      <c r="DAI15" s="26">
        <v>22920</v>
      </c>
      <c r="DAK15" s="26" t="s">
        <v>34</v>
      </c>
      <c r="DAM15" s="26">
        <v>12019</v>
      </c>
      <c r="DAO15" s="26" t="s">
        <v>41</v>
      </c>
      <c r="DAQ15" s="26">
        <v>7647</v>
      </c>
      <c r="DAS15" s="26" t="s">
        <v>37</v>
      </c>
      <c r="DAU15" s="26">
        <v>14483</v>
      </c>
      <c r="DAW15" s="26" t="s">
        <v>35</v>
      </c>
      <c r="DAY15" s="26">
        <v>11967.5</v>
      </c>
      <c r="DBA15" s="26" t="s">
        <v>35</v>
      </c>
      <c r="DBC15" s="26">
        <v>15623.5</v>
      </c>
      <c r="DBE15" s="26" t="s">
        <v>34</v>
      </c>
      <c r="DBG15" s="26">
        <v>22536</v>
      </c>
      <c r="DBI15" s="26" t="s">
        <v>41</v>
      </c>
      <c r="DBK15" s="26">
        <v>2312.75</v>
      </c>
      <c r="DBM15" s="26" t="s">
        <v>37</v>
      </c>
      <c r="DBO15" s="26">
        <v>16070.5</v>
      </c>
      <c r="DBQ15" s="26" t="s">
        <v>35</v>
      </c>
      <c r="DBS15" s="26">
        <v>8505</v>
      </c>
      <c r="DBU15" s="26" t="s">
        <v>34</v>
      </c>
      <c r="DBW15" s="26">
        <v>8229.5</v>
      </c>
      <c r="DBY15" s="26" t="s">
        <v>34</v>
      </c>
      <c r="DCA15" s="26">
        <v>0</v>
      </c>
      <c r="DCC15" s="26" t="s">
        <v>41</v>
      </c>
      <c r="DCE15" s="26">
        <v>25076</v>
      </c>
      <c r="DCG15" s="26" t="s">
        <v>35</v>
      </c>
      <c r="DCI15" s="26">
        <v>11212</v>
      </c>
      <c r="DCK15" s="26" t="s">
        <v>35</v>
      </c>
      <c r="DCM15" s="26">
        <v>802</v>
      </c>
      <c r="DCO15" s="26" t="s">
        <v>34</v>
      </c>
      <c r="DCQ15" s="26">
        <v>0</v>
      </c>
      <c r="DCS15" s="26" t="s">
        <v>41</v>
      </c>
      <c r="DCU15" s="26">
        <v>0</v>
      </c>
      <c r="DCW15" s="26" t="s">
        <v>37</v>
      </c>
      <c r="DCY15" s="26">
        <v>0</v>
      </c>
      <c r="DDA15" s="26" t="s">
        <v>35</v>
      </c>
      <c r="DDC15" s="26">
        <v>10082.5</v>
      </c>
      <c r="DDE15" s="26" t="s">
        <v>35</v>
      </c>
      <c r="DDG15" s="26">
        <v>2835</v>
      </c>
      <c r="DDI15" s="26" t="s">
        <v>34</v>
      </c>
      <c r="DDK15" s="26">
        <v>802</v>
      </c>
      <c r="DDM15" s="26" t="s">
        <v>41</v>
      </c>
      <c r="DDO15" s="26">
        <v>0</v>
      </c>
      <c r="DDQ15" s="26" t="s">
        <v>36</v>
      </c>
      <c r="DDS15" s="26">
        <v>6009</v>
      </c>
    </row>
    <row r="16" spans="1:2828" x14ac:dyDescent="0.25">
      <c r="A16" s="252" t="s">
        <v>4</v>
      </c>
      <c r="B16" s="253"/>
      <c r="C16" s="228"/>
      <c r="D16" s="229"/>
      <c r="E16" s="230"/>
      <c r="F16" s="252" t="s">
        <v>4</v>
      </c>
      <c r="G16" s="253"/>
      <c r="H16" s="228"/>
      <c r="I16" s="229"/>
      <c r="J16" s="230"/>
      <c r="K16" s="252" t="s">
        <v>4</v>
      </c>
      <c r="L16" s="253"/>
      <c r="M16" s="228"/>
      <c r="N16" s="229"/>
      <c r="O16" s="230"/>
      <c r="P16" s="252" t="s">
        <v>4</v>
      </c>
      <c r="Q16" s="253"/>
      <c r="R16" s="228"/>
      <c r="S16" s="229"/>
      <c r="T16" s="230"/>
      <c r="U16" s="252" t="s">
        <v>4</v>
      </c>
      <c r="V16" s="253"/>
      <c r="W16" s="228"/>
      <c r="X16" s="229"/>
      <c r="Y16" s="230"/>
      <c r="Z16" s="252" t="s">
        <v>4</v>
      </c>
      <c r="AA16" s="253"/>
      <c r="AB16" s="228"/>
      <c r="AC16" s="229"/>
      <c r="AD16" s="230"/>
      <c r="AE16" s="252" t="s">
        <v>4</v>
      </c>
      <c r="AF16" s="253"/>
      <c r="AG16" s="228"/>
      <c r="AH16" s="229"/>
      <c r="AI16" s="230"/>
      <c r="AJ16" s="252" t="s">
        <v>4</v>
      </c>
      <c r="AK16" s="253"/>
      <c r="AL16" s="228"/>
      <c r="AM16" s="229"/>
      <c r="AN16" s="230"/>
      <c r="AO16" s="252" t="s">
        <v>4</v>
      </c>
      <c r="AP16" s="253"/>
      <c r="AQ16" s="228"/>
      <c r="AR16" s="229"/>
      <c r="AS16" s="230"/>
      <c r="AT16" s="252" t="s">
        <v>4</v>
      </c>
      <c r="AU16" s="253"/>
      <c r="AV16" s="228"/>
      <c r="AW16" s="229"/>
      <c r="AX16" s="230"/>
      <c r="AY16" s="252" t="s">
        <v>4</v>
      </c>
      <c r="AZ16" s="253"/>
      <c r="BA16" s="228"/>
      <c r="BB16" s="229"/>
      <c r="BC16" s="230"/>
      <c r="BD16" s="252" t="s">
        <v>4</v>
      </c>
      <c r="BE16" s="253"/>
      <c r="BF16" s="228"/>
      <c r="BG16" s="229"/>
      <c r="BH16" s="230"/>
      <c r="BI16" s="252" t="s">
        <v>4</v>
      </c>
      <c r="BJ16" s="253"/>
      <c r="BK16" s="228"/>
      <c r="BL16" s="229"/>
      <c r="BM16" s="230"/>
      <c r="BN16" s="252" t="s">
        <v>4</v>
      </c>
      <c r="BO16" s="253"/>
      <c r="BP16" s="228"/>
      <c r="BQ16" s="229"/>
      <c r="BR16" s="230"/>
      <c r="BS16" s="252" t="s">
        <v>4</v>
      </c>
      <c r="BT16" s="253"/>
      <c r="BU16" s="228"/>
      <c r="BV16" s="229"/>
      <c r="BW16" s="230"/>
      <c r="BX16" s="252" t="s">
        <v>4</v>
      </c>
      <c r="BY16" s="253"/>
      <c r="BZ16" s="228"/>
      <c r="CA16" s="229"/>
      <c r="CB16" s="230"/>
      <c r="CC16" s="252" t="s">
        <v>4</v>
      </c>
      <c r="CD16" s="253"/>
      <c r="CE16" s="228"/>
      <c r="CF16" s="229"/>
      <c r="CG16" s="230"/>
      <c r="CH16" s="252" t="s">
        <v>4</v>
      </c>
      <c r="CI16" s="253"/>
      <c r="CJ16" s="228"/>
      <c r="CK16" s="229"/>
      <c r="CL16" s="230"/>
      <c r="CM16" s="252" t="s">
        <v>4</v>
      </c>
      <c r="CN16" s="253"/>
      <c r="CO16" s="228"/>
      <c r="CP16" s="229"/>
      <c r="CQ16" s="230"/>
      <c r="CR16" s="252" t="s">
        <v>4</v>
      </c>
      <c r="CS16" s="253"/>
      <c r="CT16" s="228"/>
      <c r="CU16" s="229"/>
      <c r="CV16" s="230"/>
      <c r="CW16" s="252" t="s">
        <v>4</v>
      </c>
      <c r="CX16" s="253"/>
      <c r="CY16" s="228"/>
      <c r="CZ16" s="229"/>
      <c r="DA16" s="230"/>
      <c r="DB16" s="252" t="s">
        <v>4</v>
      </c>
      <c r="DC16" s="253"/>
      <c r="DD16" s="228"/>
      <c r="DE16" s="229"/>
      <c r="DF16" s="230"/>
      <c r="DG16" s="252" t="s">
        <v>4</v>
      </c>
      <c r="DH16" s="253"/>
      <c r="DI16" s="228"/>
      <c r="DJ16" s="229"/>
      <c r="DK16" s="230"/>
      <c r="DL16" s="252" t="s">
        <v>4</v>
      </c>
      <c r="DM16" s="253"/>
      <c r="DN16" s="228"/>
      <c r="DO16" s="229"/>
      <c r="DP16" s="230"/>
      <c r="DQ16" s="252" t="s">
        <v>4</v>
      </c>
      <c r="DR16" s="253"/>
      <c r="DS16" s="228"/>
      <c r="DT16" s="229"/>
      <c r="DU16" s="230"/>
      <c r="DV16" s="252" t="s">
        <v>4</v>
      </c>
      <c r="DW16" s="253"/>
      <c r="DX16" s="228"/>
      <c r="DY16" s="229"/>
      <c r="DZ16" s="230"/>
      <c r="EA16" s="252" t="s">
        <v>4</v>
      </c>
      <c r="EB16" s="253"/>
      <c r="EC16" s="228"/>
      <c r="ED16" s="229"/>
      <c r="EE16" s="230"/>
      <c r="EF16" s="252" t="s">
        <v>4</v>
      </c>
      <c r="EG16" s="253"/>
      <c r="EH16" s="228"/>
      <c r="EI16" s="229"/>
      <c r="EJ16" s="230"/>
      <c r="EK16" s="252" t="s">
        <v>4</v>
      </c>
      <c r="EL16" s="253"/>
      <c r="EM16" s="228"/>
      <c r="EN16" s="229"/>
      <c r="EO16" s="230"/>
      <c r="EP16" s="252" t="s">
        <v>4</v>
      </c>
      <c r="EQ16" s="253"/>
      <c r="ER16" s="228"/>
      <c r="ES16" s="229"/>
      <c r="ET16" s="230"/>
      <c r="EU16" s="252" t="s">
        <v>4</v>
      </c>
      <c r="EV16" s="253"/>
      <c r="EW16" s="228"/>
      <c r="EX16" s="229"/>
      <c r="EY16" s="230"/>
      <c r="EZ16" s="252" t="s">
        <v>4</v>
      </c>
      <c r="FA16" s="253"/>
      <c r="FB16" s="228"/>
      <c r="FC16" s="229"/>
      <c r="FD16" s="230"/>
      <c r="FE16" s="252" t="s">
        <v>4</v>
      </c>
      <c r="FF16" s="253"/>
      <c r="FG16" s="228"/>
      <c r="FH16" s="229"/>
      <c r="FI16" s="230"/>
      <c r="FJ16" s="252" t="s">
        <v>4</v>
      </c>
      <c r="FK16" s="253"/>
      <c r="FL16" s="228"/>
      <c r="FM16" s="229"/>
      <c r="FN16" s="230"/>
      <c r="FO16" s="252" t="s">
        <v>4</v>
      </c>
      <c r="FP16" s="253"/>
      <c r="FQ16" s="228"/>
      <c r="FR16" s="229"/>
      <c r="FS16" s="230"/>
      <c r="FT16" s="252" t="s">
        <v>4</v>
      </c>
      <c r="FU16" s="253"/>
      <c r="FV16" s="228"/>
      <c r="FW16" s="229"/>
      <c r="FX16" s="230"/>
      <c r="FY16" s="252" t="s">
        <v>4</v>
      </c>
      <c r="FZ16" s="253"/>
      <c r="GA16" s="228"/>
      <c r="GB16" s="229"/>
      <c r="GC16" s="230"/>
      <c r="GD16" s="252" t="s">
        <v>4</v>
      </c>
      <c r="GE16" s="253"/>
      <c r="GF16" s="228"/>
      <c r="GG16" s="229"/>
      <c r="GH16" s="230"/>
      <c r="GI16" s="252" t="s">
        <v>4</v>
      </c>
      <c r="GJ16" s="253"/>
      <c r="GK16" s="228"/>
      <c r="GL16" s="229"/>
      <c r="GM16" s="230"/>
      <c r="GN16" s="252" t="s">
        <v>4</v>
      </c>
      <c r="GO16" s="253"/>
      <c r="GP16" s="228"/>
      <c r="GQ16" s="229"/>
      <c r="GR16" s="230"/>
      <c r="GS16" s="252" t="s">
        <v>4</v>
      </c>
      <c r="GT16" s="253"/>
      <c r="GU16" s="228"/>
      <c r="GV16" s="229"/>
      <c r="GW16" s="230"/>
      <c r="GX16" s="252" t="s">
        <v>4</v>
      </c>
      <c r="GY16" s="253"/>
      <c r="GZ16" s="228"/>
      <c r="HA16" s="229"/>
      <c r="HB16" s="230"/>
      <c r="HC16" s="252" t="s">
        <v>4</v>
      </c>
      <c r="HD16" s="253"/>
      <c r="HE16" s="228"/>
      <c r="HF16" s="229"/>
      <c r="HG16" s="230"/>
      <c r="HH16" s="252" t="s">
        <v>4</v>
      </c>
      <c r="HI16" s="253"/>
      <c r="HJ16" s="228"/>
      <c r="HK16" s="229"/>
      <c r="HL16" s="230"/>
      <c r="HM16" s="252" t="s">
        <v>4</v>
      </c>
      <c r="HN16" s="253"/>
      <c r="HO16" s="228"/>
      <c r="HP16" s="229"/>
      <c r="HQ16" s="230"/>
      <c r="HR16" s="252" t="s">
        <v>4</v>
      </c>
      <c r="HS16" s="253"/>
      <c r="HT16" s="228"/>
      <c r="HU16" s="229"/>
      <c r="HV16" s="230"/>
      <c r="HW16" s="252" t="s">
        <v>4</v>
      </c>
      <c r="HX16" s="253"/>
      <c r="HY16" s="228"/>
      <c r="HZ16" s="229"/>
      <c r="IA16" s="230"/>
      <c r="IB16" s="252" t="s">
        <v>4</v>
      </c>
      <c r="IC16" s="253"/>
      <c r="ID16" s="228"/>
      <c r="IE16" s="229"/>
      <c r="IF16" s="230"/>
      <c r="IG16" s="252" t="s">
        <v>4</v>
      </c>
      <c r="IH16" s="253"/>
      <c r="II16" s="228"/>
      <c r="IJ16" s="229"/>
      <c r="IK16" s="230"/>
      <c r="IL16" s="252" t="s">
        <v>4</v>
      </c>
      <c r="IM16" s="253"/>
      <c r="IN16" s="228"/>
      <c r="IO16" s="229"/>
      <c r="IP16" s="230"/>
      <c r="IQ16" s="252" t="s">
        <v>4</v>
      </c>
      <c r="IR16" s="253"/>
      <c r="IS16" s="228"/>
      <c r="IT16" s="229"/>
      <c r="IU16" s="230"/>
      <c r="IV16" s="252" t="s">
        <v>4</v>
      </c>
      <c r="IW16" s="253"/>
      <c r="IX16" s="228"/>
      <c r="IY16" s="229"/>
      <c r="IZ16" s="230"/>
      <c r="JA16" s="252" t="s">
        <v>4</v>
      </c>
      <c r="JB16" s="253"/>
      <c r="JC16" s="228"/>
      <c r="JD16" s="229"/>
      <c r="JE16" s="230"/>
      <c r="JF16" s="252" t="s">
        <v>4</v>
      </c>
      <c r="JG16" s="253"/>
      <c r="JH16" s="228"/>
      <c r="JI16" s="229"/>
      <c r="JJ16" s="230"/>
      <c r="JK16" s="252" t="s">
        <v>4</v>
      </c>
      <c r="JL16" s="253"/>
      <c r="JM16" s="228"/>
      <c r="JN16" s="229"/>
      <c r="JO16" s="230"/>
      <c r="JP16" s="252" t="s">
        <v>4</v>
      </c>
      <c r="JQ16" s="253"/>
      <c r="JR16" s="228"/>
      <c r="JS16" s="229"/>
      <c r="JT16" s="230"/>
      <c r="JU16" s="252" t="s">
        <v>4</v>
      </c>
      <c r="JV16" s="253"/>
      <c r="JW16" s="228"/>
      <c r="JX16" s="229"/>
      <c r="JY16" s="230"/>
      <c r="JZ16" s="252" t="s">
        <v>4</v>
      </c>
      <c r="KA16" s="253"/>
      <c r="KB16" s="228"/>
      <c r="KC16" s="229"/>
      <c r="KD16" s="230"/>
      <c r="KE16" s="252" t="s">
        <v>4</v>
      </c>
      <c r="KF16" s="253"/>
      <c r="KG16" s="228"/>
      <c r="KH16" s="229"/>
      <c r="KI16" s="230"/>
      <c r="KJ16" s="252" t="s">
        <v>4</v>
      </c>
      <c r="KK16" s="253"/>
      <c r="KL16" s="228"/>
      <c r="KM16" s="229"/>
      <c r="KN16" s="230"/>
      <c r="KO16" s="252" t="s">
        <v>4</v>
      </c>
      <c r="KP16" s="253"/>
      <c r="KQ16" s="228"/>
      <c r="KR16" s="229"/>
      <c r="KS16" s="230"/>
      <c r="KT16" s="252" t="s">
        <v>4</v>
      </c>
      <c r="KU16" s="253"/>
      <c r="KV16" s="228"/>
      <c r="KW16" s="229"/>
      <c r="KX16" s="230"/>
      <c r="KY16" s="252" t="s">
        <v>4</v>
      </c>
      <c r="KZ16" s="253"/>
      <c r="LA16" s="228"/>
      <c r="LB16" s="229"/>
      <c r="LC16" s="230"/>
      <c r="LD16" s="252" t="s">
        <v>4</v>
      </c>
      <c r="LE16" s="253"/>
      <c r="LF16" s="228"/>
      <c r="LG16" s="229"/>
      <c r="LH16" s="230"/>
      <c r="LI16" s="252" t="s">
        <v>4</v>
      </c>
      <c r="LJ16" s="253"/>
      <c r="LK16" s="228"/>
      <c r="LL16" s="229"/>
      <c r="LM16" s="230"/>
      <c r="LN16" s="252" t="s">
        <v>4</v>
      </c>
      <c r="LO16" s="253"/>
      <c r="LP16" s="228"/>
      <c r="LQ16" s="229"/>
      <c r="LR16" s="230"/>
      <c r="LS16" s="252" t="s">
        <v>4</v>
      </c>
      <c r="LT16" s="253"/>
      <c r="LU16" s="228"/>
      <c r="LV16" s="229"/>
      <c r="LW16" s="230"/>
      <c r="LX16" s="252" t="s">
        <v>4</v>
      </c>
      <c r="LY16" s="253"/>
      <c r="LZ16" s="228"/>
      <c r="MA16" s="229"/>
      <c r="MB16" s="230"/>
      <c r="MC16" s="252" t="s">
        <v>4</v>
      </c>
      <c r="MD16" s="253"/>
      <c r="ME16" s="228"/>
      <c r="MF16" s="229"/>
      <c r="MG16" s="230"/>
      <c r="MH16" s="252" t="s">
        <v>4</v>
      </c>
      <c r="MI16" s="253"/>
      <c r="MJ16" s="228"/>
      <c r="MK16" s="229"/>
      <c r="ML16" s="230"/>
      <c r="MM16" s="252" t="s">
        <v>4</v>
      </c>
      <c r="MN16" s="253"/>
      <c r="MO16" s="228"/>
      <c r="MP16" s="229"/>
      <c r="MQ16" s="230"/>
      <c r="MR16" s="252" t="s">
        <v>4</v>
      </c>
      <c r="MS16" s="253"/>
      <c r="MT16" s="228"/>
      <c r="MU16" s="229"/>
      <c r="MV16" s="230"/>
      <c r="MW16" s="252" t="s">
        <v>4</v>
      </c>
      <c r="MX16" s="253"/>
      <c r="MY16" s="228"/>
      <c r="MZ16" s="229"/>
      <c r="NA16" s="230"/>
      <c r="NB16" s="252" t="s">
        <v>4</v>
      </c>
      <c r="NC16" s="253"/>
      <c r="ND16" s="228"/>
      <c r="NE16" s="229"/>
      <c r="NF16" s="230"/>
      <c r="NG16" s="252" t="s">
        <v>4</v>
      </c>
      <c r="NH16" s="253"/>
      <c r="NI16" s="228"/>
      <c r="NJ16" s="229"/>
      <c r="NK16" s="230"/>
      <c r="NL16" s="252" t="s">
        <v>4</v>
      </c>
      <c r="NM16" s="253"/>
      <c r="NN16" s="228"/>
      <c r="NO16" s="229"/>
      <c r="NP16" s="230"/>
      <c r="NQ16" s="252" t="s">
        <v>4</v>
      </c>
      <c r="NR16" s="253"/>
      <c r="NS16" s="228"/>
      <c r="NT16" s="229"/>
      <c r="NU16" s="230"/>
      <c r="NV16" s="252" t="s">
        <v>4</v>
      </c>
      <c r="NW16" s="253"/>
      <c r="NX16" s="228"/>
      <c r="NY16" s="229"/>
      <c r="NZ16" s="230"/>
      <c r="OA16" s="252" t="s">
        <v>4</v>
      </c>
      <c r="OB16" s="253"/>
      <c r="OC16" s="228"/>
      <c r="OD16" s="229"/>
      <c r="OE16" s="230"/>
      <c r="OF16" s="252" t="s">
        <v>4</v>
      </c>
      <c r="OG16" s="253"/>
      <c r="OH16" s="228"/>
      <c r="OI16" s="229"/>
      <c r="OJ16" s="230"/>
      <c r="OK16" s="252" t="s">
        <v>4</v>
      </c>
      <c r="OL16" s="253"/>
      <c r="OM16" s="228"/>
      <c r="ON16" s="229"/>
      <c r="OO16" s="230"/>
      <c r="OP16" s="252" t="s">
        <v>4</v>
      </c>
      <c r="OQ16" s="253"/>
      <c r="OR16" s="228"/>
      <c r="OS16" s="229"/>
      <c r="OT16" s="230"/>
      <c r="OU16" s="252" t="s">
        <v>4</v>
      </c>
      <c r="OV16" s="253"/>
      <c r="OW16" s="228"/>
      <c r="OX16" s="229"/>
      <c r="OY16" s="230"/>
      <c r="OZ16" s="252" t="s">
        <v>4</v>
      </c>
      <c r="PA16" s="253"/>
      <c r="PB16" s="228"/>
      <c r="PC16" s="229"/>
      <c r="PD16" s="230"/>
      <c r="PE16" s="252" t="s">
        <v>4</v>
      </c>
      <c r="PF16" s="253"/>
      <c r="PG16" s="228"/>
      <c r="PH16" s="229"/>
      <c r="PI16" s="230"/>
      <c r="PJ16" s="252" t="s">
        <v>4</v>
      </c>
      <c r="PK16" s="253"/>
      <c r="PL16" s="228"/>
      <c r="PM16" s="229"/>
      <c r="PN16" s="230"/>
      <c r="PO16" s="252" t="s">
        <v>4</v>
      </c>
      <c r="PP16" s="253"/>
      <c r="PQ16" s="228"/>
      <c r="PR16" s="229"/>
      <c r="PS16" s="230"/>
      <c r="PT16" s="252" t="s">
        <v>4</v>
      </c>
      <c r="PU16" s="253"/>
      <c r="PV16" s="228"/>
      <c r="PW16" s="229"/>
      <c r="PX16" s="230"/>
      <c r="PY16" s="252" t="s">
        <v>4</v>
      </c>
      <c r="PZ16" s="253"/>
      <c r="QA16" s="228"/>
      <c r="QB16" s="229"/>
      <c r="QC16" s="230"/>
      <c r="QD16" s="252" t="s">
        <v>4</v>
      </c>
      <c r="QE16" s="253"/>
      <c r="QF16" s="228"/>
      <c r="QG16" s="229"/>
      <c r="QH16" s="230"/>
      <c r="QI16" s="252" t="s">
        <v>4</v>
      </c>
      <c r="QJ16" s="253"/>
      <c r="QK16" s="228"/>
      <c r="QL16" s="229"/>
      <c r="QM16" s="230"/>
      <c r="QN16" s="252" t="s">
        <v>4</v>
      </c>
      <c r="QO16" s="253"/>
      <c r="QP16" s="228"/>
      <c r="QQ16" s="229"/>
      <c r="QR16" s="230"/>
      <c r="QS16" s="252" t="s">
        <v>4</v>
      </c>
      <c r="QT16" s="253"/>
      <c r="QU16" s="228"/>
      <c r="QV16" s="229"/>
      <c r="QW16" s="230"/>
      <c r="QX16" s="252" t="s">
        <v>4</v>
      </c>
      <c r="QY16" s="253"/>
      <c r="QZ16" s="228"/>
      <c r="RA16" s="229"/>
      <c r="RB16" s="230"/>
      <c r="RC16" s="252" t="s">
        <v>4</v>
      </c>
      <c r="RD16" s="253"/>
      <c r="RE16" s="228"/>
      <c r="RF16" s="229"/>
      <c r="RG16" s="230"/>
      <c r="RH16" s="252" t="s">
        <v>4</v>
      </c>
      <c r="RI16" s="253"/>
      <c r="RJ16" s="228"/>
      <c r="RK16" s="229"/>
      <c r="RL16" s="230"/>
      <c r="RM16" s="252" t="s">
        <v>4</v>
      </c>
      <c r="RN16" s="253"/>
      <c r="RO16" s="228"/>
      <c r="RP16" s="229"/>
      <c r="RQ16" s="230"/>
      <c r="RR16" s="252" t="s">
        <v>4</v>
      </c>
      <c r="RS16" s="253"/>
      <c r="RT16" s="228"/>
      <c r="RU16" s="229"/>
      <c r="RV16" s="230"/>
      <c r="RW16" s="252" t="s">
        <v>4</v>
      </c>
      <c r="RX16" s="253"/>
      <c r="RY16" s="228"/>
      <c r="RZ16" s="229"/>
      <c r="SA16" s="230"/>
      <c r="SB16" s="252" t="s">
        <v>4</v>
      </c>
      <c r="SC16" s="253"/>
      <c r="SD16" s="228"/>
      <c r="SE16" s="229"/>
      <c r="SF16" s="230"/>
      <c r="SG16" s="252" t="s">
        <v>4</v>
      </c>
      <c r="SH16" s="253"/>
      <c r="SI16" s="228"/>
      <c r="SJ16" s="229"/>
      <c r="SK16" s="230"/>
      <c r="SL16" s="252" t="s">
        <v>4</v>
      </c>
      <c r="SM16" s="253"/>
      <c r="SN16" s="228"/>
      <c r="SO16" s="229"/>
      <c r="SP16" s="230"/>
      <c r="SQ16" s="252" t="s">
        <v>4</v>
      </c>
      <c r="SR16" s="253"/>
      <c r="SS16" s="228"/>
      <c r="ST16" s="229"/>
      <c r="SU16" s="230"/>
      <c r="SV16" s="252" t="s">
        <v>4</v>
      </c>
      <c r="SW16" s="253"/>
      <c r="SX16" s="228"/>
      <c r="SY16" s="229"/>
      <c r="SZ16" s="230"/>
      <c r="TA16" s="252" t="s">
        <v>4</v>
      </c>
      <c r="TB16" s="253"/>
      <c r="TC16" s="228"/>
      <c r="TD16" s="229"/>
      <c r="TE16" s="230"/>
      <c r="TF16" s="252" t="s">
        <v>4</v>
      </c>
      <c r="TG16" s="253"/>
      <c r="TH16" s="228"/>
      <c r="TI16" s="229"/>
      <c r="TJ16" s="230"/>
      <c r="TK16" s="252" t="s">
        <v>4</v>
      </c>
      <c r="TL16" s="253"/>
      <c r="TM16" s="228"/>
      <c r="TN16" s="229"/>
      <c r="TO16" s="230"/>
      <c r="TP16" s="252" t="s">
        <v>4</v>
      </c>
      <c r="TQ16" s="253"/>
      <c r="TR16" s="228"/>
      <c r="TS16" s="229"/>
      <c r="TT16" s="230"/>
      <c r="TU16" s="252" t="s">
        <v>4</v>
      </c>
      <c r="TV16" s="253"/>
      <c r="TW16" s="228"/>
      <c r="TX16" s="229"/>
      <c r="TY16" s="230"/>
      <c r="TZ16" s="252" t="s">
        <v>4</v>
      </c>
      <c r="UA16" s="253"/>
      <c r="UB16" s="228"/>
      <c r="UC16" s="229"/>
      <c r="UD16" s="230"/>
      <c r="UE16" s="252" t="s">
        <v>4</v>
      </c>
      <c r="UF16" s="253"/>
      <c r="UG16" s="228"/>
      <c r="UH16" s="229"/>
      <c r="UI16" s="230"/>
      <c r="UJ16" s="252" t="s">
        <v>4</v>
      </c>
      <c r="UK16" s="253"/>
      <c r="UL16" s="228"/>
      <c r="UM16" s="229"/>
      <c r="UN16" s="230"/>
      <c r="UO16" s="252" t="s">
        <v>4</v>
      </c>
      <c r="UP16" s="253"/>
      <c r="UQ16" s="228"/>
      <c r="UR16" s="229"/>
      <c r="US16" s="230"/>
      <c r="UT16" s="252" t="s">
        <v>4</v>
      </c>
      <c r="UU16" s="253"/>
      <c r="UV16" s="228"/>
      <c r="UW16" s="229"/>
      <c r="UX16" s="230"/>
      <c r="UY16" s="252" t="s">
        <v>4</v>
      </c>
      <c r="UZ16" s="253"/>
      <c r="VA16" s="228"/>
      <c r="VB16" s="229"/>
      <c r="VC16" s="230"/>
      <c r="VD16" s="252" t="s">
        <v>4</v>
      </c>
      <c r="VE16" s="253"/>
      <c r="VF16" s="228"/>
      <c r="VG16" s="229"/>
      <c r="VH16" s="230"/>
      <c r="VI16" s="252" t="s">
        <v>4</v>
      </c>
      <c r="VJ16" s="253"/>
      <c r="VK16" s="228"/>
      <c r="VL16" s="229"/>
      <c r="VM16" s="230"/>
      <c r="VN16" s="252" t="s">
        <v>4</v>
      </c>
      <c r="VO16" s="253"/>
      <c r="VP16" s="228"/>
      <c r="VQ16" s="229"/>
      <c r="VR16" s="230"/>
      <c r="VS16" s="252" t="s">
        <v>4</v>
      </c>
      <c r="VT16" s="253"/>
      <c r="VU16" s="228"/>
      <c r="VV16" s="229"/>
      <c r="VW16" s="230"/>
      <c r="VX16" s="252" t="s">
        <v>4</v>
      </c>
      <c r="VY16" s="253"/>
      <c r="VZ16" s="228"/>
      <c r="WA16" s="229"/>
      <c r="WB16" s="230"/>
      <c r="WC16" s="252" t="s">
        <v>4</v>
      </c>
      <c r="WD16" s="253"/>
      <c r="WE16" s="228"/>
      <c r="WF16" s="229"/>
      <c r="WG16" s="230"/>
      <c r="WH16" s="252" t="s">
        <v>4</v>
      </c>
      <c r="WI16" s="253"/>
      <c r="WJ16" s="228"/>
      <c r="WK16" s="229"/>
      <c r="WL16" s="230"/>
      <c r="WM16" s="252" t="s">
        <v>4</v>
      </c>
      <c r="WN16" s="253"/>
      <c r="WO16" s="228"/>
      <c r="WP16" s="229"/>
      <c r="WQ16" s="230"/>
      <c r="WR16" s="252" t="s">
        <v>4</v>
      </c>
      <c r="WS16" s="253"/>
      <c r="WT16" s="228"/>
      <c r="WU16" s="229"/>
      <c r="WV16" s="230"/>
      <c r="WW16" s="252" t="s">
        <v>4</v>
      </c>
      <c r="WX16" s="253"/>
      <c r="WY16" s="228"/>
      <c r="WZ16" s="229"/>
      <c r="XA16" s="230"/>
      <c r="XB16" s="252" t="s">
        <v>4</v>
      </c>
      <c r="XC16" s="253"/>
      <c r="XD16" s="228"/>
      <c r="XE16" s="229"/>
      <c r="XF16" s="230"/>
      <c r="XG16" s="252" t="s">
        <v>4</v>
      </c>
      <c r="XH16" s="253"/>
      <c r="XI16" s="228"/>
      <c r="XJ16" s="229"/>
      <c r="XK16" s="230"/>
      <c r="XL16" s="252" t="s">
        <v>4</v>
      </c>
      <c r="XM16" s="253"/>
      <c r="XN16" s="228"/>
      <c r="XO16" s="229"/>
      <c r="XP16" s="230"/>
      <c r="XQ16" s="252" t="s">
        <v>4</v>
      </c>
      <c r="XR16" s="253"/>
      <c r="XS16" s="228"/>
      <c r="XT16" s="229"/>
      <c r="XU16" s="230"/>
      <c r="XV16" s="252" t="s">
        <v>4</v>
      </c>
      <c r="XW16" s="253"/>
      <c r="XX16" s="228"/>
      <c r="XY16" s="229"/>
      <c r="XZ16" s="230"/>
      <c r="YA16" s="252" t="s">
        <v>4</v>
      </c>
      <c r="YB16" s="253"/>
      <c r="YC16" s="228"/>
      <c r="YD16" s="229"/>
      <c r="YE16" s="230"/>
      <c r="YF16" s="252" t="s">
        <v>4</v>
      </c>
      <c r="YG16" s="253"/>
      <c r="YH16" s="228"/>
      <c r="YI16" s="229"/>
      <c r="YJ16" s="230"/>
      <c r="YK16" s="252" t="s">
        <v>4</v>
      </c>
      <c r="YL16" s="253"/>
      <c r="YM16" s="228"/>
      <c r="YN16" s="229"/>
      <c r="YO16" s="230"/>
      <c r="YP16" s="252" t="s">
        <v>4</v>
      </c>
      <c r="YQ16" s="253"/>
      <c r="YR16" s="228"/>
      <c r="YS16" s="229"/>
      <c r="YT16" s="230"/>
      <c r="YU16" s="252" t="s">
        <v>4</v>
      </c>
      <c r="YV16" s="253"/>
      <c r="YW16" s="228"/>
      <c r="YX16" s="229"/>
      <c r="YY16" s="230"/>
      <c r="YZ16" s="252" t="s">
        <v>4</v>
      </c>
      <c r="ZA16" s="253"/>
      <c r="ZB16" s="228"/>
      <c r="ZC16" s="229"/>
      <c r="ZD16" s="230"/>
      <c r="ZE16" s="252" t="s">
        <v>4</v>
      </c>
      <c r="ZF16" s="253"/>
      <c r="ZG16" s="228"/>
      <c r="ZH16" s="229"/>
      <c r="ZI16" s="230"/>
      <c r="ZJ16" s="252" t="s">
        <v>4</v>
      </c>
      <c r="ZK16" s="253"/>
      <c r="ZL16" s="228"/>
      <c r="ZM16" s="229"/>
      <c r="ZN16" s="230"/>
      <c r="ZO16" s="252" t="s">
        <v>4</v>
      </c>
      <c r="ZP16" s="253"/>
      <c r="ZQ16" s="228"/>
      <c r="ZR16" s="229"/>
      <c r="ZS16" s="230"/>
      <c r="ZT16" s="252" t="s">
        <v>4</v>
      </c>
      <c r="ZU16" s="253"/>
      <c r="ZV16" s="228"/>
      <c r="ZW16" s="229"/>
      <c r="ZX16" s="230"/>
      <c r="ZY16" s="252" t="s">
        <v>4</v>
      </c>
      <c r="ZZ16" s="253"/>
      <c r="AAA16" s="228"/>
      <c r="AAB16" s="229"/>
      <c r="AAC16" s="230"/>
      <c r="AAD16" s="252" t="s">
        <v>4</v>
      </c>
      <c r="AAE16" s="253"/>
      <c r="AAF16" s="228"/>
      <c r="AAG16" s="229"/>
      <c r="AAH16" s="230"/>
      <c r="AAI16" s="252" t="s">
        <v>4</v>
      </c>
      <c r="AAJ16" s="253"/>
      <c r="AAK16" s="228"/>
      <c r="AAL16" s="229"/>
      <c r="AAM16" s="230"/>
      <c r="AAN16" s="252" t="s">
        <v>4</v>
      </c>
      <c r="AAO16" s="253"/>
      <c r="AAP16" s="228"/>
      <c r="AAQ16" s="229"/>
      <c r="AAR16" s="230"/>
      <c r="AAS16" s="252" t="s">
        <v>4</v>
      </c>
      <c r="AAT16" s="253"/>
      <c r="AAU16" s="228"/>
      <c r="AAV16" s="229"/>
      <c r="AAW16" s="230"/>
      <c r="AAX16" s="252" t="s">
        <v>4</v>
      </c>
      <c r="AAY16" s="253"/>
      <c r="AAZ16" s="228"/>
      <c r="ABA16" s="229"/>
      <c r="ABB16" s="230"/>
      <c r="ABC16" s="252" t="s">
        <v>4</v>
      </c>
      <c r="ABD16" s="253"/>
      <c r="ABE16" s="228"/>
      <c r="ABF16" s="229"/>
      <c r="ABG16" s="230"/>
      <c r="ABH16" s="252" t="s">
        <v>4</v>
      </c>
      <c r="ABI16" s="253"/>
      <c r="ABJ16" s="228"/>
      <c r="ABK16" s="229"/>
      <c r="ABL16" s="230"/>
      <c r="ABM16" s="252" t="s">
        <v>4</v>
      </c>
      <c r="ABN16" s="253"/>
      <c r="ABO16" s="228"/>
      <c r="ABP16" s="229"/>
      <c r="ABQ16" s="230"/>
      <c r="ABR16" s="252" t="s">
        <v>4</v>
      </c>
      <c r="ABS16" s="253"/>
      <c r="ABT16" s="228"/>
      <c r="ABU16" s="229"/>
      <c r="ABV16" s="230"/>
      <c r="ABW16" s="252" t="s">
        <v>4</v>
      </c>
      <c r="ABX16" s="253"/>
      <c r="ABY16" s="228"/>
      <c r="ABZ16" s="229"/>
      <c r="ACA16" s="230"/>
      <c r="ACB16" s="252" t="s">
        <v>4</v>
      </c>
      <c r="ACC16" s="253"/>
      <c r="ACD16" s="228"/>
      <c r="ACE16" s="229"/>
      <c r="ACF16" s="230"/>
      <c r="ACG16" s="252" t="s">
        <v>4</v>
      </c>
      <c r="ACH16" s="253"/>
      <c r="ACI16" s="228"/>
      <c r="ACJ16" s="229"/>
      <c r="ACK16" s="230"/>
      <c r="ACL16" s="252" t="s">
        <v>4</v>
      </c>
      <c r="ACM16" s="253"/>
      <c r="ACN16" s="228"/>
      <c r="ACO16" s="229"/>
      <c r="ACP16" s="230"/>
      <c r="ACQ16" s="252" t="s">
        <v>4</v>
      </c>
      <c r="ACR16" s="253"/>
      <c r="ACS16" s="228"/>
      <c r="ACT16" s="229"/>
      <c r="ACU16" s="230"/>
      <c r="ACV16" s="252" t="s">
        <v>4</v>
      </c>
      <c r="ACW16" s="253"/>
      <c r="ACX16" s="228"/>
      <c r="ACY16" s="229"/>
      <c r="ACZ16" s="230"/>
      <c r="ADA16" s="252" t="s">
        <v>4</v>
      </c>
      <c r="ADB16" s="253"/>
      <c r="ADC16" s="228"/>
      <c r="ADD16" s="229"/>
      <c r="ADE16" s="230"/>
      <c r="ADF16" s="252" t="s">
        <v>4</v>
      </c>
      <c r="ADG16" s="253"/>
      <c r="ADH16" s="228"/>
      <c r="ADI16" s="229"/>
      <c r="ADJ16" s="230"/>
      <c r="ADK16" s="252" t="s">
        <v>4</v>
      </c>
      <c r="ADL16" s="253"/>
      <c r="ADM16" s="228"/>
      <c r="ADN16" s="229"/>
      <c r="ADO16" s="230"/>
      <c r="ADP16" s="252" t="s">
        <v>4</v>
      </c>
      <c r="ADQ16" s="253"/>
      <c r="ADR16" s="228"/>
      <c r="ADS16" s="229"/>
      <c r="ADT16" s="230"/>
      <c r="ADU16" s="252" t="s">
        <v>4</v>
      </c>
      <c r="ADV16" s="253"/>
      <c r="ADW16" s="228"/>
      <c r="ADX16" s="229"/>
      <c r="ADY16" s="230"/>
      <c r="ADZ16" s="252" t="s">
        <v>4</v>
      </c>
      <c r="AEA16" s="253"/>
      <c r="AEB16" s="228"/>
      <c r="AEC16" s="229"/>
      <c r="AED16" s="230"/>
      <c r="AEE16" s="252" t="s">
        <v>4</v>
      </c>
      <c r="AEF16" s="253"/>
      <c r="AEG16" s="228"/>
      <c r="AEH16" s="229"/>
      <c r="AEI16" s="230"/>
      <c r="AEJ16" s="252" t="s">
        <v>4</v>
      </c>
      <c r="AEK16" s="253"/>
      <c r="AEL16" s="228"/>
      <c r="AEM16" s="229"/>
      <c r="AEN16" s="230"/>
      <c r="AEO16" s="252" t="s">
        <v>4</v>
      </c>
      <c r="AEP16" s="253"/>
      <c r="AEQ16" s="228"/>
      <c r="AER16" s="229"/>
      <c r="AES16" s="230"/>
      <c r="AET16" s="252" t="s">
        <v>4</v>
      </c>
      <c r="AEU16" s="253"/>
      <c r="AEV16" s="228"/>
      <c r="AEW16" s="229"/>
      <c r="AEX16" s="230"/>
      <c r="AEY16" s="252" t="s">
        <v>4</v>
      </c>
      <c r="AEZ16" s="253"/>
      <c r="AFA16" s="228"/>
      <c r="AFB16" s="229"/>
      <c r="AFC16" s="230"/>
      <c r="AFD16" s="252" t="s">
        <v>4</v>
      </c>
      <c r="AFE16" s="253"/>
      <c r="AFF16" s="228"/>
      <c r="AFG16" s="229"/>
      <c r="AFH16" s="230"/>
      <c r="AFI16" s="252" t="s">
        <v>4</v>
      </c>
      <c r="AFJ16" s="253"/>
      <c r="AFK16" s="228"/>
      <c r="AFL16" s="229"/>
      <c r="AFM16" s="230"/>
      <c r="AFN16" s="252" t="s">
        <v>4</v>
      </c>
      <c r="AFO16" s="253"/>
      <c r="AFP16" s="228"/>
      <c r="AFQ16" s="229"/>
      <c r="AFR16" s="230"/>
      <c r="AFS16" s="252" t="s">
        <v>4</v>
      </c>
      <c r="AFT16" s="253"/>
      <c r="AFU16" s="228"/>
      <c r="AFV16" s="229"/>
      <c r="AFW16" s="230"/>
      <c r="AFX16" s="252" t="s">
        <v>4</v>
      </c>
      <c r="AFY16" s="253"/>
      <c r="AFZ16" s="228"/>
      <c r="AGA16" s="229"/>
      <c r="AGB16" s="230"/>
      <c r="AGC16" s="252" t="s">
        <v>4</v>
      </c>
      <c r="AGD16" s="253"/>
      <c r="AGE16" s="228"/>
      <c r="AGF16" s="229"/>
      <c r="AGG16" s="230"/>
      <c r="AGH16" s="252" t="s">
        <v>4</v>
      </c>
      <c r="AGI16" s="253"/>
      <c r="AGJ16" s="228"/>
      <c r="AGK16" s="229"/>
      <c r="AGL16" s="230"/>
      <c r="AGM16" s="252" t="s">
        <v>4</v>
      </c>
      <c r="AGN16" s="253"/>
      <c r="AGO16" s="228"/>
      <c r="AGP16" s="229"/>
      <c r="AGQ16" s="230"/>
      <c r="AGR16" s="252" t="s">
        <v>4</v>
      </c>
      <c r="AGS16" s="253"/>
      <c r="AGT16" s="228"/>
      <c r="AGU16" s="229"/>
      <c r="AGV16" s="230"/>
      <c r="AGW16" s="252" t="s">
        <v>4</v>
      </c>
      <c r="AGX16" s="253"/>
      <c r="AGY16" s="228"/>
      <c r="AGZ16" s="229"/>
      <c r="AHA16" s="230"/>
      <c r="AHB16" s="252" t="s">
        <v>4</v>
      </c>
      <c r="AHC16" s="253"/>
      <c r="AHD16" s="228"/>
      <c r="AHE16" s="229"/>
      <c r="AHF16" s="230"/>
      <c r="AHG16" s="252" t="s">
        <v>4</v>
      </c>
      <c r="AHH16" s="253"/>
      <c r="AHI16" s="228"/>
      <c r="AHJ16" s="229"/>
      <c r="AHK16" s="230"/>
      <c r="AHL16" s="252" t="s">
        <v>4</v>
      </c>
      <c r="AHM16" s="253"/>
      <c r="AHN16" s="228"/>
      <c r="AHO16" s="229"/>
      <c r="AHP16" s="230"/>
      <c r="AHQ16" s="252" t="s">
        <v>4</v>
      </c>
      <c r="AHR16" s="253"/>
      <c r="AHS16" s="228"/>
      <c r="AHT16" s="229"/>
      <c r="AHU16" s="230"/>
      <c r="AHV16" s="252" t="s">
        <v>4</v>
      </c>
      <c r="AHW16" s="253"/>
      <c r="AHX16" s="228"/>
      <c r="AHY16" s="229"/>
      <c r="AHZ16" s="230"/>
      <c r="AIA16" s="252" t="s">
        <v>4</v>
      </c>
      <c r="AIB16" s="253"/>
      <c r="AIC16" s="228"/>
      <c r="AID16" s="229"/>
      <c r="AIE16" s="230"/>
      <c r="AIF16" s="252" t="s">
        <v>4</v>
      </c>
      <c r="AIG16" s="253"/>
      <c r="AIH16" s="228"/>
      <c r="AII16" s="229"/>
      <c r="AIJ16" s="230"/>
      <c r="AIK16" s="252" t="s">
        <v>4</v>
      </c>
      <c r="AIL16" s="253"/>
      <c r="AIM16" s="228"/>
      <c r="AIN16" s="229"/>
      <c r="AIO16" s="230"/>
      <c r="AIP16" s="252" t="s">
        <v>4</v>
      </c>
      <c r="AIQ16" s="253"/>
      <c r="AIR16" s="228"/>
      <c r="AIS16" s="229"/>
      <c r="AIT16" s="230"/>
      <c r="AIU16" s="252" t="s">
        <v>4</v>
      </c>
      <c r="AIV16" s="253"/>
      <c r="AIW16" s="228"/>
      <c r="AIX16" s="229"/>
      <c r="AIY16" s="230"/>
      <c r="AIZ16" s="252" t="s">
        <v>4</v>
      </c>
      <c r="AJA16" s="253"/>
      <c r="AJB16" s="228"/>
      <c r="AJC16" s="229"/>
      <c r="AJD16" s="230"/>
      <c r="AJE16" s="252" t="s">
        <v>4</v>
      </c>
      <c r="AJF16" s="253"/>
      <c r="AJG16" s="228"/>
      <c r="AJH16" s="229"/>
      <c r="AJI16" s="230"/>
      <c r="AJJ16" s="252" t="s">
        <v>4</v>
      </c>
      <c r="AJK16" s="253"/>
      <c r="AJL16" s="228"/>
      <c r="AJM16" s="229"/>
      <c r="AJN16" s="230"/>
      <c r="AJO16" s="252" t="s">
        <v>4</v>
      </c>
      <c r="AJP16" s="253"/>
      <c r="AJQ16" s="228"/>
      <c r="AJR16" s="229"/>
      <c r="AJS16" s="230"/>
      <c r="AJT16" s="252" t="s">
        <v>4</v>
      </c>
      <c r="AJU16" s="253"/>
      <c r="AJV16" s="228"/>
      <c r="AJW16" s="229"/>
      <c r="AJX16" s="230"/>
      <c r="AJY16" s="252" t="s">
        <v>4</v>
      </c>
      <c r="AJZ16" s="253"/>
      <c r="AKA16" s="228"/>
      <c r="AKB16" s="229"/>
      <c r="AKC16" s="230"/>
      <c r="AKD16" s="252" t="s">
        <v>4</v>
      </c>
      <c r="AKE16" s="253"/>
      <c r="AKF16" s="228"/>
      <c r="AKG16" s="229"/>
      <c r="AKH16" s="230"/>
      <c r="AKI16" s="252" t="s">
        <v>4</v>
      </c>
      <c r="AKJ16" s="253"/>
      <c r="AKK16" s="228"/>
      <c r="AKL16" s="229"/>
      <c r="AKM16" s="230"/>
      <c r="AKN16" s="252" t="s">
        <v>4</v>
      </c>
      <c r="AKO16" s="253"/>
      <c r="AKP16" s="228"/>
      <c r="AKQ16" s="229"/>
      <c r="AKR16" s="230"/>
      <c r="AKS16" s="252" t="s">
        <v>4</v>
      </c>
      <c r="AKT16" s="253"/>
      <c r="AKU16" s="228"/>
      <c r="AKV16" s="229"/>
      <c r="AKW16" s="230"/>
      <c r="AKX16" s="252" t="s">
        <v>4</v>
      </c>
      <c r="AKY16" s="253"/>
      <c r="AKZ16" s="228"/>
      <c r="ALA16" s="229"/>
      <c r="ALB16" s="230"/>
      <c r="ALC16" s="252" t="s">
        <v>4</v>
      </c>
      <c r="ALD16" s="253"/>
      <c r="ALE16" s="228"/>
      <c r="ALF16" s="229"/>
      <c r="ALG16" s="230"/>
      <c r="ALH16" s="252" t="s">
        <v>4</v>
      </c>
      <c r="ALI16" s="253"/>
      <c r="ALJ16" s="228"/>
      <c r="ALK16" s="229"/>
      <c r="ALL16" s="230"/>
      <c r="ALM16" s="252" t="s">
        <v>4</v>
      </c>
      <c r="ALN16" s="253"/>
      <c r="ALO16" s="228"/>
      <c r="ALP16" s="229"/>
      <c r="ALQ16" s="230"/>
      <c r="ALR16" s="252" t="s">
        <v>4</v>
      </c>
      <c r="ALS16" s="253"/>
      <c r="ALT16" s="228"/>
      <c r="ALU16" s="229"/>
      <c r="ALV16" s="230"/>
      <c r="ALW16" s="252" t="s">
        <v>4</v>
      </c>
      <c r="ALX16" s="253"/>
      <c r="ALY16" s="228"/>
      <c r="ALZ16" s="229"/>
      <c r="AMA16" s="230"/>
      <c r="AMB16" s="252" t="s">
        <v>4</v>
      </c>
      <c r="AMC16" s="253"/>
      <c r="AMD16" s="228"/>
      <c r="AME16" s="229"/>
      <c r="AMF16" s="230"/>
      <c r="AMG16" s="252" t="s">
        <v>4</v>
      </c>
      <c r="AMH16" s="253"/>
      <c r="AMI16" s="228"/>
      <c r="AMJ16" s="229"/>
      <c r="AMK16" s="230"/>
      <c r="AML16" s="252" t="s">
        <v>4</v>
      </c>
      <c r="AMM16" s="253"/>
      <c r="AMN16" s="228"/>
      <c r="AMO16" s="229"/>
      <c r="AMP16" s="230"/>
      <c r="AMQ16" s="252" t="s">
        <v>4</v>
      </c>
      <c r="AMR16" s="253"/>
      <c r="AMS16" s="228"/>
      <c r="AMT16" s="229"/>
      <c r="AMU16" s="230"/>
      <c r="AMV16" s="252" t="s">
        <v>4</v>
      </c>
      <c r="AMW16" s="253"/>
      <c r="AMX16" s="228"/>
      <c r="AMY16" s="229"/>
      <c r="AMZ16" s="230"/>
      <c r="ANA16" s="252" t="s">
        <v>4</v>
      </c>
      <c r="ANB16" s="253"/>
      <c r="ANC16" s="228"/>
      <c r="AND16" s="229"/>
      <c r="ANE16" s="230"/>
      <c r="ANF16" s="252" t="s">
        <v>4</v>
      </c>
      <c r="ANG16" s="253"/>
      <c r="ANH16" s="228"/>
      <c r="ANI16" s="229"/>
      <c r="ANJ16" s="230"/>
      <c r="ANK16" s="252" t="s">
        <v>4</v>
      </c>
      <c r="ANL16" s="253"/>
      <c r="ANM16" s="228"/>
      <c r="ANN16" s="229"/>
      <c r="ANO16" s="230"/>
      <c r="ANP16" s="252" t="s">
        <v>4</v>
      </c>
      <c r="ANQ16" s="253"/>
      <c r="ANR16" s="228"/>
      <c r="ANS16" s="229"/>
      <c r="ANT16" s="230"/>
      <c r="ANU16" s="252" t="s">
        <v>4</v>
      </c>
      <c r="ANV16" s="253"/>
      <c r="ANW16" s="228"/>
      <c r="ANX16" s="229"/>
      <c r="ANY16" s="230"/>
      <c r="ANZ16" s="252" t="s">
        <v>4</v>
      </c>
      <c r="AOA16" s="253"/>
      <c r="AOB16" s="228"/>
      <c r="AOC16" s="229"/>
      <c r="AOD16" s="230"/>
      <c r="AOE16" s="252" t="s">
        <v>4</v>
      </c>
      <c r="AOF16" s="253"/>
      <c r="AOG16" s="228"/>
      <c r="AOH16" s="229"/>
      <c r="AOI16" s="230"/>
      <c r="AOJ16" s="252" t="s">
        <v>4</v>
      </c>
      <c r="AOK16" s="253"/>
      <c r="AOL16" s="228"/>
      <c r="AOM16" s="229"/>
      <c r="AON16" s="230"/>
      <c r="AOO16" s="252" t="s">
        <v>4</v>
      </c>
      <c r="AOP16" s="253"/>
      <c r="AOQ16" s="228"/>
      <c r="AOR16" s="229"/>
      <c r="AOS16" s="230"/>
      <c r="AOT16" s="252" t="s">
        <v>4</v>
      </c>
      <c r="AOU16" s="253"/>
      <c r="AOV16" s="228"/>
      <c r="AOW16" s="229"/>
      <c r="AOX16" s="230"/>
      <c r="AOY16" s="252" t="s">
        <v>4</v>
      </c>
      <c r="AOZ16" s="253"/>
      <c r="APA16" s="228"/>
      <c r="APB16" s="229"/>
      <c r="APC16" s="230"/>
      <c r="APD16" s="252" t="s">
        <v>4</v>
      </c>
      <c r="APE16" s="253"/>
      <c r="APF16" s="228"/>
      <c r="APG16" s="229"/>
      <c r="APH16" s="230"/>
      <c r="API16" s="252" t="s">
        <v>4</v>
      </c>
      <c r="APJ16" s="253"/>
      <c r="APK16" s="228"/>
      <c r="APL16" s="229"/>
      <c r="APM16" s="230"/>
      <c r="APN16" s="252" t="s">
        <v>4</v>
      </c>
      <c r="APO16" s="253"/>
      <c r="APP16" s="228"/>
      <c r="APQ16" s="229"/>
      <c r="APR16" s="230"/>
      <c r="APS16" s="252" t="s">
        <v>4</v>
      </c>
      <c r="APT16" s="253"/>
      <c r="APU16" s="228"/>
      <c r="APV16" s="229"/>
      <c r="APW16" s="230"/>
      <c r="APX16" s="252" t="s">
        <v>4</v>
      </c>
      <c r="APY16" s="253"/>
      <c r="APZ16" s="228"/>
      <c r="AQA16" s="229"/>
      <c r="AQB16" s="230"/>
      <c r="AQC16" s="252" t="s">
        <v>4</v>
      </c>
      <c r="AQD16" s="253"/>
      <c r="AQE16" s="228"/>
      <c r="AQF16" s="229"/>
      <c r="AQG16" s="230"/>
      <c r="AQH16" s="252" t="s">
        <v>4</v>
      </c>
      <c r="AQI16" s="253"/>
      <c r="AQJ16" s="228"/>
      <c r="AQK16" s="229"/>
      <c r="AQL16" s="230"/>
      <c r="AQM16" s="252" t="s">
        <v>4</v>
      </c>
      <c r="AQN16" s="253"/>
      <c r="AQO16" s="228"/>
      <c r="AQP16" s="229"/>
      <c r="AQQ16" s="230"/>
      <c r="AQR16" s="252" t="s">
        <v>4</v>
      </c>
      <c r="AQS16" s="253"/>
      <c r="AQT16" s="228"/>
      <c r="AQU16" s="229"/>
      <c r="AQV16" s="230"/>
      <c r="AQW16" s="252" t="s">
        <v>4</v>
      </c>
      <c r="AQX16" s="253"/>
      <c r="AQY16" s="228"/>
      <c r="AQZ16" s="229"/>
      <c r="ARA16" s="230"/>
      <c r="ARB16" s="252" t="s">
        <v>4</v>
      </c>
      <c r="ARC16" s="253"/>
      <c r="ARD16" s="228"/>
      <c r="ARE16" s="229"/>
      <c r="ARF16" s="230"/>
      <c r="ARG16" s="252" t="s">
        <v>4</v>
      </c>
      <c r="ARH16" s="253"/>
      <c r="ARI16" s="228"/>
      <c r="ARJ16" s="229"/>
      <c r="ARK16" s="230"/>
      <c r="ARL16" s="252" t="s">
        <v>4</v>
      </c>
      <c r="ARM16" s="253"/>
      <c r="ARN16" s="228"/>
      <c r="ARO16" s="229"/>
      <c r="ARP16" s="230"/>
      <c r="ARQ16" s="252" t="s">
        <v>4</v>
      </c>
      <c r="ARR16" s="253"/>
      <c r="ARS16" s="228"/>
      <c r="ART16" s="229"/>
      <c r="ARU16" s="230"/>
      <c r="ARV16" s="252" t="s">
        <v>4</v>
      </c>
      <c r="ARW16" s="253"/>
      <c r="ARX16" s="228"/>
      <c r="ARY16" s="229"/>
      <c r="ARZ16" s="230"/>
      <c r="ASA16" s="252" t="s">
        <v>4</v>
      </c>
      <c r="ASB16" s="253"/>
      <c r="ASC16" s="228"/>
      <c r="ASD16" s="229"/>
      <c r="ASE16" s="230"/>
      <c r="ASF16" s="252" t="s">
        <v>4</v>
      </c>
      <c r="ASG16" s="253"/>
      <c r="ASH16" s="228"/>
      <c r="ASI16" s="229"/>
      <c r="ASJ16" s="230"/>
      <c r="ASK16" s="252" t="s">
        <v>4</v>
      </c>
      <c r="ASL16" s="253"/>
      <c r="ASM16" s="228"/>
      <c r="ASN16" s="229"/>
      <c r="ASO16" s="230"/>
      <c r="ASP16" s="252" t="s">
        <v>4</v>
      </c>
      <c r="ASQ16" s="253"/>
      <c r="ASR16" s="228"/>
      <c r="ASS16" s="229"/>
      <c r="AST16" s="230"/>
      <c r="ASU16" s="252" t="s">
        <v>4</v>
      </c>
      <c r="ASV16" s="253"/>
      <c r="ASW16" s="228"/>
      <c r="ASX16" s="229"/>
      <c r="ASY16" s="230"/>
      <c r="ASZ16" s="252" t="s">
        <v>4</v>
      </c>
      <c r="ATA16" s="253"/>
      <c r="ATB16" s="228"/>
      <c r="ATC16" s="229"/>
      <c r="ATD16" s="230"/>
      <c r="ATE16" s="252" t="s">
        <v>4</v>
      </c>
      <c r="ATF16" s="253"/>
      <c r="ATG16" s="228"/>
      <c r="ATH16" s="229"/>
      <c r="ATI16" s="230"/>
      <c r="ATJ16" s="252" t="s">
        <v>4</v>
      </c>
      <c r="ATK16" s="253"/>
      <c r="ATL16" s="228"/>
      <c r="ATM16" s="229"/>
      <c r="ATN16" s="230"/>
      <c r="ATO16" s="252" t="s">
        <v>4</v>
      </c>
      <c r="ATP16" s="253"/>
      <c r="ATQ16" s="228"/>
      <c r="ATR16" s="229"/>
      <c r="ATS16" s="230"/>
      <c r="ATT16" s="252" t="s">
        <v>4</v>
      </c>
      <c r="ATU16" s="253"/>
      <c r="ATV16" s="228"/>
      <c r="ATW16" s="229"/>
      <c r="ATX16" s="230"/>
      <c r="ATY16" s="252" t="s">
        <v>4</v>
      </c>
      <c r="ATZ16" s="253"/>
      <c r="AUA16" s="228"/>
      <c r="AUB16" s="229"/>
      <c r="AUC16" s="230"/>
      <c r="AUD16" s="252" t="s">
        <v>4</v>
      </c>
      <c r="AUE16" s="253"/>
      <c r="AUF16" s="228"/>
      <c r="AUG16" s="229"/>
      <c r="AUH16" s="230"/>
      <c r="AUI16" s="252" t="s">
        <v>4</v>
      </c>
      <c r="AUJ16" s="253"/>
      <c r="AUK16" s="228"/>
      <c r="AUL16" s="229"/>
      <c r="AUM16" s="230"/>
      <c r="AUN16" s="252" t="s">
        <v>4</v>
      </c>
      <c r="AUO16" s="253"/>
      <c r="AUP16" s="228"/>
      <c r="AUQ16" s="229"/>
      <c r="AUR16" s="230"/>
      <c r="AUS16" s="252" t="s">
        <v>4</v>
      </c>
      <c r="AUT16" s="253"/>
      <c r="AUU16" s="228"/>
      <c r="AUV16" s="229"/>
      <c r="AUW16" s="230"/>
      <c r="AUX16" s="252" t="s">
        <v>4</v>
      </c>
      <c r="AUY16" s="253"/>
      <c r="AUZ16" s="228"/>
      <c r="AVA16" s="229"/>
      <c r="AVB16" s="230"/>
      <c r="AVC16" s="252" t="s">
        <v>4</v>
      </c>
      <c r="AVD16" s="253"/>
      <c r="AVE16" s="228"/>
      <c r="AVF16" s="229"/>
      <c r="AVG16" s="230"/>
      <c r="AVH16" s="252" t="s">
        <v>4</v>
      </c>
      <c r="AVI16" s="253"/>
      <c r="AVJ16" s="228"/>
      <c r="AVK16" s="229"/>
      <c r="AVL16" s="230"/>
      <c r="AVM16" s="252" t="s">
        <v>4</v>
      </c>
      <c r="AVN16" s="253"/>
      <c r="AVO16" s="228"/>
      <c r="AVP16" s="229"/>
      <c r="AVQ16" s="230"/>
      <c r="AVR16" s="252" t="s">
        <v>4</v>
      </c>
      <c r="AVS16" s="253"/>
      <c r="AVT16" s="228"/>
      <c r="AVU16" s="229"/>
      <c r="AVV16" s="230"/>
      <c r="AVW16" s="252" t="s">
        <v>4</v>
      </c>
      <c r="AVX16" s="253"/>
      <c r="AVY16" s="228"/>
      <c r="AVZ16" s="229"/>
      <c r="AWA16" s="230"/>
      <c r="AWB16" s="252" t="s">
        <v>4</v>
      </c>
      <c r="AWC16" s="253"/>
      <c r="AWD16" s="228"/>
      <c r="AWE16" s="229"/>
      <c r="AWF16" s="230"/>
      <c r="AWG16" s="252" t="s">
        <v>4</v>
      </c>
      <c r="AWH16" s="253"/>
      <c r="AWI16" s="228"/>
      <c r="AWJ16" s="229"/>
      <c r="AWK16" s="230"/>
      <c r="AWL16" s="252" t="s">
        <v>4</v>
      </c>
      <c r="AWM16" s="253"/>
      <c r="AWN16" s="228"/>
      <c r="AWO16" s="229"/>
      <c r="AWP16" s="230"/>
      <c r="AWQ16" s="252" t="s">
        <v>4</v>
      </c>
      <c r="AWR16" s="253"/>
      <c r="AWS16" s="228"/>
      <c r="AWT16" s="229"/>
      <c r="AWU16" s="230"/>
      <c r="AWV16" s="252" t="s">
        <v>4</v>
      </c>
      <c r="AWW16" s="253"/>
      <c r="AWX16" s="228"/>
      <c r="AWY16" s="229"/>
      <c r="AWZ16" s="230"/>
      <c r="AXA16" s="252" t="s">
        <v>4</v>
      </c>
      <c r="AXB16" s="253"/>
      <c r="AXC16" s="228"/>
      <c r="AXD16" s="229"/>
      <c r="AXE16" s="230"/>
      <c r="AXF16" s="252" t="s">
        <v>4</v>
      </c>
      <c r="AXG16" s="253"/>
      <c r="AXH16" s="228"/>
      <c r="AXI16" s="229"/>
      <c r="AXJ16" s="230"/>
      <c r="AXK16" s="252" t="s">
        <v>4</v>
      </c>
      <c r="AXL16" s="253"/>
      <c r="AXM16" s="228"/>
      <c r="AXN16" s="229"/>
      <c r="AXO16" s="230"/>
      <c r="AXP16" s="252" t="s">
        <v>4</v>
      </c>
      <c r="AXQ16" s="253"/>
      <c r="AXR16" s="228"/>
      <c r="AXS16" s="229"/>
      <c r="AXT16" s="230"/>
      <c r="AXU16" s="252" t="s">
        <v>4</v>
      </c>
      <c r="AXV16" s="253"/>
      <c r="AXW16" s="228"/>
      <c r="AXX16" s="229"/>
      <c r="AXY16" s="230"/>
      <c r="AXZ16" s="252" t="s">
        <v>4</v>
      </c>
      <c r="AYA16" s="253"/>
      <c r="AYB16" s="228"/>
      <c r="AYC16" s="229"/>
      <c r="AYD16" s="230"/>
      <c r="AYE16" s="252" t="s">
        <v>4</v>
      </c>
      <c r="AYF16" s="253"/>
      <c r="AYG16" s="228"/>
      <c r="AYH16" s="229"/>
      <c r="AYI16" s="230"/>
      <c r="AYJ16" s="252" t="s">
        <v>4</v>
      </c>
      <c r="AYK16" s="253"/>
      <c r="AYL16" s="228"/>
      <c r="AYM16" s="229"/>
      <c r="AYN16" s="230"/>
      <c r="AYO16" s="252" t="s">
        <v>4</v>
      </c>
      <c r="AYP16" s="253"/>
      <c r="AYQ16" s="228"/>
      <c r="AYR16" s="229"/>
      <c r="AYS16" s="230"/>
      <c r="AYT16" s="252" t="s">
        <v>4</v>
      </c>
      <c r="AYU16" s="253"/>
      <c r="AYV16" s="228"/>
      <c r="AYW16" s="229"/>
      <c r="AYX16" s="230"/>
      <c r="AYY16" s="252" t="s">
        <v>4</v>
      </c>
      <c r="AYZ16" s="253"/>
      <c r="AZA16" s="228"/>
      <c r="AZB16" s="229"/>
      <c r="AZC16" s="230"/>
      <c r="AZD16" s="252" t="s">
        <v>4</v>
      </c>
      <c r="AZE16" s="253"/>
      <c r="AZF16" s="228"/>
      <c r="AZG16" s="229"/>
      <c r="AZH16" s="230"/>
      <c r="AZI16" s="252" t="s">
        <v>4</v>
      </c>
      <c r="AZJ16" s="253"/>
      <c r="AZK16" s="228"/>
      <c r="AZL16" s="229"/>
      <c r="AZM16" s="230"/>
      <c r="AZN16" s="252" t="s">
        <v>4</v>
      </c>
      <c r="AZO16" s="253"/>
      <c r="AZP16" s="228"/>
      <c r="AZQ16" s="229"/>
      <c r="AZR16" s="230"/>
      <c r="AZS16" s="252" t="s">
        <v>4</v>
      </c>
      <c r="AZT16" s="253"/>
      <c r="AZU16" s="228"/>
      <c r="AZV16" s="229"/>
      <c r="AZW16" s="230"/>
      <c r="AZX16" s="252" t="s">
        <v>4</v>
      </c>
      <c r="AZY16" s="253"/>
      <c r="AZZ16" s="228"/>
      <c r="BAA16" s="229"/>
      <c r="BAB16" s="230"/>
      <c r="BAC16" s="252" t="s">
        <v>4</v>
      </c>
      <c r="BAD16" s="253"/>
      <c r="BAE16" s="228"/>
      <c r="BAF16" s="229"/>
      <c r="BAG16" s="230"/>
      <c r="BAH16" s="252" t="s">
        <v>4</v>
      </c>
      <c r="BAI16" s="253"/>
      <c r="BAJ16" s="228"/>
      <c r="BAK16" s="229"/>
      <c r="BAL16" s="230"/>
      <c r="BAM16" s="252" t="s">
        <v>4</v>
      </c>
      <c r="BAN16" s="253"/>
      <c r="BAO16" s="228"/>
      <c r="BAP16" s="229"/>
      <c r="BAQ16" s="230"/>
      <c r="BAR16" s="252" t="s">
        <v>4</v>
      </c>
      <c r="BAS16" s="253"/>
      <c r="BAT16" s="228"/>
      <c r="BAU16" s="229"/>
      <c r="BAV16" s="230"/>
      <c r="BAW16" s="252" t="s">
        <v>4</v>
      </c>
      <c r="BAX16" s="253"/>
      <c r="BAY16" s="228"/>
      <c r="BAZ16" s="229"/>
      <c r="BBA16" s="230"/>
      <c r="BBB16" s="252" t="s">
        <v>4</v>
      </c>
      <c r="BBC16" s="253"/>
      <c r="BBD16" s="228"/>
      <c r="BBE16" s="229"/>
      <c r="BBF16" s="230"/>
      <c r="BBG16" s="252" t="s">
        <v>4</v>
      </c>
      <c r="BBH16" s="253"/>
      <c r="BBI16" s="228"/>
      <c r="BBJ16" s="229"/>
      <c r="BBK16" s="230"/>
      <c r="BBL16" s="252" t="s">
        <v>4</v>
      </c>
      <c r="BBM16" s="253"/>
      <c r="BBN16" s="228"/>
      <c r="BBO16" s="229"/>
      <c r="BBP16" s="230"/>
      <c r="BBQ16" s="252" t="s">
        <v>4</v>
      </c>
      <c r="BBR16" s="253"/>
      <c r="BBS16" s="228"/>
      <c r="BBT16" s="229"/>
      <c r="BBU16" s="230"/>
      <c r="BBV16" s="252" t="s">
        <v>4</v>
      </c>
      <c r="BBW16" s="253"/>
      <c r="BBX16" s="228"/>
      <c r="BBY16" s="229"/>
      <c r="BBZ16" s="230"/>
      <c r="BCA16" s="252" t="s">
        <v>4</v>
      </c>
      <c r="BCB16" s="253"/>
      <c r="BCC16" s="228"/>
      <c r="BCD16" s="229"/>
      <c r="BCE16" s="230"/>
      <c r="BCF16" s="252" t="s">
        <v>4</v>
      </c>
      <c r="BCG16" s="253"/>
      <c r="BCH16" s="228"/>
      <c r="BCI16" s="229"/>
      <c r="BCJ16" s="230"/>
      <c r="BCK16" s="252" t="s">
        <v>4</v>
      </c>
      <c r="BCL16" s="253"/>
      <c r="BCM16" s="228"/>
      <c r="BCN16" s="229"/>
      <c r="BCO16" s="230"/>
      <c r="BCP16" s="252" t="s">
        <v>4</v>
      </c>
      <c r="BCQ16" s="253"/>
      <c r="BCR16" s="228"/>
      <c r="BCS16" s="229"/>
      <c r="BCT16" s="230"/>
      <c r="BCU16" s="252" t="s">
        <v>4</v>
      </c>
      <c r="BCV16" s="253"/>
      <c r="BCW16" s="228"/>
      <c r="BCX16" s="229"/>
      <c r="BCY16" s="230"/>
      <c r="BCZ16" s="252" t="s">
        <v>4</v>
      </c>
      <c r="BDA16" s="253"/>
      <c r="BDB16" s="228"/>
      <c r="BDC16" s="229"/>
      <c r="BDD16" s="230"/>
      <c r="BDE16" s="252" t="s">
        <v>4</v>
      </c>
      <c r="BDF16" s="253"/>
      <c r="BDG16" s="228"/>
      <c r="BDH16" s="229"/>
      <c r="BDI16" s="230"/>
      <c r="BDJ16" s="252" t="s">
        <v>4</v>
      </c>
      <c r="BDK16" s="253"/>
      <c r="BDL16" s="228"/>
      <c r="BDM16" s="229"/>
      <c r="BDN16" s="230"/>
      <c r="BDO16" s="252" t="s">
        <v>4</v>
      </c>
      <c r="BDP16" s="253"/>
      <c r="BDQ16" s="228"/>
      <c r="BDR16" s="229"/>
      <c r="BDS16" s="230"/>
      <c r="BDT16" s="252" t="s">
        <v>4</v>
      </c>
      <c r="BDU16" s="253"/>
      <c r="BDV16" s="228"/>
      <c r="BDW16" s="229"/>
      <c r="BDX16" s="230"/>
      <c r="BDY16" s="252" t="s">
        <v>4</v>
      </c>
      <c r="BDZ16" s="253"/>
      <c r="BEA16" s="228"/>
      <c r="BEB16" s="229"/>
      <c r="BEC16" s="230"/>
      <c r="BED16" s="252" t="s">
        <v>4</v>
      </c>
      <c r="BEE16" s="253"/>
      <c r="BEF16" s="228"/>
      <c r="BEG16" s="229"/>
      <c r="BEH16" s="230"/>
      <c r="BEI16" s="252" t="s">
        <v>4</v>
      </c>
      <c r="BEJ16" s="253"/>
      <c r="BEK16" s="228"/>
      <c r="BEL16" s="229"/>
      <c r="BEM16" s="230"/>
      <c r="BEN16" s="252" t="s">
        <v>4</v>
      </c>
      <c r="BEO16" s="253"/>
      <c r="BEP16" s="228"/>
      <c r="BEQ16" s="229"/>
      <c r="BER16" s="230"/>
      <c r="BES16" s="252" t="s">
        <v>4</v>
      </c>
      <c r="BET16" s="253"/>
      <c r="BEU16" s="228"/>
      <c r="BEV16" s="229"/>
      <c r="BEW16" s="230"/>
      <c r="BEX16" s="252" t="s">
        <v>4</v>
      </c>
      <c r="BEY16" s="253"/>
      <c r="BEZ16" s="228"/>
      <c r="BFA16" s="229"/>
      <c r="BFB16" s="230"/>
      <c r="BFC16" s="252" t="s">
        <v>4</v>
      </c>
      <c r="BFD16" s="253"/>
      <c r="BFE16" s="228"/>
      <c r="BFF16" s="229"/>
      <c r="BFG16" s="230"/>
      <c r="BFH16" s="252" t="s">
        <v>4</v>
      </c>
      <c r="BFI16" s="253"/>
      <c r="BFJ16" s="228"/>
      <c r="BFK16" s="229"/>
      <c r="BFL16" s="230"/>
      <c r="BFM16" s="252" t="s">
        <v>4</v>
      </c>
      <c r="BFN16" s="253"/>
      <c r="BFO16" s="228"/>
      <c r="BFP16" s="229"/>
      <c r="BFQ16" s="230"/>
      <c r="BFR16" s="252" t="s">
        <v>4</v>
      </c>
      <c r="BFS16" s="253"/>
      <c r="BFT16" s="228"/>
      <c r="BFU16" s="229"/>
      <c r="BFV16" s="230"/>
      <c r="BFW16" s="252" t="s">
        <v>4</v>
      </c>
      <c r="BFX16" s="253"/>
      <c r="BFY16" s="228"/>
      <c r="BFZ16" s="229"/>
      <c r="BGA16" s="230"/>
      <c r="BGB16" s="252" t="s">
        <v>4</v>
      </c>
      <c r="BGC16" s="253"/>
      <c r="BGD16" s="228"/>
      <c r="BGE16" s="229"/>
      <c r="BGF16" s="230"/>
      <c r="BGG16" s="252" t="s">
        <v>4</v>
      </c>
      <c r="BGH16" s="253"/>
      <c r="BGI16" s="228"/>
      <c r="BGJ16" s="229"/>
      <c r="BGK16" s="230"/>
      <c r="BGL16" s="252" t="s">
        <v>4</v>
      </c>
      <c r="BGM16" s="253"/>
      <c r="BGN16" s="228"/>
      <c r="BGO16" s="229"/>
      <c r="BGP16" s="230"/>
      <c r="BGQ16" s="252" t="s">
        <v>4</v>
      </c>
      <c r="BGR16" s="253"/>
      <c r="BGS16" s="228"/>
      <c r="BGT16" s="229"/>
      <c r="BGU16" s="230"/>
      <c r="BGV16" s="252" t="s">
        <v>4</v>
      </c>
      <c r="BGW16" s="253"/>
      <c r="BGX16" s="228"/>
      <c r="BGY16" s="229"/>
      <c r="BGZ16" s="230"/>
      <c r="BHA16" s="252" t="s">
        <v>4</v>
      </c>
      <c r="BHB16" s="253"/>
      <c r="BHC16" s="228"/>
      <c r="BHD16" s="229"/>
      <c r="BHE16" s="230"/>
      <c r="BHF16" s="252" t="s">
        <v>4</v>
      </c>
      <c r="BHG16" s="253"/>
      <c r="BHH16" s="228"/>
      <c r="BHI16" s="229"/>
      <c r="BHJ16" s="230"/>
      <c r="BHK16" s="252" t="s">
        <v>4</v>
      </c>
      <c r="BHL16" s="253"/>
      <c r="BHM16" s="228"/>
      <c r="BHN16" s="229"/>
      <c r="BHO16" s="230"/>
      <c r="BHP16" s="252" t="s">
        <v>4</v>
      </c>
      <c r="BHQ16" s="253"/>
      <c r="BHR16" s="228"/>
      <c r="BHS16" s="229"/>
      <c r="BHT16" s="230"/>
      <c r="BHU16" s="252" t="s">
        <v>4</v>
      </c>
      <c r="BHV16" s="253"/>
      <c r="BHW16" s="228"/>
      <c r="BHX16" s="229"/>
      <c r="BHY16" s="230"/>
      <c r="BHZ16" s="252" t="s">
        <v>4</v>
      </c>
      <c r="BIA16" s="253"/>
      <c r="BIB16" s="228"/>
      <c r="BIC16" s="229"/>
      <c r="BID16" s="230"/>
      <c r="BIE16" s="252" t="s">
        <v>4</v>
      </c>
      <c r="BIF16" s="253"/>
      <c r="BIG16" s="228"/>
      <c r="BIH16" s="229"/>
      <c r="BII16" s="230"/>
      <c r="BIJ16" s="252" t="s">
        <v>4</v>
      </c>
      <c r="BIK16" s="253"/>
      <c r="BIL16" s="228"/>
      <c r="BIM16" s="229"/>
      <c r="BIN16" s="230"/>
      <c r="BIO16" s="252" t="s">
        <v>4</v>
      </c>
      <c r="BIP16" s="253"/>
      <c r="BIQ16" s="228"/>
      <c r="BIR16" s="229"/>
      <c r="BIS16" s="230"/>
      <c r="BIT16" s="252" t="s">
        <v>4</v>
      </c>
      <c r="BIU16" s="253"/>
      <c r="BIV16" s="228"/>
      <c r="BIW16" s="229"/>
      <c r="BIX16" s="230"/>
      <c r="BIY16" s="252" t="s">
        <v>4</v>
      </c>
      <c r="BIZ16" s="253"/>
      <c r="BJA16" s="228"/>
      <c r="BJB16" s="229"/>
      <c r="BJC16" s="230"/>
      <c r="BJD16" s="252" t="s">
        <v>4</v>
      </c>
      <c r="BJE16" s="253"/>
      <c r="BJF16" s="228"/>
      <c r="BJG16" s="229"/>
      <c r="BJH16" s="230"/>
      <c r="BJI16" s="252" t="s">
        <v>4</v>
      </c>
      <c r="BJJ16" s="253"/>
      <c r="BJK16" s="228"/>
      <c r="BJL16" s="229"/>
      <c r="BJM16" s="230"/>
      <c r="BJN16" s="252" t="s">
        <v>4</v>
      </c>
      <c r="BJO16" s="253"/>
      <c r="BJP16" s="228"/>
      <c r="BJQ16" s="229"/>
      <c r="BJR16" s="230"/>
      <c r="BJS16" s="252" t="s">
        <v>4</v>
      </c>
      <c r="BJT16" s="253"/>
      <c r="BJU16" s="228"/>
      <c r="BJV16" s="229"/>
      <c r="BJW16" s="230"/>
      <c r="BJX16" s="252" t="s">
        <v>4</v>
      </c>
      <c r="BJY16" s="253"/>
      <c r="BJZ16" s="228"/>
      <c r="BKA16" s="229"/>
      <c r="BKB16" s="230"/>
      <c r="BKC16" s="252" t="s">
        <v>4</v>
      </c>
      <c r="BKD16" s="253"/>
      <c r="BKE16" s="228"/>
      <c r="BKF16" s="229"/>
      <c r="BKG16" s="230"/>
      <c r="BKH16" s="252" t="s">
        <v>4</v>
      </c>
      <c r="BKI16" s="253"/>
      <c r="BKJ16" s="228"/>
      <c r="BKK16" s="229"/>
      <c r="BKL16" s="230"/>
      <c r="BKM16" s="252" t="s">
        <v>4</v>
      </c>
      <c r="BKN16" s="253"/>
      <c r="BKO16" s="228"/>
      <c r="BKP16" s="229"/>
      <c r="BKQ16" s="230"/>
      <c r="BKR16" s="252" t="s">
        <v>4</v>
      </c>
      <c r="BKS16" s="253"/>
      <c r="BKT16" s="228"/>
      <c r="BKU16" s="229"/>
      <c r="BKV16" s="230"/>
      <c r="BKW16" s="252" t="s">
        <v>4</v>
      </c>
      <c r="BKX16" s="253"/>
      <c r="BKY16" s="228"/>
      <c r="BKZ16" s="229"/>
      <c r="BLA16" s="230"/>
      <c r="BLB16" s="252" t="s">
        <v>4</v>
      </c>
      <c r="BLC16" s="253"/>
      <c r="BLD16" s="228"/>
      <c r="BLE16" s="229"/>
      <c r="BLF16" s="230"/>
      <c r="BLG16" s="252" t="s">
        <v>4</v>
      </c>
      <c r="BLH16" s="253"/>
      <c r="BLI16" s="228"/>
      <c r="BLJ16" s="229"/>
      <c r="BLK16" s="230"/>
      <c r="BLL16" s="252" t="s">
        <v>4</v>
      </c>
      <c r="BLM16" s="253"/>
      <c r="BLN16" s="228"/>
      <c r="BLO16" s="229"/>
      <c r="BLP16" s="230"/>
      <c r="BLQ16" s="252" t="s">
        <v>4</v>
      </c>
      <c r="BLR16" s="253"/>
      <c r="BLS16" s="228"/>
      <c r="BLT16" s="229"/>
      <c r="BLU16" s="230"/>
      <c r="BLV16" s="252" t="s">
        <v>4</v>
      </c>
      <c r="BLW16" s="253"/>
      <c r="BLX16" s="228"/>
      <c r="BLY16" s="229"/>
      <c r="BLZ16" s="230"/>
      <c r="BMA16" s="252" t="s">
        <v>4</v>
      </c>
      <c r="BMB16" s="253"/>
      <c r="BMC16" s="228"/>
      <c r="BMD16" s="229"/>
      <c r="BME16" s="230"/>
      <c r="BMF16" s="252" t="s">
        <v>4</v>
      </c>
      <c r="BMG16" s="253"/>
      <c r="BMH16" s="228"/>
      <c r="BMI16" s="229"/>
      <c r="BMJ16" s="230"/>
      <c r="BMK16" s="252" t="s">
        <v>4</v>
      </c>
      <c r="BML16" s="253"/>
      <c r="BMM16" s="228"/>
      <c r="BMN16" s="229"/>
      <c r="BMO16" s="230"/>
      <c r="BMP16" s="252" t="s">
        <v>4</v>
      </c>
      <c r="BMQ16" s="253"/>
      <c r="BMR16" s="228"/>
      <c r="BMS16" s="229"/>
      <c r="BMT16" s="230"/>
      <c r="BMU16" s="252" t="s">
        <v>4</v>
      </c>
      <c r="BMV16" s="253"/>
      <c r="BMW16" s="228"/>
      <c r="BMX16" s="229"/>
      <c r="BMY16" s="230"/>
      <c r="BMZ16" s="252" t="s">
        <v>4</v>
      </c>
      <c r="BNA16" s="253"/>
      <c r="BNB16" s="228"/>
      <c r="BNC16" s="229"/>
      <c r="BND16" s="230"/>
      <c r="BNE16" s="252" t="s">
        <v>4</v>
      </c>
      <c r="BNF16" s="253"/>
      <c r="BNG16" s="228"/>
      <c r="BNH16" s="229"/>
      <c r="BNI16" s="230"/>
      <c r="BNJ16" s="252" t="s">
        <v>4</v>
      </c>
      <c r="BNK16" s="253"/>
      <c r="BNL16" s="228"/>
      <c r="BNM16" s="229"/>
      <c r="BNN16" s="230"/>
      <c r="BNO16" s="252" t="s">
        <v>4</v>
      </c>
      <c r="BNP16" s="253"/>
      <c r="BNQ16" s="228"/>
      <c r="BNR16" s="229"/>
      <c r="BNS16" s="230"/>
      <c r="BNT16" s="252" t="s">
        <v>4</v>
      </c>
      <c r="BNU16" s="253"/>
      <c r="BNV16" s="228"/>
      <c r="BNW16" s="229"/>
      <c r="BNX16" s="230"/>
      <c r="BNY16" s="252" t="s">
        <v>4</v>
      </c>
      <c r="BNZ16" s="253"/>
      <c r="BOA16" s="228"/>
      <c r="BOB16" s="229"/>
      <c r="BOC16" s="230"/>
      <c r="BOD16" s="252" t="s">
        <v>4</v>
      </c>
      <c r="BOE16" s="253"/>
      <c r="BOF16" s="228"/>
      <c r="BOG16" s="229"/>
      <c r="BOH16" s="230"/>
      <c r="BOI16" s="252" t="s">
        <v>4</v>
      </c>
      <c r="BOJ16" s="253"/>
      <c r="BOK16" s="228"/>
      <c r="BOL16" s="229"/>
      <c r="BOM16" s="230"/>
      <c r="BON16" s="252" t="s">
        <v>4</v>
      </c>
      <c r="BOO16" s="253"/>
      <c r="BOP16" s="228"/>
      <c r="BOQ16" s="229"/>
      <c r="BOR16" s="230"/>
      <c r="BOS16" s="252" t="s">
        <v>4</v>
      </c>
      <c r="BOT16" s="253"/>
      <c r="BOU16" s="228"/>
      <c r="BOV16" s="229"/>
      <c r="BOW16" s="230"/>
      <c r="BOX16" s="252" t="s">
        <v>4</v>
      </c>
      <c r="BOY16" s="253"/>
      <c r="BOZ16" s="228"/>
      <c r="BPA16" s="229"/>
      <c r="BPB16" s="230"/>
      <c r="BPC16" s="252" t="s">
        <v>4</v>
      </c>
      <c r="BPD16" s="253"/>
      <c r="BPE16" s="228"/>
      <c r="BPF16" s="229"/>
      <c r="BPG16" s="230"/>
      <c r="BPH16" s="252" t="s">
        <v>4</v>
      </c>
      <c r="BPI16" s="253"/>
      <c r="BPJ16" s="228"/>
      <c r="BPK16" s="229"/>
      <c r="BPL16" s="230"/>
      <c r="BPM16" s="252" t="s">
        <v>4</v>
      </c>
      <c r="BPN16" s="253"/>
      <c r="BPO16" s="228"/>
      <c r="BPP16" s="229"/>
      <c r="BPQ16" s="230"/>
      <c r="BPR16" s="252" t="s">
        <v>4</v>
      </c>
      <c r="BPS16" s="253"/>
      <c r="BPT16" s="228"/>
      <c r="BPU16" s="229"/>
      <c r="BPV16" s="230"/>
      <c r="BPW16" s="252" t="s">
        <v>4</v>
      </c>
      <c r="BPX16" s="253"/>
      <c r="BPY16" s="228"/>
      <c r="BPZ16" s="229"/>
      <c r="BQA16" s="230"/>
      <c r="BQB16" s="252" t="s">
        <v>4</v>
      </c>
      <c r="BQC16" s="253"/>
      <c r="BQD16" s="228"/>
      <c r="BQE16" s="229"/>
      <c r="BQF16" s="230"/>
      <c r="BQG16" s="252" t="s">
        <v>4</v>
      </c>
      <c r="BQH16" s="253"/>
      <c r="BQI16" s="228"/>
      <c r="BQJ16" s="229"/>
      <c r="BQK16" s="230"/>
      <c r="BQL16" s="252" t="s">
        <v>4</v>
      </c>
      <c r="BQM16" s="253"/>
      <c r="BQN16" s="228"/>
      <c r="BQO16" s="229"/>
      <c r="BQP16" s="230"/>
      <c r="BQQ16" s="252" t="s">
        <v>4</v>
      </c>
      <c r="BQR16" s="253"/>
      <c r="BQS16" s="228"/>
      <c r="BQT16" s="229"/>
      <c r="BQU16" s="230"/>
      <c r="BQV16" s="252" t="s">
        <v>4</v>
      </c>
      <c r="BQW16" s="253"/>
      <c r="BQX16" s="228"/>
      <c r="BQY16" s="229"/>
      <c r="BQZ16" s="230"/>
      <c r="BRA16" s="252" t="s">
        <v>4</v>
      </c>
      <c r="BRB16" s="253"/>
      <c r="BRC16" s="228"/>
      <c r="BRD16" s="229"/>
      <c r="BRE16" s="230"/>
      <c r="BRF16" s="252" t="s">
        <v>4</v>
      </c>
      <c r="BRG16" s="253"/>
      <c r="BRH16" s="228"/>
      <c r="BRI16" s="229"/>
      <c r="BRJ16" s="230"/>
      <c r="BRK16" s="252" t="s">
        <v>4</v>
      </c>
      <c r="BRL16" s="253"/>
      <c r="BRM16" s="228"/>
      <c r="BRN16" s="229"/>
      <c r="BRO16" s="230"/>
      <c r="BRP16" s="252" t="s">
        <v>4</v>
      </c>
      <c r="BRQ16" s="253"/>
      <c r="BRR16" s="228"/>
      <c r="BRS16" s="229"/>
      <c r="BRT16" s="230"/>
      <c r="BRU16" s="252" t="s">
        <v>4</v>
      </c>
      <c r="BRV16" s="253"/>
      <c r="BRW16" s="228"/>
      <c r="BRX16" s="229"/>
      <c r="BRY16" s="230"/>
      <c r="BRZ16" s="252" t="s">
        <v>4</v>
      </c>
      <c r="BSA16" s="253"/>
      <c r="BSB16" s="228"/>
      <c r="BSC16" s="229"/>
      <c r="BSD16" s="230"/>
      <c r="BSE16" s="252" t="s">
        <v>4</v>
      </c>
      <c r="BSF16" s="253"/>
      <c r="BSG16" s="228"/>
      <c r="BSH16" s="229"/>
      <c r="BSI16" s="230"/>
      <c r="BSJ16" s="252" t="s">
        <v>4</v>
      </c>
      <c r="BSK16" s="253"/>
      <c r="BSL16" s="228"/>
      <c r="BSM16" s="229"/>
      <c r="BSN16" s="230"/>
      <c r="BSO16" s="252" t="s">
        <v>4</v>
      </c>
      <c r="BSP16" s="253"/>
      <c r="BSQ16" s="228"/>
      <c r="BSR16" s="229"/>
      <c r="BSS16" s="230"/>
      <c r="BST16" s="252" t="s">
        <v>4</v>
      </c>
      <c r="BSU16" s="253"/>
      <c r="BSV16" s="228"/>
      <c r="BSW16" s="229"/>
      <c r="BSX16" s="230"/>
      <c r="BSY16" s="252" t="s">
        <v>4</v>
      </c>
      <c r="BSZ16" s="253"/>
      <c r="BTA16" s="228"/>
      <c r="BTB16" s="229"/>
      <c r="BTC16" s="230"/>
      <c r="BTD16" s="252" t="s">
        <v>4</v>
      </c>
      <c r="BTE16" s="253"/>
      <c r="BTF16" s="228"/>
      <c r="BTG16" s="229"/>
      <c r="BTH16" s="230"/>
      <c r="BTI16" s="252" t="s">
        <v>4</v>
      </c>
      <c r="BTJ16" s="253"/>
      <c r="BTK16" s="228"/>
      <c r="BTL16" s="229"/>
      <c r="BTM16" s="230"/>
      <c r="BTN16" s="252" t="s">
        <v>4</v>
      </c>
      <c r="BTO16" s="253"/>
      <c r="BTP16" s="228"/>
      <c r="BTQ16" s="229"/>
      <c r="BTR16" s="230"/>
      <c r="BTS16" s="252" t="s">
        <v>4</v>
      </c>
      <c r="BTT16" s="253"/>
      <c r="BTU16" s="228"/>
      <c r="BTV16" s="229"/>
      <c r="BTW16" s="230"/>
      <c r="BTX16" s="252" t="s">
        <v>4</v>
      </c>
      <c r="BTY16" s="253"/>
      <c r="BTZ16" s="228"/>
      <c r="BUA16" s="229"/>
      <c r="BUB16" s="230"/>
      <c r="BUC16" s="252" t="s">
        <v>4</v>
      </c>
      <c r="BUD16" s="253"/>
      <c r="BUE16" s="228"/>
      <c r="BUF16" s="229"/>
      <c r="BUG16" s="230"/>
      <c r="BUH16" s="252" t="s">
        <v>4</v>
      </c>
      <c r="BUI16" s="253"/>
      <c r="BUJ16" s="228"/>
      <c r="BUK16" s="229"/>
      <c r="BUL16" s="230"/>
      <c r="BUM16" s="252" t="s">
        <v>4</v>
      </c>
      <c r="BUN16" s="253"/>
      <c r="BUO16" s="228"/>
      <c r="BUP16" s="229"/>
      <c r="BUQ16" s="230"/>
      <c r="BUR16" s="252" t="s">
        <v>4</v>
      </c>
      <c r="BUS16" s="253"/>
      <c r="BUT16" s="228"/>
      <c r="BUU16" s="229"/>
      <c r="BUV16" s="230"/>
      <c r="BUW16" s="252" t="s">
        <v>4</v>
      </c>
      <c r="BUX16" s="253"/>
      <c r="BUY16" s="228"/>
      <c r="BUZ16" s="229"/>
      <c r="BVA16" s="230"/>
      <c r="BVB16" s="252" t="s">
        <v>4</v>
      </c>
      <c r="BVC16" s="253"/>
      <c r="BVD16" s="228"/>
      <c r="BVE16" s="229"/>
      <c r="BVF16" s="230"/>
      <c r="BVG16" s="252" t="s">
        <v>4</v>
      </c>
      <c r="BVH16" s="253"/>
      <c r="BVI16" s="228"/>
      <c r="BVJ16" s="229"/>
      <c r="BVK16" s="230"/>
      <c r="BVL16" s="252" t="s">
        <v>4</v>
      </c>
      <c r="BVM16" s="253"/>
      <c r="BVN16" s="228"/>
      <c r="BVO16" s="229"/>
      <c r="BVP16" s="230"/>
      <c r="BVQ16" s="252" t="s">
        <v>4</v>
      </c>
      <c r="BVR16" s="253"/>
      <c r="BVS16" s="228"/>
      <c r="BVT16" s="229"/>
      <c r="BVU16" s="230"/>
      <c r="BVV16" s="252" t="s">
        <v>4</v>
      </c>
      <c r="BVW16" s="253"/>
      <c r="BVX16" s="228"/>
      <c r="BVY16" s="229"/>
      <c r="BVZ16" s="230"/>
      <c r="BWA16" s="252" t="s">
        <v>4</v>
      </c>
      <c r="BWB16" s="253"/>
      <c r="BWC16" s="228"/>
      <c r="BWD16" s="229"/>
      <c r="BWE16" s="230"/>
      <c r="BWF16" s="252" t="s">
        <v>4</v>
      </c>
      <c r="BWG16" s="253"/>
      <c r="BWH16" s="228"/>
      <c r="BWI16" s="229"/>
      <c r="BWJ16" s="230"/>
      <c r="BWK16" s="252" t="s">
        <v>4</v>
      </c>
      <c r="BWL16" s="253"/>
      <c r="BWM16" s="228"/>
      <c r="BWN16" s="229"/>
      <c r="BWO16" s="230"/>
      <c r="BWP16" s="252" t="s">
        <v>4</v>
      </c>
      <c r="BWQ16" s="253"/>
      <c r="BWR16" s="228"/>
      <c r="BWS16" s="229"/>
      <c r="BWT16" s="230"/>
      <c r="BWU16" s="252" t="s">
        <v>4</v>
      </c>
      <c r="BWV16" s="253"/>
      <c r="BWW16" s="228"/>
      <c r="BWX16" s="229"/>
      <c r="BWY16" s="230"/>
      <c r="BWZ16" s="252" t="s">
        <v>4</v>
      </c>
      <c r="BXA16" s="253"/>
      <c r="BXB16" s="228"/>
      <c r="BXC16" s="229"/>
      <c r="BXD16" s="230"/>
      <c r="BXE16" s="252" t="s">
        <v>4</v>
      </c>
      <c r="BXF16" s="253"/>
      <c r="BXG16" s="228"/>
      <c r="BXH16" s="229"/>
      <c r="BXI16" s="230"/>
      <c r="BXJ16" s="252" t="s">
        <v>4</v>
      </c>
      <c r="BXK16" s="253"/>
      <c r="BXL16" s="228"/>
      <c r="BXM16" s="229"/>
      <c r="BXN16" s="230"/>
      <c r="BXO16" s="252" t="s">
        <v>4</v>
      </c>
      <c r="BXP16" s="253"/>
      <c r="BXQ16" s="228"/>
      <c r="BXR16" s="229"/>
      <c r="BXS16" s="230"/>
      <c r="BXT16" s="252" t="s">
        <v>4</v>
      </c>
      <c r="BXU16" s="253"/>
      <c r="BXV16" s="228"/>
      <c r="BXW16" s="229"/>
      <c r="BXX16" s="230"/>
      <c r="BXY16" s="252" t="s">
        <v>4</v>
      </c>
      <c r="BXZ16" s="253"/>
      <c r="BYA16" s="228"/>
      <c r="BYB16" s="229"/>
      <c r="BYC16" s="230"/>
      <c r="BYD16" s="252" t="s">
        <v>4</v>
      </c>
      <c r="BYE16" s="253"/>
      <c r="BYF16" s="228"/>
      <c r="BYG16" s="229"/>
      <c r="BYH16" s="230"/>
      <c r="BYI16" s="252" t="s">
        <v>4</v>
      </c>
      <c r="BYJ16" s="253"/>
      <c r="BYK16" s="228"/>
      <c r="BYL16" s="229"/>
      <c r="BYM16" s="230"/>
      <c r="BYN16" s="252" t="s">
        <v>4</v>
      </c>
      <c r="BYO16" s="253"/>
      <c r="BYP16" s="228"/>
      <c r="BYQ16" s="229"/>
      <c r="BYR16" s="230"/>
      <c r="BYS16" s="252" t="s">
        <v>4</v>
      </c>
      <c r="BYT16" s="253"/>
      <c r="BYU16" s="228"/>
      <c r="BYV16" s="229"/>
      <c r="BYW16" s="230"/>
      <c r="BYX16" s="252" t="s">
        <v>4</v>
      </c>
      <c r="BYY16" s="253"/>
      <c r="BYZ16" s="228"/>
      <c r="BZA16" s="229"/>
      <c r="BZB16" s="230"/>
      <c r="BZC16" s="252" t="s">
        <v>4</v>
      </c>
      <c r="BZD16" s="253"/>
      <c r="BZE16" s="228"/>
      <c r="BZF16" s="229"/>
      <c r="BZG16" s="230"/>
      <c r="BZH16" s="252" t="s">
        <v>4</v>
      </c>
      <c r="BZI16" s="253"/>
      <c r="BZJ16" s="228"/>
      <c r="BZK16" s="229"/>
      <c r="BZL16" s="230"/>
      <c r="BZM16" s="252" t="s">
        <v>4</v>
      </c>
      <c r="BZN16" s="253"/>
      <c r="BZO16" s="228"/>
      <c r="BZP16" s="229"/>
      <c r="BZQ16" s="230"/>
      <c r="BZR16" s="252" t="s">
        <v>4</v>
      </c>
      <c r="BZS16" s="253"/>
      <c r="BZT16" s="228"/>
      <c r="BZU16" s="229"/>
      <c r="BZV16" s="230"/>
      <c r="BZW16" s="252" t="s">
        <v>4</v>
      </c>
      <c r="BZX16" s="253"/>
      <c r="BZY16" s="228"/>
      <c r="BZZ16" s="229"/>
      <c r="CAA16" s="230"/>
      <c r="CAB16" s="252" t="s">
        <v>4</v>
      </c>
      <c r="CAC16" s="253"/>
      <c r="CAD16" s="228"/>
      <c r="CAE16" s="229"/>
      <c r="CAF16" s="230"/>
      <c r="CAG16" s="252" t="s">
        <v>4</v>
      </c>
      <c r="CAH16" s="253"/>
      <c r="CAI16" s="228"/>
      <c r="CAJ16" s="229"/>
      <c r="CAK16" s="230"/>
      <c r="CAL16" s="252" t="s">
        <v>4</v>
      </c>
      <c r="CAM16" s="253"/>
      <c r="CAN16" s="228"/>
      <c r="CAO16" s="229"/>
      <c r="CAP16" s="230"/>
      <c r="CAQ16" s="252" t="s">
        <v>4</v>
      </c>
      <c r="CAR16" s="253"/>
      <c r="CAS16" s="228"/>
      <c r="CAT16" s="229"/>
      <c r="CAU16" s="230"/>
      <c r="CAV16" s="252" t="s">
        <v>4</v>
      </c>
      <c r="CAW16" s="253"/>
      <c r="CAX16" s="228"/>
      <c r="CAY16" s="229"/>
      <c r="CAZ16" s="230"/>
      <c r="CBA16" s="252" t="s">
        <v>4</v>
      </c>
      <c r="CBB16" s="253"/>
      <c r="CBC16" s="228"/>
      <c r="CBD16" s="229"/>
      <c r="CBE16" s="230"/>
      <c r="CBF16" s="252" t="s">
        <v>4</v>
      </c>
      <c r="CBG16" s="253"/>
      <c r="CBH16" s="228"/>
      <c r="CBI16" s="229"/>
      <c r="CBJ16" s="230"/>
      <c r="CBK16" s="252" t="s">
        <v>4</v>
      </c>
      <c r="CBL16" s="253"/>
      <c r="CBM16" s="228"/>
      <c r="CBN16" s="229"/>
      <c r="CBO16" s="230"/>
      <c r="CBP16" s="252" t="s">
        <v>4</v>
      </c>
      <c r="CBQ16" s="253"/>
      <c r="CBR16" s="228"/>
      <c r="CBS16" s="229"/>
      <c r="CBT16" s="230"/>
      <c r="CBU16" s="252" t="s">
        <v>4</v>
      </c>
      <c r="CBV16" s="253"/>
      <c r="CBW16" s="228"/>
      <c r="CBX16" s="229"/>
      <c r="CBY16" s="230"/>
      <c r="CBZ16" s="252" t="s">
        <v>4</v>
      </c>
      <c r="CCA16" s="253"/>
      <c r="CCB16" s="228"/>
      <c r="CCC16" s="229"/>
      <c r="CCD16" s="230"/>
      <c r="CCE16" s="252" t="s">
        <v>4</v>
      </c>
      <c r="CCF16" s="253"/>
      <c r="CCG16" s="228"/>
      <c r="CCH16" s="229"/>
      <c r="CCI16" s="230"/>
      <c r="CCJ16" s="252" t="s">
        <v>4</v>
      </c>
      <c r="CCK16" s="253"/>
      <c r="CCL16" s="228"/>
      <c r="CCM16" s="229"/>
      <c r="CCN16" s="230"/>
      <c r="CCO16" s="252" t="s">
        <v>4</v>
      </c>
      <c r="CCP16" s="253"/>
      <c r="CCQ16" s="228"/>
      <c r="CCR16" s="229"/>
      <c r="CCS16" s="230"/>
      <c r="CCT16" s="252" t="s">
        <v>4</v>
      </c>
      <c r="CCU16" s="253"/>
      <c r="CCV16" s="228"/>
      <c r="CCW16" s="229"/>
      <c r="CCX16" s="230"/>
      <c r="CCY16" s="252" t="s">
        <v>4</v>
      </c>
      <c r="CCZ16" s="253"/>
      <c r="CDA16" s="228"/>
      <c r="CDB16" s="229"/>
      <c r="CDC16" s="230"/>
      <c r="CDD16" s="252" t="s">
        <v>4</v>
      </c>
      <c r="CDE16" s="253"/>
      <c r="CDF16" s="228"/>
      <c r="CDG16" s="229"/>
      <c r="CDH16" s="230"/>
      <c r="CDI16" s="252" t="s">
        <v>4</v>
      </c>
      <c r="CDJ16" s="253"/>
      <c r="CDK16" s="228"/>
      <c r="CDL16" s="229"/>
      <c r="CDM16" s="230"/>
      <c r="CDN16" s="252" t="s">
        <v>4</v>
      </c>
      <c r="CDO16" s="253"/>
      <c r="CDP16" s="228"/>
      <c r="CDQ16" s="229"/>
      <c r="CDR16" s="230"/>
      <c r="CDS16" s="252" t="s">
        <v>4</v>
      </c>
      <c r="CDT16" s="253"/>
      <c r="CDU16" s="228"/>
      <c r="CDV16" s="229"/>
      <c r="CDW16" s="230"/>
      <c r="CDX16" s="252" t="s">
        <v>4</v>
      </c>
      <c r="CDY16" s="253"/>
      <c r="CDZ16" s="228"/>
      <c r="CEA16" s="229"/>
      <c r="CEB16" s="230"/>
      <c r="CEC16" s="252" t="s">
        <v>4</v>
      </c>
      <c r="CED16" s="253"/>
      <c r="CEE16" s="228"/>
      <c r="CEF16" s="229"/>
      <c r="CEG16" s="230"/>
      <c r="CEH16" s="252" t="s">
        <v>4</v>
      </c>
      <c r="CEI16" s="253"/>
      <c r="CEJ16" s="228"/>
      <c r="CEK16" s="229"/>
      <c r="CEL16" s="230"/>
      <c r="CEM16" s="252" t="s">
        <v>4</v>
      </c>
      <c r="CEN16" s="253"/>
      <c r="CEO16" s="228"/>
      <c r="CEP16" s="229"/>
      <c r="CEQ16" s="230"/>
      <c r="CER16" s="252" t="s">
        <v>4</v>
      </c>
      <c r="CES16" s="253"/>
      <c r="CET16" s="228"/>
      <c r="CEU16" s="229"/>
      <c r="CEV16" s="230"/>
      <c r="CEW16" s="252" t="s">
        <v>4</v>
      </c>
      <c r="CEX16" s="253"/>
      <c r="CEY16" s="228"/>
      <c r="CEZ16" s="229"/>
      <c r="CFA16" s="230"/>
      <c r="CFB16" s="252" t="s">
        <v>4</v>
      </c>
      <c r="CFC16" s="253"/>
      <c r="CFD16" s="228"/>
      <c r="CFE16" s="229"/>
      <c r="CFF16" s="230"/>
      <c r="CFG16" s="252" t="s">
        <v>4</v>
      </c>
      <c r="CFH16" s="253"/>
      <c r="CFI16" s="228"/>
      <c r="CFJ16" s="229"/>
      <c r="CFK16" s="230"/>
      <c r="CFL16" s="252" t="s">
        <v>4</v>
      </c>
      <c r="CFM16" s="253"/>
      <c r="CFN16" s="228"/>
      <c r="CFO16" s="229"/>
      <c r="CFP16" s="230"/>
      <c r="CFQ16" s="252" t="s">
        <v>4</v>
      </c>
      <c r="CFR16" s="253"/>
      <c r="CFS16" s="228"/>
      <c r="CFT16" s="229"/>
      <c r="CFU16" s="230"/>
      <c r="CFV16" s="252" t="s">
        <v>4</v>
      </c>
      <c r="CFW16" s="253"/>
      <c r="CFX16" s="228"/>
      <c r="CFY16" s="229"/>
      <c r="CFZ16" s="230"/>
      <c r="CGA16" s="252" t="s">
        <v>4</v>
      </c>
      <c r="CGB16" s="253"/>
      <c r="CGC16" s="228"/>
      <c r="CGD16" s="229"/>
      <c r="CGE16" s="230"/>
      <c r="CGF16" s="252" t="s">
        <v>4</v>
      </c>
      <c r="CGG16" s="253"/>
      <c r="CGH16" s="228"/>
      <c r="CGI16" s="229"/>
      <c r="CGJ16" s="230"/>
      <c r="CGK16" s="252" t="s">
        <v>4</v>
      </c>
      <c r="CGL16" s="253"/>
      <c r="CGM16" s="228"/>
      <c r="CGN16" s="229"/>
      <c r="CGO16" s="230"/>
      <c r="CGP16" s="252" t="s">
        <v>4</v>
      </c>
      <c r="CGQ16" s="253"/>
      <c r="CGR16" s="228"/>
      <c r="CGS16" s="229"/>
      <c r="CGT16" s="230"/>
      <c r="CGU16" s="252" t="s">
        <v>4</v>
      </c>
      <c r="CGV16" s="253"/>
      <c r="CGW16" s="228"/>
      <c r="CGX16" s="229"/>
      <c r="CGY16" s="230"/>
      <c r="CGZ16" s="252" t="s">
        <v>4</v>
      </c>
      <c r="CHA16" s="253"/>
      <c r="CHB16" s="228"/>
      <c r="CHC16" s="229"/>
      <c r="CHD16" s="230"/>
      <c r="CHE16" s="252" t="s">
        <v>4</v>
      </c>
      <c r="CHF16" s="253"/>
      <c r="CHG16" s="228"/>
      <c r="CHH16" s="229"/>
      <c r="CHI16" s="230"/>
      <c r="CHJ16" s="252" t="s">
        <v>4</v>
      </c>
      <c r="CHK16" s="253"/>
      <c r="CHL16" s="228"/>
      <c r="CHM16" s="229"/>
      <c r="CHN16" s="230"/>
      <c r="CHO16" s="252" t="s">
        <v>4</v>
      </c>
      <c r="CHP16" s="253"/>
      <c r="CHQ16" s="228"/>
      <c r="CHR16" s="229"/>
      <c r="CHS16" s="230"/>
      <c r="CHT16" s="252" t="s">
        <v>4</v>
      </c>
      <c r="CHU16" s="253"/>
      <c r="CHV16" s="228"/>
      <c r="CHW16" s="229"/>
      <c r="CHX16" s="230"/>
      <c r="CHY16" s="252" t="s">
        <v>4</v>
      </c>
      <c r="CHZ16" s="253"/>
      <c r="CIA16" s="228"/>
      <c r="CIB16" s="229"/>
      <c r="CIC16" s="230"/>
      <c r="CID16" s="252" t="s">
        <v>4</v>
      </c>
      <c r="CIE16" s="253"/>
      <c r="CIF16" s="228"/>
      <c r="CIG16" s="229"/>
      <c r="CIH16" s="230"/>
      <c r="CII16" s="252" t="s">
        <v>4</v>
      </c>
      <c r="CIJ16" s="253"/>
      <c r="CIK16" s="228"/>
      <c r="CIL16" s="229"/>
      <c r="CIM16" s="230"/>
      <c r="CIN16" s="252" t="s">
        <v>4</v>
      </c>
      <c r="CIO16" s="253"/>
      <c r="CIP16" s="228"/>
      <c r="CIQ16" s="229"/>
      <c r="CIR16" s="230"/>
      <c r="CIS16" s="252" t="s">
        <v>4</v>
      </c>
      <c r="CIT16" s="253"/>
      <c r="CIU16" s="228"/>
      <c r="CIV16" s="229"/>
      <c r="CIW16" s="230"/>
      <c r="CIX16" s="252" t="s">
        <v>4</v>
      </c>
      <c r="CIY16" s="253"/>
      <c r="CIZ16" s="228"/>
      <c r="CJA16" s="229"/>
      <c r="CJB16" s="230"/>
      <c r="CJC16" s="252" t="s">
        <v>4</v>
      </c>
      <c r="CJD16" s="253"/>
      <c r="CJE16" s="228"/>
      <c r="CJF16" s="229"/>
      <c r="CJG16" s="230"/>
      <c r="CJH16" s="252" t="s">
        <v>4</v>
      </c>
      <c r="CJI16" s="253"/>
      <c r="CJJ16" s="228"/>
      <c r="CJK16" s="229"/>
      <c r="CJL16" s="230"/>
      <c r="CJM16" s="252" t="s">
        <v>4</v>
      </c>
      <c r="CJN16" s="253"/>
      <c r="CJO16" s="228"/>
      <c r="CJP16" s="229"/>
      <c r="CJQ16" s="230"/>
      <c r="CJR16" s="252" t="s">
        <v>4</v>
      </c>
      <c r="CJS16" s="253"/>
      <c r="CJT16" s="228"/>
      <c r="CJU16" s="229"/>
      <c r="CJV16" s="230"/>
      <c r="CJW16" s="252" t="s">
        <v>4</v>
      </c>
      <c r="CJX16" s="253"/>
      <c r="CJY16" s="228"/>
      <c r="CJZ16" s="229"/>
      <c r="CKA16" s="230"/>
      <c r="CKB16" s="252" t="s">
        <v>4</v>
      </c>
      <c r="CKC16" s="253"/>
      <c r="CKD16" s="228"/>
      <c r="CKE16" s="229"/>
      <c r="CKF16" s="230"/>
      <c r="CKG16" s="252" t="s">
        <v>4</v>
      </c>
      <c r="CKH16" s="253"/>
      <c r="CKI16" s="228"/>
      <c r="CKJ16" s="229"/>
      <c r="CKK16" s="230"/>
      <c r="CKL16" s="252" t="s">
        <v>4</v>
      </c>
      <c r="CKM16" s="253"/>
      <c r="CKN16" s="228"/>
      <c r="CKO16" s="229"/>
      <c r="CKP16" s="230"/>
      <c r="CKQ16" s="252" t="s">
        <v>4</v>
      </c>
      <c r="CKR16" s="253"/>
      <c r="CKS16" s="228"/>
      <c r="CKT16" s="229"/>
      <c r="CKU16" s="230"/>
      <c r="CKV16" s="252" t="s">
        <v>4</v>
      </c>
      <c r="CKW16" s="253"/>
      <c r="CKX16" s="228"/>
      <c r="CKY16" s="229"/>
      <c r="CKZ16" s="230"/>
      <c r="CLA16" s="252" t="s">
        <v>4</v>
      </c>
      <c r="CLB16" s="253"/>
      <c r="CLC16" s="228"/>
      <c r="CLD16" s="229"/>
      <c r="CLE16" s="230"/>
      <c r="CLF16" s="252" t="s">
        <v>4</v>
      </c>
      <c r="CLG16" s="253"/>
      <c r="CLH16" s="228"/>
      <c r="CLI16" s="229"/>
      <c r="CLJ16" s="230"/>
      <c r="CLK16" s="252" t="s">
        <v>4</v>
      </c>
      <c r="CLL16" s="253"/>
      <c r="CLM16" s="228"/>
      <c r="CLN16" s="229"/>
      <c r="CLO16" s="230"/>
      <c r="CLP16" s="252" t="s">
        <v>4</v>
      </c>
      <c r="CLQ16" s="253"/>
      <c r="CLR16" s="228"/>
      <c r="CLS16" s="229"/>
      <c r="CLT16" s="230"/>
      <c r="CLU16" s="252" t="s">
        <v>4</v>
      </c>
      <c r="CLV16" s="253"/>
      <c r="CLW16" s="228"/>
      <c r="CLX16" s="229"/>
      <c r="CLY16" s="230"/>
      <c r="CLZ16" s="252" t="s">
        <v>4</v>
      </c>
      <c r="CMA16" s="253"/>
      <c r="CMB16" s="228"/>
      <c r="CMC16" s="229"/>
      <c r="CMD16" s="230"/>
      <c r="CME16" s="252" t="s">
        <v>4</v>
      </c>
      <c r="CMF16" s="253"/>
      <c r="CMG16" s="228"/>
      <c r="CMH16" s="229"/>
      <c r="CMI16" s="230"/>
      <c r="CMJ16" s="252" t="s">
        <v>4</v>
      </c>
      <c r="CMK16" s="253"/>
      <c r="CML16" s="228"/>
      <c r="CMM16" s="229"/>
      <c r="CMN16" s="230"/>
      <c r="CMO16" s="252" t="s">
        <v>4</v>
      </c>
      <c r="CMP16" s="253"/>
      <c r="CMQ16" s="228"/>
      <c r="CMR16" s="229"/>
      <c r="CMS16" s="230"/>
      <c r="CMT16" s="252" t="s">
        <v>4</v>
      </c>
      <c r="CMU16" s="253"/>
      <c r="CMV16" s="228"/>
      <c r="CMW16" s="229"/>
      <c r="CMX16" s="230"/>
      <c r="CMY16" s="252" t="s">
        <v>4</v>
      </c>
      <c r="CMZ16" s="253"/>
      <c r="CNA16" s="228"/>
      <c r="CNB16" s="229"/>
      <c r="CNC16" s="230"/>
      <c r="CND16" s="252" t="s">
        <v>4</v>
      </c>
      <c r="CNE16" s="253"/>
      <c r="CNF16" s="228"/>
      <c r="CNG16" s="229"/>
      <c r="CNH16" s="230"/>
      <c r="CNI16" s="252" t="s">
        <v>4</v>
      </c>
      <c r="CNJ16" s="253"/>
      <c r="CNK16" s="228"/>
      <c r="CNL16" s="229"/>
      <c r="CNM16" s="230"/>
      <c r="CNN16" s="252" t="s">
        <v>4</v>
      </c>
      <c r="CNO16" s="253"/>
      <c r="CNP16" s="228"/>
      <c r="CNQ16" s="229"/>
      <c r="CNR16" s="230"/>
      <c r="CNS16" s="252" t="s">
        <v>4</v>
      </c>
      <c r="CNT16" s="253"/>
      <c r="CNU16" s="228"/>
      <c r="CNV16" s="229"/>
      <c r="CNW16" s="230"/>
      <c r="CNX16" s="252" t="s">
        <v>4</v>
      </c>
      <c r="CNY16" s="253"/>
      <c r="CNZ16" s="228"/>
      <c r="COA16" s="229"/>
      <c r="COB16" s="230"/>
      <c r="COC16" s="252" t="s">
        <v>4</v>
      </c>
      <c r="COD16" s="253"/>
      <c r="COE16" s="228"/>
      <c r="COF16" s="229"/>
      <c r="COG16" s="230"/>
      <c r="COH16" s="252" t="s">
        <v>4</v>
      </c>
      <c r="COI16" s="253"/>
      <c r="COJ16" s="228"/>
      <c r="COK16" s="229"/>
      <c r="COL16" s="230"/>
      <c r="COM16" s="252" t="s">
        <v>4</v>
      </c>
      <c r="CON16" s="253"/>
      <c r="COO16" s="228"/>
      <c r="COP16" s="229"/>
      <c r="COQ16" s="230"/>
      <c r="COR16" s="252" t="s">
        <v>4</v>
      </c>
      <c r="COS16" s="253"/>
      <c r="COT16" s="228"/>
      <c r="COU16" s="229"/>
      <c r="COV16" s="230"/>
      <c r="COW16" s="252" t="s">
        <v>4</v>
      </c>
      <c r="COX16" s="253"/>
      <c r="COY16" s="228"/>
      <c r="COZ16" s="229"/>
      <c r="CPA16" s="230"/>
      <c r="CPB16" s="252" t="s">
        <v>4</v>
      </c>
      <c r="CPC16" s="253"/>
      <c r="CPD16" s="228"/>
      <c r="CPE16" s="229"/>
      <c r="CPF16" s="230"/>
      <c r="CPG16" s="252" t="s">
        <v>4</v>
      </c>
      <c r="CPH16" s="253"/>
      <c r="CPI16" s="228"/>
      <c r="CPJ16" s="229"/>
      <c r="CPK16" s="230"/>
      <c r="CPL16" s="252" t="s">
        <v>4</v>
      </c>
      <c r="CPM16" s="253"/>
      <c r="CPN16" s="228"/>
      <c r="CPO16" s="229"/>
      <c r="CPP16" s="230"/>
      <c r="CPQ16" s="252" t="s">
        <v>4</v>
      </c>
      <c r="CPR16" s="253"/>
      <c r="CPS16" s="228"/>
      <c r="CPT16" s="229"/>
      <c r="CPU16" s="230"/>
      <c r="CPV16" s="252" t="s">
        <v>4</v>
      </c>
      <c r="CPW16" s="253"/>
      <c r="CPX16" s="228"/>
      <c r="CPY16" s="229"/>
      <c r="CPZ16" s="230"/>
      <c r="CQA16" s="252" t="s">
        <v>4</v>
      </c>
      <c r="CQB16" s="253"/>
      <c r="CQC16" s="228"/>
      <c r="CQD16" s="229"/>
      <c r="CQE16" s="230"/>
      <c r="CQF16" s="252" t="s">
        <v>4</v>
      </c>
      <c r="CQG16" s="253"/>
      <c r="CQH16" s="228"/>
      <c r="CQI16" s="229"/>
      <c r="CQJ16" s="230"/>
      <c r="CQK16" s="252" t="s">
        <v>4</v>
      </c>
      <c r="CQL16" s="253"/>
      <c r="CQM16" s="228"/>
      <c r="CQN16" s="229"/>
      <c r="CQO16" s="230"/>
      <c r="CQP16" s="252" t="s">
        <v>4</v>
      </c>
      <c r="CQQ16" s="253"/>
      <c r="CQR16" s="228"/>
      <c r="CQS16" s="229"/>
      <c r="CQT16" s="230"/>
      <c r="CQU16" s="252" t="s">
        <v>4</v>
      </c>
      <c r="CQV16" s="253"/>
      <c r="CQW16" s="228"/>
      <c r="CQX16" s="229"/>
      <c r="CQY16" s="230"/>
      <c r="CQZ16" s="252" t="s">
        <v>4</v>
      </c>
      <c r="CRA16" s="253"/>
      <c r="CRB16" s="228"/>
      <c r="CRC16" s="229"/>
      <c r="CRD16" s="230"/>
      <c r="CRE16" s="305" t="s">
        <v>4</v>
      </c>
      <c r="CRF16" s="306"/>
      <c r="CRG16" s="307"/>
      <c r="CRH16" s="308"/>
      <c r="CRI16" s="309"/>
      <c r="CRJ16" s="305" t="s">
        <v>4</v>
      </c>
      <c r="CRK16" s="306"/>
      <c r="CRL16" s="307"/>
      <c r="CRM16" s="308"/>
      <c r="CRN16" s="309"/>
      <c r="CRO16" s="305" t="s">
        <v>4</v>
      </c>
      <c r="CRP16" s="306"/>
      <c r="CRQ16" s="307"/>
      <c r="CRR16" s="308"/>
      <c r="CRS16" s="309"/>
      <c r="CRT16" s="305" t="s">
        <v>4</v>
      </c>
      <c r="CRU16" s="306"/>
      <c r="CRV16" s="307"/>
      <c r="CRW16" s="308"/>
      <c r="CRX16" s="309"/>
      <c r="CRY16" s="335" t="s">
        <v>4</v>
      </c>
      <c r="CRZ16" s="336"/>
      <c r="CSA16" s="337"/>
      <c r="CSB16" s="338"/>
      <c r="CSC16" s="335" t="s">
        <v>4</v>
      </c>
      <c r="CSD16" s="336"/>
      <c r="CSE16" s="337"/>
      <c r="CSF16" s="338"/>
      <c r="CSG16" s="335" t="s">
        <v>4</v>
      </c>
      <c r="CSH16" s="336"/>
      <c r="CSI16" s="337"/>
      <c r="CSJ16" s="338"/>
      <c r="CSK16" s="335" t="s">
        <v>4</v>
      </c>
      <c r="CSL16" s="336"/>
      <c r="CSM16" s="337"/>
      <c r="CSN16" s="338"/>
      <c r="CSO16" s="335" t="s">
        <v>4</v>
      </c>
      <c r="CSP16" s="336"/>
      <c r="CSQ16" s="337"/>
      <c r="CSR16" s="338"/>
      <c r="CSS16" s="335" t="s">
        <v>4</v>
      </c>
      <c r="CST16" s="336"/>
      <c r="CSU16" s="337"/>
      <c r="CSV16" s="338"/>
      <c r="CSW16" s="335" t="s">
        <v>4</v>
      </c>
      <c r="CSX16" s="336"/>
      <c r="CSY16" s="337"/>
      <c r="CSZ16" s="338"/>
      <c r="CTA16" s="335" t="s">
        <v>4</v>
      </c>
      <c r="CTB16" s="336"/>
      <c r="CTC16" s="337"/>
      <c r="CTD16" s="338"/>
      <c r="CTE16" s="335" t="s">
        <v>4</v>
      </c>
      <c r="CTF16" s="336"/>
      <c r="CTG16" s="337"/>
      <c r="CTH16" s="338"/>
      <c r="CTI16" s="335" t="s">
        <v>4</v>
      </c>
      <c r="CTJ16" s="336"/>
      <c r="CTK16" s="337"/>
      <c r="CTL16" s="338"/>
      <c r="CTM16" s="335" t="s">
        <v>4</v>
      </c>
      <c r="CTN16" s="336"/>
      <c r="CTO16" s="337"/>
      <c r="CTP16" s="338"/>
      <c r="CTQ16" s="335" t="s">
        <v>4</v>
      </c>
      <c r="CTR16" s="336"/>
      <c r="CTS16" s="337"/>
      <c r="CTT16" s="338"/>
      <c r="CTU16" s="335" t="s">
        <v>4</v>
      </c>
      <c r="CTV16" s="336"/>
      <c r="CTW16" s="337"/>
      <c r="CTX16" s="338"/>
      <c r="CTY16" s="335" t="s">
        <v>4</v>
      </c>
      <c r="CTZ16" s="336"/>
      <c r="CUA16" s="337"/>
      <c r="CUB16" s="338"/>
      <c r="CUC16" s="335" t="s">
        <v>4</v>
      </c>
      <c r="CUD16" s="336"/>
      <c r="CUE16" s="337"/>
      <c r="CUF16" s="338"/>
      <c r="CUG16" s="335" t="s">
        <v>4</v>
      </c>
      <c r="CUH16" s="336"/>
      <c r="CUI16" s="337"/>
      <c r="CUJ16" s="338"/>
      <c r="CUK16" s="335" t="s">
        <v>4</v>
      </c>
      <c r="CUL16" s="336"/>
      <c r="CUM16" s="337"/>
      <c r="CUN16" s="338"/>
      <c r="CUO16" s="335" t="s">
        <v>4</v>
      </c>
      <c r="CUP16" s="336"/>
      <c r="CUQ16" s="337"/>
      <c r="CUR16" s="338"/>
      <c r="CUS16" s="335" t="s">
        <v>4</v>
      </c>
      <c r="CUT16" s="336"/>
      <c r="CUU16" s="337"/>
      <c r="CUV16" s="338"/>
      <c r="CUW16" s="335" t="s">
        <v>4</v>
      </c>
      <c r="CUX16" s="336"/>
      <c r="CUY16" s="337"/>
      <c r="CUZ16" s="338"/>
      <c r="CVA16" s="335" t="s">
        <v>4</v>
      </c>
      <c r="CVB16" s="336"/>
      <c r="CVC16" s="337"/>
      <c r="CVD16" s="338"/>
      <c r="CVE16" s="335" t="s">
        <v>4</v>
      </c>
      <c r="CVF16" s="336"/>
      <c r="CVG16" s="337"/>
      <c r="CVH16" s="338"/>
      <c r="CVI16" s="335" t="s">
        <v>4</v>
      </c>
      <c r="CVJ16" s="336"/>
      <c r="CVK16" s="337"/>
      <c r="CVL16" s="338"/>
      <c r="CVM16" s="335" t="s">
        <v>4</v>
      </c>
      <c r="CVN16" s="336"/>
      <c r="CVO16" s="337"/>
      <c r="CVP16" s="338"/>
      <c r="CVQ16" s="335" t="s">
        <v>4</v>
      </c>
      <c r="CVR16" s="336"/>
      <c r="CVS16" s="337"/>
      <c r="CVT16" s="338"/>
      <c r="CVU16" s="335" t="s">
        <v>4</v>
      </c>
      <c r="CVV16" s="336"/>
      <c r="CVW16" s="337"/>
      <c r="CVX16" s="338"/>
      <c r="CVY16" s="335" t="s">
        <v>4</v>
      </c>
      <c r="CVZ16" s="336"/>
      <c r="CWA16" s="337"/>
      <c r="CWB16" s="338"/>
      <c r="CWC16" s="335" t="s">
        <v>4</v>
      </c>
      <c r="CWD16" s="336"/>
      <c r="CWE16" s="337"/>
      <c r="CWF16" s="338"/>
      <c r="CWG16" s="335" t="s">
        <v>4</v>
      </c>
      <c r="CWH16" s="336"/>
      <c r="CWI16" s="337"/>
      <c r="CWJ16" s="338"/>
      <c r="CWK16" s="335" t="s">
        <v>4</v>
      </c>
      <c r="CWL16" s="336"/>
      <c r="CWM16" s="337"/>
      <c r="CWN16" s="338"/>
      <c r="CWO16" s="335" t="s">
        <v>4</v>
      </c>
      <c r="CWP16" s="336"/>
      <c r="CWQ16" s="337"/>
      <c r="CWR16" s="338"/>
      <c r="CWS16" s="335" t="s">
        <v>4</v>
      </c>
      <c r="CWT16" s="336"/>
      <c r="CWU16" s="337"/>
      <c r="CWV16" s="338"/>
      <c r="CWW16" s="335" t="s">
        <v>4</v>
      </c>
      <c r="CWX16" s="336"/>
      <c r="CWY16" s="337"/>
      <c r="CWZ16" s="338"/>
      <c r="CXA16" s="364" t="s">
        <v>4</v>
      </c>
      <c r="CXB16" s="365"/>
      <c r="CXC16" s="366"/>
      <c r="CXD16" s="367"/>
      <c r="CXE16" s="364" t="s">
        <v>4</v>
      </c>
      <c r="CXF16" s="365"/>
      <c r="CXG16" s="366"/>
      <c r="CXH16" s="367"/>
      <c r="CXI16" s="364" t="s">
        <v>4</v>
      </c>
      <c r="CXJ16" s="365"/>
      <c r="CXK16" s="366"/>
      <c r="CXL16" s="367"/>
      <c r="CXM16" s="364" t="s">
        <v>4</v>
      </c>
      <c r="CXN16" s="365"/>
      <c r="CXO16" s="366"/>
      <c r="CXP16" s="367"/>
      <c r="CXQ16" s="364" t="s">
        <v>4</v>
      </c>
      <c r="CXR16" s="365"/>
      <c r="CXS16" s="366"/>
      <c r="CXT16" s="367"/>
      <c r="CXU16" s="26" t="s">
        <v>4</v>
      </c>
      <c r="CXY16" s="26" t="s">
        <v>4</v>
      </c>
      <c r="CYC16" s="26" t="s">
        <v>4</v>
      </c>
      <c r="CYG16" s="26" t="s">
        <v>34</v>
      </c>
      <c r="CYI16" s="26">
        <v>52592</v>
      </c>
      <c r="CYK16" s="26" t="s">
        <v>37</v>
      </c>
      <c r="CYM16" s="26">
        <v>3005</v>
      </c>
      <c r="CYO16" s="26" t="s">
        <v>36</v>
      </c>
      <c r="CYQ16" s="26">
        <v>629.6</v>
      </c>
      <c r="CYS16" s="26" t="s">
        <v>37</v>
      </c>
      <c r="CYU16" s="26">
        <v>3004</v>
      </c>
      <c r="CYW16" s="26" t="s">
        <v>42</v>
      </c>
      <c r="CYY16" s="26">
        <v>0</v>
      </c>
      <c r="CZA16" s="26" t="s">
        <v>42</v>
      </c>
      <c r="CZC16" s="26">
        <v>0</v>
      </c>
      <c r="CZE16" s="26" t="s">
        <v>34</v>
      </c>
      <c r="CZG16" s="26">
        <v>24141</v>
      </c>
      <c r="CZI16" s="26" t="s">
        <v>37</v>
      </c>
      <c r="CZK16" s="26">
        <v>0</v>
      </c>
      <c r="CZM16" s="26" t="s">
        <v>42</v>
      </c>
      <c r="CZO16" s="26">
        <v>9654</v>
      </c>
      <c r="CZQ16" s="26" t="s">
        <v>36</v>
      </c>
      <c r="CZS16" s="26">
        <v>0</v>
      </c>
      <c r="CZU16" s="26" t="s">
        <v>37</v>
      </c>
      <c r="CZW16" s="26">
        <v>0</v>
      </c>
      <c r="CZY16" s="26" t="s">
        <v>42</v>
      </c>
      <c r="DAA16" s="26">
        <v>0</v>
      </c>
      <c r="DAC16" s="26" t="s">
        <v>36</v>
      </c>
      <c r="DAE16" s="26">
        <v>7512</v>
      </c>
      <c r="DAG16" s="26" t="s">
        <v>34</v>
      </c>
      <c r="DAI16" s="26">
        <v>18028</v>
      </c>
      <c r="DAK16" s="26" t="s">
        <v>35</v>
      </c>
      <c r="DAM16" s="26">
        <v>24039</v>
      </c>
      <c r="DAO16" s="26" t="s">
        <v>34</v>
      </c>
      <c r="DAQ16" s="26">
        <v>30047</v>
      </c>
      <c r="DAS16" s="26" t="s">
        <v>41</v>
      </c>
      <c r="DAU16" s="26">
        <v>3004</v>
      </c>
      <c r="DAW16" s="26" t="s">
        <v>36</v>
      </c>
      <c r="DAY16" s="26">
        <v>26095</v>
      </c>
      <c r="DBA16" s="26" t="s">
        <v>36</v>
      </c>
      <c r="DBC16" s="26">
        <v>22536</v>
      </c>
      <c r="DBE16" s="26" t="s">
        <v>35</v>
      </c>
      <c r="DBG16" s="26">
        <v>7525</v>
      </c>
      <c r="DBI16" s="26" t="s">
        <v>34</v>
      </c>
      <c r="DBK16" s="26">
        <v>39062</v>
      </c>
      <c r="DBM16" s="26" t="s">
        <v>41</v>
      </c>
      <c r="DBO16" s="26">
        <v>9218</v>
      </c>
      <c r="DBQ16" s="26" t="s">
        <v>36</v>
      </c>
      <c r="DBS16" s="26">
        <v>0</v>
      </c>
      <c r="DBU16" s="26" t="s">
        <v>35</v>
      </c>
      <c r="DBW16" s="26">
        <v>3005</v>
      </c>
      <c r="DBY16" s="26" t="s">
        <v>35</v>
      </c>
      <c r="DCA16" s="26">
        <v>6407</v>
      </c>
      <c r="DCC16" s="26" t="s">
        <v>45</v>
      </c>
      <c r="DCE16" s="26">
        <v>9014</v>
      </c>
      <c r="DCG16" s="26" t="s">
        <v>36</v>
      </c>
      <c r="DCI16" s="26">
        <v>58119</v>
      </c>
      <c r="DCK16" s="26" t="s">
        <v>36</v>
      </c>
      <c r="DCM16" s="26">
        <v>82028</v>
      </c>
      <c r="DCO16" s="26" t="s">
        <v>35</v>
      </c>
      <c r="DCQ16" s="26">
        <v>9015</v>
      </c>
      <c r="DCS16" s="26" t="s">
        <v>34</v>
      </c>
      <c r="DCU16" s="26">
        <v>20239.75</v>
      </c>
      <c r="DCW16" s="26" t="s">
        <v>41</v>
      </c>
      <c r="DCY16" s="26">
        <v>12020</v>
      </c>
      <c r="DDA16" s="26" t="s">
        <v>36</v>
      </c>
      <c r="DDC16" s="26">
        <v>5122.5</v>
      </c>
      <c r="DDE16" s="26" t="s">
        <v>36</v>
      </c>
      <c r="DDG16" s="26">
        <v>9012</v>
      </c>
      <c r="DDI16" s="26" t="s">
        <v>35</v>
      </c>
      <c r="DDK16" s="26">
        <v>4507</v>
      </c>
      <c r="DDM16" s="26" t="s">
        <v>34</v>
      </c>
      <c r="DDO16" s="26">
        <v>6010</v>
      </c>
      <c r="DDQ16" s="26" t="s">
        <v>37</v>
      </c>
      <c r="DDS16" s="26">
        <v>0</v>
      </c>
    </row>
    <row r="17" spans="1:2828" x14ac:dyDescent="0.25">
      <c r="A17" s="217" t="s">
        <v>98</v>
      </c>
      <c r="B17" s="218"/>
      <c r="C17" s="222">
        <v>0</v>
      </c>
      <c r="D17" s="223"/>
      <c r="E17" s="224"/>
      <c r="F17" s="217" t="s">
        <v>97</v>
      </c>
      <c r="G17" s="218"/>
      <c r="H17" s="222">
        <v>1502</v>
      </c>
      <c r="I17" s="223"/>
      <c r="J17" s="224"/>
      <c r="K17" s="217" t="s">
        <v>96</v>
      </c>
      <c r="L17" s="218"/>
      <c r="M17" s="222">
        <v>0</v>
      </c>
      <c r="N17" s="223"/>
      <c r="O17" s="224"/>
      <c r="P17" s="217" t="s">
        <v>102</v>
      </c>
      <c r="Q17" s="218"/>
      <c r="R17" s="222">
        <v>2016.5</v>
      </c>
      <c r="S17" s="223"/>
      <c r="T17" s="224"/>
      <c r="U17" s="217" t="s">
        <v>101</v>
      </c>
      <c r="V17" s="218"/>
      <c r="W17" s="222">
        <v>0</v>
      </c>
      <c r="X17" s="223"/>
      <c r="Y17" s="224"/>
      <c r="Z17" s="217" t="s">
        <v>41</v>
      </c>
      <c r="AA17" s="218"/>
      <c r="AB17" s="222">
        <v>0</v>
      </c>
      <c r="AC17" s="223"/>
      <c r="AD17" s="224"/>
      <c r="AE17" s="217" t="s">
        <v>99</v>
      </c>
      <c r="AF17" s="218"/>
      <c r="AG17" s="222">
        <v>0</v>
      </c>
      <c r="AH17" s="223"/>
      <c r="AI17" s="224"/>
      <c r="AJ17" s="217" t="s">
        <v>98</v>
      </c>
      <c r="AK17" s="218"/>
      <c r="AL17" s="222">
        <v>0</v>
      </c>
      <c r="AM17" s="223"/>
      <c r="AN17" s="224"/>
      <c r="AO17" s="217" t="s">
        <v>97</v>
      </c>
      <c r="AP17" s="218"/>
      <c r="AQ17" s="222">
        <v>0</v>
      </c>
      <c r="AR17" s="223"/>
      <c r="AS17" s="224"/>
      <c r="AT17" s="217" t="s">
        <v>96</v>
      </c>
      <c r="AU17" s="218"/>
      <c r="AV17" s="222">
        <v>0</v>
      </c>
      <c r="AW17" s="223"/>
      <c r="AX17" s="224"/>
      <c r="AY17" s="217" t="s">
        <v>102</v>
      </c>
      <c r="AZ17" s="218"/>
      <c r="BA17" s="222">
        <v>0</v>
      </c>
      <c r="BB17" s="223"/>
      <c r="BC17" s="224"/>
      <c r="BD17" s="217" t="s">
        <v>101</v>
      </c>
      <c r="BE17" s="218"/>
      <c r="BF17" s="222">
        <v>0</v>
      </c>
      <c r="BG17" s="223"/>
      <c r="BH17" s="224"/>
      <c r="BI17" s="217" t="s">
        <v>41</v>
      </c>
      <c r="BJ17" s="218"/>
      <c r="BK17" s="222">
        <v>0</v>
      </c>
      <c r="BL17" s="223"/>
      <c r="BM17" s="224"/>
      <c r="BN17" s="217" t="s">
        <v>99</v>
      </c>
      <c r="BO17" s="218"/>
      <c r="BP17" s="222">
        <v>0</v>
      </c>
      <c r="BQ17" s="223"/>
      <c r="BR17" s="224"/>
      <c r="BS17" s="217" t="s">
        <v>98</v>
      </c>
      <c r="BT17" s="218"/>
      <c r="BU17" s="222">
        <v>0</v>
      </c>
      <c r="BV17" s="223"/>
      <c r="BW17" s="224"/>
      <c r="BX17" s="217" t="s">
        <v>97</v>
      </c>
      <c r="BY17" s="218"/>
      <c r="BZ17" s="222">
        <v>0</v>
      </c>
      <c r="CA17" s="223"/>
      <c r="CB17" s="224"/>
      <c r="CC17" s="217" t="s">
        <v>96</v>
      </c>
      <c r="CD17" s="218"/>
      <c r="CE17" s="222">
        <v>0</v>
      </c>
      <c r="CF17" s="223"/>
      <c r="CG17" s="224"/>
      <c r="CH17" s="217" t="s">
        <v>102</v>
      </c>
      <c r="CI17" s="218"/>
      <c r="CJ17" s="222">
        <v>7057.75</v>
      </c>
      <c r="CK17" s="223"/>
      <c r="CL17" s="224"/>
      <c r="CM17" s="217" t="s">
        <v>101</v>
      </c>
      <c r="CN17" s="218"/>
      <c r="CO17" s="222">
        <v>0</v>
      </c>
      <c r="CP17" s="223"/>
      <c r="CQ17" s="224"/>
      <c r="CR17" s="217" t="s">
        <v>101</v>
      </c>
      <c r="CS17" s="218"/>
      <c r="CT17" s="222">
        <v>5670</v>
      </c>
      <c r="CU17" s="223"/>
      <c r="CV17" s="224"/>
      <c r="CW17" s="217" t="s">
        <v>41</v>
      </c>
      <c r="CX17" s="218"/>
      <c r="CY17" s="222">
        <v>0</v>
      </c>
      <c r="CZ17" s="223"/>
      <c r="DA17" s="224"/>
      <c r="DB17" s="217" t="s">
        <v>99</v>
      </c>
      <c r="DC17" s="218"/>
      <c r="DD17" s="222">
        <v>0</v>
      </c>
      <c r="DE17" s="223"/>
      <c r="DF17" s="224"/>
      <c r="DG17" s="217" t="s">
        <v>98</v>
      </c>
      <c r="DH17" s="218"/>
      <c r="DI17" s="222">
        <v>0</v>
      </c>
      <c r="DJ17" s="223"/>
      <c r="DK17" s="224"/>
      <c r="DL17" s="217" t="s">
        <v>97</v>
      </c>
      <c r="DM17" s="218"/>
      <c r="DN17" s="222">
        <v>0</v>
      </c>
      <c r="DO17" s="223"/>
      <c r="DP17" s="224"/>
      <c r="DQ17" s="217" t="s">
        <v>96</v>
      </c>
      <c r="DR17" s="218"/>
      <c r="DS17" s="222">
        <v>0</v>
      </c>
      <c r="DT17" s="223"/>
      <c r="DU17" s="224"/>
      <c r="DV17" s="217" t="s">
        <v>102</v>
      </c>
      <c r="DW17" s="218"/>
      <c r="DX17" s="222">
        <v>3843.25</v>
      </c>
      <c r="DY17" s="223"/>
      <c r="DZ17" s="224"/>
      <c r="EA17" s="217" t="s">
        <v>101</v>
      </c>
      <c r="EB17" s="218"/>
      <c r="EC17" s="222">
        <v>0</v>
      </c>
      <c r="ED17" s="223"/>
      <c r="EE17" s="224"/>
      <c r="EF17" s="217" t="s">
        <v>41</v>
      </c>
      <c r="EG17" s="218"/>
      <c r="EH17" s="222">
        <v>0</v>
      </c>
      <c r="EI17" s="223"/>
      <c r="EJ17" s="224"/>
      <c r="EK17" s="217" t="s">
        <v>99</v>
      </c>
      <c r="EL17" s="218"/>
      <c r="EM17" s="222">
        <v>0</v>
      </c>
      <c r="EN17" s="223"/>
      <c r="EO17" s="224"/>
      <c r="EP17" s="217" t="s">
        <v>98</v>
      </c>
      <c r="EQ17" s="218"/>
      <c r="ER17" s="222">
        <v>802</v>
      </c>
      <c r="ES17" s="223"/>
      <c r="ET17" s="224"/>
      <c r="EU17" s="217" t="s">
        <v>97</v>
      </c>
      <c r="EV17" s="218"/>
      <c r="EW17" s="222">
        <v>0</v>
      </c>
      <c r="EX17" s="223"/>
      <c r="EY17" s="224"/>
      <c r="EZ17" s="217" t="s">
        <v>96</v>
      </c>
      <c r="FA17" s="218"/>
      <c r="FB17" s="222">
        <v>1588</v>
      </c>
      <c r="FC17" s="223"/>
      <c r="FD17" s="224"/>
      <c r="FE17" s="217" t="s">
        <v>102</v>
      </c>
      <c r="FF17" s="218"/>
      <c r="FG17" s="222">
        <v>4033</v>
      </c>
      <c r="FH17" s="223"/>
      <c r="FI17" s="224"/>
      <c r="FJ17" s="217" t="s">
        <v>101</v>
      </c>
      <c r="FK17" s="218"/>
      <c r="FL17" s="222">
        <v>0</v>
      </c>
      <c r="FM17" s="223"/>
      <c r="FN17" s="224"/>
      <c r="FO17" s="217" t="s">
        <v>41</v>
      </c>
      <c r="FP17" s="218"/>
      <c r="FQ17" s="222">
        <v>0</v>
      </c>
      <c r="FR17" s="223"/>
      <c r="FS17" s="224"/>
      <c r="FT17" s="217" t="s">
        <v>99</v>
      </c>
      <c r="FU17" s="218"/>
      <c r="FV17" s="222">
        <v>0</v>
      </c>
      <c r="FW17" s="223"/>
      <c r="FX17" s="224"/>
      <c r="FY17" s="217" t="s">
        <v>98</v>
      </c>
      <c r="FZ17" s="218"/>
      <c r="GA17" s="222">
        <v>0</v>
      </c>
      <c r="GB17" s="223"/>
      <c r="GC17" s="224"/>
      <c r="GD17" s="217" t="s">
        <v>97</v>
      </c>
      <c r="GE17" s="218"/>
      <c r="GF17" s="222">
        <v>0</v>
      </c>
      <c r="GG17" s="223"/>
      <c r="GH17" s="224"/>
      <c r="GI17" s="217" t="s">
        <v>96</v>
      </c>
      <c r="GJ17" s="218"/>
      <c r="GK17" s="222">
        <v>0</v>
      </c>
      <c r="GL17" s="223"/>
      <c r="GM17" s="224"/>
      <c r="GN17" s="217" t="s">
        <v>102</v>
      </c>
      <c r="GO17" s="218"/>
      <c r="GP17" s="222">
        <v>0</v>
      </c>
      <c r="GQ17" s="223"/>
      <c r="GR17" s="224"/>
      <c r="GS17" s="217" t="s">
        <v>101</v>
      </c>
      <c r="GT17" s="218"/>
      <c r="GU17" s="222">
        <v>0</v>
      </c>
      <c r="GV17" s="223"/>
      <c r="GW17" s="224"/>
      <c r="GX17" s="217" t="s">
        <v>41</v>
      </c>
      <c r="GY17" s="218"/>
      <c r="GZ17" s="222">
        <v>0</v>
      </c>
      <c r="HA17" s="223"/>
      <c r="HB17" s="224"/>
      <c r="HC17" s="217" t="s">
        <v>99</v>
      </c>
      <c r="HD17" s="218"/>
      <c r="HE17" s="222">
        <v>0</v>
      </c>
      <c r="HF17" s="223"/>
      <c r="HG17" s="224"/>
      <c r="HH17" s="217" t="s">
        <v>98</v>
      </c>
      <c r="HI17" s="218"/>
      <c r="HJ17" s="222">
        <v>0</v>
      </c>
      <c r="HK17" s="223"/>
      <c r="HL17" s="224"/>
      <c r="HM17" s="217" t="s">
        <v>97</v>
      </c>
      <c r="HN17" s="218"/>
      <c r="HO17" s="222">
        <v>3005</v>
      </c>
      <c r="HP17" s="223"/>
      <c r="HQ17" s="224"/>
      <c r="HR17" s="217" t="s">
        <v>96</v>
      </c>
      <c r="HS17" s="218"/>
      <c r="HT17" s="222">
        <v>9014</v>
      </c>
      <c r="HU17" s="223"/>
      <c r="HV17" s="224"/>
      <c r="HW17" s="217" t="s">
        <v>102</v>
      </c>
      <c r="HX17" s="218"/>
      <c r="HY17" s="222">
        <v>39060</v>
      </c>
      <c r="HZ17" s="223"/>
      <c r="IA17" s="224"/>
      <c r="IB17" s="217" t="s">
        <v>101</v>
      </c>
      <c r="IC17" s="218"/>
      <c r="ID17" s="222">
        <v>0</v>
      </c>
      <c r="IE17" s="223"/>
      <c r="IF17" s="224"/>
      <c r="IG17" s="217" t="s">
        <v>41</v>
      </c>
      <c r="IH17" s="218"/>
      <c r="II17" s="222">
        <v>0</v>
      </c>
      <c r="IJ17" s="223"/>
      <c r="IK17" s="224"/>
      <c r="IL17" s="217" t="s">
        <v>99</v>
      </c>
      <c r="IM17" s="218"/>
      <c r="IN17" s="222">
        <v>0</v>
      </c>
      <c r="IO17" s="223"/>
      <c r="IP17" s="224"/>
      <c r="IQ17" s="217" t="s">
        <v>98</v>
      </c>
      <c r="IR17" s="218"/>
      <c r="IS17" s="222">
        <v>0</v>
      </c>
      <c r="IT17" s="223"/>
      <c r="IU17" s="224"/>
      <c r="IV17" s="217" t="s">
        <v>97</v>
      </c>
      <c r="IW17" s="218"/>
      <c r="IX17" s="222">
        <v>0</v>
      </c>
      <c r="IY17" s="223"/>
      <c r="IZ17" s="224"/>
      <c r="JA17" s="217" t="s">
        <v>96</v>
      </c>
      <c r="JB17" s="218"/>
      <c r="JC17" s="222">
        <v>0</v>
      </c>
      <c r="JD17" s="223"/>
      <c r="JE17" s="224"/>
      <c r="JF17" s="217" t="s">
        <v>102</v>
      </c>
      <c r="JG17" s="218"/>
      <c r="JH17" s="222">
        <v>0</v>
      </c>
      <c r="JI17" s="223"/>
      <c r="JJ17" s="224"/>
      <c r="JK17" s="217" t="s">
        <v>101</v>
      </c>
      <c r="JL17" s="218"/>
      <c r="JM17" s="222">
        <v>0</v>
      </c>
      <c r="JN17" s="223"/>
      <c r="JO17" s="224"/>
      <c r="JP17" s="217" t="s">
        <v>41</v>
      </c>
      <c r="JQ17" s="218"/>
      <c r="JR17" s="222">
        <v>0</v>
      </c>
      <c r="JS17" s="223"/>
      <c r="JT17" s="224"/>
      <c r="JU17" s="217" t="s">
        <v>99</v>
      </c>
      <c r="JV17" s="218"/>
      <c r="JW17" s="222">
        <v>0</v>
      </c>
      <c r="JX17" s="223"/>
      <c r="JY17" s="224"/>
      <c r="JZ17" s="217" t="s">
        <v>98</v>
      </c>
      <c r="KA17" s="218"/>
      <c r="KB17" s="222">
        <v>0</v>
      </c>
      <c r="KC17" s="223"/>
      <c r="KD17" s="224"/>
      <c r="KE17" s="217" t="s">
        <v>97</v>
      </c>
      <c r="KF17" s="218"/>
      <c r="KG17" s="222">
        <v>0</v>
      </c>
      <c r="KH17" s="223"/>
      <c r="KI17" s="224"/>
      <c r="KJ17" s="217" t="s">
        <v>96</v>
      </c>
      <c r="KK17" s="218"/>
      <c r="KL17" s="222">
        <v>0</v>
      </c>
      <c r="KM17" s="223"/>
      <c r="KN17" s="224"/>
      <c r="KO17" s="217" t="s">
        <v>102</v>
      </c>
      <c r="KP17" s="218"/>
      <c r="KQ17" s="222">
        <v>0</v>
      </c>
      <c r="KR17" s="223"/>
      <c r="KS17" s="224"/>
      <c r="KT17" s="217" t="s">
        <v>101</v>
      </c>
      <c r="KU17" s="218"/>
      <c r="KV17" s="222">
        <v>0</v>
      </c>
      <c r="KW17" s="223"/>
      <c r="KX17" s="224"/>
      <c r="KY17" s="217" t="s">
        <v>41</v>
      </c>
      <c r="KZ17" s="218"/>
      <c r="LA17" s="222">
        <v>0</v>
      </c>
      <c r="LB17" s="223"/>
      <c r="LC17" s="224"/>
      <c r="LD17" s="217" t="s">
        <v>99</v>
      </c>
      <c r="LE17" s="218"/>
      <c r="LF17" s="222">
        <v>0</v>
      </c>
      <c r="LG17" s="223"/>
      <c r="LH17" s="224"/>
      <c r="LI17" s="217" t="s">
        <v>98</v>
      </c>
      <c r="LJ17" s="218"/>
      <c r="LK17" s="222">
        <v>0</v>
      </c>
      <c r="LL17" s="223"/>
      <c r="LM17" s="224"/>
      <c r="LN17" s="217" t="s">
        <v>97</v>
      </c>
      <c r="LO17" s="218"/>
      <c r="LP17" s="222">
        <v>1574</v>
      </c>
      <c r="LQ17" s="223"/>
      <c r="LR17" s="224"/>
      <c r="LS17" s="217" t="s">
        <v>96</v>
      </c>
      <c r="LT17" s="218"/>
      <c r="LU17" s="222">
        <v>1574</v>
      </c>
      <c r="LV17" s="223"/>
      <c r="LW17" s="224"/>
      <c r="LX17" s="217" t="s">
        <v>102</v>
      </c>
      <c r="LY17" s="218"/>
      <c r="LZ17" s="222">
        <v>0</v>
      </c>
      <c r="MA17" s="223"/>
      <c r="MB17" s="224"/>
      <c r="MC17" s="217" t="s">
        <v>101</v>
      </c>
      <c r="MD17" s="218"/>
      <c r="ME17" s="222">
        <v>0</v>
      </c>
      <c r="MF17" s="223"/>
      <c r="MG17" s="224"/>
      <c r="MH17" s="217" t="s">
        <v>41</v>
      </c>
      <c r="MI17" s="218"/>
      <c r="MJ17" s="222">
        <v>0</v>
      </c>
      <c r="MK17" s="223"/>
      <c r="ML17" s="224"/>
      <c r="MM17" s="217" t="s">
        <v>99</v>
      </c>
      <c r="MN17" s="218"/>
      <c r="MO17" s="222">
        <v>0</v>
      </c>
      <c r="MP17" s="223"/>
      <c r="MQ17" s="224"/>
      <c r="MR17" s="217" t="s">
        <v>98</v>
      </c>
      <c r="MS17" s="218"/>
      <c r="MT17" s="222">
        <v>0</v>
      </c>
      <c r="MU17" s="223"/>
      <c r="MV17" s="224"/>
      <c r="MW17" s="217" t="s">
        <v>98</v>
      </c>
      <c r="MX17" s="218"/>
      <c r="MY17" s="222">
        <v>0</v>
      </c>
      <c r="MZ17" s="223"/>
      <c r="NA17" s="224"/>
      <c r="NB17" s="217" t="s">
        <v>97</v>
      </c>
      <c r="NC17" s="218"/>
      <c r="ND17" s="222">
        <v>0</v>
      </c>
      <c r="NE17" s="223"/>
      <c r="NF17" s="224"/>
      <c r="NG17" s="217" t="s">
        <v>96</v>
      </c>
      <c r="NH17" s="218"/>
      <c r="NI17" s="222">
        <v>0</v>
      </c>
      <c r="NJ17" s="223"/>
      <c r="NK17" s="224"/>
      <c r="NL17" s="217" t="s">
        <v>102</v>
      </c>
      <c r="NM17" s="218"/>
      <c r="NN17" s="222">
        <v>0</v>
      </c>
      <c r="NO17" s="223"/>
      <c r="NP17" s="224"/>
      <c r="NQ17" s="217" t="s">
        <v>101</v>
      </c>
      <c r="NR17" s="218"/>
      <c r="NS17" s="222">
        <v>2835</v>
      </c>
      <c r="NT17" s="223"/>
      <c r="NU17" s="224"/>
      <c r="NV17" s="217" t="s">
        <v>41</v>
      </c>
      <c r="NW17" s="218"/>
      <c r="NX17" s="222">
        <v>0</v>
      </c>
      <c r="NY17" s="223"/>
      <c r="NZ17" s="224"/>
      <c r="OA17" s="217" t="s">
        <v>99</v>
      </c>
      <c r="OB17" s="218"/>
      <c r="OC17" s="222">
        <v>0</v>
      </c>
      <c r="OD17" s="223"/>
      <c r="OE17" s="224"/>
      <c r="OF17" s="217" t="s">
        <v>99</v>
      </c>
      <c r="OG17" s="218"/>
      <c r="OH17" s="222">
        <v>0</v>
      </c>
      <c r="OI17" s="223"/>
      <c r="OJ17" s="224"/>
      <c r="OK17" s="217" t="s">
        <v>98</v>
      </c>
      <c r="OL17" s="218"/>
      <c r="OM17" s="222">
        <v>0</v>
      </c>
      <c r="ON17" s="223"/>
      <c r="OO17" s="224"/>
      <c r="OP17" s="217" t="s">
        <v>97</v>
      </c>
      <c r="OQ17" s="218"/>
      <c r="OR17" s="222">
        <v>0</v>
      </c>
      <c r="OS17" s="223"/>
      <c r="OT17" s="224"/>
      <c r="OU17" s="217" t="s">
        <v>96</v>
      </c>
      <c r="OV17" s="218"/>
      <c r="OW17" s="222">
        <v>1574</v>
      </c>
      <c r="OX17" s="223"/>
      <c r="OY17" s="224"/>
      <c r="OZ17" s="217" t="s">
        <v>102</v>
      </c>
      <c r="PA17" s="218"/>
      <c r="PB17" s="222">
        <v>13521</v>
      </c>
      <c r="PC17" s="223"/>
      <c r="PD17" s="224"/>
      <c r="PE17" s="217" t="s">
        <v>101</v>
      </c>
      <c r="PF17" s="218"/>
      <c r="PG17" s="222">
        <v>0</v>
      </c>
      <c r="PH17" s="223"/>
      <c r="PI17" s="224"/>
      <c r="PJ17" s="217" t="s">
        <v>41</v>
      </c>
      <c r="PK17" s="218"/>
      <c r="PL17" s="222">
        <v>0</v>
      </c>
      <c r="PM17" s="223"/>
      <c r="PN17" s="224"/>
      <c r="PO17" s="217" t="s">
        <v>99</v>
      </c>
      <c r="PP17" s="218"/>
      <c r="PQ17" s="222">
        <v>5621</v>
      </c>
      <c r="PR17" s="223"/>
      <c r="PS17" s="224"/>
      <c r="PT17" s="217" t="s">
        <v>98</v>
      </c>
      <c r="PU17" s="218"/>
      <c r="PV17" s="222">
        <v>16132</v>
      </c>
      <c r="PW17" s="223"/>
      <c r="PX17" s="224"/>
      <c r="PY17" s="217" t="s">
        <v>97</v>
      </c>
      <c r="PZ17" s="218"/>
      <c r="QA17" s="222">
        <v>0</v>
      </c>
      <c r="QB17" s="223"/>
      <c r="QC17" s="224"/>
      <c r="QD17" s="217" t="s">
        <v>96</v>
      </c>
      <c r="QE17" s="218"/>
      <c r="QF17" s="222">
        <v>6384</v>
      </c>
      <c r="QG17" s="223"/>
      <c r="QH17" s="224"/>
      <c r="QI17" s="217" t="s">
        <v>102</v>
      </c>
      <c r="QJ17" s="218"/>
      <c r="QK17" s="222">
        <v>24106</v>
      </c>
      <c r="QL17" s="223"/>
      <c r="QM17" s="224"/>
      <c r="QN17" s="217" t="s">
        <v>102</v>
      </c>
      <c r="QO17" s="218"/>
      <c r="QP17" s="222">
        <v>24106</v>
      </c>
      <c r="QQ17" s="223"/>
      <c r="QR17" s="224"/>
      <c r="QS17" s="217" t="s">
        <v>101</v>
      </c>
      <c r="QT17" s="218"/>
      <c r="QU17" s="222">
        <v>0</v>
      </c>
      <c r="QV17" s="223"/>
      <c r="QW17" s="224"/>
      <c r="QX17" s="217" t="s">
        <v>41</v>
      </c>
      <c r="QY17" s="218"/>
      <c r="QZ17" s="222">
        <v>0</v>
      </c>
      <c r="RA17" s="223"/>
      <c r="RB17" s="224"/>
      <c r="RC17" s="217" t="s">
        <v>99</v>
      </c>
      <c r="RD17" s="218"/>
      <c r="RE17" s="222">
        <v>0</v>
      </c>
      <c r="RF17" s="223"/>
      <c r="RG17" s="224"/>
      <c r="RH17" s="217" t="s">
        <v>98</v>
      </c>
      <c r="RI17" s="218"/>
      <c r="RJ17" s="222">
        <v>0</v>
      </c>
      <c r="RK17" s="223"/>
      <c r="RL17" s="224"/>
      <c r="RM17" s="217" t="s">
        <v>97</v>
      </c>
      <c r="RN17" s="218"/>
      <c r="RO17" s="222">
        <v>0</v>
      </c>
      <c r="RP17" s="223"/>
      <c r="RQ17" s="224"/>
      <c r="RR17" s="217" t="s">
        <v>96</v>
      </c>
      <c r="RS17" s="218"/>
      <c r="RT17" s="222">
        <v>12160.5</v>
      </c>
      <c r="RU17" s="223"/>
      <c r="RV17" s="224"/>
      <c r="RW17" s="217" t="s">
        <v>96</v>
      </c>
      <c r="RX17" s="218"/>
      <c r="RY17" s="222">
        <v>12160.5</v>
      </c>
      <c r="RZ17" s="223"/>
      <c r="SA17" s="224"/>
      <c r="SB17" s="217" t="s">
        <v>102</v>
      </c>
      <c r="SC17" s="218"/>
      <c r="SD17" s="222">
        <v>6009</v>
      </c>
      <c r="SE17" s="223"/>
      <c r="SF17" s="224"/>
      <c r="SG17" s="217" t="s">
        <v>101</v>
      </c>
      <c r="SH17" s="218"/>
      <c r="SI17" s="222">
        <v>6009</v>
      </c>
      <c r="SJ17" s="223"/>
      <c r="SK17" s="224"/>
      <c r="SL17" s="217" t="s">
        <v>41</v>
      </c>
      <c r="SM17" s="218"/>
      <c r="SN17" s="222">
        <v>0</v>
      </c>
      <c r="SO17" s="223"/>
      <c r="SP17" s="224"/>
      <c r="SQ17" s="217" t="s">
        <v>99</v>
      </c>
      <c r="SR17" s="218"/>
      <c r="SS17" s="222">
        <v>0</v>
      </c>
      <c r="ST17" s="223"/>
      <c r="SU17" s="224"/>
      <c r="SV17" s="217" t="s">
        <v>98</v>
      </c>
      <c r="SW17" s="218"/>
      <c r="SX17" s="222">
        <v>0</v>
      </c>
      <c r="SY17" s="223"/>
      <c r="SZ17" s="224"/>
      <c r="TA17" s="217" t="s">
        <v>97</v>
      </c>
      <c r="TB17" s="218"/>
      <c r="TC17" s="222">
        <v>5790.25</v>
      </c>
      <c r="TD17" s="223"/>
      <c r="TE17" s="224"/>
      <c r="TF17" s="217" t="s">
        <v>96</v>
      </c>
      <c r="TG17" s="218"/>
      <c r="TH17" s="222">
        <v>8066</v>
      </c>
      <c r="TI17" s="223"/>
      <c r="TJ17" s="224"/>
      <c r="TK17" s="217" t="s">
        <v>102</v>
      </c>
      <c r="TL17" s="218"/>
      <c r="TM17" s="222">
        <v>21626.5</v>
      </c>
      <c r="TN17" s="223"/>
      <c r="TO17" s="224"/>
      <c r="TP17" s="217" t="s">
        <v>101</v>
      </c>
      <c r="TQ17" s="218"/>
      <c r="TR17" s="222">
        <v>4252.5</v>
      </c>
      <c r="TS17" s="223"/>
      <c r="TT17" s="224"/>
      <c r="TU17" s="217" t="s">
        <v>41</v>
      </c>
      <c r="TV17" s="218"/>
      <c r="TW17" s="222">
        <v>0</v>
      </c>
      <c r="TX17" s="223"/>
      <c r="TY17" s="224"/>
      <c r="TZ17" s="217" t="s">
        <v>99</v>
      </c>
      <c r="UA17" s="218"/>
      <c r="UB17" s="222">
        <v>4507</v>
      </c>
      <c r="UC17" s="223"/>
      <c r="UD17" s="224"/>
      <c r="UE17" s="217" t="s">
        <v>98</v>
      </c>
      <c r="UF17" s="218"/>
      <c r="UG17" s="222">
        <v>4650</v>
      </c>
      <c r="UH17" s="223"/>
      <c r="UI17" s="224"/>
      <c r="UJ17" s="217" t="s">
        <v>97</v>
      </c>
      <c r="UK17" s="218"/>
      <c r="UL17" s="222">
        <v>0</v>
      </c>
      <c r="UM17" s="223"/>
      <c r="UN17" s="224"/>
      <c r="UO17" s="217" t="s">
        <v>96</v>
      </c>
      <c r="UP17" s="218"/>
      <c r="UQ17" s="222">
        <v>0</v>
      </c>
      <c r="UR17" s="223"/>
      <c r="US17" s="224"/>
      <c r="UT17" s="217" t="s">
        <v>102</v>
      </c>
      <c r="UU17" s="218"/>
      <c r="UV17" s="222">
        <v>0</v>
      </c>
      <c r="UW17" s="223"/>
      <c r="UX17" s="224"/>
      <c r="UY17" s="217" t="s">
        <v>101</v>
      </c>
      <c r="UZ17" s="218"/>
      <c r="VA17" s="222">
        <v>8505</v>
      </c>
      <c r="VB17" s="223"/>
      <c r="VC17" s="224"/>
      <c r="VD17" s="217" t="s">
        <v>41</v>
      </c>
      <c r="VE17" s="218"/>
      <c r="VF17" s="222">
        <v>0</v>
      </c>
      <c r="VG17" s="223"/>
      <c r="VH17" s="224"/>
      <c r="VI17" s="217" t="s">
        <v>99</v>
      </c>
      <c r="VJ17" s="218"/>
      <c r="VK17" s="222">
        <v>0</v>
      </c>
      <c r="VL17" s="223"/>
      <c r="VM17" s="224"/>
      <c r="VN17" s="217" t="s">
        <v>98</v>
      </c>
      <c r="VO17" s="218"/>
      <c r="VP17" s="222">
        <v>9014</v>
      </c>
      <c r="VQ17" s="223"/>
      <c r="VR17" s="224"/>
      <c r="VS17" s="217" t="s">
        <v>97</v>
      </c>
      <c r="VT17" s="218"/>
      <c r="VU17" s="222">
        <v>12019</v>
      </c>
      <c r="VV17" s="223"/>
      <c r="VW17" s="224"/>
      <c r="VX17" s="217" t="s">
        <v>96</v>
      </c>
      <c r="VY17" s="218"/>
      <c r="VZ17" s="222">
        <v>0</v>
      </c>
      <c r="WA17" s="223"/>
      <c r="WB17" s="224"/>
      <c r="WC17" s="217" t="s">
        <v>102</v>
      </c>
      <c r="WD17" s="218"/>
      <c r="WE17" s="222">
        <v>0</v>
      </c>
      <c r="WF17" s="223"/>
      <c r="WG17" s="224"/>
      <c r="WH17" s="217" t="s">
        <v>41</v>
      </c>
      <c r="WI17" s="218"/>
      <c r="WJ17" s="222">
        <v>0</v>
      </c>
      <c r="WK17" s="223"/>
      <c r="WL17" s="224"/>
      <c r="WM17" s="217" t="s">
        <v>99</v>
      </c>
      <c r="WN17" s="218"/>
      <c r="WO17" s="222">
        <v>0</v>
      </c>
      <c r="WP17" s="223"/>
      <c r="WQ17" s="224"/>
      <c r="WR17" s="217" t="s">
        <v>98</v>
      </c>
      <c r="WS17" s="218"/>
      <c r="WT17" s="222">
        <v>0</v>
      </c>
      <c r="WU17" s="223"/>
      <c r="WV17" s="224"/>
      <c r="WW17" s="217" t="s">
        <v>97</v>
      </c>
      <c r="WX17" s="218"/>
      <c r="WY17" s="222">
        <v>0</v>
      </c>
      <c r="WZ17" s="223"/>
      <c r="XA17" s="224"/>
      <c r="XB17" s="217" t="s">
        <v>96</v>
      </c>
      <c r="XC17" s="218"/>
      <c r="XD17" s="222">
        <v>0</v>
      </c>
      <c r="XE17" s="223"/>
      <c r="XF17" s="224"/>
      <c r="XG17" s="217" t="s">
        <v>102</v>
      </c>
      <c r="XH17" s="218"/>
      <c r="XI17" s="222">
        <v>3004</v>
      </c>
      <c r="XJ17" s="223"/>
      <c r="XK17" s="224"/>
      <c r="XL17" s="217" t="s">
        <v>101</v>
      </c>
      <c r="XM17" s="218"/>
      <c r="XN17" s="222">
        <v>0</v>
      </c>
      <c r="XO17" s="223"/>
      <c r="XP17" s="224"/>
      <c r="XQ17" s="217" t="s">
        <v>41</v>
      </c>
      <c r="XR17" s="218"/>
      <c r="XS17" s="222">
        <v>0</v>
      </c>
      <c r="XT17" s="223"/>
      <c r="XU17" s="224"/>
      <c r="XV17" s="217" t="s">
        <v>99</v>
      </c>
      <c r="XW17" s="218"/>
      <c r="XX17" s="222">
        <v>0</v>
      </c>
      <c r="XY17" s="223"/>
      <c r="XZ17" s="224"/>
      <c r="YA17" s="217" t="s">
        <v>98</v>
      </c>
      <c r="YB17" s="218"/>
      <c r="YC17" s="222">
        <v>0</v>
      </c>
      <c r="YD17" s="223"/>
      <c r="YE17" s="224"/>
      <c r="YF17" s="217" t="s">
        <v>97</v>
      </c>
      <c r="YG17" s="218"/>
      <c r="YH17" s="222">
        <v>0</v>
      </c>
      <c r="YI17" s="223"/>
      <c r="YJ17" s="224"/>
      <c r="YK17" s="217" t="s">
        <v>96</v>
      </c>
      <c r="YL17" s="218"/>
      <c r="YM17" s="222">
        <v>4033</v>
      </c>
      <c r="YN17" s="223"/>
      <c r="YO17" s="224"/>
      <c r="YP17" s="217" t="s">
        <v>102</v>
      </c>
      <c r="YQ17" s="218"/>
      <c r="YR17" s="222">
        <v>0</v>
      </c>
      <c r="YS17" s="223"/>
      <c r="YT17" s="224"/>
      <c r="YU17" s="217" t="s">
        <v>101</v>
      </c>
      <c r="YV17" s="218"/>
      <c r="YW17" s="222">
        <v>0</v>
      </c>
      <c r="YX17" s="223"/>
      <c r="YY17" s="224"/>
      <c r="YZ17" s="217" t="s">
        <v>41</v>
      </c>
      <c r="ZA17" s="218"/>
      <c r="ZB17" s="222">
        <v>0</v>
      </c>
      <c r="ZC17" s="223"/>
      <c r="ZD17" s="224"/>
      <c r="ZE17" s="217" t="s">
        <v>99</v>
      </c>
      <c r="ZF17" s="218"/>
      <c r="ZG17" s="222">
        <v>0</v>
      </c>
      <c r="ZH17" s="223"/>
      <c r="ZI17" s="224"/>
      <c r="ZJ17" s="217" t="s">
        <v>98</v>
      </c>
      <c r="ZK17" s="218"/>
      <c r="ZL17" s="222">
        <v>0</v>
      </c>
      <c r="ZM17" s="223"/>
      <c r="ZN17" s="224"/>
      <c r="ZO17" s="217" t="s">
        <v>97</v>
      </c>
      <c r="ZP17" s="218"/>
      <c r="ZQ17" s="222">
        <v>0</v>
      </c>
      <c r="ZR17" s="223"/>
      <c r="ZS17" s="224"/>
      <c r="ZT17" s="217" t="s">
        <v>96</v>
      </c>
      <c r="ZU17" s="218"/>
      <c r="ZV17" s="222">
        <v>0</v>
      </c>
      <c r="ZW17" s="223"/>
      <c r="ZX17" s="224"/>
      <c r="ZY17" s="217" t="s">
        <v>102</v>
      </c>
      <c r="ZZ17" s="218"/>
      <c r="AAA17" s="222">
        <v>0</v>
      </c>
      <c r="AAB17" s="223"/>
      <c r="AAC17" s="224"/>
      <c r="AAD17" s="217" t="s">
        <v>101</v>
      </c>
      <c r="AAE17" s="218"/>
      <c r="AAF17" s="222">
        <v>0</v>
      </c>
      <c r="AAG17" s="223"/>
      <c r="AAH17" s="224"/>
      <c r="AAI17" s="217" t="s">
        <v>99</v>
      </c>
      <c r="AAJ17" s="218"/>
      <c r="AAK17" s="222">
        <v>0</v>
      </c>
      <c r="AAL17" s="223"/>
      <c r="AAM17" s="224"/>
      <c r="AAN17" s="217" t="s">
        <v>98</v>
      </c>
      <c r="AAO17" s="218"/>
      <c r="AAP17" s="222">
        <v>0</v>
      </c>
      <c r="AAQ17" s="223"/>
      <c r="AAR17" s="224"/>
      <c r="AAS17" s="217" t="s">
        <v>97</v>
      </c>
      <c r="AAT17" s="218"/>
      <c r="AAU17" s="222">
        <v>55587</v>
      </c>
      <c r="AAV17" s="223"/>
      <c r="AAW17" s="224"/>
      <c r="AAX17" s="217" t="s">
        <v>96</v>
      </c>
      <c r="AAY17" s="218"/>
      <c r="AAZ17" s="222">
        <v>33050</v>
      </c>
      <c r="ABA17" s="223"/>
      <c r="ABB17" s="224"/>
      <c r="ABC17" s="217" t="s">
        <v>102</v>
      </c>
      <c r="ABD17" s="218"/>
      <c r="ABE17" s="222">
        <v>18027</v>
      </c>
      <c r="ABF17" s="223"/>
      <c r="ABG17" s="224"/>
      <c r="ABH17" s="217" t="s">
        <v>101</v>
      </c>
      <c r="ABI17" s="218"/>
      <c r="ABJ17" s="222">
        <v>0</v>
      </c>
      <c r="ABK17" s="223"/>
      <c r="ABL17" s="224"/>
      <c r="ABM17" s="217" t="s">
        <v>41</v>
      </c>
      <c r="ABN17" s="218"/>
      <c r="ABO17" s="222">
        <v>1417.5</v>
      </c>
      <c r="ABP17" s="223"/>
      <c r="ABQ17" s="224"/>
      <c r="ABR17" s="217" t="s">
        <v>99</v>
      </c>
      <c r="ABS17" s="218"/>
      <c r="ABT17" s="222">
        <v>37559</v>
      </c>
      <c r="ABU17" s="223"/>
      <c r="ABV17" s="224"/>
      <c r="ABW17" s="217" t="s">
        <v>98</v>
      </c>
      <c r="ABX17" s="218"/>
      <c r="ABY17" s="222">
        <v>7512</v>
      </c>
      <c r="ABZ17" s="223"/>
      <c r="ACA17" s="224"/>
      <c r="ACB17" s="217" t="s">
        <v>97</v>
      </c>
      <c r="ACC17" s="218"/>
      <c r="ACD17" s="222">
        <v>10345</v>
      </c>
      <c r="ACE17" s="223"/>
      <c r="ACF17" s="224"/>
      <c r="ACG17" s="217" t="s">
        <v>96</v>
      </c>
      <c r="ACH17" s="218"/>
      <c r="ACI17" s="222">
        <v>12090</v>
      </c>
      <c r="ACJ17" s="223"/>
      <c r="ACK17" s="224"/>
      <c r="ACL17" s="217" t="s">
        <v>102</v>
      </c>
      <c r="ACM17" s="218"/>
      <c r="ACN17" s="222">
        <v>25346.5</v>
      </c>
      <c r="ACO17" s="223"/>
      <c r="ACP17" s="224"/>
      <c r="ACQ17" s="217" t="s">
        <v>102</v>
      </c>
      <c r="ACR17" s="218"/>
      <c r="ACS17" s="222">
        <v>25346.5</v>
      </c>
      <c r="ACT17" s="223"/>
      <c r="ACU17" s="224"/>
      <c r="ACV17" s="217" t="s">
        <v>101</v>
      </c>
      <c r="ACW17" s="218"/>
      <c r="ACX17" s="222">
        <v>15022</v>
      </c>
      <c r="ACY17" s="223"/>
      <c r="ACZ17" s="224"/>
      <c r="ADA17" s="217" t="s">
        <v>41</v>
      </c>
      <c r="ADB17" s="218"/>
      <c r="ADC17" s="222">
        <v>0</v>
      </c>
      <c r="ADD17" s="223"/>
      <c r="ADE17" s="224"/>
      <c r="ADF17" s="217" t="s">
        <v>99</v>
      </c>
      <c r="ADG17" s="218"/>
      <c r="ADH17" s="222">
        <v>0</v>
      </c>
      <c r="ADI17" s="223"/>
      <c r="ADJ17" s="224"/>
      <c r="ADK17" s="217" t="s">
        <v>98</v>
      </c>
      <c r="ADL17" s="218"/>
      <c r="ADM17" s="222">
        <v>0</v>
      </c>
      <c r="ADN17" s="223"/>
      <c r="ADO17" s="224"/>
      <c r="ADP17" s="217" t="s">
        <v>96</v>
      </c>
      <c r="ADQ17" s="218"/>
      <c r="ADR17" s="222">
        <v>24038</v>
      </c>
      <c r="ADS17" s="223"/>
      <c r="ADT17" s="224"/>
      <c r="ADU17" s="217" t="s">
        <v>102</v>
      </c>
      <c r="ADV17" s="218"/>
      <c r="ADW17" s="222">
        <v>0</v>
      </c>
      <c r="ADX17" s="223"/>
      <c r="ADY17" s="224"/>
      <c r="ADZ17" s="217" t="s">
        <v>41</v>
      </c>
      <c r="AEA17" s="218"/>
      <c r="AEB17" s="222">
        <v>0</v>
      </c>
      <c r="AEC17" s="223"/>
      <c r="AED17" s="224"/>
      <c r="AEE17" s="217" t="s">
        <v>99</v>
      </c>
      <c r="AEF17" s="218"/>
      <c r="AEG17" s="222">
        <v>0</v>
      </c>
      <c r="AEH17" s="223"/>
      <c r="AEI17" s="224"/>
      <c r="AEJ17" s="217" t="s">
        <v>98</v>
      </c>
      <c r="AEK17" s="218"/>
      <c r="AEL17" s="222">
        <v>0</v>
      </c>
      <c r="AEM17" s="223"/>
      <c r="AEN17" s="224"/>
      <c r="AEO17" s="217" t="s">
        <v>97</v>
      </c>
      <c r="AEP17" s="218"/>
      <c r="AEQ17" s="222">
        <v>4507</v>
      </c>
      <c r="AER17" s="223"/>
      <c r="AES17" s="224"/>
      <c r="AET17" s="217" t="s">
        <v>102</v>
      </c>
      <c r="AEU17" s="218"/>
      <c r="AEV17" s="222">
        <v>19528</v>
      </c>
      <c r="AEW17" s="223"/>
      <c r="AEX17" s="224"/>
      <c r="AEY17" s="217" t="s">
        <v>41</v>
      </c>
      <c r="AEZ17" s="218"/>
      <c r="AFA17" s="222">
        <v>0</v>
      </c>
      <c r="AFB17" s="223"/>
      <c r="AFC17" s="224"/>
      <c r="AFD17" s="217" t="s">
        <v>99</v>
      </c>
      <c r="AFE17" s="218"/>
      <c r="AFF17" s="222">
        <v>3604.5</v>
      </c>
      <c r="AFG17" s="223"/>
      <c r="AFH17" s="224"/>
      <c r="AFI17" s="217" t="s">
        <v>98</v>
      </c>
      <c r="AFJ17" s="218"/>
      <c r="AFK17" s="222">
        <v>7598.5</v>
      </c>
      <c r="AFL17" s="223"/>
      <c r="AFM17" s="224"/>
      <c r="AFN17" s="217" t="s">
        <v>97</v>
      </c>
      <c r="AFO17" s="218"/>
      <c r="AFP17" s="222">
        <v>4252.5</v>
      </c>
      <c r="AFQ17" s="223"/>
      <c r="AFR17" s="224"/>
      <c r="AFS17" s="217" t="s">
        <v>96</v>
      </c>
      <c r="AFT17" s="218"/>
      <c r="AFU17" s="222">
        <v>22536</v>
      </c>
      <c r="AFV17" s="223"/>
      <c r="AFW17" s="224"/>
      <c r="AFX17" s="217" t="s">
        <v>102</v>
      </c>
      <c r="AFY17" s="218"/>
      <c r="AFZ17" s="222">
        <v>0</v>
      </c>
      <c r="AGA17" s="223"/>
      <c r="AGB17" s="224"/>
      <c r="AGC17" s="217" t="s">
        <v>41</v>
      </c>
      <c r="AGD17" s="218"/>
      <c r="AGE17" s="222">
        <v>0</v>
      </c>
      <c r="AGF17" s="223"/>
      <c r="AGG17" s="224"/>
      <c r="AGH17" s="217" t="s">
        <v>99</v>
      </c>
      <c r="AGI17" s="218"/>
      <c r="AGJ17" s="222">
        <v>0</v>
      </c>
      <c r="AGK17" s="223"/>
      <c r="AGL17" s="224"/>
      <c r="AGM17" s="217" t="s">
        <v>98</v>
      </c>
      <c r="AGN17" s="218"/>
      <c r="AGO17" s="222">
        <v>24039</v>
      </c>
      <c r="AGP17" s="223"/>
      <c r="AGQ17" s="224"/>
      <c r="AGR17" s="217" t="s">
        <v>97</v>
      </c>
      <c r="AGS17" s="218"/>
      <c r="AGT17" s="222">
        <v>21032</v>
      </c>
      <c r="AGU17" s="223"/>
      <c r="AGV17" s="224"/>
      <c r="AGW17" s="217" t="s">
        <v>97</v>
      </c>
      <c r="AGX17" s="218"/>
      <c r="AGY17" s="222">
        <v>0</v>
      </c>
      <c r="AGZ17" s="223"/>
      <c r="AHA17" s="224"/>
      <c r="AHB17" s="217" t="s">
        <v>96</v>
      </c>
      <c r="AHC17" s="218"/>
      <c r="AHD17" s="222">
        <v>18740</v>
      </c>
      <c r="AHE17" s="223"/>
      <c r="AHF17" s="224"/>
      <c r="AHG17" s="217" t="s">
        <v>102</v>
      </c>
      <c r="AHH17" s="218"/>
      <c r="AHI17" s="222">
        <v>10588</v>
      </c>
      <c r="AHJ17" s="223"/>
      <c r="AHK17" s="224"/>
      <c r="AHL17" s="217" t="s">
        <v>41</v>
      </c>
      <c r="AHM17" s="218"/>
      <c r="AHN17" s="222">
        <v>0</v>
      </c>
      <c r="AHO17" s="223"/>
      <c r="AHP17" s="224"/>
      <c r="AHQ17" s="217" t="s">
        <v>99</v>
      </c>
      <c r="AHR17" s="218"/>
      <c r="AHS17" s="222">
        <v>0</v>
      </c>
      <c r="AHT17" s="223"/>
      <c r="AHU17" s="224"/>
      <c r="AHV17" s="217" t="s">
        <v>98</v>
      </c>
      <c r="AHW17" s="218"/>
      <c r="AHX17" s="222">
        <v>16032.25</v>
      </c>
      <c r="AHY17" s="223"/>
      <c r="AHZ17" s="224"/>
      <c r="AIA17" s="217" t="s">
        <v>97</v>
      </c>
      <c r="AIB17" s="218"/>
      <c r="AIC17" s="222">
        <v>4228</v>
      </c>
      <c r="AID17" s="223"/>
      <c r="AIE17" s="224"/>
      <c r="AIF17" s="217" t="s">
        <v>96</v>
      </c>
      <c r="AIG17" s="218"/>
      <c r="AIH17" s="222">
        <v>8066</v>
      </c>
      <c r="AII17" s="223"/>
      <c r="AIJ17" s="224"/>
      <c r="AIK17" s="217" t="s">
        <v>102</v>
      </c>
      <c r="AIL17" s="218"/>
      <c r="AIM17" s="222">
        <v>11632</v>
      </c>
      <c r="AIN17" s="223"/>
      <c r="AIO17" s="224"/>
      <c r="AIP17" s="217" t="s">
        <v>41</v>
      </c>
      <c r="AIQ17" s="218"/>
      <c r="AIR17" s="222">
        <v>0</v>
      </c>
      <c r="AIS17" s="223"/>
      <c r="AIT17" s="224"/>
      <c r="AIU17" s="217" t="s">
        <v>99</v>
      </c>
      <c r="AIV17" s="218"/>
      <c r="AIW17" s="222">
        <v>4033</v>
      </c>
      <c r="AIX17" s="223"/>
      <c r="AIY17" s="224"/>
      <c r="AIZ17" s="217" t="s">
        <v>98</v>
      </c>
      <c r="AJA17" s="218"/>
      <c r="AJB17" s="222">
        <v>0</v>
      </c>
      <c r="AJC17" s="223"/>
      <c r="AJD17" s="224"/>
      <c r="AJE17" s="217" t="s">
        <v>97</v>
      </c>
      <c r="AJF17" s="218"/>
      <c r="AJG17" s="222">
        <v>1502</v>
      </c>
      <c r="AJH17" s="223"/>
      <c r="AJI17" s="224"/>
      <c r="AJJ17" s="217" t="s">
        <v>96</v>
      </c>
      <c r="AJK17" s="218"/>
      <c r="AJL17" s="222">
        <v>6049.5</v>
      </c>
      <c r="AJM17" s="223"/>
      <c r="AJN17" s="224"/>
      <c r="AJO17" s="217" t="s">
        <v>102</v>
      </c>
      <c r="AJP17" s="218"/>
      <c r="AJQ17" s="222">
        <v>8505</v>
      </c>
      <c r="AJR17" s="223"/>
      <c r="AJS17" s="224"/>
      <c r="AJT17" s="217" t="s">
        <v>101</v>
      </c>
      <c r="AJU17" s="218"/>
      <c r="AJV17" s="222">
        <v>12099</v>
      </c>
      <c r="AJW17" s="223"/>
      <c r="AJX17" s="224"/>
      <c r="AJY17" s="217" t="s">
        <v>41</v>
      </c>
      <c r="AJZ17" s="218"/>
      <c r="AKA17" s="222">
        <v>0</v>
      </c>
      <c r="AKB17" s="223"/>
      <c r="AKC17" s="224"/>
      <c r="AKD17" s="217" t="s">
        <v>99</v>
      </c>
      <c r="AKE17" s="218"/>
      <c r="AKF17" s="222">
        <v>6049.5</v>
      </c>
      <c r="AKG17" s="223"/>
      <c r="AKH17" s="224"/>
      <c r="AKI17" s="217" t="s">
        <v>98</v>
      </c>
      <c r="AKJ17" s="218"/>
      <c r="AKK17" s="222">
        <v>0</v>
      </c>
      <c r="AKL17" s="223"/>
      <c r="AKM17" s="224"/>
      <c r="AKN17" s="217" t="s">
        <v>97</v>
      </c>
      <c r="AKO17" s="218"/>
      <c r="AKP17" s="222">
        <v>0</v>
      </c>
      <c r="AKQ17" s="223"/>
      <c r="AKR17" s="224"/>
      <c r="AKS17" s="217" t="s">
        <v>96</v>
      </c>
      <c r="AKT17" s="218"/>
      <c r="AKU17" s="222">
        <v>8066</v>
      </c>
      <c r="AKV17" s="223"/>
      <c r="AKW17" s="224"/>
      <c r="AKX17" s="217" t="s">
        <v>102</v>
      </c>
      <c r="AKY17" s="218"/>
      <c r="AKZ17" s="222">
        <v>28602.5</v>
      </c>
      <c r="ALA17" s="223"/>
      <c r="ALB17" s="224"/>
      <c r="ALC17" s="217" t="s">
        <v>101</v>
      </c>
      <c r="ALD17" s="218"/>
      <c r="ALE17" s="222">
        <v>2835</v>
      </c>
      <c r="ALF17" s="223"/>
      <c r="ALG17" s="224"/>
      <c r="ALH17" s="217" t="s">
        <v>41</v>
      </c>
      <c r="ALI17" s="218"/>
      <c r="ALJ17" s="222">
        <v>0</v>
      </c>
      <c r="ALK17" s="223"/>
      <c r="ALL17" s="224"/>
      <c r="ALM17" s="217" t="s">
        <v>99</v>
      </c>
      <c r="ALN17" s="218"/>
      <c r="ALO17" s="222">
        <v>3148</v>
      </c>
      <c r="ALP17" s="223"/>
      <c r="ALQ17" s="224"/>
      <c r="ALR17" s="217" t="s">
        <v>98</v>
      </c>
      <c r="ALS17" s="218"/>
      <c r="ALT17" s="222">
        <v>38881.5</v>
      </c>
      <c r="ALU17" s="223"/>
      <c r="ALV17" s="224"/>
      <c r="ALW17" s="217" t="s">
        <v>97</v>
      </c>
      <c r="ALX17" s="218"/>
      <c r="ALY17" s="222">
        <v>10346</v>
      </c>
      <c r="ALZ17" s="223"/>
      <c r="AMA17" s="224"/>
      <c r="AMB17" s="217" t="s">
        <v>96</v>
      </c>
      <c r="AMC17" s="218"/>
      <c r="AMD17" s="222">
        <v>0</v>
      </c>
      <c r="AME17" s="223"/>
      <c r="AMF17" s="224"/>
      <c r="AMG17" s="217" t="s">
        <v>102</v>
      </c>
      <c r="AMH17" s="218"/>
      <c r="AMI17" s="222">
        <v>4851.5</v>
      </c>
      <c r="AMJ17" s="223"/>
      <c r="AMK17" s="224"/>
      <c r="AML17" s="217" t="s">
        <v>41</v>
      </c>
      <c r="AMM17" s="218"/>
      <c r="AMN17" s="222">
        <v>0</v>
      </c>
      <c r="AMO17" s="223"/>
      <c r="AMP17" s="224"/>
      <c r="AMQ17" s="217" t="s">
        <v>99</v>
      </c>
      <c r="AMR17" s="218"/>
      <c r="AMS17" s="222">
        <v>0</v>
      </c>
      <c r="AMT17" s="223"/>
      <c r="AMU17" s="224"/>
      <c r="AMV17" s="217" t="s">
        <v>98</v>
      </c>
      <c r="AMW17" s="218"/>
      <c r="AMX17" s="222">
        <v>0</v>
      </c>
      <c r="AMY17" s="223"/>
      <c r="AMZ17" s="224"/>
      <c r="ANA17" s="217" t="s">
        <v>97</v>
      </c>
      <c r="ANB17" s="218"/>
      <c r="ANC17" s="222">
        <v>0</v>
      </c>
      <c r="AND17" s="223"/>
      <c r="ANE17" s="224"/>
      <c r="ANF17" s="217" t="s">
        <v>96</v>
      </c>
      <c r="ANG17" s="218"/>
      <c r="ANH17" s="222">
        <v>0</v>
      </c>
      <c r="ANI17" s="223"/>
      <c r="ANJ17" s="224"/>
      <c r="ANK17" s="217" t="s">
        <v>102</v>
      </c>
      <c r="ANL17" s="218"/>
      <c r="ANM17" s="222">
        <v>4033</v>
      </c>
      <c r="ANN17" s="223"/>
      <c r="ANO17" s="224"/>
      <c r="ANP17" s="217" t="s">
        <v>101</v>
      </c>
      <c r="ANQ17" s="218"/>
      <c r="ANR17" s="222">
        <v>4033</v>
      </c>
      <c r="ANS17" s="223"/>
      <c r="ANT17" s="224"/>
      <c r="ANU17" s="217" t="s">
        <v>41</v>
      </c>
      <c r="ANV17" s="218"/>
      <c r="ANW17" s="222">
        <v>0</v>
      </c>
      <c r="ANX17" s="223"/>
      <c r="ANY17" s="224"/>
      <c r="ANZ17" s="217" t="s">
        <v>99</v>
      </c>
      <c r="AOA17" s="218"/>
      <c r="AOB17" s="222">
        <v>0</v>
      </c>
      <c r="AOC17" s="223"/>
      <c r="AOD17" s="224"/>
      <c r="AOE17" s="217" t="s">
        <v>98</v>
      </c>
      <c r="AOF17" s="218"/>
      <c r="AOG17" s="222">
        <v>37085</v>
      </c>
      <c r="AOH17" s="223"/>
      <c r="AOI17" s="224"/>
      <c r="AOJ17" s="217" t="s">
        <v>97</v>
      </c>
      <c r="AOK17" s="218"/>
      <c r="AOL17" s="222">
        <v>0</v>
      </c>
      <c r="AOM17" s="223"/>
      <c r="AON17" s="224"/>
      <c r="AOO17" s="217" t="s">
        <v>96</v>
      </c>
      <c r="AOP17" s="218"/>
      <c r="AOQ17" s="222">
        <v>12619.5</v>
      </c>
      <c r="AOR17" s="223"/>
      <c r="AOS17" s="224"/>
      <c r="AOT17" s="217" t="s">
        <v>102</v>
      </c>
      <c r="AOU17" s="218"/>
      <c r="AOV17" s="222">
        <v>22390</v>
      </c>
      <c r="AOW17" s="223"/>
      <c r="AOX17" s="224"/>
      <c r="AOY17" s="217" t="s">
        <v>101</v>
      </c>
      <c r="AOZ17" s="218"/>
      <c r="APA17" s="222">
        <v>0</v>
      </c>
      <c r="APB17" s="223"/>
      <c r="APC17" s="224"/>
      <c r="APD17" s="217" t="s">
        <v>41</v>
      </c>
      <c r="APE17" s="218"/>
      <c r="APF17" s="222">
        <v>0</v>
      </c>
      <c r="APG17" s="223"/>
      <c r="APH17" s="224"/>
      <c r="API17" s="217" t="s">
        <v>99</v>
      </c>
      <c r="APJ17" s="218"/>
      <c r="APK17" s="222">
        <v>0</v>
      </c>
      <c r="APL17" s="223"/>
      <c r="APM17" s="224"/>
      <c r="APN17" s="217" t="s">
        <v>98</v>
      </c>
      <c r="APO17" s="218"/>
      <c r="APP17" s="222">
        <v>3162</v>
      </c>
      <c r="APQ17" s="223"/>
      <c r="APR17" s="224"/>
      <c r="APS17" s="217" t="s">
        <v>97</v>
      </c>
      <c r="APT17" s="218"/>
      <c r="APU17" s="222">
        <v>8432.5</v>
      </c>
      <c r="APV17" s="223"/>
      <c r="APW17" s="224"/>
      <c r="APX17" s="217" t="s">
        <v>96</v>
      </c>
      <c r="APY17" s="218"/>
      <c r="APZ17" s="222">
        <v>21175</v>
      </c>
      <c r="AQA17" s="223"/>
      <c r="AQB17" s="224"/>
      <c r="AQC17" s="217" t="s">
        <v>102</v>
      </c>
      <c r="AQD17" s="218"/>
      <c r="AQE17" s="222">
        <v>31558.5</v>
      </c>
      <c r="AQF17" s="223"/>
      <c r="AQG17" s="224"/>
      <c r="AQH17" s="217" t="s">
        <v>101</v>
      </c>
      <c r="AQI17" s="218"/>
      <c r="AQJ17" s="222">
        <v>0</v>
      </c>
      <c r="AQK17" s="223"/>
      <c r="AQL17" s="224"/>
      <c r="AQM17" s="217" t="s">
        <v>41</v>
      </c>
      <c r="AQN17" s="218"/>
      <c r="AQO17" s="222">
        <v>0</v>
      </c>
      <c r="AQP17" s="223"/>
      <c r="AQQ17" s="224"/>
      <c r="AQR17" s="217" t="s">
        <v>99</v>
      </c>
      <c r="AQS17" s="218"/>
      <c r="AQT17" s="222">
        <v>0</v>
      </c>
      <c r="AQU17" s="223"/>
      <c r="AQV17" s="224"/>
      <c r="AQW17" s="217" t="s">
        <v>98</v>
      </c>
      <c r="AQX17" s="218"/>
      <c r="AQY17" s="222">
        <v>6049.5</v>
      </c>
      <c r="AQZ17" s="223"/>
      <c r="ARA17" s="224"/>
      <c r="ARB17" s="217" t="s">
        <v>97</v>
      </c>
      <c r="ARC17" s="218"/>
      <c r="ARD17" s="222">
        <v>0</v>
      </c>
      <c r="ARE17" s="223"/>
      <c r="ARF17" s="224"/>
      <c r="ARG17" s="217" t="s">
        <v>96</v>
      </c>
      <c r="ARH17" s="218"/>
      <c r="ARI17" s="222">
        <v>6008</v>
      </c>
      <c r="ARJ17" s="223"/>
      <c r="ARK17" s="224"/>
      <c r="ARL17" s="217" t="s">
        <v>102</v>
      </c>
      <c r="ARM17" s="218"/>
      <c r="ARN17" s="222">
        <v>15181</v>
      </c>
      <c r="ARO17" s="223"/>
      <c r="ARP17" s="224"/>
      <c r="ARQ17" s="217" t="s">
        <v>101</v>
      </c>
      <c r="ARR17" s="218"/>
      <c r="ARS17" s="222">
        <v>5670</v>
      </c>
      <c r="ART17" s="223"/>
      <c r="ARU17" s="224"/>
      <c r="ARV17" s="217" t="s">
        <v>41</v>
      </c>
      <c r="ARW17" s="218"/>
      <c r="ARX17" s="222">
        <v>0</v>
      </c>
      <c r="ARY17" s="223"/>
      <c r="ARZ17" s="224"/>
      <c r="ASA17" s="217" t="s">
        <v>99</v>
      </c>
      <c r="ASB17" s="218"/>
      <c r="ASC17" s="222">
        <v>0</v>
      </c>
      <c r="ASD17" s="223"/>
      <c r="ASE17" s="224"/>
      <c r="ASF17" s="217" t="s">
        <v>98</v>
      </c>
      <c r="ASG17" s="218"/>
      <c r="ASH17" s="222">
        <v>1008.25</v>
      </c>
      <c r="ASI17" s="223"/>
      <c r="ASJ17" s="224"/>
      <c r="ASK17" s="217" t="s">
        <v>97</v>
      </c>
      <c r="ASL17" s="218"/>
      <c r="ASM17" s="222">
        <v>0</v>
      </c>
      <c r="ASN17" s="223"/>
      <c r="ASO17" s="224"/>
      <c r="ASP17" s="217" t="s">
        <v>96</v>
      </c>
      <c r="ASQ17" s="218"/>
      <c r="ASR17" s="222">
        <v>29654</v>
      </c>
      <c r="ASS17" s="223"/>
      <c r="AST17" s="224"/>
      <c r="ASU17" s="217" t="s">
        <v>102</v>
      </c>
      <c r="ASV17" s="218"/>
      <c r="ASW17" s="222">
        <v>35150.5</v>
      </c>
      <c r="ASX17" s="223"/>
      <c r="ASY17" s="224"/>
      <c r="ASZ17" s="217" t="s">
        <v>101</v>
      </c>
      <c r="ATA17" s="218"/>
      <c r="ATB17" s="222">
        <v>0</v>
      </c>
      <c r="ATC17" s="223"/>
      <c r="ATD17" s="224"/>
      <c r="ATE17" s="217" t="s">
        <v>41</v>
      </c>
      <c r="ATF17" s="218"/>
      <c r="ATG17" s="222">
        <v>0</v>
      </c>
      <c r="ATH17" s="223"/>
      <c r="ATI17" s="224"/>
      <c r="ATJ17" s="217" t="s">
        <v>99</v>
      </c>
      <c r="ATK17" s="218"/>
      <c r="ATL17" s="222">
        <v>0</v>
      </c>
      <c r="ATM17" s="223"/>
      <c r="ATN17" s="224"/>
      <c r="ATO17" s="217" t="s">
        <v>98</v>
      </c>
      <c r="ATP17" s="218"/>
      <c r="ATQ17" s="222">
        <v>0</v>
      </c>
      <c r="ATR17" s="223"/>
      <c r="ATS17" s="224"/>
      <c r="ATT17" s="217" t="s">
        <v>97</v>
      </c>
      <c r="ATU17" s="218"/>
      <c r="ATV17" s="222">
        <v>2835</v>
      </c>
      <c r="ATW17" s="223"/>
      <c r="ATX17" s="224"/>
      <c r="ATY17" s="217" t="s">
        <v>96</v>
      </c>
      <c r="ATZ17" s="218"/>
      <c r="AUA17" s="222">
        <v>0</v>
      </c>
      <c r="AUB17" s="223"/>
      <c r="AUC17" s="224"/>
      <c r="AUD17" s="217" t="s">
        <v>102</v>
      </c>
      <c r="AUE17" s="218"/>
      <c r="AUF17" s="222">
        <v>7686.5</v>
      </c>
      <c r="AUG17" s="223"/>
      <c r="AUH17" s="224"/>
      <c r="AUI17" s="217" t="s">
        <v>101</v>
      </c>
      <c r="AUJ17" s="218"/>
      <c r="AUK17" s="222">
        <v>5670</v>
      </c>
      <c r="AUL17" s="223"/>
      <c r="AUM17" s="224"/>
      <c r="AUN17" s="217" t="s">
        <v>41</v>
      </c>
      <c r="AUO17" s="218"/>
      <c r="AUP17" s="222">
        <v>0</v>
      </c>
      <c r="AUQ17" s="223"/>
      <c r="AUR17" s="224"/>
      <c r="AUS17" s="217" t="s">
        <v>99</v>
      </c>
      <c r="AUT17" s="218"/>
      <c r="AUU17" s="222">
        <v>0</v>
      </c>
      <c r="AUV17" s="223"/>
      <c r="AUW17" s="224"/>
      <c r="AUX17" s="217" t="s">
        <v>98</v>
      </c>
      <c r="AUY17" s="218"/>
      <c r="AUZ17" s="222">
        <v>0</v>
      </c>
      <c r="AVA17" s="223"/>
      <c r="AVB17" s="224"/>
      <c r="AVC17" s="217" t="s">
        <v>97</v>
      </c>
      <c r="AVD17" s="218"/>
      <c r="AVE17" s="222">
        <v>0</v>
      </c>
      <c r="AVF17" s="223"/>
      <c r="AVG17" s="224"/>
      <c r="AVH17" s="217" t="s">
        <v>96</v>
      </c>
      <c r="AVI17" s="218"/>
      <c r="AVJ17" s="222">
        <v>8066</v>
      </c>
      <c r="AVK17" s="223"/>
      <c r="AVL17" s="224"/>
      <c r="AVM17" s="217" t="s">
        <v>102</v>
      </c>
      <c r="AVN17" s="218"/>
      <c r="AVO17" s="222">
        <v>35187</v>
      </c>
      <c r="AVP17" s="223"/>
      <c r="AVQ17" s="224"/>
      <c r="AVR17" s="217" t="s">
        <v>101</v>
      </c>
      <c r="AVS17" s="218"/>
      <c r="AVT17" s="222">
        <v>1417.5</v>
      </c>
      <c r="AVU17" s="223"/>
      <c r="AVV17" s="224"/>
      <c r="AVW17" s="217" t="s">
        <v>41</v>
      </c>
      <c r="AVX17" s="218"/>
      <c r="AVY17" s="222">
        <v>0</v>
      </c>
      <c r="AVZ17" s="223"/>
      <c r="AWA17" s="224"/>
      <c r="AWB17" s="217" t="s">
        <v>99</v>
      </c>
      <c r="AWC17" s="218"/>
      <c r="AWD17" s="222">
        <v>0</v>
      </c>
      <c r="AWE17" s="223"/>
      <c r="AWF17" s="224"/>
      <c r="AWG17" s="217" t="s">
        <v>98</v>
      </c>
      <c r="AWH17" s="218"/>
      <c r="AWI17" s="222">
        <v>0</v>
      </c>
      <c r="AWJ17" s="223"/>
      <c r="AWK17" s="224"/>
      <c r="AWL17" s="217" t="s">
        <v>97</v>
      </c>
      <c r="AWM17" s="218"/>
      <c r="AWN17" s="222">
        <v>0</v>
      </c>
      <c r="AWO17" s="223"/>
      <c r="AWP17" s="224"/>
      <c r="AWQ17" s="217" t="s">
        <v>96</v>
      </c>
      <c r="AWR17" s="218"/>
      <c r="AWS17" s="222">
        <v>0</v>
      </c>
      <c r="AWT17" s="223"/>
      <c r="AWU17" s="224"/>
      <c r="AWV17" s="217" t="s">
        <v>102</v>
      </c>
      <c r="AWW17" s="218"/>
      <c r="AWX17" s="222">
        <v>17791</v>
      </c>
      <c r="AWY17" s="223"/>
      <c r="AWZ17" s="224"/>
      <c r="AXA17" s="217" t="s">
        <v>101</v>
      </c>
      <c r="AXB17" s="218"/>
      <c r="AXC17" s="222">
        <v>0</v>
      </c>
      <c r="AXD17" s="223"/>
      <c r="AXE17" s="224"/>
      <c r="AXF17" s="217" t="s">
        <v>41</v>
      </c>
      <c r="AXG17" s="218"/>
      <c r="AXH17" s="222">
        <v>0</v>
      </c>
      <c r="AXI17" s="223"/>
      <c r="AXJ17" s="224"/>
      <c r="AXK17" s="217" t="s">
        <v>99</v>
      </c>
      <c r="AXL17" s="218"/>
      <c r="AXM17" s="222">
        <v>3024.75</v>
      </c>
      <c r="AXN17" s="223"/>
      <c r="AXO17" s="224"/>
      <c r="AXP17" s="217" t="s">
        <v>98</v>
      </c>
      <c r="AXQ17" s="218"/>
      <c r="AXR17" s="222">
        <v>0</v>
      </c>
      <c r="AXS17" s="223"/>
      <c r="AXT17" s="224"/>
      <c r="AXU17" s="217" t="s">
        <v>97</v>
      </c>
      <c r="AXV17" s="218"/>
      <c r="AXW17" s="222">
        <v>4796</v>
      </c>
      <c r="AXX17" s="223"/>
      <c r="AXY17" s="224"/>
      <c r="AXZ17" s="217" t="s">
        <v>96</v>
      </c>
      <c r="AYA17" s="218"/>
      <c r="AYB17" s="222">
        <v>8518.25</v>
      </c>
      <c r="AYC17" s="223"/>
      <c r="AYD17" s="224"/>
      <c r="AYE17" s="217" t="s">
        <v>102</v>
      </c>
      <c r="AYF17" s="218"/>
      <c r="AYG17" s="222">
        <v>14482</v>
      </c>
      <c r="AYH17" s="223"/>
      <c r="AYI17" s="224"/>
      <c r="AYJ17" s="217" t="s">
        <v>101</v>
      </c>
      <c r="AYK17" s="218"/>
      <c r="AYL17" s="222">
        <v>0</v>
      </c>
      <c r="AYM17" s="223"/>
      <c r="AYN17" s="224"/>
      <c r="AYO17" s="217" t="s">
        <v>41</v>
      </c>
      <c r="AYP17" s="218"/>
      <c r="AYQ17" s="222">
        <v>0</v>
      </c>
      <c r="AYR17" s="223"/>
      <c r="AYS17" s="224"/>
      <c r="AYT17" s="217" t="s">
        <v>97</v>
      </c>
      <c r="AYU17" s="218"/>
      <c r="AYV17" s="222">
        <v>1209.8999999999999</v>
      </c>
      <c r="AYW17" s="223"/>
      <c r="AYX17" s="224"/>
      <c r="AYY17" s="217" t="s">
        <v>96</v>
      </c>
      <c r="AYZ17" s="218"/>
      <c r="AZA17" s="222">
        <v>6049.5</v>
      </c>
      <c r="AZB17" s="223"/>
      <c r="AZC17" s="224"/>
      <c r="AZD17" s="217" t="s">
        <v>102</v>
      </c>
      <c r="AZE17" s="218"/>
      <c r="AZF17" s="222">
        <v>27471</v>
      </c>
      <c r="AZG17" s="223"/>
      <c r="AZH17" s="224"/>
      <c r="AZI17" s="217" t="s">
        <v>101</v>
      </c>
      <c r="AZJ17" s="218"/>
      <c r="AZK17" s="222">
        <v>8066</v>
      </c>
      <c r="AZL17" s="223"/>
      <c r="AZM17" s="224"/>
      <c r="AZN17" s="217" t="s">
        <v>41</v>
      </c>
      <c r="AZO17" s="218"/>
      <c r="AZP17" s="222">
        <v>0</v>
      </c>
      <c r="AZQ17" s="223"/>
      <c r="AZR17" s="224"/>
      <c r="AZS17" s="217" t="s">
        <v>99</v>
      </c>
      <c r="AZT17" s="218"/>
      <c r="AZU17" s="222">
        <v>0</v>
      </c>
      <c r="AZV17" s="223"/>
      <c r="AZW17" s="224"/>
      <c r="AZX17" s="217" t="s">
        <v>98</v>
      </c>
      <c r="AZY17" s="218"/>
      <c r="AZZ17" s="222">
        <v>0</v>
      </c>
      <c r="BAA17" s="223"/>
      <c r="BAB17" s="224"/>
      <c r="BAC17" s="217" t="s">
        <v>97</v>
      </c>
      <c r="BAD17" s="218"/>
      <c r="BAE17" s="222">
        <v>2016.5</v>
      </c>
      <c r="BAF17" s="223"/>
      <c r="BAG17" s="224"/>
      <c r="BAH17" s="217" t="s">
        <v>96</v>
      </c>
      <c r="BAI17" s="218"/>
      <c r="BAJ17" s="222">
        <v>7686.5</v>
      </c>
      <c r="BAK17" s="223"/>
      <c r="BAL17" s="224"/>
      <c r="BAM17" s="217" t="s">
        <v>102</v>
      </c>
      <c r="BAN17" s="218"/>
      <c r="BAO17" s="222">
        <v>16053</v>
      </c>
      <c r="BAP17" s="223"/>
      <c r="BAQ17" s="224"/>
      <c r="BAR17" s="217" t="s">
        <v>101</v>
      </c>
      <c r="BAS17" s="218"/>
      <c r="BAT17" s="222">
        <v>12345.5</v>
      </c>
      <c r="BAU17" s="223"/>
      <c r="BAV17" s="224"/>
      <c r="BAW17" s="217" t="s">
        <v>41</v>
      </c>
      <c r="BAX17" s="218"/>
      <c r="BAY17" s="222">
        <v>0</v>
      </c>
      <c r="BAZ17" s="223"/>
      <c r="BBA17" s="224"/>
      <c r="BBB17" s="217" t="s">
        <v>99</v>
      </c>
      <c r="BBC17" s="218"/>
      <c r="BBD17" s="222">
        <v>1894.8</v>
      </c>
      <c r="BBE17" s="223"/>
      <c r="BBF17" s="224"/>
      <c r="BBG17" s="217" t="s">
        <v>98</v>
      </c>
      <c r="BBH17" s="218"/>
      <c r="BBI17" s="222">
        <v>0</v>
      </c>
      <c r="BBJ17" s="223"/>
      <c r="BBK17" s="224"/>
      <c r="BBL17" s="217" t="s">
        <v>97</v>
      </c>
      <c r="BBM17" s="218"/>
      <c r="BBN17" s="222">
        <v>2016.5</v>
      </c>
      <c r="BBO17" s="223"/>
      <c r="BBP17" s="224"/>
      <c r="BBQ17" s="217" t="s">
        <v>96</v>
      </c>
      <c r="BBR17" s="218"/>
      <c r="BBS17" s="222">
        <v>9526.5</v>
      </c>
      <c r="BBT17" s="223"/>
      <c r="BBU17" s="224"/>
      <c r="BBV17" s="217" t="s">
        <v>102</v>
      </c>
      <c r="BBW17" s="218"/>
      <c r="BBX17" s="222">
        <v>5607</v>
      </c>
      <c r="BBY17" s="223"/>
      <c r="BBZ17" s="224"/>
      <c r="BCA17" s="217" t="s">
        <v>101</v>
      </c>
      <c r="BCB17" s="218"/>
      <c r="BCC17" s="222">
        <v>0</v>
      </c>
      <c r="BCD17" s="223"/>
      <c r="BCE17" s="224"/>
      <c r="BCF17" s="217" t="s">
        <v>41</v>
      </c>
      <c r="BCG17" s="218"/>
      <c r="BCH17" s="222">
        <v>0</v>
      </c>
      <c r="BCI17" s="223"/>
      <c r="BCJ17" s="224"/>
      <c r="BCK17" s="217" t="s">
        <v>41</v>
      </c>
      <c r="BCL17" s="218"/>
      <c r="BCM17" s="222">
        <v>0</v>
      </c>
      <c r="BCN17" s="223"/>
      <c r="BCO17" s="224"/>
      <c r="BCP17" s="217" t="s">
        <v>99</v>
      </c>
      <c r="BCQ17" s="218"/>
      <c r="BCR17" s="222">
        <v>0</v>
      </c>
      <c r="BCS17" s="223"/>
      <c r="BCT17" s="224"/>
      <c r="BCU17" s="217" t="s">
        <v>98</v>
      </c>
      <c r="BCV17" s="218"/>
      <c r="BCW17" s="222">
        <v>0</v>
      </c>
      <c r="BCX17" s="223"/>
      <c r="BCY17" s="224"/>
      <c r="BCZ17" s="217" t="s">
        <v>97</v>
      </c>
      <c r="BDA17" s="218"/>
      <c r="BDB17" s="222">
        <v>2016.5</v>
      </c>
      <c r="BDC17" s="223"/>
      <c r="BDD17" s="224"/>
      <c r="BDE17" s="217" t="s">
        <v>96</v>
      </c>
      <c r="BDF17" s="218"/>
      <c r="BDG17" s="222">
        <v>0</v>
      </c>
      <c r="BDH17" s="223"/>
      <c r="BDI17" s="224"/>
      <c r="BDJ17" s="217" t="s">
        <v>102</v>
      </c>
      <c r="BDK17" s="218"/>
      <c r="BDL17" s="222">
        <v>5670</v>
      </c>
      <c r="BDM17" s="223"/>
      <c r="BDN17" s="224"/>
      <c r="BDO17" s="217" t="s">
        <v>101</v>
      </c>
      <c r="BDP17" s="218"/>
      <c r="BDQ17" s="222">
        <v>0</v>
      </c>
      <c r="BDR17" s="223"/>
      <c r="BDS17" s="224"/>
      <c r="BDT17" s="217" t="s">
        <v>41</v>
      </c>
      <c r="BDU17" s="218"/>
      <c r="BDV17" s="222">
        <v>0</v>
      </c>
      <c r="BDW17" s="223"/>
      <c r="BDX17" s="224"/>
      <c r="BDY17" s="217" t="s">
        <v>99</v>
      </c>
      <c r="BDZ17" s="218"/>
      <c r="BEA17" s="222">
        <v>0</v>
      </c>
      <c r="BEB17" s="223"/>
      <c r="BEC17" s="224"/>
      <c r="BED17" s="217" t="s">
        <v>98</v>
      </c>
      <c r="BEE17" s="218"/>
      <c r="BEF17" s="222">
        <v>0</v>
      </c>
      <c r="BEG17" s="223"/>
      <c r="BEH17" s="224"/>
      <c r="BEI17" s="217" t="s">
        <v>96</v>
      </c>
      <c r="BEJ17" s="218"/>
      <c r="BEK17" s="222">
        <v>3826.75</v>
      </c>
      <c r="BEL17" s="223"/>
      <c r="BEM17" s="224"/>
      <c r="BEN17" s="217" t="s">
        <v>102</v>
      </c>
      <c r="BEO17" s="218"/>
      <c r="BEP17" s="222">
        <v>35987</v>
      </c>
      <c r="BEQ17" s="223"/>
      <c r="BER17" s="224"/>
      <c r="BES17" s="217" t="s">
        <v>101</v>
      </c>
      <c r="BET17" s="218"/>
      <c r="BEU17" s="222">
        <v>0</v>
      </c>
      <c r="BEV17" s="223"/>
      <c r="BEW17" s="224"/>
      <c r="BEX17" s="217" t="s">
        <v>41</v>
      </c>
      <c r="BEY17" s="218"/>
      <c r="BEZ17" s="222">
        <v>0</v>
      </c>
      <c r="BFA17" s="223"/>
      <c r="BFB17" s="224"/>
      <c r="BFC17" s="217" t="s">
        <v>99</v>
      </c>
      <c r="BFD17" s="218"/>
      <c r="BFE17" s="222">
        <v>0</v>
      </c>
      <c r="BFF17" s="223"/>
      <c r="BFG17" s="224"/>
      <c r="BFH17" s="217" t="s">
        <v>98</v>
      </c>
      <c r="BFI17" s="218"/>
      <c r="BFJ17" s="222">
        <v>2835</v>
      </c>
      <c r="BFK17" s="223"/>
      <c r="BFL17" s="224"/>
      <c r="BFM17" s="217" t="s">
        <v>97</v>
      </c>
      <c r="BFN17" s="218"/>
      <c r="BFO17" s="222">
        <v>0</v>
      </c>
      <c r="BFP17" s="223"/>
      <c r="BFQ17" s="224"/>
      <c r="BFR17" s="217" t="s">
        <v>96</v>
      </c>
      <c r="BFS17" s="218"/>
      <c r="BFT17" s="222">
        <v>15307</v>
      </c>
      <c r="BFU17" s="223"/>
      <c r="BFV17" s="224"/>
      <c r="BFW17" s="217" t="s">
        <v>102</v>
      </c>
      <c r="BFX17" s="218"/>
      <c r="BFY17" s="222">
        <v>29401.5</v>
      </c>
      <c r="BFZ17" s="223"/>
      <c r="BGA17" s="224"/>
      <c r="BGB17" s="217" t="s">
        <v>101</v>
      </c>
      <c r="BGC17" s="218"/>
      <c r="BGD17" s="222">
        <v>3434</v>
      </c>
      <c r="BGE17" s="223"/>
      <c r="BGF17" s="224"/>
      <c r="BGG17" s="217" t="s">
        <v>41</v>
      </c>
      <c r="BGH17" s="218"/>
      <c r="BGI17" s="222">
        <v>0</v>
      </c>
      <c r="BGJ17" s="223"/>
      <c r="BGK17" s="224"/>
      <c r="BGL17" s="217" t="s">
        <v>98</v>
      </c>
      <c r="BGM17" s="218"/>
      <c r="BGN17" s="222">
        <v>160.4</v>
      </c>
      <c r="BGO17" s="223"/>
      <c r="BGP17" s="224"/>
      <c r="BGQ17" s="217" t="s">
        <v>97</v>
      </c>
      <c r="BGR17" s="218"/>
      <c r="BGS17" s="222">
        <v>7181</v>
      </c>
      <c r="BGT17" s="223"/>
      <c r="BGU17" s="224"/>
      <c r="BGV17" s="217" t="s">
        <v>96</v>
      </c>
      <c r="BGW17" s="218"/>
      <c r="BGX17" s="222">
        <v>14218</v>
      </c>
      <c r="BGY17" s="223"/>
      <c r="BGZ17" s="224"/>
      <c r="BHA17" s="217" t="s">
        <v>102</v>
      </c>
      <c r="BHB17" s="218"/>
      <c r="BHC17" s="222">
        <v>28655.5</v>
      </c>
      <c r="BHD17" s="223"/>
      <c r="BHE17" s="224"/>
      <c r="BHF17" s="217" t="s">
        <v>101</v>
      </c>
      <c r="BHG17" s="218"/>
      <c r="BHH17" s="222">
        <v>6067</v>
      </c>
      <c r="BHI17" s="223"/>
      <c r="BHJ17" s="224"/>
      <c r="BHK17" s="217" t="s">
        <v>41</v>
      </c>
      <c r="BHL17" s="218"/>
      <c r="BHM17" s="222">
        <v>0</v>
      </c>
      <c r="BHN17" s="223"/>
      <c r="BHO17" s="224"/>
      <c r="BHP17" s="217" t="s">
        <v>99</v>
      </c>
      <c r="BHQ17" s="218"/>
      <c r="BHR17" s="222">
        <v>403.3</v>
      </c>
      <c r="BHS17" s="223"/>
      <c r="BHT17" s="224"/>
      <c r="BHU17" s="217" t="s">
        <v>98</v>
      </c>
      <c r="BHV17" s="218"/>
      <c r="BHW17" s="222">
        <v>0</v>
      </c>
      <c r="BHX17" s="223"/>
      <c r="BHY17" s="224"/>
      <c r="BHZ17" s="217" t="s">
        <v>97</v>
      </c>
      <c r="BIA17" s="218"/>
      <c r="BIB17" s="222">
        <v>6008</v>
      </c>
      <c r="BIC17" s="223"/>
      <c r="BID17" s="224"/>
      <c r="BIE17" s="217" t="s">
        <v>96</v>
      </c>
      <c r="BIF17" s="218"/>
      <c r="BIG17" s="222">
        <v>15537.5</v>
      </c>
      <c r="BIH17" s="223"/>
      <c r="BII17" s="224"/>
      <c r="BIJ17" s="217" t="s">
        <v>41</v>
      </c>
      <c r="BIK17" s="218"/>
      <c r="BIL17" s="222">
        <v>0</v>
      </c>
      <c r="BIM17" s="223"/>
      <c r="BIN17" s="224"/>
      <c r="BIO17" s="217" t="s">
        <v>99</v>
      </c>
      <c r="BIP17" s="218"/>
      <c r="BIQ17" s="222">
        <v>0</v>
      </c>
      <c r="BIR17" s="223"/>
      <c r="BIS17" s="224"/>
      <c r="BIT17" s="217" t="s">
        <v>98</v>
      </c>
      <c r="BIU17" s="218"/>
      <c r="BIV17" s="222">
        <v>0</v>
      </c>
      <c r="BIW17" s="223"/>
      <c r="BIX17" s="224"/>
      <c r="BIY17" s="217" t="s">
        <v>97</v>
      </c>
      <c r="BIZ17" s="218"/>
      <c r="BJA17" s="222">
        <v>0</v>
      </c>
      <c r="BJB17" s="223"/>
      <c r="BJC17" s="224"/>
      <c r="BJD17" s="217" t="s">
        <v>96</v>
      </c>
      <c r="BJE17" s="218"/>
      <c r="BJF17" s="222">
        <v>22061</v>
      </c>
      <c r="BJG17" s="223"/>
      <c r="BJH17" s="224"/>
      <c r="BJI17" s="217" t="s">
        <v>102</v>
      </c>
      <c r="BJJ17" s="218"/>
      <c r="BJK17" s="222">
        <v>0</v>
      </c>
      <c r="BJL17" s="223"/>
      <c r="BJM17" s="224"/>
      <c r="BJN17" s="217" t="s">
        <v>98</v>
      </c>
      <c r="BJO17" s="218"/>
      <c r="BJP17" s="222">
        <v>0</v>
      </c>
      <c r="BJQ17" s="223"/>
      <c r="BJR17" s="224"/>
      <c r="BJS17" s="217" t="s">
        <v>97</v>
      </c>
      <c r="BJT17" s="218"/>
      <c r="BJU17" s="222">
        <v>1502</v>
      </c>
      <c r="BJV17" s="223"/>
      <c r="BJW17" s="224"/>
      <c r="BJX17" s="217" t="s">
        <v>97</v>
      </c>
      <c r="BJY17" s="218"/>
      <c r="BJZ17" s="222">
        <v>0</v>
      </c>
      <c r="BKA17" s="223"/>
      <c r="BKB17" s="224"/>
      <c r="BKC17" s="217" t="s">
        <v>101</v>
      </c>
      <c r="BKD17" s="218"/>
      <c r="BKE17" s="222">
        <v>14175</v>
      </c>
      <c r="BKF17" s="223"/>
      <c r="BKG17" s="224"/>
      <c r="BKH17" s="217" t="s">
        <v>41</v>
      </c>
      <c r="BKI17" s="218"/>
      <c r="BKJ17" s="222">
        <v>0</v>
      </c>
      <c r="BKK17" s="223"/>
      <c r="BKL17" s="224"/>
      <c r="BKM17" s="217" t="s">
        <v>99</v>
      </c>
      <c r="BKN17" s="218"/>
      <c r="BKO17" s="222">
        <v>0</v>
      </c>
      <c r="BKP17" s="223"/>
      <c r="BKQ17" s="224"/>
      <c r="BKR17" s="217" t="s">
        <v>97</v>
      </c>
      <c r="BKS17" s="218"/>
      <c r="BKT17" s="222">
        <v>1502</v>
      </c>
      <c r="BKU17" s="223"/>
      <c r="BKV17" s="224"/>
      <c r="BKW17" s="217" t="s">
        <v>101</v>
      </c>
      <c r="BKX17" s="218"/>
      <c r="BKY17" s="222">
        <v>708.75</v>
      </c>
      <c r="BKZ17" s="223"/>
      <c r="BLA17" s="224"/>
      <c r="BLB17" s="217" t="s">
        <v>41</v>
      </c>
      <c r="BLC17" s="218"/>
      <c r="BLD17" s="222">
        <v>0</v>
      </c>
      <c r="BLE17" s="223"/>
      <c r="BLF17" s="224"/>
      <c r="BLG17" s="217" t="s">
        <v>99</v>
      </c>
      <c r="BLH17" s="218"/>
      <c r="BLI17" s="222">
        <v>0</v>
      </c>
      <c r="BLJ17" s="223"/>
      <c r="BLK17" s="224"/>
      <c r="BLL17" s="217" t="s">
        <v>98</v>
      </c>
      <c r="BLM17" s="218"/>
      <c r="BLN17" s="222">
        <v>0</v>
      </c>
      <c r="BLO17" s="223"/>
      <c r="BLP17" s="224"/>
      <c r="BLQ17" s="217" t="s">
        <v>97</v>
      </c>
      <c r="BLR17" s="218"/>
      <c r="BLS17" s="222">
        <v>4507</v>
      </c>
      <c r="BLT17" s="223"/>
      <c r="BLU17" s="224"/>
      <c r="BLV17" s="217" t="s">
        <v>101</v>
      </c>
      <c r="BLW17" s="218"/>
      <c r="BLX17" s="222">
        <v>0</v>
      </c>
      <c r="BLY17" s="223"/>
      <c r="BLZ17" s="224"/>
      <c r="BMA17" s="217" t="s">
        <v>41</v>
      </c>
      <c r="BMB17" s="218"/>
      <c r="BMC17" s="222">
        <v>0</v>
      </c>
      <c r="BMD17" s="223"/>
      <c r="BME17" s="224"/>
      <c r="BMF17" s="217" t="s">
        <v>99</v>
      </c>
      <c r="BMG17" s="218"/>
      <c r="BMH17" s="222">
        <v>2361</v>
      </c>
      <c r="BMI17" s="223"/>
      <c r="BMJ17" s="224"/>
      <c r="BMK17" s="217" t="s">
        <v>98</v>
      </c>
      <c r="BML17" s="218"/>
      <c r="BMM17" s="222">
        <v>0</v>
      </c>
      <c r="BMN17" s="223"/>
      <c r="BMO17" s="224"/>
      <c r="BMP17" s="217" t="s">
        <v>101</v>
      </c>
      <c r="BMQ17" s="218"/>
      <c r="BMR17" s="222">
        <v>1510.75</v>
      </c>
      <c r="BMS17" s="223"/>
      <c r="BMT17" s="224"/>
      <c r="BMU17" s="217" t="s">
        <v>41</v>
      </c>
      <c r="BMV17" s="218"/>
      <c r="BMW17" s="222">
        <v>0</v>
      </c>
      <c r="BMX17" s="223"/>
      <c r="BMY17" s="224"/>
      <c r="BMZ17" s="217" t="s">
        <v>99</v>
      </c>
      <c r="BNA17" s="218"/>
      <c r="BNB17" s="222">
        <v>0</v>
      </c>
      <c r="BNC17" s="223"/>
      <c r="BND17" s="224"/>
      <c r="BNE17" s="217" t="s">
        <v>97</v>
      </c>
      <c r="BNF17" s="218"/>
      <c r="BNG17" s="222">
        <v>0</v>
      </c>
      <c r="BNH17" s="223"/>
      <c r="BNI17" s="224"/>
      <c r="BNJ17" s="217" t="s">
        <v>99</v>
      </c>
      <c r="BNK17" s="218"/>
      <c r="BNL17" s="222">
        <v>0</v>
      </c>
      <c r="BNM17" s="223"/>
      <c r="BNN17" s="224"/>
      <c r="BNO17" s="217" t="s">
        <v>98</v>
      </c>
      <c r="BNP17" s="218"/>
      <c r="BNQ17" s="222">
        <v>0</v>
      </c>
      <c r="BNR17" s="223"/>
      <c r="BNS17" s="224"/>
      <c r="BNT17" s="217" t="s">
        <v>97</v>
      </c>
      <c r="BNU17" s="218"/>
      <c r="BNV17" s="222">
        <v>0</v>
      </c>
      <c r="BNW17" s="223"/>
      <c r="BNX17" s="224"/>
      <c r="BNY17" s="217" t="s">
        <v>101</v>
      </c>
      <c r="BNZ17" s="218"/>
      <c r="BOA17" s="222">
        <v>7244</v>
      </c>
      <c r="BOB17" s="223"/>
      <c r="BOC17" s="224"/>
      <c r="BOD17" s="217" t="s">
        <v>98</v>
      </c>
      <c r="BOE17" s="218"/>
      <c r="BOF17" s="222">
        <v>0</v>
      </c>
      <c r="BOG17" s="223"/>
      <c r="BOH17" s="224"/>
      <c r="BOI17" s="217" t="s">
        <v>97</v>
      </c>
      <c r="BOJ17" s="218"/>
      <c r="BOK17" s="222">
        <v>0</v>
      </c>
      <c r="BOL17" s="223"/>
      <c r="BOM17" s="224"/>
      <c r="BON17" s="217" t="s">
        <v>96</v>
      </c>
      <c r="BOO17" s="218"/>
      <c r="BOP17" s="222">
        <v>0</v>
      </c>
      <c r="BOQ17" s="223"/>
      <c r="BOR17" s="224"/>
      <c r="BOS17" s="217" t="s">
        <v>102</v>
      </c>
      <c r="BOT17" s="218"/>
      <c r="BOU17" s="222">
        <v>8505</v>
      </c>
      <c r="BOV17" s="223"/>
      <c r="BOW17" s="224"/>
      <c r="BOX17" s="217" t="s">
        <v>101</v>
      </c>
      <c r="BOY17" s="218"/>
      <c r="BOZ17" s="222">
        <v>0</v>
      </c>
      <c r="BPA17" s="223"/>
      <c r="BPB17" s="224"/>
      <c r="BPC17" s="217" t="s">
        <v>41</v>
      </c>
      <c r="BPD17" s="218"/>
      <c r="BPE17" s="222">
        <v>0</v>
      </c>
      <c r="BPF17" s="223"/>
      <c r="BPG17" s="224"/>
      <c r="BPH17" s="217" t="s">
        <v>99</v>
      </c>
      <c r="BPI17" s="218"/>
      <c r="BPJ17" s="222">
        <v>3208</v>
      </c>
      <c r="BPK17" s="223"/>
      <c r="BPL17" s="224"/>
      <c r="BPM17" s="217" t="s">
        <v>98</v>
      </c>
      <c r="BPN17" s="218"/>
      <c r="BPO17" s="222">
        <v>0</v>
      </c>
      <c r="BPP17" s="223"/>
      <c r="BPQ17" s="224"/>
      <c r="BPR17" s="217" t="s">
        <v>97</v>
      </c>
      <c r="BPS17" s="218"/>
      <c r="BPT17" s="222">
        <v>0</v>
      </c>
      <c r="BPU17" s="223"/>
      <c r="BPV17" s="224"/>
      <c r="BPW17" s="217" t="s">
        <v>96</v>
      </c>
      <c r="BPX17" s="218"/>
      <c r="BPY17" s="222">
        <v>7274</v>
      </c>
      <c r="BPZ17" s="223"/>
      <c r="BQA17" s="224"/>
      <c r="BQB17" s="217" t="s">
        <v>102</v>
      </c>
      <c r="BQC17" s="218"/>
      <c r="BQD17" s="222">
        <v>27883</v>
      </c>
      <c r="BQE17" s="223"/>
      <c r="BQF17" s="224"/>
      <c r="BQG17" s="217" t="s">
        <v>101</v>
      </c>
      <c r="BQH17" s="218"/>
      <c r="BQI17" s="222">
        <v>3176</v>
      </c>
      <c r="BQJ17" s="223"/>
      <c r="BQK17" s="224"/>
      <c r="BQL17" s="217" t="s">
        <v>41</v>
      </c>
      <c r="BQM17" s="218"/>
      <c r="BQN17" s="222">
        <v>0</v>
      </c>
      <c r="BQO17" s="223"/>
      <c r="BQP17" s="224"/>
      <c r="BQQ17" s="217" t="s">
        <v>99</v>
      </c>
      <c r="BQR17" s="218"/>
      <c r="BQS17" s="222">
        <v>0</v>
      </c>
      <c r="BQT17" s="223"/>
      <c r="BQU17" s="224"/>
      <c r="BQV17" s="217" t="s">
        <v>98</v>
      </c>
      <c r="BQW17" s="218"/>
      <c r="BQX17" s="222">
        <v>3620.5</v>
      </c>
      <c r="BQY17" s="223"/>
      <c r="BQZ17" s="224"/>
      <c r="BRA17" s="217" t="s">
        <v>97</v>
      </c>
      <c r="BRB17" s="218"/>
      <c r="BRC17" s="222">
        <v>0</v>
      </c>
      <c r="BRD17" s="223"/>
      <c r="BRE17" s="224"/>
      <c r="BRF17" s="217" t="s">
        <v>96</v>
      </c>
      <c r="BRG17" s="218"/>
      <c r="BRH17" s="222">
        <v>14550</v>
      </c>
      <c r="BRI17" s="223"/>
      <c r="BRJ17" s="224"/>
      <c r="BRK17" s="217" t="s">
        <v>102</v>
      </c>
      <c r="BRL17" s="218"/>
      <c r="BRM17" s="222">
        <v>9156</v>
      </c>
      <c r="BRN17" s="223"/>
      <c r="BRO17" s="224"/>
      <c r="BRP17" s="217" t="s">
        <v>101</v>
      </c>
      <c r="BRQ17" s="218"/>
      <c r="BRR17" s="222">
        <v>0</v>
      </c>
      <c r="BRS17" s="223"/>
      <c r="BRT17" s="224"/>
      <c r="BRU17" s="217" t="s">
        <v>41</v>
      </c>
      <c r="BRV17" s="218"/>
      <c r="BRW17" s="222">
        <v>0</v>
      </c>
      <c r="BRX17" s="223"/>
      <c r="BRY17" s="224"/>
      <c r="BRZ17" s="217" t="s">
        <v>99</v>
      </c>
      <c r="BSA17" s="218"/>
      <c r="BSB17" s="222">
        <v>0</v>
      </c>
      <c r="BSC17" s="223"/>
      <c r="BSD17" s="224"/>
      <c r="BSE17" s="217" t="s">
        <v>98</v>
      </c>
      <c r="BSF17" s="218"/>
      <c r="BSG17" s="222">
        <v>0</v>
      </c>
      <c r="BSH17" s="223"/>
      <c r="BSI17" s="224"/>
      <c r="BSJ17" s="217" t="s">
        <v>97</v>
      </c>
      <c r="BSK17" s="218"/>
      <c r="BSL17" s="222">
        <v>4033</v>
      </c>
      <c r="BSM17" s="223"/>
      <c r="BSN17" s="224"/>
      <c r="BSO17" s="217" t="s">
        <v>96</v>
      </c>
      <c r="BSP17" s="218"/>
      <c r="BSQ17" s="222">
        <v>0</v>
      </c>
      <c r="BSR17" s="223"/>
      <c r="BSS17" s="224"/>
      <c r="BST17" s="217" t="s">
        <v>102</v>
      </c>
      <c r="BSU17" s="218"/>
      <c r="BSV17" s="222">
        <v>0</v>
      </c>
      <c r="BSW17" s="223"/>
      <c r="BSX17" s="224"/>
      <c r="BSY17" s="217" t="s">
        <v>101</v>
      </c>
      <c r="BSZ17" s="218"/>
      <c r="BTA17" s="222">
        <v>0</v>
      </c>
      <c r="BTB17" s="223"/>
      <c r="BTC17" s="224"/>
      <c r="BTD17" s="217" t="s">
        <v>41</v>
      </c>
      <c r="BTE17" s="218"/>
      <c r="BTF17" s="222">
        <v>0</v>
      </c>
      <c r="BTG17" s="223"/>
      <c r="BTH17" s="224"/>
      <c r="BTI17" s="217" t="s">
        <v>99</v>
      </c>
      <c r="BTJ17" s="218"/>
      <c r="BTK17" s="222">
        <v>4033</v>
      </c>
      <c r="BTL17" s="223"/>
      <c r="BTM17" s="224"/>
      <c r="BTN17" s="217" t="s">
        <v>98</v>
      </c>
      <c r="BTO17" s="218"/>
      <c r="BTP17" s="222">
        <v>0</v>
      </c>
      <c r="BTQ17" s="223"/>
      <c r="BTR17" s="224"/>
      <c r="BTS17" s="217" t="s">
        <v>97</v>
      </c>
      <c r="BTT17" s="218"/>
      <c r="BTU17" s="222">
        <v>12592</v>
      </c>
      <c r="BTV17" s="223"/>
      <c r="BTW17" s="224"/>
      <c r="BTX17" s="217" t="s">
        <v>96</v>
      </c>
      <c r="BTY17" s="218"/>
      <c r="BTZ17" s="222">
        <v>3208</v>
      </c>
      <c r="BUA17" s="223"/>
      <c r="BUB17" s="224"/>
      <c r="BUC17" s="217" t="s">
        <v>102</v>
      </c>
      <c r="BUD17" s="218"/>
      <c r="BUE17" s="222">
        <v>18397</v>
      </c>
      <c r="BUF17" s="223"/>
      <c r="BUG17" s="224"/>
      <c r="BUH17" s="217" t="s">
        <v>96</v>
      </c>
      <c r="BUI17" s="218"/>
      <c r="BUJ17" s="222">
        <v>31156</v>
      </c>
      <c r="BUK17" s="223"/>
      <c r="BUL17" s="224"/>
      <c r="BUM17" s="217" t="s">
        <v>102</v>
      </c>
      <c r="BUN17" s="218"/>
      <c r="BUO17" s="222">
        <v>41034</v>
      </c>
      <c r="BUP17" s="223"/>
      <c r="BUQ17" s="224"/>
      <c r="BUR17" s="217" t="s">
        <v>101</v>
      </c>
      <c r="BUS17" s="218"/>
      <c r="BUT17" s="222">
        <v>0</v>
      </c>
      <c r="BUU17" s="223"/>
      <c r="BUV17" s="224"/>
      <c r="BUW17" s="217" t="s">
        <v>41</v>
      </c>
      <c r="BUX17" s="218"/>
      <c r="BUY17" s="222">
        <v>0</v>
      </c>
      <c r="BUZ17" s="223"/>
      <c r="BVA17" s="224"/>
      <c r="BVB17" s="217" t="s">
        <v>99</v>
      </c>
      <c r="BVC17" s="218"/>
      <c r="BVD17" s="222">
        <v>0</v>
      </c>
      <c r="BVE17" s="223"/>
      <c r="BVF17" s="224"/>
      <c r="BVG17" s="217" t="s">
        <v>99</v>
      </c>
      <c r="BVH17" s="218"/>
      <c r="BVI17" s="222">
        <v>0</v>
      </c>
      <c r="BVJ17" s="223"/>
      <c r="BVK17" s="224"/>
      <c r="BVL17" s="217" t="s">
        <v>98</v>
      </c>
      <c r="BVM17" s="218"/>
      <c r="BVN17" s="222">
        <v>0</v>
      </c>
      <c r="BVO17" s="223"/>
      <c r="BVP17" s="224"/>
      <c r="BVQ17" s="217" t="s">
        <v>97</v>
      </c>
      <c r="BVR17" s="218"/>
      <c r="BVS17" s="222">
        <v>0</v>
      </c>
      <c r="BVT17" s="223"/>
      <c r="BVU17" s="224"/>
      <c r="BVV17" s="217" t="s">
        <v>96</v>
      </c>
      <c r="BVW17" s="218"/>
      <c r="BVX17" s="222">
        <v>19360</v>
      </c>
      <c r="BVY17" s="223"/>
      <c r="BVZ17" s="224"/>
      <c r="BWA17" s="217" t="s">
        <v>102</v>
      </c>
      <c r="BWB17" s="218"/>
      <c r="BWC17" s="222">
        <v>4439</v>
      </c>
      <c r="BWD17" s="223"/>
      <c r="BWE17" s="224"/>
      <c r="BWF17" s="217" t="s">
        <v>101</v>
      </c>
      <c r="BWG17" s="218"/>
      <c r="BWH17" s="222">
        <v>6010</v>
      </c>
      <c r="BWI17" s="223"/>
      <c r="BWJ17" s="224"/>
      <c r="BWK17" s="217" t="s">
        <v>41</v>
      </c>
      <c r="BWL17" s="218"/>
      <c r="BWM17" s="222">
        <v>0</v>
      </c>
      <c r="BWN17" s="223"/>
      <c r="BWO17" s="224"/>
      <c r="BWP17" s="217" t="s">
        <v>99</v>
      </c>
      <c r="BWQ17" s="218"/>
      <c r="BWR17" s="222">
        <v>1417.5</v>
      </c>
      <c r="BWS17" s="223"/>
      <c r="BWT17" s="224"/>
      <c r="BWU17" s="217" t="s">
        <v>98</v>
      </c>
      <c r="BWV17" s="218"/>
      <c r="BWW17" s="222">
        <v>2016.5</v>
      </c>
      <c r="BWX17" s="223"/>
      <c r="BWY17" s="224"/>
      <c r="BWZ17" s="217" t="s">
        <v>97</v>
      </c>
      <c r="BXA17" s="218"/>
      <c r="BXB17" s="222">
        <v>11993</v>
      </c>
      <c r="BXC17" s="223"/>
      <c r="BXD17" s="224"/>
      <c r="BXE17" s="217" t="s">
        <v>96</v>
      </c>
      <c r="BXF17" s="218"/>
      <c r="BXG17" s="222">
        <v>25121</v>
      </c>
      <c r="BXH17" s="223"/>
      <c r="BXI17" s="224"/>
      <c r="BXJ17" s="217" t="s">
        <v>102</v>
      </c>
      <c r="BXK17" s="218"/>
      <c r="BXL17" s="222">
        <v>2835</v>
      </c>
      <c r="BXM17" s="223"/>
      <c r="BXN17" s="224"/>
      <c r="BXO17" s="217" t="s">
        <v>101</v>
      </c>
      <c r="BXP17" s="218"/>
      <c r="BXQ17" s="222">
        <v>0</v>
      </c>
      <c r="BXR17" s="223"/>
      <c r="BXS17" s="224"/>
      <c r="BXT17" s="217" t="s">
        <v>41</v>
      </c>
      <c r="BXU17" s="218"/>
      <c r="BXV17" s="222">
        <v>0</v>
      </c>
      <c r="BXW17" s="223"/>
      <c r="BXX17" s="224"/>
      <c r="BXY17" s="217" t="s">
        <v>41</v>
      </c>
      <c r="BXZ17" s="218"/>
      <c r="BYA17" s="222">
        <v>0</v>
      </c>
      <c r="BYB17" s="223"/>
      <c r="BYC17" s="224"/>
      <c r="BYD17" s="217" t="s">
        <v>41</v>
      </c>
      <c r="BYE17" s="218"/>
      <c r="BYF17" s="222">
        <v>0</v>
      </c>
      <c r="BYG17" s="223"/>
      <c r="BYH17" s="224"/>
      <c r="BYI17" s="217" t="s">
        <v>99</v>
      </c>
      <c r="BYJ17" s="218"/>
      <c r="BYK17" s="222">
        <v>0</v>
      </c>
      <c r="BYL17" s="223"/>
      <c r="BYM17" s="224"/>
      <c r="BYN17" s="217" t="s">
        <v>98</v>
      </c>
      <c r="BYO17" s="218"/>
      <c r="BYP17" s="222">
        <v>0</v>
      </c>
      <c r="BYQ17" s="223"/>
      <c r="BYR17" s="224"/>
      <c r="BYS17" s="217" t="s">
        <v>97</v>
      </c>
      <c r="BYT17" s="218"/>
      <c r="BYU17" s="222">
        <v>4033</v>
      </c>
      <c r="BYV17" s="223"/>
      <c r="BYW17" s="224"/>
      <c r="BYX17" s="217" t="s">
        <v>96</v>
      </c>
      <c r="BYY17" s="218"/>
      <c r="BYZ17" s="222">
        <v>10041</v>
      </c>
      <c r="BZA17" s="223"/>
      <c r="BZB17" s="224"/>
      <c r="BZC17" s="217" t="s">
        <v>102</v>
      </c>
      <c r="BZD17" s="218"/>
      <c r="BZE17" s="222">
        <v>7714</v>
      </c>
      <c r="BZF17" s="223"/>
      <c r="BZG17" s="224"/>
      <c r="BZH17" s="217" t="s">
        <v>101</v>
      </c>
      <c r="BZI17" s="218"/>
      <c r="BZJ17" s="222">
        <v>0</v>
      </c>
      <c r="BZK17" s="223"/>
      <c r="BZL17" s="224"/>
      <c r="BZM17" s="217" t="s">
        <v>41</v>
      </c>
      <c r="BZN17" s="218"/>
      <c r="BZO17" s="222">
        <v>0</v>
      </c>
      <c r="BZP17" s="223"/>
      <c r="BZQ17" s="224"/>
      <c r="BZR17" s="217" t="s">
        <v>99</v>
      </c>
      <c r="BZS17" s="218"/>
      <c r="BZT17" s="222">
        <v>11274</v>
      </c>
      <c r="BZU17" s="223"/>
      <c r="BZV17" s="224"/>
      <c r="BZW17" s="217" t="s">
        <v>98</v>
      </c>
      <c r="BZX17" s="218"/>
      <c r="BZY17" s="222">
        <v>7870</v>
      </c>
      <c r="BZZ17" s="223"/>
      <c r="CAA17" s="224"/>
      <c r="CAB17" s="217" t="s">
        <v>97</v>
      </c>
      <c r="CAC17" s="218"/>
      <c r="CAD17" s="222">
        <v>4812</v>
      </c>
      <c r="CAE17" s="223"/>
      <c r="CAF17" s="224"/>
      <c r="CAG17" s="217" t="s">
        <v>101</v>
      </c>
      <c r="CAH17" s="218"/>
      <c r="CAI17" s="222">
        <v>0</v>
      </c>
      <c r="CAJ17" s="223"/>
      <c r="CAK17" s="224"/>
      <c r="CAL17" s="217" t="s">
        <v>41</v>
      </c>
      <c r="CAM17" s="218"/>
      <c r="CAN17" s="222">
        <v>0</v>
      </c>
      <c r="CAO17" s="223"/>
      <c r="CAP17" s="224"/>
      <c r="CAQ17" s="217" t="s">
        <v>99</v>
      </c>
      <c r="CAR17" s="218"/>
      <c r="CAS17" s="222">
        <v>5450.5</v>
      </c>
      <c r="CAT17" s="223"/>
      <c r="CAU17" s="224"/>
      <c r="CAV17" s="217" t="s">
        <v>98</v>
      </c>
      <c r="CAW17" s="218"/>
      <c r="CAX17" s="222">
        <v>0</v>
      </c>
      <c r="CAY17" s="223"/>
      <c r="CAZ17" s="224"/>
      <c r="CBA17" s="217" t="s">
        <v>97</v>
      </c>
      <c r="CBB17" s="218"/>
      <c r="CBC17" s="222">
        <v>0</v>
      </c>
      <c r="CBD17" s="223"/>
      <c r="CBE17" s="224"/>
      <c r="CBF17" s="217" t="s">
        <v>96</v>
      </c>
      <c r="CBG17" s="218"/>
      <c r="CBH17" s="222">
        <v>13979.5</v>
      </c>
      <c r="CBI17" s="223"/>
      <c r="CBJ17" s="224"/>
      <c r="CBK17" s="217" t="s">
        <v>102</v>
      </c>
      <c r="CBL17" s="218"/>
      <c r="CBM17" s="222">
        <v>4506</v>
      </c>
      <c r="CBN17" s="223"/>
      <c r="CBO17" s="224"/>
      <c r="CBP17" s="217" t="s">
        <v>101</v>
      </c>
      <c r="CBQ17" s="218"/>
      <c r="CBR17" s="222">
        <v>12538</v>
      </c>
      <c r="CBS17" s="223"/>
      <c r="CBT17" s="224"/>
      <c r="CBU17" s="217" t="s">
        <v>41</v>
      </c>
      <c r="CBV17" s="218"/>
      <c r="CBW17" s="222">
        <v>0</v>
      </c>
      <c r="CBX17" s="223"/>
      <c r="CBY17" s="224"/>
      <c r="CBZ17" s="217" t="s">
        <v>99</v>
      </c>
      <c r="CCA17" s="218"/>
      <c r="CCB17" s="222">
        <v>4710</v>
      </c>
      <c r="CCC17" s="223"/>
      <c r="CCD17" s="224"/>
      <c r="CCE17" s="217" t="s">
        <v>98</v>
      </c>
      <c r="CCF17" s="218"/>
      <c r="CCG17" s="222">
        <v>7512</v>
      </c>
      <c r="CCH17" s="223"/>
      <c r="CCI17" s="224"/>
      <c r="CCJ17" s="217" t="s">
        <v>97</v>
      </c>
      <c r="CCK17" s="218"/>
      <c r="CCL17" s="222">
        <v>3004</v>
      </c>
      <c r="CCM17" s="223"/>
      <c r="CCN17" s="224"/>
      <c r="CCO17" s="217" t="s">
        <v>96</v>
      </c>
      <c r="CCP17" s="218"/>
      <c r="CCQ17" s="222">
        <v>4507</v>
      </c>
      <c r="CCR17" s="223"/>
      <c r="CCS17" s="224"/>
      <c r="CCT17" s="217" t="s">
        <v>102</v>
      </c>
      <c r="CCU17" s="218"/>
      <c r="CCV17" s="222">
        <v>14934</v>
      </c>
      <c r="CCW17" s="223"/>
      <c r="CCX17" s="224"/>
      <c r="CCY17" s="217" t="s">
        <v>41</v>
      </c>
      <c r="CCZ17" s="218"/>
      <c r="CDA17" s="222">
        <v>0</v>
      </c>
      <c r="CDB17" s="223"/>
      <c r="CDC17" s="224"/>
      <c r="CDD17" s="217" t="s">
        <v>99</v>
      </c>
      <c r="CDE17" s="218"/>
      <c r="CDF17" s="222">
        <v>3004</v>
      </c>
      <c r="CDG17" s="223"/>
      <c r="CDH17" s="224"/>
      <c r="CDI17" s="217" t="s">
        <v>98</v>
      </c>
      <c r="CDJ17" s="218"/>
      <c r="CDK17" s="222">
        <v>3005</v>
      </c>
      <c r="CDL17" s="223"/>
      <c r="CDM17" s="224"/>
      <c r="CDN17" s="217" t="s">
        <v>97</v>
      </c>
      <c r="CDO17" s="218"/>
      <c r="CDP17" s="222">
        <v>10515</v>
      </c>
      <c r="CDQ17" s="223"/>
      <c r="CDR17" s="224"/>
      <c r="CDS17" s="217" t="s">
        <v>96</v>
      </c>
      <c r="CDT17" s="218"/>
      <c r="CDU17" s="222">
        <v>24319</v>
      </c>
      <c r="CDV17" s="223"/>
      <c r="CDW17" s="224"/>
      <c r="CDX17" s="217" t="s">
        <v>102</v>
      </c>
      <c r="CDY17" s="218"/>
      <c r="CDZ17" s="222">
        <v>23562</v>
      </c>
      <c r="CEA17" s="223"/>
      <c r="CEB17" s="224"/>
      <c r="CEC17" s="217" t="s">
        <v>101</v>
      </c>
      <c r="CED17" s="218"/>
      <c r="CEE17" s="222">
        <v>10082.5</v>
      </c>
      <c r="CEF17" s="223"/>
      <c r="CEG17" s="224"/>
      <c r="CEH17" s="217" t="s">
        <v>41</v>
      </c>
      <c r="CEI17" s="218"/>
      <c r="CEJ17" s="222">
        <v>0</v>
      </c>
      <c r="CEK17" s="223"/>
      <c r="CEL17" s="224"/>
      <c r="CEM17" s="217" t="s">
        <v>99</v>
      </c>
      <c r="CEN17" s="218"/>
      <c r="CEO17" s="222">
        <v>0</v>
      </c>
      <c r="CEP17" s="223"/>
      <c r="CEQ17" s="224"/>
      <c r="CER17" s="217" t="s">
        <v>99</v>
      </c>
      <c r="CES17" s="218"/>
      <c r="CET17" s="222">
        <v>0</v>
      </c>
      <c r="CEU17" s="223"/>
      <c r="CEV17" s="224"/>
      <c r="CEW17" s="217" t="s">
        <v>98</v>
      </c>
      <c r="CEX17" s="218"/>
      <c r="CEY17" s="222">
        <v>0</v>
      </c>
      <c r="CEZ17" s="223"/>
      <c r="CFA17" s="224"/>
      <c r="CFB17" s="217" t="s">
        <v>97</v>
      </c>
      <c r="CFC17" s="218"/>
      <c r="CFD17" s="222">
        <v>21104</v>
      </c>
      <c r="CFE17" s="223"/>
      <c r="CFF17" s="224"/>
      <c r="CFG17" s="217" t="s">
        <v>96</v>
      </c>
      <c r="CFH17" s="218"/>
      <c r="CFI17" s="222">
        <v>39530.5</v>
      </c>
      <c r="CFJ17" s="223"/>
      <c r="CFK17" s="224"/>
      <c r="CFL17" s="217" t="s">
        <v>102</v>
      </c>
      <c r="CFM17" s="218"/>
      <c r="CFN17" s="222">
        <v>37085</v>
      </c>
      <c r="CFO17" s="223"/>
      <c r="CFP17" s="224"/>
      <c r="CFQ17" s="217" t="s">
        <v>41</v>
      </c>
      <c r="CFR17" s="218"/>
      <c r="CFS17" s="222">
        <v>0</v>
      </c>
      <c r="CFT17" s="223"/>
      <c r="CFU17" s="224"/>
      <c r="CFV17" s="217" t="s">
        <v>99</v>
      </c>
      <c r="CFW17" s="218"/>
      <c r="CFX17" s="222">
        <v>0</v>
      </c>
      <c r="CFY17" s="223"/>
      <c r="CFZ17" s="224"/>
      <c r="CGA17" s="217" t="s">
        <v>98</v>
      </c>
      <c r="CGB17" s="218"/>
      <c r="CGC17" s="222">
        <v>5607</v>
      </c>
      <c r="CGD17" s="223"/>
      <c r="CGE17" s="224"/>
      <c r="CGF17" s="217" t="s">
        <v>97</v>
      </c>
      <c r="CGG17" s="218"/>
      <c r="CGH17" s="222">
        <v>42352</v>
      </c>
      <c r="CGI17" s="223"/>
      <c r="CGJ17" s="224"/>
      <c r="CGK17" s="217" t="s">
        <v>96</v>
      </c>
      <c r="CGL17" s="218"/>
      <c r="CGM17" s="222">
        <v>30048</v>
      </c>
      <c r="CGN17" s="223"/>
      <c r="CGO17" s="224"/>
      <c r="CGP17" s="217" t="s">
        <v>102</v>
      </c>
      <c r="CGQ17" s="218"/>
      <c r="CGR17" s="222">
        <v>25552</v>
      </c>
      <c r="CGS17" s="223"/>
      <c r="CGT17" s="224"/>
      <c r="CGU17" s="217" t="s">
        <v>41</v>
      </c>
      <c r="CGV17" s="218"/>
      <c r="CGW17" s="222">
        <v>0</v>
      </c>
      <c r="CGX17" s="223"/>
      <c r="CGY17" s="224"/>
      <c r="CGZ17" s="217" t="s">
        <v>99</v>
      </c>
      <c r="CHA17" s="218"/>
      <c r="CHB17" s="222">
        <v>1574</v>
      </c>
      <c r="CHC17" s="223"/>
      <c r="CHD17" s="224"/>
      <c r="CHE17" s="217" t="s">
        <v>98</v>
      </c>
      <c r="CHF17" s="218"/>
      <c r="CHG17" s="222">
        <v>0</v>
      </c>
      <c r="CHH17" s="223"/>
      <c r="CHI17" s="224"/>
      <c r="CHJ17" s="217" t="s">
        <v>96</v>
      </c>
      <c r="CHK17" s="218"/>
      <c r="CHL17" s="222">
        <v>0</v>
      </c>
      <c r="CHM17" s="223"/>
      <c r="CHN17" s="224"/>
      <c r="CHO17" s="217" t="s">
        <v>102</v>
      </c>
      <c r="CHP17" s="218"/>
      <c r="CHQ17" s="222">
        <v>13594.5</v>
      </c>
      <c r="CHR17" s="223"/>
      <c r="CHS17" s="224"/>
      <c r="CHT17" s="217" t="s">
        <v>101</v>
      </c>
      <c r="CHU17" s="218"/>
      <c r="CHV17" s="222">
        <v>0</v>
      </c>
      <c r="CHW17" s="223"/>
      <c r="CHX17" s="224"/>
      <c r="CHY17" s="217" t="s">
        <v>41</v>
      </c>
      <c r="CHZ17" s="218"/>
      <c r="CIA17" s="222">
        <v>0</v>
      </c>
      <c r="CIB17" s="223"/>
      <c r="CIC17" s="224"/>
      <c r="CID17" s="217" t="s">
        <v>99</v>
      </c>
      <c r="CIE17" s="218"/>
      <c r="CIF17" s="222">
        <v>0</v>
      </c>
      <c r="CIG17" s="223"/>
      <c r="CIH17" s="224"/>
      <c r="CII17" s="217" t="s">
        <v>98</v>
      </c>
      <c r="CIJ17" s="218"/>
      <c r="CIK17" s="222">
        <v>1502</v>
      </c>
      <c r="CIL17" s="223"/>
      <c r="CIM17" s="224"/>
      <c r="CIN17" s="217" t="s">
        <v>97</v>
      </c>
      <c r="CIO17" s="218"/>
      <c r="CIP17" s="222">
        <v>9012</v>
      </c>
      <c r="CIQ17" s="223"/>
      <c r="CIR17" s="224"/>
      <c r="CIS17" s="217" t="s">
        <v>96</v>
      </c>
      <c r="CIT17" s="218"/>
      <c r="CIU17" s="222">
        <v>0</v>
      </c>
      <c r="CIV17" s="223"/>
      <c r="CIW17" s="224"/>
      <c r="CIX17" s="217" t="s">
        <v>102</v>
      </c>
      <c r="CIY17" s="218"/>
      <c r="CIZ17" s="222">
        <v>9444</v>
      </c>
      <c r="CJA17" s="223"/>
      <c r="CJB17" s="224"/>
      <c r="CJC17" s="217" t="s">
        <v>41</v>
      </c>
      <c r="CJD17" s="218"/>
      <c r="CJE17" s="222">
        <v>0</v>
      </c>
      <c r="CJF17" s="223"/>
      <c r="CJG17" s="224"/>
      <c r="CJH17" s="217" t="s">
        <v>99</v>
      </c>
      <c r="CJI17" s="218"/>
      <c r="CJJ17" s="222">
        <v>0</v>
      </c>
      <c r="CJK17" s="223"/>
      <c r="CJL17" s="224"/>
      <c r="CJM17" s="217" t="s">
        <v>98</v>
      </c>
      <c r="CJN17" s="218"/>
      <c r="CJO17" s="222">
        <v>0</v>
      </c>
      <c r="CJP17" s="223"/>
      <c r="CJQ17" s="224"/>
      <c r="CJR17" s="217" t="s">
        <v>97</v>
      </c>
      <c r="CJS17" s="218"/>
      <c r="CJT17" s="222">
        <v>3021.5</v>
      </c>
      <c r="CJU17" s="223"/>
      <c r="CJV17" s="224"/>
      <c r="CJW17" s="217" t="s">
        <v>96</v>
      </c>
      <c r="CJX17" s="218"/>
      <c r="CJY17" s="222">
        <v>7623.5</v>
      </c>
      <c r="CJZ17" s="223"/>
      <c r="CKA17" s="224"/>
      <c r="CKB17" s="217" t="s">
        <v>102</v>
      </c>
      <c r="CKC17" s="218"/>
      <c r="CKD17" s="222">
        <v>7990</v>
      </c>
      <c r="CKE17" s="223"/>
      <c r="CKF17" s="224"/>
      <c r="CKG17" s="217" t="s">
        <v>101</v>
      </c>
      <c r="CKH17" s="218"/>
      <c r="CKI17" s="222">
        <v>0</v>
      </c>
      <c r="CKJ17" s="223"/>
      <c r="CKK17" s="224"/>
      <c r="CKL17" s="217" t="s">
        <v>41</v>
      </c>
      <c r="CKM17" s="218"/>
      <c r="CKN17" s="222">
        <v>0</v>
      </c>
      <c r="CKO17" s="223"/>
      <c r="CKP17" s="224"/>
      <c r="CKQ17" s="217" t="s">
        <v>99</v>
      </c>
      <c r="CKR17" s="218"/>
      <c r="CKS17" s="222">
        <v>0</v>
      </c>
      <c r="CKT17" s="223"/>
      <c r="CKU17" s="224"/>
      <c r="CKV17" s="217" t="s">
        <v>98</v>
      </c>
      <c r="CKW17" s="218"/>
      <c r="CKX17" s="222">
        <v>4422.5</v>
      </c>
      <c r="CKY17" s="223"/>
      <c r="CKZ17" s="224"/>
      <c r="CLA17" s="217" t="s">
        <v>97</v>
      </c>
      <c r="CLB17" s="218"/>
      <c r="CLC17" s="222">
        <v>18028</v>
      </c>
      <c r="CLD17" s="223"/>
      <c r="CLE17" s="224"/>
      <c r="CLF17" s="217" t="s">
        <v>96</v>
      </c>
      <c r="CLG17" s="218"/>
      <c r="CLH17" s="222">
        <v>60434.899999999994</v>
      </c>
      <c r="CLI17" s="223"/>
      <c r="CLJ17" s="224"/>
      <c r="CLK17" s="217" t="s">
        <v>102</v>
      </c>
      <c r="CLL17" s="218"/>
      <c r="CLM17" s="222">
        <v>32658</v>
      </c>
      <c r="CLN17" s="223"/>
      <c r="CLO17" s="224"/>
      <c r="CLP17" s="217" t="s">
        <v>101</v>
      </c>
      <c r="CLQ17" s="218"/>
      <c r="CLR17" s="222">
        <v>25575</v>
      </c>
      <c r="CLS17" s="223"/>
      <c r="CLT17" s="224"/>
      <c r="CLU17" s="217" t="s">
        <v>41</v>
      </c>
      <c r="CLV17" s="218"/>
      <c r="CLW17" s="222">
        <v>0</v>
      </c>
      <c r="CLX17" s="223"/>
      <c r="CLY17" s="224"/>
      <c r="CLZ17" s="217" t="s">
        <v>99</v>
      </c>
      <c r="CMA17" s="218"/>
      <c r="CMB17" s="222">
        <v>0</v>
      </c>
      <c r="CMC17" s="223"/>
      <c r="CMD17" s="224"/>
      <c r="CME17" s="217" t="s">
        <v>98</v>
      </c>
      <c r="CMF17" s="218"/>
      <c r="CMG17" s="222">
        <v>12489</v>
      </c>
      <c r="CMH17" s="223"/>
      <c r="CMI17" s="224"/>
      <c r="CMJ17" s="217" t="s">
        <v>96</v>
      </c>
      <c r="CMK17" s="218"/>
      <c r="CML17" s="222">
        <v>4507</v>
      </c>
      <c r="CMM17" s="223"/>
      <c r="CMN17" s="224"/>
      <c r="CMO17" s="217" t="s">
        <v>102</v>
      </c>
      <c r="CMP17" s="218"/>
      <c r="CMQ17" s="222">
        <v>25649.5</v>
      </c>
      <c r="CMR17" s="223"/>
      <c r="CMS17" s="224"/>
      <c r="CMT17" s="217" t="s">
        <v>101</v>
      </c>
      <c r="CMU17" s="218"/>
      <c r="CMV17" s="222">
        <v>8505</v>
      </c>
      <c r="CMW17" s="223"/>
      <c r="CMX17" s="224"/>
      <c r="CMY17" s="217" t="s">
        <v>41</v>
      </c>
      <c r="CMZ17" s="218"/>
      <c r="CNA17" s="222">
        <v>0</v>
      </c>
      <c r="CNB17" s="223"/>
      <c r="CNC17" s="224"/>
      <c r="CND17" s="217" t="s">
        <v>99</v>
      </c>
      <c r="CNE17" s="218"/>
      <c r="CNF17" s="222">
        <v>0</v>
      </c>
      <c r="CNG17" s="223"/>
      <c r="CNH17" s="224"/>
      <c r="CNI17" s="217" t="s">
        <v>98</v>
      </c>
      <c r="CNJ17" s="218"/>
      <c r="CNK17" s="222">
        <v>3005</v>
      </c>
      <c r="CNL17" s="223"/>
      <c r="CNM17" s="224"/>
      <c r="CNN17" s="217" t="s">
        <v>97</v>
      </c>
      <c r="CNO17" s="218"/>
      <c r="CNP17" s="222">
        <v>17369</v>
      </c>
      <c r="CNQ17" s="223"/>
      <c r="CNR17" s="224"/>
      <c r="CNS17" s="217" t="s">
        <v>96</v>
      </c>
      <c r="CNT17" s="218"/>
      <c r="CNU17" s="222">
        <v>24139</v>
      </c>
      <c r="CNV17" s="223"/>
      <c r="CNW17" s="224"/>
      <c r="CNX17" s="217" t="s">
        <v>102</v>
      </c>
      <c r="CNY17" s="218"/>
      <c r="CNZ17" s="222">
        <v>12018</v>
      </c>
      <c r="COA17" s="223"/>
      <c r="COB17" s="224"/>
      <c r="COC17" s="217" t="s">
        <v>101</v>
      </c>
      <c r="COD17" s="218"/>
      <c r="COE17" s="222">
        <v>13482.4</v>
      </c>
      <c r="COF17" s="223"/>
      <c r="COG17" s="224"/>
      <c r="COH17" s="217" t="s">
        <v>41</v>
      </c>
      <c r="COI17" s="218"/>
      <c r="COJ17" s="222">
        <v>0</v>
      </c>
      <c r="COK17" s="223"/>
      <c r="COL17" s="224"/>
      <c r="COM17" s="217" t="s">
        <v>99</v>
      </c>
      <c r="CON17" s="218"/>
      <c r="COO17" s="222">
        <v>4033</v>
      </c>
      <c r="COP17" s="223"/>
      <c r="COQ17" s="224"/>
      <c r="COR17" s="217" t="s">
        <v>99</v>
      </c>
      <c r="COS17" s="218"/>
      <c r="COT17" s="222">
        <v>0</v>
      </c>
      <c r="COU17" s="223"/>
      <c r="COV17" s="224"/>
      <c r="COW17" s="217" t="s">
        <v>98</v>
      </c>
      <c r="COX17" s="218"/>
      <c r="COY17" s="222">
        <v>8314.5</v>
      </c>
      <c r="COZ17" s="223"/>
      <c r="CPA17" s="224"/>
      <c r="CPB17" s="217" t="s">
        <v>97</v>
      </c>
      <c r="CPC17" s="218"/>
      <c r="CPD17" s="222">
        <v>10759.5</v>
      </c>
      <c r="CPE17" s="223"/>
      <c r="CPF17" s="224"/>
      <c r="CPG17" s="217" t="s">
        <v>97</v>
      </c>
      <c r="CPH17" s="218"/>
      <c r="CPI17" s="222">
        <v>9251</v>
      </c>
      <c r="CPJ17" s="223"/>
      <c r="CPK17" s="224"/>
      <c r="CPL17" s="217" t="s">
        <v>97</v>
      </c>
      <c r="CPM17" s="218"/>
      <c r="CPN17" s="222">
        <v>4163.7800000000007</v>
      </c>
      <c r="CPO17" s="223"/>
      <c r="CPP17" s="224"/>
      <c r="CPQ17" s="217" t="s">
        <v>96</v>
      </c>
      <c r="CPR17" s="218"/>
      <c r="CPS17" s="222">
        <v>21790</v>
      </c>
      <c r="CPT17" s="223"/>
      <c r="CPU17" s="224"/>
      <c r="CPV17" s="217" t="s">
        <v>99</v>
      </c>
      <c r="CPW17" s="218"/>
      <c r="CPX17" s="222">
        <v>5856.5</v>
      </c>
      <c r="CPY17" s="223"/>
      <c r="CPZ17" s="224"/>
      <c r="CQA17" s="217" t="s">
        <v>98</v>
      </c>
      <c r="CQB17" s="218"/>
      <c r="CQC17" s="222">
        <v>5621</v>
      </c>
      <c r="CQD17" s="223"/>
      <c r="CQE17" s="224"/>
      <c r="CQF17" s="217" t="s">
        <v>97</v>
      </c>
      <c r="CQG17" s="218"/>
      <c r="CQH17" s="222">
        <v>0</v>
      </c>
      <c r="CQI17" s="223"/>
      <c r="CQJ17" s="224"/>
      <c r="CQK17" s="217" t="s">
        <v>96</v>
      </c>
      <c r="CQL17" s="218"/>
      <c r="CQM17" s="222">
        <v>47295</v>
      </c>
      <c r="CQN17" s="223"/>
      <c r="CQO17" s="224"/>
      <c r="CQP17" s="217" t="s">
        <v>102</v>
      </c>
      <c r="CQQ17" s="218"/>
      <c r="CQR17" s="222">
        <v>10082.5</v>
      </c>
      <c r="CQS17" s="223"/>
      <c r="CQT17" s="224"/>
      <c r="CQU17" s="217" t="s">
        <v>41</v>
      </c>
      <c r="CQV17" s="218"/>
      <c r="CQW17" s="222">
        <v>0</v>
      </c>
      <c r="CQX17" s="223"/>
      <c r="CQY17" s="224"/>
      <c r="CQZ17" s="217" t="s">
        <v>96</v>
      </c>
      <c r="CRA17" s="218"/>
      <c r="CRB17" s="222">
        <v>26041.5</v>
      </c>
      <c r="CRC17" s="223"/>
      <c r="CRD17" s="224"/>
      <c r="CRE17" s="310" t="s">
        <v>34</v>
      </c>
      <c r="CRF17" s="311"/>
      <c r="CRG17" s="312">
        <v>42828.75</v>
      </c>
      <c r="CRH17" s="313"/>
      <c r="CRI17" s="314"/>
      <c r="CRJ17" s="310" t="s">
        <v>42</v>
      </c>
      <c r="CRK17" s="311"/>
      <c r="CRL17" s="312">
        <v>100</v>
      </c>
      <c r="CRM17" s="313"/>
      <c r="CRN17" s="314"/>
      <c r="CRO17" s="310" t="s">
        <v>36</v>
      </c>
      <c r="CRP17" s="311"/>
      <c r="CRQ17" s="312">
        <v>1417.5</v>
      </c>
      <c r="CRR17" s="313"/>
      <c r="CRS17" s="314"/>
      <c r="CRT17" s="310" t="s">
        <v>35</v>
      </c>
      <c r="CRU17" s="311"/>
      <c r="CRV17" s="312">
        <v>10791.25</v>
      </c>
      <c r="CRW17" s="313"/>
      <c r="CRX17" s="314"/>
      <c r="CRY17" s="339" t="s">
        <v>35</v>
      </c>
      <c r="CRZ17" s="340"/>
      <c r="CSA17" s="312">
        <v>28626</v>
      </c>
      <c r="CSB17" s="314"/>
      <c r="CSC17" s="339" t="s">
        <v>34</v>
      </c>
      <c r="CSD17" s="340"/>
      <c r="CSE17" s="312">
        <v>13521</v>
      </c>
      <c r="CSF17" s="314"/>
      <c r="CSG17" s="339" t="s">
        <v>37</v>
      </c>
      <c r="CSH17" s="340"/>
      <c r="CSI17" s="312">
        <v>2296</v>
      </c>
      <c r="CSJ17" s="314"/>
      <c r="CSK17" s="339" t="s">
        <v>37</v>
      </c>
      <c r="CSL17" s="340"/>
      <c r="CSM17" s="312">
        <v>6010</v>
      </c>
      <c r="CSN17" s="314"/>
      <c r="CSO17" s="339" t="s">
        <v>36</v>
      </c>
      <c r="CSP17" s="340"/>
      <c r="CSQ17" s="312">
        <v>15125</v>
      </c>
      <c r="CSR17" s="314"/>
      <c r="CSS17" s="339" t="s">
        <v>36</v>
      </c>
      <c r="CST17" s="340"/>
      <c r="CSU17" s="312"/>
      <c r="CSV17" s="314"/>
      <c r="CSW17" s="339" t="s">
        <v>42</v>
      </c>
      <c r="CSX17" s="340"/>
      <c r="CSY17" s="312">
        <v>8841.75</v>
      </c>
      <c r="CSZ17" s="314"/>
      <c r="CTA17" s="339" t="s">
        <v>36</v>
      </c>
      <c r="CTB17" s="340"/>
      <c r="CTC17" s="312">
        <v>16586.5</v>
      </c>
      <c r="CTD17" s="314"/>
      <c r="CTE17" s="339" t="s">
        <v>35</v>
      </c>
      <c r="CTF17" s="340"/>
      <c r="CTG17" s="312">
        <v>31554</v>
      </c>
      <c r="CTH17" s="314"/>
      <c r="CTI17" s="339" t="s">
        <v>34</v>
      </c>
      <c r="CTJ17" s="340"/>
      <c r="CTK17" s="312"/>
      <c r="CTL17" s="314"/>
      <c r="CTM17" s="339" t="s">
        <v>37</v>
      </c>
      <c r="CTN17" s="340"/>
      <c r="CTO17" s="312">
        <v>0</v>
      </c>
      <c r="CTP17" s="314"/>
      <c r="CTQ17" s="339" t="s">
        <v>42</v>
      </c>
      <c r="CTR17" s="340"/>
      <c r="CTS17" s="312">
        <v>4337</v>
      </c>
      <c r="CTT17" s="314"/>
      <c r="CTU17" s="339" t="s">
        <v>36</v>
      </c>
      <c r="CTV17" s="340"/>
      <c r="CTW17" s="312">
        <v>4033</v>
      </c>
      <c r="CTX17" s="314"/>
      <c r="CTY17" s="339" t="s">
        <v>35</v>
      </c>
      <c r="CTZ17" s="340"/>
      <c r="CUA17" s="312">
        <v>12099</v>
      </c>
      <c r="CUB17" s="314"/>
      <c r="CUC17" s="339" t="s">
        <v>35</v>
      </c>
      <c r="CUD17" s="340"/>
      <c r="CUE17" s="312"/>
      <c r="CUF17" s="314"/>
      <c r="CUG17" s="339" t="s">
        <v>37</v>
      </c>
      <c r="CUH17" s="340"/>
      <c r="CUI17" s="312">
        <v>0</v>
      </c>
      <c r="CUJ17" s="314"/>
      <c r="CUK17" s="339" t="s">
        <v>42</v>
      </c>
      <c r="CUL17" s="340"/>
      <c r="CUM17" s="312">
        <v>802</v>
      </c>
      <c r="CUN17" s="314"/>
      <c r="CUO17" s="339" t="s">
        <v>36</v>
      </c>
      <c r="CUP17" s="340"/>
      <c r="CUQ17" s="312">
        <v>6868</v>
      </c>
      <c r="CUR17" s="314"/>
      <c r="CUS17" s="339" t="s">
        <v>36</v>
      </c>
      <c r="CUT17" s="340"/>
      <c r="CUU17" s="312">
        <v>20559</v>
      </c>
      <c r="CUV17" s="314"/>
      <c r="CUW17" s="339" t="s">
        <v>37</v>
      </c>
      <c r="CUX17" s="340"/>
      <c r="CUY17" s="312">
        <v>1502</v>
      </c>
      <c r="CUZ17" s="314"/>
      <c r="CVA17" s="339" t="s">
        <v>42</v>
      </c>
      <c r="CVB17" s="340"/>
      <c r="CVC17" s="312">
        <v>0</v>
      </c>
      <c r="CVD17" s="314"/>
      <c r="CVE17" s="339" t="s">
        <v>36</v>
      </c>
      <c r="CVF17" s="340"/>
      <c r="CVG17" s="312"/>
      <c r="CVH17" s="314"/>
      <c r="CVI17" s="339" t="s">
        <v>36</v>
      </c>
      <c r="CVJ17" s="340"/>
      <c r="CVK17" s="312">
        <v>0</v>
      </c>
      <c r="CVL17" s="314"/>
      <c r="CVM17" s="339" t="s">
        <v>35</v>
      </c>
      <c r="CVN17" s="340"/>
      <c r="CVO17" s="312">
        <v>3208</v>
      </c>
      <c r="CVP17" s="314"/>
      <c r="CVQ17" s="339" t="s">
        <v>34</v>
      </c>
      <c r="CVR17" s="340"/>
      <c r="CVS17" s="312">
        <v>16255</v>
      </c>
      <c r="CVT17" s="314"/>
      <c r="CVU17" s="339" t="s">
        <v>34</v>
      </c>
      <c r="CVV17" s="340"/>
      <c r="CVW17" s="312"/>
      <c r="CVX17" s="314"/>
      <c r="CVY17" s="339" t="s">
        <v>34</v>
      </c>
      <c r="CVZ17" s="340"/>
      <c r="CWA17" s="312">
        <v>9014</v>
      </c>
      <c r="CWB17" s="314"/>
      <c r="CWC17" s="339" t="s">
        <v>37</v>
      </c>
      <c r="CWD17" s="340"/>
      <c r="CWE17" s="312">
        <v>11656.5</v>
      </c>
      <c r="CWF17" s="314"/>
      <c r="CWG17" s="339" t="s">
        <v>42</v>
      </c>
      <c r="CWH17" s="340"/>
      <c r="CWI17" s="312">
        <v>0</v>
      </c>
      <c r="CWJ17" s="314"/>
      <c r="CWK17" s="339" t="s">
        <v>36</v>
      </c>
      <c r="CWL17" s="340"/>
      <c r="CWM17" s="312">
        <v>4796</v>
      </c>
      <c r="CWN17" s="314"/>
      <c r="CWO17" s="339" t="s">
        <v>35</v>
      </c>
      <c r="CWP17" s="340"/>
      <c r="CWQ17" s="341">
        <v>26304.5</v>
      </c>
      <c r="CWR17" s="342"/>
      <c r="CWS17" s="339" t="s">
        <v>35</v>
      </c>
      <c r="CWT17" s="340"/>
      <c r="CWU17" s="341"/>
      <c r="CWV17" s="342"/>
      <c r="CWW17" s="339" t="s">
        <v>34</v>
      </c>
      <c r="CWX17" s="340"/>
      <c r="CWY17" s="341">
        <v>11340</v>
      </c>
      <c r="CWZ17" s="342"/>
      <c r="CXA17" s="368" t="s">
        <v>37</v>
      </c>
      <c r="CXB17" s="369"/>
      <c r="CXC17" s="370">
        <v>2016.5</v>
      </c>
      <c r="CXD17" s="371"/>
      <c r="CXE17" s="368" t="s">
        <v>37</v>
      </c>
      <c r="CXF17" s="369"/>
      <c r="CXG17" s="370">
        <v>2560.6400000000003</v>
      </c>
      <c r="CXH17" s="371"/>
      <c r="CXI17" s="368" t="s">
        <v>36</v>
      </c>
      <c r="CXJ17" s="369"/>
      <c r="CXK17" s="370">
        <v>0</v>
      </c>
      <c r="CXL17" s="371"/>
      <c r="CXM17" s="368" t="s">
        <v>35</v>
      </c>
      <c r="CXN17" s="369"/>
      <c r="CXO17" s="370">
        <v>18967</v>
      </c>
      <c r="CXP17" s="371"/>
      <c r="CXQ17" s="368" t="s">
        <v>34</v>
      </c>
      <c r="CXR17" s="369"/>
      <c r="CXS17" s="370">
        <v>31920</v>
      </c>
      <c r="CXT17" s="371"/>
      <c r="CXU17" s="26" t="s">
        <v>42</v>
      </c>
      <c r="CXW17" s="26">
        <v>4010</v>
      </c>
      <c r="CXY17" s="26" t="s">
        <v>36</v>
      </c>
      <c r="CYA17" s="26">
        <v>3208</v>
      </c>
      <c r="CYC17" s="26" t="s">
        <v>34</v>
      </c>
      <c r="CYE17" s="26">
        <v>23751</v>
      </c>
      <c r="CYG17" s="26" t="s">
        <v>35</v>
      </c>
      <c r="CYI17" s="26">
        <v>19483</v>
      </c>
      <c r="CYK17" s="26" t="s">
        <v>41</v>
      </c>
      <c r="CYM17" s="26">
        <v>0</v>
      </c>
      <c r="CYO17" s="26" t="s">
        <v>42</v>
      </c>
      <c r="CYS17" s="26" t="s">
        <v>41</v>
      </c>
      <c r="CYU17" s="26">
        <v>3005</v>
      </c>
      <c r="CYW17" s="26" t="s">
        <v>37</v>
      </c>
      <c r="CZA17" s="26" t="s">
        <v>37</v>
      </c>
      <c r="CZC17" s="26">
        <v>0</v>
      </c>
      <c r="CZE17" s="26" t="s">
        <v>35</v>
      </c>
      <c r="CZG17" s="26">
        <v>0</v>
      </c>
      <c r="CZI17" s="26" t="s">
        <v>41</v>
      </c>
      <c r="CZK17" s="26">
        <v>0</v>
      </c>
      <c r="CZM17" s="26" t="s">
        <v>37</v>
      </c>
      <c r="CZO17" s="26">
        <v>0</v>
      </c>
      <c r="CZQ17" s="26" t="s">
        <v>42</v>
      </c>
      <c r="CZS17" s="26">
        <v>0</v>
      </c>
      <c r="CZU17" s="26" t="s">
        <v>41</v>
      </c>
      <c r="CZW17" s="26">
        <v>0</v>
      </c>
      <c r="CZY17" s="26" t="s">
        <v>37</v>
      </c>
      <c r="DAA17" s="26">
        <v>0</v>
      </c>
      <c r="DAC17" s="26" t="s">
        <v>42</v>
      </c>
      <c r="DAE17" s="26">
        <v>0</v>
      </c>
      <c r="DAG17" s="26" t="s">
        <v>35</v>
      </c>
      <c r="DAI17" s="26">
        <v>4507</v>
      </c>
      <c r="DAK17" s="26" t="s">
        <v>36</v>
      </c>
      <c r="DAM17" s="26">
        <v>0</v>
      </c>
      <c r="DAO17" s="26" t="s">
        <v>35</v>
      </c>
      <c r="DAQ17" s="26">
        <v>13522</v>
      </c>
      <c r="DAS17" s="26" t="s">
        <v>45</v>
      </c>
      <c r="DAU17" s="26">
        <v>0</v>
      </c>
      <c r="DAW17" s="26" t="s">
        <v>42</v>
      </c>
      <c r="DAY17" s="26">
        <v>0</v>
      </c>
      <c r="DBA17" s="26" t="s">
        <v>42</v>
      </c>
      <c r="DBC17" s="26">
        <v>0</v>
      </c>
      <c r="DBE17" s="26" t="s">
        <v>36</v>
      </c>
      <c r="DBG17" s="26">
        <v>0</v>
      </c>
      <c r="DBI17" s="26" t="s">
        <v>35</v>
      </c>
      <c r="DBK17" s="26">
        <v>0</v>
      </c>
      <c r="DBM17" s="26" t="s">
        <v>45</v>
      </c>
      <c r="DBO17" s="26">
        <v>21120</v>
      </c>
      <c r="DBQ17" s="26" t="s">
        <v>42</v>
      </c>
      <c r="DBS17" s="26">
        <v>0</v>
      </c>
      <c r="DBU17" s="26" t="s">
        <v>36</v>
      </c>
      <c r="DBW17" s="26">
        <v>3005</v>
      </c>
      <c r="DBY17" s="26" t="s">
        <v>36</v>
      </c>
      <c r="DCA17" s="26">
        <v>0</v>
      </c>
      <c r="DCC17" s="26" t="s">
        <v>34</v>
      </c>
      <c r="DCE17" s="26">
        <v>0</v>
      </c>
      <c r="DCG17" s="26" t="s">
        <v>42</v>
      </c>
      <c r="DCI17" s="26">
        <v>0</v>
      </c>
      <c r="DCK17" s="26" t="s">
        <v>42</v>
      </c>
      <c r="DCM17" s="26">
        <v>0</v>
      </c>
      <c r="DCO17" s="26" t="s">
        <v>36</v>
      </c>
      <c r="DCQ17" s="26">
        <v>31550</v>
      </c>
      <c r="DCS17" s="26" t="s">
        <v>35</v>
      </c>
      <c r="DCU17" s="26">
        <v>0</v>
      </c>
      <c r="DCW17" s="26" t="s">
        <v>45</v>
      </c>
      <c r="DCY17" s="26">
        <v>0</v>
      </c>
      <c r="DDA17" s="26" t="s">
        <v>42</v>
      </c>
      <c r="DDC17" s="26">
        <v>0</v>
      </c>
      <c r="DDE17" s="26" t="s">
        <v>42</v>
      </c>
      <c r="DDG17" s="26">
        <v>0</v>
      </c>
      <c r="DDI17" s="26" t="s">
        <v>36</v>
      </c>
      <c r="DDK17" s="26">
        <v>3004</v>
      </c>
      <c r="DDM17" s="26" t="s">
        <v>35</v>
      </c>
      <c r="DDO17" s="26">
        <v>4593</v>
      </c>
      <c r="DDQ17" s="26" t="s">
        <v>7</v>
      </c>
      <c r="DDT17" s="26" t="s">
        <v>31</v>
      </c>
    </row>
    <row r="18" spans="1:2828" x14ac:dyDescent="0.25">
      <c r="A18" s="217" t="s">
        <v>99</v>
      </c>
      <c r="B18" s="218"/>
      <c r="C18" s="222">
        <v>9012</v>
      </c>
      <c r="D18" s="223"/>
      <c r="E18" s="224"/>
      <c r="F18" s="217" t="s">
        <v>98</v>
      </c>
      <c r="G18" s="218"/>
      <c r="H18" s="222">
        <v>1502</v>
      </c>
      <c r="I18" s="223"/>
      <c r="J18" s="224"/>
      <c r="K18" s="217" t="s">
        <v>97</v>
      </c>
      <c r="L18" s="218"/>
      <c r="M18" s="222">
        <v>0</v>
      </c>
      <c r="N18" s="223"/>
      <c r="O18" s="224"/>
      <c r="P18" s="217" t="s">
        <v>96</v>
      </c>
      <c r="Q18" s="218"/>
      <c r="R18" s="222">
        <v>0</v>
      </c>
      <c r="S18" s="223"/>
      <c r="T18" s="224"/>
      <c r="U18" s="217" t="s">
        <v>102</v>
      </c>
      <c r="V18" s="218"/>
      <c r="W18" s="222">
        <v>5840</v>
      </c>
      <c r="X18" s="223"/>
      <c r="Y18" s="224"/>
      <c r="Z18" s="217" t="s">
        <v>101</v>
      </c>
      <c r="AA18" s="218"/>
      <c r="AB18" s="222">
        <v>0</v>
      </c>
      <c r="AC18" s="223"/>
      <c r="AD18" s="224"/>
      <c r="AE18" s="217" t="s">
        <v>41</v>
      </c>
      <c r="AF18" s="218"/>
      <c r="AG18" s="222">
        <v>0</v>
      </c>
      <c r="AH18" s="223"/>
      <c r="AI18" s="224"/>
      <c r="AJ18" s="217" t="s">
        <v>99</v>
      </c>
      <c r="AK18" s="218"/>
      <c r="AL18" s="222">
        <v>0</v>
      </c>
      <c r="AM18" s="223"/>
      <c r="AN18" s="224"/>
      <c r="AO18" s="217" t="s">
        <v>98</v>
      </c>
      <c r="AP18" s="218"/>
      <c r="AQ18" s="222">
        <v>1502</v>
      </c>
      <c r="AR18" s="223"/>
      <c r="AS18" s="224"/>
      <c r="AT18" s="217" t="s">
        <v>97</v>
      </c>
      <c r="AU18" s="218"/>
      <c r="AV18" s="222">
        <v>0</v>
      </c>
      <c r="AW18" s="223"/>
      <c r="AX18" s="224"/>
      <c r="AY18" s="217" t="s">
        <v>96</v>
      </c>
      <c r="AZ18" s="218"/>
      <c r="BA18" s="222">
        <v>3208</v>
      </c>
      <c r="BB18" s="223"/>
      <c r="BC18" s="224"/>
      <c r="BD18" s="217" t="s">
        <v>102</v>
      </c>
      <c r="BE18" s="218"/>
      <c r="BF18" s="222">
        <v>2016.5</v>
      </c>
      <c r="BG18" s="223"/>
      <c r="BH18" s="224"/>
      <c r="BI18" s="217" t="s">
        <v>101</v>
      </c>
      <c r="BJ18" s="218"/>
      <c r="BK18" s="222">
        <v>0</v>
      </c>
      <c r="BL18" s="223"/>
      <c r="BM18" s="224"/>
      <c r="BN18" s="217" t="s">
        <v>41</v>
      </c>
      <c r="BO18" s="218"/>
      <c r="BP18" s="222">
        <v>0</v>
      </c>
      <c r="BQ18" s="223"/>
      <c r="BR18" s="224"/>
      <c r="BS18" s="217" t="s">
        <v>99</v>
      </c>
      <c r="BT18" s="218"/>
      <c r="BU18" s="222">
        <v>6010</v>
      </c>
      <c r="BV18" s="223"/>
      <c r="BW18" s="224"/>
      <c r="BX18" s="217" t="s">
        <v>98</v>
      </c>
      <c r="BY18" s="218"/>
      <c r="BZ18" s="222">
        <v>0</v>
      </c>
      <c r="CA18" s="223"/>
      <c r="CB18" s="224"/>
      <c r="CC18" s="217" t="s">
        <v>97</v>
      </c>
      <c r="CD18" s="218"/>
      <c r="CE18" s="222">
        <v>4507</v>
      </c>
      <c r="CF18" s="223"/>
      <c r="CG18" s="224"/>
      <c r="CH18" s="217" t="s">
        <v>96</v>
      </c>
      <c r="CI18" s="218"/>
      <c r="CJ18" s="222">
        <v>0</v>
      </c>
      <c r="CK18" s="223"/>
      <c r="CL18" s="224"/>
      <c r="CM18" s="217" t="s">
        <v>102</v>
      </c>
      <c r="CN18" s="218"/>
      <c r="CO18" s="222">
        <v>0</v>
      </c>
      <c r="CP18" s="223"/>
      <c r="CQ18" s="224"/>
      <c r="CR18" s="217" t="s">
        <v>102</v>
      </c>
      <c r="CS18" s="218"/>
      <c r="CT18" s="222">
        <v>0</v>
      </c>
      <c r="CU18" s="223"/>
      <c r="CV18" s="224"/>
      <c r="CW18" s="217" t="s">
        <v>101</v>
      </c>
      <c r="CX18" s="218"/>
      <c r="CY18" s="222">
        <v>0</v>
      </c>
      <c r="CZ18" s="223"/>
      <c r="DA18" s="224"/>
      <c r="DB18" s="217" t="s">
        <v>41</v>
      </c>
      <c r="DC18" s="218"/>
      <c r="DD18" s="222">
        <v>0</v>
      </c>
      <c r="DE18" s="223"/>
      <c r="DF18" s="224"/>
      <c r="DG18" s="217" t="s">
        <v>99</v>
      </c>
      <c r="DH18" s="218"/>
      <c r="DI18" s="222">
        <v>0</v>
      </c>
      <c r="DJ18" s="223"/>
      <c r="DK18" s="224"/>
      <c r="DL18" s="217" t="s">
        <v>98</v>
      </c>
      <c r="DM18" s="218"/>
      <c r="DN18" s="222">
        <v>0</v>
      </c>
      <c r="DO18" s="223"/>
      <c r="DP18" s="224"/>
      <c r="DQ18" s="217" t="s">
        <v>97</v>
      </c>
      <c r="DR18" s="218"/>
      <c r="DS18" s="222">
        <v>0</v>
      </c>
      <c r="DT18" s="223"/>
      <c r="DU18" s="224"/>
      <c r="DV18" s="217" t="s">
        <v>96</v>
      </c>
      <c r="DW18" s="218"/>
      <c r="DX18" s="222">
        <v>26857</v>
      </c>
      <c r="DY18" s="223"/>
      <c r="DZ18" s="224"/>
      <c r="EA18" s="217" t="s">
        <v>102</v>
      </c>
      <c r="EB18" s="218"/>
      <c r="EC18" s="222">
        <v>0</v>
      </c>
      <c r="ED18" s="223"/>
      <c r="EE18" s="224"/>
      <c r="EF18" s="217" t="s">
        <v>101</v>
      </c>
      <c r="EG18" s="218"/>
      <c r="EH18" s="222">
        <v>0</v>
      </c>
      <c r="EI18" s="223"/>
      <c r="EJ18" s="224"/>
      <c r="EK18" s="217" t="s">
        <v>41</v>
      </c>
      <c r="EL18" s="218"/>
      <c r="EM18" s="222">
        <v>0</v>
      </c>
      <c r="EN18" s="223"/>
      <c r="EO18" s="224"/>
      <c r="EP18" s="217" t="s">
        <v>99</v>
      </c>
      <c r="EQ18" s="218"/>
      <c r="ER18" s="222">
        <v>0</v>
      </c>
      <c r="ES18" s="223"/>
      <c r="ET18" s="224"/>
      <c r="EU18" s="217" t="s">
        <v>98</v>
      </c>
      <c r="EV18" s="218"/>
      <c r="EW18" s="222">
        <v>1502</v>
      </c>
      <c r="EX18" s="223"/>
      <c r="EY18" s="224"/>
      <c r="EZ18" s="217" t="s">
        <v>97</v>
      </c>
      <c r="FA18" s="218"/>
      <c r="FB18" s="222">
        <v>1502</v>
      </c>
      <c r="FC18" s="223"/>
      <c r="FD18" s="224"/>
      <c r="FE18" s="217" t="s">
        <v>96</v>
      </c>
      <c r="FF18" s="218"/>
      <c r="FG18" s="222">
        <v>1502</v>
      </c>
      <c r="FH18" s="223"/>
      <c r="FI18" s="224"/>
      <c r="FJ18" s="217" t="s">
        <v>102</v>
      </c>
      <c r="FK18" s="218"/>
      <c r="FL18" s="222">
        <v>0</v>
      </c>
      <c r="FM18" s="223"/>
      <c r="FN18" s="224"/>
      <c r="FO18" s="217" t="s">
        <v>101</v>
      </c>
      <c r="FP18" s="218"/>
      <c r="FQ18" s="222">
        <v>629.6</v>
      </c>
      <c r="FR18" s="223"/>
      <c r="FS18" s="224"/>
      <c r="FT18" s="217" t="s">
        <v>41</v>
      </c>
      <c r="FU18" s="218"/>
      <c r="FV18" s="222">
        <v>0</v>
      </c>
      <c r="FW18" s="223"/>
      <c r="FX18" s="224"/>
      <c r="FY18" s="217" t="s">
        <v>99</v>
      </c>
      <c r="FZ18" s="218"/>
      <c r="GA18" s="222">
        <v>0</v>
      </c>
      <c r="GB18" s="223"/>
      <c r="GC18" s="224"/>
      <c r="GD18" s="217" t="s">
        <v>98</v>
      </c>
      <c r="GE18" s="218"/>
      <c r="GF18" s="222">
        <v>1574</v>
      </c>
      <c r="GG18" s="223"/>
      <c r="GH18" s="224"/>
      <c r="GI18" s="217" t="s">
        <v>97</v>
      </c>
      <c r="GJ18" s="218"/>
      <c r="GK18" s="222">
        <v>4507</v>
      </c>
      <c r="GL18" s="223"/>
      <c r="GM18" s="224"/>
      <c r="GN18" s="217" t="s">
        <v>96</v>
      </c>
      <c r="GO18" s="218"/>
      <c r="GP18" s="222">
        <v>0</v>
      </c>
      <c r="GQ18" s="223"/>
      <c r="GR18" s="224"/>
      <c r="GS18" s="217" t="s">
        <v>102</v>
      </c>
      <c r="GT18" s="218"/>
      <c r="GU18" s="222">
        <v>4506</v>
      </c>
      <c r="GV18" s="223"/>
      <c r="GW18" s="224"/>
      <c r="GX18" s="217" t="s">
        <v>101</v>
      </c>
      <c r="GY18" s="218"/>
      <c r="GZ18" s="222">
        <v>2016.5</v>
      </c>
      <c r="HA18" s="223"/>
      <c r="HB18" s="224"/>
      <c r="HC18" s="217" t="s">
        <v>41</v>
      </c>
      <c r="HD18" s="218"/>
      <c r="HE18" s="222">
        <v>0</v>
      </c>
      <c r="HF18" s="223"/>
      <c r="HG18" s="224"/>
      <c r="HH18" s="217" t="s">
        <v>99</v>
      </c>
      <c r="HI18" s="218"/>
      <c r="HJ18" s="222">
        <v>0</v>
      </c>
      <c r="HK18" s="223"/>
      <c r="HL18" s="224"/>
      <c r="HM18" s="217" t="s">
        <v>98</v>
      </c>
      <c r="HN18" s="218"/>
      <c r="HO18" s="222">
        <v>6009</v>
      </c>
      <c r="HP18" s="223"/>
      <c r="HQ18" s="224"/>
      <c r="HR18" s="217" t="s">
        <v>97</v>
      </c>
      <c r="HS18" s="218"/>
      <c r="HT18" s="222">
        <v>6010</v>
      </c>
      <c r="HU18" s="223"/>
      <c r="HV18" s="224"/>
      <c r="HW18" s="217" t="s">
        <v>96</v>
      </c>
      <c r="HX18" s="218"/>
      <c r="HY18" s="222">
        <v>10588</v>
      </c>
      <c r="HZ18" s="223"/>
      <c r="IA18" s="224"/>
      <c r="IB18" s="217" t="s">
        <v>102</v>
      </c>
      <c r="IC18" s="218"/>
      <c r="ID18" s="222">
        <v>39060</v>
      </c>
      <c r="IE18" s="223"/>
      <c r="IF18" s="224"/>
      <c r="IG18" s="217" t="s">
        <v>101</v>
      </c>
      <c r="IH18" s="218"/>
      <c r="II18" s="222">
        <v>0</v>
      </c>
      <c r="IJ18" s="223"/>
      <c r="IK18" s="224"/>
      <c r="IL18" s="217" t="s">
        <v>41</v>
      </c>
      <c r="IM18" s="218"/>
      <c r="IN18" s="222">
        <v>0</v>
      </c>
      <c r="IO18" s="223"/>
      <c r="IP18" s="224"/>
      <c r="IQ18" s="217" t="s">
        <v>99</v>
      </c>
      <c r="IR18" s="218"/>
      <c r="IS18" s="222">
        <v>6010</v>
      </c>
      <c r="IT18" s="223"/>
      <c r="IU18" s="224"/>
      <c r="IV18" s="217" t="s">
        <v>98</v>
      </c>
      <c r="IW18" s="218"/>
      <c r="IX18" s="222">
        <v>0</v>
      </c>
      <c r="IY18" s="223"/>
      <c r="IZ18" s="224"/>
      <c r="JA18" s="217" t="s">
        <v>97</v>
      </c>
      <c r="JB18" s="218"/>
      <c r="JC18" s="222">
        <v>0</v>
      </c>
      <c r="JD18" s="223"/>
      <c r="JE18" s="224"/>
      <c r="JF18" s="217" t="s">
        <v>96</v>
      </c>
      <c r="JG18" s="218"/>
      <c r="JH18" s="222">
        <v>0</v>
      </c>
      <c r="JI18" s="223"/>
      <c r="JJ18" s="224"/>
      <c r="JK18" s="217" t="s">
        <v>102</v>
      </c>
      <c r="JL18" s="218"/>
      <c r="JM18" s="222">
        <v>2016.5</v>
      </c>
      <c r="JN18" s="223"/>
      <c r="JO18" s="224"/>
      <c r="JP18" s="217" t="s">
        <v>101</v>
      </c>
      <c r="JQ18" s="218"/>
      <c r="JR18" s="222">
        <v>0</v>
      </c>
      <c r="JS18" s="223"/>
      <c r="JT18" s="224"/>
      <c r="JU18" s="217" t="s">
        <v>41</v>
      </c>
      <c r="JV18" s="218"/>
      <c r="JW18" s="222">
        <v>0</v>
      </c>
      <c r="JX18" s="223"/>
      <c r="JY18" s="224"/>
      <c r="JZ18" s="217" t="s">
        <v>99</v>
      </c>
      <c r="KA18" s="218"/>
      <c r="KB18" s="222">
        <v>0</v>
      </c>
      <c r="KC18" s="223"/>
      <c r="KD18" s="224"/>
      <c r="KE18" s="217" t="s">
        <v>98</v>
      </c>
      <c r="KF18" s="218"/>
      <c r="KG18" s="222">
        <v>3004</v>
      </c>
      <c r="KH18" s="223"/>
      <c r="KI18" s="224"/>
      <c r="KJ18" s="217" t="s">
        <v>97</v>
      </c>
      <c r="KK18" s="218"/>
      <c r="KL18" s="222">
        <v>0</v>
      </c>
      <c r="KM18" s="223"/>
      <c r="KN18" s="224"/>
      <c r="KO18" s="217" t="s">
        <v>96</v>
      </c>
      <c r="KP18" s="218"/>
      <c r="KQ18" s="222">
        <v>2835</v>
      </c>
      <c r="KR18" s="223"/>
      <c r="KS18" s="224"/>
      <c r="KT18" s="217" t="s">
        <v>102</v>
      </c>
      <c r="KU18" s="218"/>
      <c r="KV18" s="222">
        <v>0</v>
      </c>
      <c r="KW18" s="223"/>
      <c r="KX18" s="224"/>
      <c r="KY18" s="217" t="s">
        <v>101</v>
      </c>
      <c r="KZ18" s="218"/>
      <c r="LA18" s="222">
        <v>0</v>
      </c>
      <c r="LB18" s="223"/>
      <c r="LC18" s="224"/>
      <c r="LD18" s="217" t="s">
        <v>41</v>
      </c>
      <c r="LE18" s="218"/>
      <c r="LF18" s="222">
        <v>0</v>
      </c>
      <c r="LG18" s="223"/>
      <c r="LH18" s="224"/>
      <c r="LI18" s="217" t="s">
        <v>99</v>
      </c>
      <c r="LJ18" s="218"/>
      <c r="LK18" s="222">
        <v>0</v>
      </c>
      <c r="LL18" s="223"/>
      <c r="LM18" s="224"/>
      <c r="LN18" s="217" t="s">
        <v>98</v>
      </c>
      <c r="LO18" s="218"/>
      <c r="LP18" s="222">
        <v>1502</v>
      </c>
      <c r="LQ18" s="223"/>
      <c r="LR18" s="224"/>
      <c r="LS18" s="217" t="s">
        <v>97</v>
      </c>
      <c r="LT18" s="218"/>
      <c r="LU18" s="222">
        <v>1574</v>
      </c>
      <c r="LV18" s="223"/>
      <c r="LW18" s="224"/>
      <c r="LX18" s="217" t="s">
        <v>96</v>
      </c>
      <c r="LY18" s="218"/>
      <c r="LZ18" s="222">
        <v>15094</v>
      </c>
      <c r="MA18" s="223"/>
      <c r="MB18" s="224"/>
      <c r="MC18" s="217" t="s">
        <v>102</v>
      </c>
      <c r="MD18" s="218"/>
      <c r="ME18" s="222">
        <v>2835</v>
      </c>
      <c r="MF18" s="223"/>
      <c r="MG18" s="224"/>
      <c r="MH18" s="217" t="s">
        <v>101</v>
      </c>
      <c r="MI18" s="218"/>
      <c r="MJ18" s="222">
        <v>0</v>
      </c>
      <c r="MK18" s="223"/>
      <c r="ML18" s="224"/>
      <c r="MM18" s="217" t="s">
        <v>41</v>
      </c>
      <c r="MN18" s="218"/>
      <c r="MO18" s="222">
        <v>0</v>
      </c>
      <c r="MP18" s="223"/>
      <c r="MQ18" s="224"/>
      <c r="MR18" s="217" t="s">
        <v>99</v>
      </c>
      <c r="MS18" s="218"/>
      <c r="MT18" s="222">
        <v>0</v>
      </c>
      <c r="MU18" s="223"/>
      <c r="MV18" s="224"/>
      <c r="MW18" s="217" t="s">
        <v>99</v>
      </c>
      <c r="MX18" s="218"/>
      <c r="MY18" s="222">
        <v>0</v>
      </c>
      <c r="MZ18" s="223"/>
      <c r="NA18" s="224"/>
      <c r="NB18" s="217" t="s">
        <v>98</v>
      </c>
      <c r="NC18" s="218"/>
      <c r="ND18" s="222">
        <v>3076</v>
      </c>
      <c r="NE18" s="223"/>
      <c r="NF18" s="224"/>
      <c r="NG18" s="217" t="s">
        <v>97</v>
      </c>
      <c r="NH18" s="218"/>
      <c r="NI18" s="222">
        <v>4507</v>
      </c>
      <c r="NJ18" s="223"/>
      <c r="NK18" s="224"/>
      <c r="NL18" s="217" t="s">
        <v>96</v>
      </c>
      <c r="NM18" s="218"/>
      <c r="NN18" s="222">
        <v>1574</v>
      </c>
      <c r="NO18" s="223"/>
      <c r="NP18" s="224"/>
      <c r="NQ18" s="217" t="s">
        <v>102</v>
      </c>
      <c r="NR18" s="218"/>
      <c r="NS18" s="222">
        <v>0</v>
      </c>
      <c r="NT18" s="223"/>
      <c r="NU18" s="224"/>
      <c r="NV18" s="217" t="s">
        <v>101</v>
      </c>
      <c r="NW18" s="218"/>
      <c r="NX18" s="222">
        <v>4033</v>
      </c>
      <c r="NY18" s="223"/>
      <c r="NZ18" s="224"/>
      <c r="OA18" s="217" t="s">
        <v>41</v>
      </c>
      <c r="OB18" s="218"/>
      <c r="OC18" s="222">
        <v>2621.4500000000003</v>
      </c>
      <c r="OD18" s="223"/>
      <c r="OE18" s="224"/>
      <c r="OF18" s="217" t="s">
        <v>41</v>
      </c>
      <c r="OG18" s="218"/>
      <c r="OH18" s="222">
        <v>2621.4500000000003</v>
      </c>
      <c r="OI18" s="223"/>
      <c r="OJ18" s="224"/>
      <c r="OK18" s="217" t="s">
        <v>99</v>
      </c>
      <c r="OL18" s="218"/>
      <c r="OM18" s="222">
        <v>0</v>
      </c>
      <c r="ON18" s="223"/>
      <c r="OO18" s="224"/>
      <c r="OP18" s="217" t="s">
        <v>98</v>
      </c>
      <c r="OQ18" s="218"/>
      <c r="OR18" s="222">
        <v>0</v>
      </c>
      <c r="OS18" s="223"/>
      <c r="OT18" s="224"/>
      <c r="OU18" s="217" t="s">
        <v>97</v>
      </c>
      <c r="OV18" s="218"/>
      <c r="OW18" s="222">
        <v>1574</v>
      </c>
      <c r="OX18" s="223"/>
      <c r="OY18" s="224"/>
      <c r="OZ18" s="217" t="s">
        <v>96</v>
      </c>
      <c r="PA18" s="218"/>
      <c r="PB18" s="222">
        <v>13592</v>
      </c>
      <c r="PC18" s="223"/>
      <c r="PD18" s="224"/>
      <c r="PE18" s="217" t="s">
        <v>102</v>
      </c>
      <c r="PF18" s="218"/>
      <c r="PG18" s="222">
        <v>44596</v>
      </c>
      <c r="PH18" s="223"/>
      <c r="PI18" s="224"/>
      <c r="PJ18" s="217" t="s">
        <v>101</v>
      </c>
      <c r="PK18" s="218"/>
      <c r="PL18" s="222">
        <v>7510</v>
      </c>
      <c r="PM18" s="223"/>
      <c r="PN18" s="224"/>
      <c r="PO18" s="217" t="s">
        <v>41</v>
      </c>
      <c r="PP18" s="218"/>
      <c r="PQ18" s="222">
        <v>0</v>
      </c>
      <c r="PR18" s="223"/>
      <c r="PS18" s="224"/>
      <c r="PT18" s="217" t="s">
        <v>99</v>
      </c>
      <c r="PU18" s="218"/>
      <c r="PV18" s="222">
        <v>0</v>
      </c>
      <c r="PW18" s="223"/>
      <c r="PX18" s="224"/>
      <c r="PY18" s="217" t="s">
        <v>98</v>
      </c>
      <c r="PZ18" s="218"/>
      <c r="QA18" s="222">
        <v>1502</v>
      </c>
      <c r="QB18" s="223"/>
      <c r="QC18" s="224"/>
      <c r="QD18" s="217" t="s">
        <v>97</v>
      </c>
      <c r="QE18" s="218"/>
      <c r="QF18" s="222">
        <v>15020</v>
      </c>
      <c r="QG18" s="223"/>
      <c r="QH18" s="224"/>
      <c r="QI18" s="217" t="s">
        <v>96</v>
      </c>
      <c r="QJ18" s="218"/>
      <c r="QK18" s="222">
        <v>28615</v>
      </c>
      <c r="QL18" s="223"/>
      <c r="QM18" s="224"/>
      <c r="QN18" s="217" t="s">
        <v>96</v>
      </c>
      <c r="QO18" s="218"/>
      <c r="QP18" s="222">
        <v>28615</v>
      </c>
      <c r="QQ18" s="223"/>
      <c r="QR18" s="224"/>
      <c r="QS18" s="217" t="s">
        <v>102</v>
      </c>
      <c r="QT18" s="218"/>
      <c r="QU18" s="222">
        <v>42137</v>
      </c>
      <c r="QV18" s="223"/>
      <c r="QW18" s="224"/>
      <c r="QX18" s="217" t="s">
        <v>101</v>
      </c>
      <c r="QY18" s="218"/>
      <c r="QZ18" s="222">
        <v>0</v>
      </c>
      <c r="RA18" s="223"/>
      <c r="RB18" s="224"/>
      <c r="RC18" s="217" t="s">
        <v>41</v>
      </c>
      <c r="RD18" s="218"/>
      <c r="RE18" s="222">
        <v>0</v>
      </c>
      <c r="RF18" s="223"/>
      <c r="RG18" s="224"/>
      <c r="RH18" s="217" t="s">
        <v>99</v>
      </c>
      <c r="RI18" s="218"/>
      <c r="RJ18" s="222">
        <v>472.2</v>
      </c>
      <c r="RK18" s="223"/>
      <c r="RL18" s="224"/>
      <c r="RM18" s="217" t="s">
        <v>98</v>
      </c>
      <c r="RN18" s="218"/>
      <c r="RO18" s="222">
        <v>0</v>
      </c>
      <c r="RP18" s="223"/>
      <c r="RQ18" s="224"/>
      <c r="RR18" s="217" t="s">
        <v>97</v>
      </c>
      <c r="RS18" s="218"/>
      <c r="RT18" s="222">
        <v>18028</v>
      </c>
      <c r="RU18" s="223"/>
      <c r="RV18" s="224"/>
      <c r="RW18" s="217" t="s">
        <v>97</v>
      </c>
      <c r="RX18" s="218"/>
      <c r="RY18" s="222">
        <v>18028</v>
      </c>
      <c r="RZ18" s="223"/>
      <c r="SA18" s="224"/>
      <c r="SB18" s="217" t="s">
        <v>96</v>
      </c>
      <c r="SC18" s="218"/>
      <c r="SD18" s="222">
        <v>10517</v>
      </c>
      <c r="SE18" s="223"/>
      <c r="SF18" s="224"/>
      <c r="SG18" s="217" t="s">
        <v>102</v>
      </c>
      <c r="SH18" s="218"/>
      <c r="SI18" s="222">
        <v>3005</v>
      </c>
      <c r="SJ18" s="223"/>
      <c r="SK18" s="224"/>
      <c r="SL18" s="217" t="s">
        <v>101</v>
      </c>
      <c r="SM18" s="218"/>
      <c r="SN18" s="222">
        <v>0</v>
      </c>
      <c r="SO18" s="223"/>
      <c r="SP18" s="224"/>
      <c r="SQ18" s="217" t="s">
        <v>41</v>
      </c>
      <c r="SR18" s="218"/>
      <c r="SS18" s="222">
        <v>0</v>
      </c>
      <c r="ST18" s="223"/>
      <c r="SU18" s="224"/>
      <c r="SV18" s="217" t="s">
        <v>99</v>
      </c>
      <c r="SW18" s="218"/>
      <c r="SX18" s="222">
        <v>0</v>
      </c>
      <c r="SY18" s="223"/>
      <c r="SZ18" s="224"/>
      <c r="TA18" s="217" t="s">
        <v>98</v>
      </c>
      <c r="TB18" s="218"/>
      <c r="TC18" s="222">
        <v>7510</v>
      </c>
      <c r="TD18" s="223"/>
      <c r="TE18" s="224"/>
      <c r="TF18" s="217" t="s">
        <v>97</v>
      </c>
      <c r="TG18" s="218"/>
      <c r="TH18" s="222">
        <v>1502</v>
      </c>
      <c r="TI18" s="223"/>
      <c r="TJ18" s="224"/>
      <c r="TK18" s="217" t="s">
        <v>96</v>
      </c>
      <c r="TL18" s="218"/>
      <c r="TM18" s="222">
        <v>0</v>
      </c>
      <c r="TN18" s="223"/>
      <c r="TO18" s="224"/>
      <c r="TP18" s="217" t="s">
        <v>102</v>
      </c>
      <c r="TQ18" s="218"/>
      <c r="TR18" s="222">
        <v>7511</v>
      </c>
      <c r="TS18" s="223"/>
      <c r="TT18" s="224"/>
      <c r="TU18" s="217" t="s">
        <v>101</v>
      </c>
      <c r="TV18" s="218"/>
      <c r="TW18" s="222">
        <v>18780</v>
      </c>
      <c r="TX18" s="223"/>
      <c r="TY18" s="224"/>
      <c r="TZ18" s="217" t="s">
        <v>41</v>
      </c>
      <c r="UA18" s="218"/>
      <c r="UB18" s="222">
        <v>0</v>
      </c>
      <c r="UC18" s="223"/>
      <c r="UD18" s="224"/>
      <c r="UE18" s="217" t="s">
        <v>99</v>
      </c>
      <c r="UF18" s="218"/>
      <c r="UG18" s="222">
        <v>22536</v>
      </c>
      <c r="UH18" s="223"/>
      <c r="UI18" s="224"/>
      <c r="UJ18" s="217" t="s">
        <v>98</v>
      </c>
      <c r="UK18" s="218"/>
      <c r="UL18" s="222">
        <v>15024</v>
      </c>
      <c r="UM18" s="223"/>
      <c r="UN18" s="224"/>
      <c r="UO18" s="217" t="s">
        <v>97</v>
      </c>
      <c r="UP18" s="218"/>
      <c r="UQ18" s="222">
        <v>12018</v>
      </c>
      <c r="UR18" s="223"/>
      <c r="US18" s="224"/>
      <c r="UT18" s="217" t="s">
        <v>96</v>
      </c>
      <c r="UU18" s="218"/>
      <c r="UV18" s="222">
        <v>0</v>
      </c>
      <c r="UW18" s="223"/>
      <c r="UX18" s="224"/>
      <c r="UY18" s="217" t="s">
        <v>102</v>
      </c>
      <c r="UZ18" s="218"/>
      <c r="VA18" s="222">
        <v>6010</v>
      </c>
      <c r="VB18" s="223"/>
      <c r="VC18" s="224"/>
      <c r="VD18" s="217" t="s">
        <v>101</v>
      </c>
      <c r="VE18" s="218"/>
      <c r="VF18" s="222">
        <v>21030</v>
      </c>
      <c r="VG18" s="223"/>
      <c r="VH18" s="224"/>
      <c r="VI18" s="217" t="s">
        <v>41</v>
      </c>
      <c r="VJ18" s="218"/>
      <c r="VK18" s="222">
        <v>0</v>
      </c>
      <c r="VL18" s="223"/>
      <c r="VM18" s="224"/>
      <c r="VN18" s="217" t="s">
        <v>99</v>
      </c>
      <c r="VO18" s="218"/>
      <c r="VP18" s="222">
        <v>6009</v>
      </c>
      <c r="VQ18" s="223"/>
      <c r="VR18" s="224"/>
      <c r="VS18" s="217" t="s">
        <v>98</v>
      </c>
      <c r="VT18" s="218"/>
      <c r="VU18" s="222">
        <v>19817</v>
      </c>
      <c r="VV18" s="223"/>
      <c r="VW18" s="224"/>
      <c r="VX18" s="217" t="s">
        <v>97</v>
      </c>
      <c r="VY18" s="218"/>
      <c r="VZ18" s="222">
        <v>13521</v>
      </c>
      <c r="WA18" s="223"/>
      <c r="WB18" s="224"/>
      <c r="WC18" s="217" t="s">
        <v>96</v>
      </c>
      <c r="WD18" s="218"/>
      <c r="WE18" s="222">
        <v>0</v>
      </c>
      <c r="WF18" s="223"/>
      <c r="WG18" s="224"/>
      <c r="WH18" s="217" t="s">
        <v>101</v>
      </c>
      <c r="WI18" s="218"/>
      <c r="WJ18" s="222">
        <v>0</v>
      </c>
      <c r="WK18" s="223"/>
      <c r="WL18" s="224"/>
      <c r="WM18" s="217" t="s">
        <v>41</v>
      </c>
      <c r="WN18" s="218"/>
      <c r="WO18" s="222">
        <v>0</v>
      </c>
      <c r="WP18" s="223"/>
      <c r="WQ18" s="224"/>
      <c r="WR18" s="217" t="s">
        <v>99</v>
      </c>
      <c r="WS18" s="218"/>
      <c r="WT18" s="222">
        <v>15021</v>
      </c>
      <c r="WU18" s="223"/>
      <c r="WV18" s="224"/>
      <c r="WW18" s="217" t="s">
        <v>98</v>
      </c>
      <c r="WX18" s="218"/>
      <c r="WY18" s="222">
        <v>1574</v>
      </c>
      <c r="WZ18" s="223"/>
      <c r="XA18" s="224"/>
      <c r="XB18" s="217" t="s">
        <v>97</v>
      </c>
      <c r="XC18" s="218"/>
      <c r="XD18" s="222">
        <v>0</v>
      </c>
      <c r="XE18" s="223"/>
      <c r="XF18" s="224"/>
      <c r="XG18" s="217" t="s">
        <v>96</v>
      </c>
      <c r="XH18" s="218"/>
      <c r="XI18" s="222">
        <v>12019</v>
      </c>
      <c r="XJ18" s="223"/>
      <c r="XK18" s="224"/>
      <c r="XL18" s="217" t="s">
        <v>102</v>
      </c>
      <c r="XM18" s="218"/>
      <c r="XN18" s="222">
        <v>0</v>
      </c>
      <c r="XO18" s="223"/>
      <c r="XP18" s="224"/>
      <c r="XQ18" s="217" t="s">
        <v>101</v>
      </c>
      <c r="XR18" s="218"/>
      <c r="XS18" s="222">
        <v>0</v>
      </c>
      <c r="XT18" s="223"/>
      <c r="XU18" s="224"/>
      <c r="XV18" s="217" t="s">
        <v>41</v>
      </c>
      <c r="XW18" s="218"/>
      <c r="XX18" s="222">
        <v>0</v>
      </c>
      <c r="XY18" s="223"/>
      <c r="XZ18" s="224"/>
      <c r="YA18" s="217" t="s">
        <v>99</v>
      </c>
      <c r="YB18" s="218"/>
      <c r="YC18" s="222">
        <v>0</v>
      </c>
      <c r="YD18" s="223"/>
      <c r="YE18" s="224"/>
      <c r="YF18" s="217" t="s">
        <v>98</v>
      </c>
      <c r="YG18" s="218"/>
      <c r="YH18" s="222">
        <v>0</v>
      </c>
      <c r="YI18" s="223"/>
      <c r="YJ18" s="224"/>
      <c r="YK18" s="217" t="s">
        <v>97</v>
      </c>
      <c r="YL18" s="218"/>
      <c r="YM18" s="222">
        <v>0</v>
      </c>
      <c r="YN18" s="223"/>
      <c r="YO18" s="224"/>
      <c r="YP18" s="217" t="s">
        <v>96</v>
      </c>
      <c r="YQ18" s="218"/>
      <c r="YR18" s="222">
        <v>4442.25</v>
      </c>
      <c r="YS18" s="223"/>
      <c r="YT18" s="224"/>
      <c r="YU18" s="217" t="s">
        <v>102</v>
      </c>
      <c r="YV18" s="218"/>
      <c r="YW18" s="222">
        <v>16132</v>
      </c>
      <c r="YX18" s="223"/>
      <c r="YY18" s="224"/>
      <c r="YZ18" s="217" t="s">
        <v>101</v>
      </c>
      <c r="ZA18" s="218"/>
      <c r="ZB18" s="222">
        <v>0</v>
      </c>
      <c r="ZC18" s="223"/>
      <c r="ZD18" s="224"/>
      <c r="ZE18" s="217" t="s">
        <v>41</v>
      </c>
      <c r="ZF18" s="218"/>
      <c r="ZG18" s="222">
        <v>12018</v>
      </c>
      <c r="ZH18" s="223"/>
      <c r="ZI18" s="224"/>
      <c r="ZJ18" s="217" t="s">
        <v>99</v>
      </c>
      <c r="ZK18" s="218"/>
      <c r="ZL18" s="222">
        <v>0</v>
      </c>
      <c r="ZM18" s="223"/>
      <c r="ZN18" s="224"/>
      <c r="ZO18" s="217" t="s">
        <v>98</v>
      </c>
      <c r="ZP18" s="218"/>
      <c r="ZQ18" s="222">
        <v>3005</v>
      </c>
      <c r="ZR18" s="223"/>
      <c r="ZS18" s="224"/>
      <c r="ZT18" s="217" t="s">
        <v>97</v>
      </c>
      <c r="ZU18" s="218"/>
      <c r="ZV18" s="222">
        <v>0</v>
      </c>
      <c r="ZW18" s="223"/>
      <c r="ZX18" s="224"/>
      <c r="ZY18" s="217" t="s">
        <v>96</v>
      </c>
      <c r="ZZ18" s="218"/>
      <c r="AAA18" s="222">
        <v>0</v>
      </c>
      <c r="AAB18" s="223"/>
      <c r="AAC18" s="224"/>
      <c r="AAD18" s="217" t="s">
        <v>102</v>
      </c>
      <c r="AAE18" s="218"/>
      <c r="AAF18" s="222">
        <v>3076</v>
      </c>
      <c r="AAG18" s="223"/>
      <c r="AAH18" s="224"/>
      <c r="AAI18" s="217" t="s">
        <v>41</v>
      </c>
      <c r="AAJ18" s="218"/>
      <c r="AAK18" s="222">
        <v>0</v>
      </c>
      <c r="AAL18" s="223"/>
      <c r="AAM18" s="224"/>
      <c r="AAN18" s="217" t="s">
        <v>99</v>
      </c>
      <c r="AAO18" s="218"/>
      <c r="AAP18" s="222">
        <v>1574</v>
      </c>
      <c r="AAQ18" s="223"/>
      <c r="AAR18" s="224"/>
      <c r="AAS18" s="217" t="s">
        <v>98</v>
      </c>
      <c r="AAT18" s="218"/>
      <c r="AAU18" s="222">
        <v>19532</v>
      </c>
      <c r="AAV18" s="223"/>
      <c r="AAW18" s="224"/>
      <c r="AAX18" s="217" t="s">
        <v>97</v>
      </c>
      <c r="AAY18" s="218"/>
      <c r="AAZ18" s="222">
        <v>67605</v>
      </c>
      <c r="ABA18" s="223"/>
      <c r="ABB18" s="224"/>
      <c r="ABC18" s="217" t="s">
        <v>96</v>
      </c>
      <c r="ABD18" s="218"/>
      <c r="ABE18" s="222">
        <v>36126</v>
      </c>
      <c r="ABF18" s="223"/>
      <c r="ABG18" s="224"/>
      <c r="ABH18" s="217" t="s">
        <v>102</v>
      </c>
      <c r="ABI18" s="218"/>
      <c r="ABJ18" s="222">
        <v>18027</v>
      </c>
      <c r="ABK18" s="223"/>
      <c r="ABL18" s="224"/>
      <c r="ABM18" s="217" t="s">
        <v>101</v>
      </c>
      <c r="ABN18" s="218"/>
      <c r="ABO18" s="222">
        <v>0</v>
      </c>
      <c r="ABP18" s="223"/>
      <c r="ABQ18" s="224"/>
      <c r="ABR18" s="217" t="s">
        <v>41</v>
      </c>
      <c r="ABS18" s="218"/>
      <c r="ABT18" s="222">
        <v>0</v>
      </c>
      <c r="ABU18" s="223"/>
      <c r="ABV18" s="224"/>
      <c r="ABW18" s="217" t="s">
        <v>99</v>
      </c>
      <c r="ABX18" s="218"/>
      <c r="ABY18" s="222">
        <v>37559</v>
      </c>
      <c r="ABZ18" s="223"/>
      <c r="ACA18" s="224"/>
      <c r="ACB18" s="217" t="s">
        <v>98</v>
      </c>
      <c r="ACC18" s="218"/>
      <c r="ACD18" s="222">
        <v>12019</v>
      </c>
      <c r="ACE18" s="223"/>
      <c r="ACF18" s="224"/>
      <c r="ACG18" s="217" t="s">
        <v>97</v>
      </c>
      <c r="ACH18" s="218"/>
      <c r="ACI18" s="222">
        <v>15092</v>
      </c>
      <c r="ACJ18" s="223"/>
      <c r="ACK18" s="224"/>
      <c r="ACL18" s="217" t="s">
        <v>96</v>
      </c>
      <c r="ACM18" s="218"/>
      <c r="ACN18" s="222">
        <v>19602</v>
      </c>
      <c r="ACO18" s="223"/>
      <c r="ACP18" s="224"/>
      <c r="ACQ18" s="217" t="s">
        <v>96</v>
      </c>
      <c r="ACR18" s="218"/>
      <c r="ACS18" s="222">
        <v>19602</v>
      </c>
      <c r="ACT18" s="223"/>
      <c r="ACU18" s="224"/>
      <c r="ACV18" s="217" t="s">
        <v>102</v>
      </c>
      <c r="ACW18" s="218"/>
      <c r="ACX18" s="222">
        <v>13521</v>
      </c>
      <c r="ACY18" s="223"/>
      <c r="ACZ18" s="224"/>
      <c r="ADA18" s="217" t="s">
        <v>101</v>
      </c>
      <c r="ADB18" s="218"/>
      <c r="ADC18" s="222">
        <v>24039</v>
      </c>
      <c r="ADD18" s="223"/>
      <c r="ADE18" s="224"/>
      <c r="ADF18" s="217" t="s">
        <v>41</v>
      </c>
      <c r="ADG18" s="218"/>
      <c r="ADH18" s="222">
        <v>0</v>
      </c>
      <c r="ADI18" s="223"/>
      <c r="ADJ18" s="224"/>
      <c r="ADK18" s="217" t="s">
        <v>99</v>
      </c>
      <c r="ADL18" s="218"/>
      <c r="ADM18" s="222">
        <v>12019</v>
      </c>
      <c r="ADN18" s="223"/>
      <c r="ADO18" s="224"/>
      <c r="ADP18" s="217" t="s">
        <v>97</v>
      </c>
      <c r="ADQ18" s="218"/>
      <c r="ADR18" s="222">
        <v>6009</v>
      </c>
      <c r="ADS18" s="223"/>
      <c r="ADT18" s="224"/>
      <c r="ADU18" s="217" t="s">
        <v>96</v>
      </c>
      <c r="ADV18" s="218"/>
      <c r="ADW18" s="222">
        <v>40563</v>
      </c>
      <c r="ADX18" s="223"/>
      <c r="ADY18" s="224"/>
      <c r="ADZ18" s="217" t="s">
        <v>101</v>
      </c>
      <c r="AEA18" s="218"/>
      <c r="AEB18" s="222">
        <v>0</v>
      </c>
      <c r="AEC18" s="223"/>
      <c r="AED18" s="224"/>
      <c r="AEE18" s="217" t="s">
        <v>41</v>
      </c>
      <c r="AEF18" s="218"/>
      <c r="AEG18" s="222">
        <v>0</v>
      </c>
      <c r="AEH18" s="223"/>
      <c r="AEI18" s="224"/>
      <c r="AEJ18" s="217" t="s">
        <v>99</v>
      </c>
      <c r="AEK18" s="218"/>
      <c r="AEL18" s="222">
        <v>9014</v>
      </c>
      <c r="AEM18" s="223"/>
      <c r="AEN18" s="224"/>
      <c r="AEO18" s="217" t="s">
        <v>98</v>
      </c>
      <c r="AEP18" s="218"/>
      <c r="AEQ18" s="222">
        <v>6010</v>
      </c>
      <c r="AER18" s="223"/>
      <c r="AES18" s="224"/>
      <c r="AET18" s="217" t="s">
        <v>96</v>
      </c>
      <c r="AEU18" s="218"/>
      <c r="AEV18" s="222">
        <v>31623</v>
      </c>
      <c r="AEW18" s="223"/>
      <c r="AEX18" s="224"/>
      <c r="AEY18" s="217" t="s">
        <v>101</v>
      </c>
      <c r="AEZ18" s="218"/>
      <c r="AFA18" s="222">
        <v>0</v>
      </c>
      <c r="AFB18" s="223"/>
      <c r="AFC18" s="224"/>
      <c r="AFD18" s="217" t="s">
        <v>41</v>
      </c>
      <c r="AFE18" s="218"/>
      <c r="AFF18" s="222">
        <v>0</v>
      </c>
      <c r="AFG18" s="223"/>
      <c r="AFH18" s="224"/>
      <c r="AFI18" s="217" t="s">
        <v>99</v>
      </c>
      <c r="AFJ18" s="218"/>
      <c r="AFK18" s="222">
        <v>4507</v>
      </c>
      <c r="AFL18" s="223"/>
      <c r="AFM18" s="224"/>
      <c r="AFN18" s="217" t="s">
        <v>98</v>
      </c>
      <c r="AFO18" s="218"/>
      <c r="AFP18" s="222">
        <v>3005</v>
      </c>
      <c r="AFQ18" s="223"/>
      <c r="AFR18" s="224"/>
      <c r="AFS18" s="217" t="s">
        <v>97</v>
      </c>
      <c r="AFT18" s="218"/>
      <c r="AFU18" s="222">
        <v>19529</v>
      </c>
      <c r="AFV18" s="223"/>
      <c r="AFW18" s="224"/>
      <c r="AFX18" s="217" t="s">
        <v>96</v>
      </c>
      <c r="AFY18" s="218"/>
      <c r="AFZ18" s="222">
        <v>59107.5</v>
      </c>
      <c r="AGA18" s="223"/>
      <c r="AGB18" s="224"/>
      <c r="AGC18" s="217" t="s">
        <v>101</v>
      </c>
      <c r="AGD18" s="218"/>
      <c r="AGE18" s="222">
        <v>1008.25</v>
      </c>
      <c r="AGF18" s="223"/>
      <c r="AGG18" s="224"/>
      <c r="AGH18" s="217" t="s">
        <v>41</v>
      </c>
      <c r="AGI18" s="218"/>
      <c r="AGJ18" s="222">
        <v>0</v>
      </c>
      <c r="AGK18" s="223"/>
      <c r="AGL18" s="224"/>
      <c r="AGM18" s="217" t="s">
        <v>99</v>
      </c>
      <c r="AGN18" s="218"/>
      <c r="AGO18" s="222">
        <v>0</v>
      </c>
      <c r="AGP18" s="223"/>
      <c r="AGQ18" s="224"/>
      <c r="AGR18" s="217" t="s">
        <v>98</v>
      </c>
      <c r="AGS18" s="218"/>
      <c r="AGT18" s="222">
        <v>16527</v>
      </c>
      <c r="AGU18" s="223"/>
      <c r="AGV18" s="224"/>
      <c r="AGW18" s="217" t="s">
        <v>98</v>
      </c>
      <c r="AGX18" s="218"/>
      <c r="AGY18" s="222">
        <v>0</v>
      </c>
      <c r="AGZ18" s="223"/>
      <c r="AHA18" s="224"/>
      <c r="AHB18" s="217" t="s">
        <v>97</v>
      </c>
      <c r="AHC18" s="218"/>
      <c r="AHD18" s="222">
        <v>22533</v>
      </c>
      <c r="AHE18" s="223"/>
      <c r="AHF18" s="224"/>
      <c r="AHG18" s="217" t="s">
        <v>96</v>
      </c>
      <c r="AHH18" s="218"/>
      <c r="AHI18" s="222">
        <v>9086</v>
      </c>
      <c r="AHJ18" s="223"/>
      <c r="AHK18" s="224"/>
      <c r="AHL18" s="217" t="s">
        <v>101</v>
      </c>
      <c r="AHM18" s="218"/>
      <c r="AHN18" s="222">
        <v>9014</v>
      </c>
      <c r="AHO18" s="223"/>
      <c r="AHP18" s="224"/>
      <c r="AHQ18" s="217" t="s">
        <v>41</v>
      </c>
      <c r="AHR18" s="218"/>
      <c r="AHS18" s="222">
        <v>0</v>
      </c>
      <c r="AHT18" s="223"/>
      <c r="AHU18" s="224"/>
      <c r="AHV18" s="217" t="s">
        <v>99</v>
      </c>
      <c r="AHW18" s="218"/>
      <c r="AHX18" s="222">
        <v>26255</v>
      </c>
      <c r="AHY18" s="223"/>
      <c r="AHZ18" s="224"/>
      <c r="AIA18" s="217" t="s">
        <v>98</v>
      </c>
      <c r="AIB18" s="218"/>
      <c r="AIC18" s="222">
        <v>33052</v>
      </c>
      <c r="AID18" s="223"/>
      <c r="AIE18" s="224"/>
      <c r="AIF18" s="217" t="s">
        <v>97</v>
      </c>
      <c r="AIG18" s="218"/>
      <c r="AIH18" s="222">
        <v>12019</v>
      </c>
      <c r="AII18" s="223"/>
      <c r="AIJ18" s="224"/>
      <c r="AIK18" s="217" t="s">
        <v>96</v>
      </c>
      <c r="AIL18" s="218"/>
      <c r="AIM18" s="222">
        <v>2582.25</v>
      </c>
      <c r="AIN18" s="223"/>
      <c r="AIO18" s="224"/>
      <c r="AIP18" s="217" t="s">
        <v>101</v>
      </c>
      <c r="AIQ18" s="218"/>
      <c r="AIR18" s="222">
        <v>1502</v>
      </c>
      <c r="AIS18" s="223"/>
      <c r="AIT18" s="224"/>
      <c r="AIU18" s="217" t="s">
        <v>41</v>
      </c>
      <c r="AIV18" s="218"/>
      <c r="AIW18" s="222">
        <v>0</v>
      </c>
      <c r="AIX18" s="223"/>
      <c r="AIY18" s="224"/>
      <c r="AIZ18" s="217" t="s">
        <v>99</v>
      </c>
      <c r="AJA18" s="218"/>
      <c r="AJB18" s="222">
        <v>4506</v>
      </c>
      <c r="AJC18" s="223"/>
      <c r="AJD18" s="224"/>
      <c r="AJE18" s="217" t="s">
        <v>98</v>
      </c>
      <c r="AJF18" s="218"/>
      <c r="AJG18" s="222">
        <v>4664</v>
      </c>
      <c r="AJH18" s="223"/>
      <c r="AJI18" s="224"/>
      <c r="AJJ18" s="217" t="s">
        <v>97</v>
      </c>
      <c r="AJK18" s="218"/>
      <c r="AJL18" s="222">
        <v>7798</v>
      </c>
      <c r="AJM18" s="223"/>
      <c r="AJN18" s="224"/>
      <c r="AJO18" s="217" t="s">
        <v>96</v>
      </c>
      <c r="AJP18" s="218"/>
      <c r="AJQ18" s="222">
        <v>30239.5</v>
      </c>
      <c r="AJR18" s="223"/>
      <c r="AJS18" s="224"/>
      <c r="AJT18" s="217" t="s">
        <v>102</v>
      </c>
      <c r="AJU18" s="218"/>
      <c r="AJV18" s="222">
        <v>0</v>
      </c>
      <c r="AJW18" s="223"/>
      <c r="AJX18" s="224"/>
      <c r="AJY18" s="217" t="s">
        <v>101</v>
      </c>
      <c r="AJZ18" s="218"/>
      <c r="AKA18" s="222">
        <v>0</v>
      </c>
      <c r="AKB18" s="223"/>
      <c r="AKC18" s="224"/>
      <c r="AKD18" s="217" t="s">
        <v>41</v>
      </c>
      <c r="AKE18" s="218"/>
      <c r="AKF18" s="222">
        <v>0</v>
      </c>
      <c r="AKG18" s="223"/>
      <c r="AKH18" s="224"/>
      <c r="AKI18" s="217" t="s">
        <v>99</v>
      </c>
      <c r="AKJ18" s="218"/>
      <c r="AKK18" s="222">
        <v>0</v>
      </c>
      <c r="AKL18" s="223"/>
      <c r="AKM18" s="224"/>
      <c r="AKN18" s="217" t="s">
        <v>98</v>
      </c>
      <c r="AKO18" s="218"/>
      <c r="AKP18" s="222">
        <v>0</v>
      </c>
      <c r="AKQ18" s="223"/>
      <c r="AKR18" s="224"/>
      <c r="AKS18" s="217" t="s">
        <v>97</v>
      </c>
      <c r="AKT18" s="218"/>
      <c r="AKU18" s="222">
        <v>4578</v>
      </c>
      <c r="AKV18" s="223"/>
      <c r="AKW18" s="224"/>
      <c r="AKX18" s="217" t="s">
        <v>96</v>
      </c>
      <c r="AKY18" s="218"/>
      <c r="AKZ18" s="222">
        <v>7511</v>
      </c>
      <c r="ALA18" s="223"/>
      <c r="ALB18" s="224"/>
      <c r="ALC18" s="217" t="s">
        <v>102</v>
      </c>
      <c r="ALD18" s="218"/>
      <c r="ALE18" s="222">
        <v>62694</v>
      </c>
      <c r="ALF18" s="223"/>
      <c r="ALG18" s="224"/>
      <c r="ALH18" s="217" t="s">
        <v>101</v>
      </c>
      <c r="ALI18" s="218"/>
      <c r="ALJ18" s="222">
        <v>0</v>
      </c>
      <c r="ALK18" s="223"/>
      <c r="ALL18" s="224"/>
      <c r="ALM18" s="217" t="s">
        <v>41</v>
      </c>
      <c r="ALN18" s="218"/>
      <c r="ALO18" s="222">
        <v>0</v>
      </c>
      <c r="ALP18" s="223"/>
      <c r="ALQ18" s="224"/>
      <c r="ALR18" s="217" t="s">
        <v>99</v>
      </c>
      <c r="ALS18" s="218"/>
      <c r="ALT18" s="222">
        <v>6081</v>
      </c>
      <c r="ALU18" s="223"/>
      <c r="ALV18" s="224"/>
      <c r="ALW18" s="217" t="s">
        <v>98</v>
      </c>
      <c r="ALX18" s="218"/>
      <c r="ALY18" s="222">
        <v>43572</v>
      </c>
      <c r="ALZ18" s="223"/>
      <c r="AMA18" s="224"/>
      <c r="AMB18" s="217" t="s">
        <v>97</v>
      </c>
      <c r="AMC18" s="218"/>
      <c r="AMD18" s="222">
        <v>0</v>
      </c>
      <c r="AME18" s="223"/>
      <c r="AMF18" s="224"/>
      <c r="AMG18" s="217" t="s">
        <v>96</v>
      </c>
      <c r="AMH18" s="218"/>
      <c r="AMI18" s="222">
        <v>1574</v>
      </c>
      <c r="AMJ18" s="223"/>
      <c r="AMK18" s="224"/>
      <c r="AML18" s="217" t="s">
        <v>101</v>
      </c>
      <c r="AMM18" s="218"/>
      <c r="AMN18" s="222">
        <v>0</v>
      </c>
      <c r="AMO18" s="223"/>
      <c r="AMP18" s="224"/>
      <c r="AMQ18" s="217" t="s">
        <v>41</v>
      </c>
      <c r="AMR18" s="218"/>
      <c r="AMS18" s="222">
        <v>0</v>
      </c>
      <c r="AMT18" s="223"/>
      <c r="AMU18" s="224"/>
      <c r="AMV18" s="217" t="s">
        <v>99</v>
      </c>
      <c r="AMW18" s="218"/>
      <c r="AMX18" s="222">
        <v>13521</v>
      </c>
      <c r="AMY18" s="223"/>
      <c r="AMZ18" s="224"/>
      <c r="ANA18" s="217" t="s">
        <v>98</v>
      </c>
      <c r="ANB18" s="218"/>
      <c r="ANC18" s="222">
        <v>0</v>
      </c>
      <c r="AND18" s="223"/>
      <c r="ANE18" s="224"/>
      <c r="ANF18" s="217" t="s">
        <v>97</v>
      </c>
      <c r="ANG18" s="218"/>
      <c r="ANH18" s="222">
        <v>0</v>
      </c>
      <c r="ANI18" s="223"/>
      <c r="ANJ18" s="224"/>
      <c r="ANK18" s="217" t="s">
        <v>96</v>
      </c>
      <c r="ANL18" s="218"/>
      <c r="ANM18" s="222">
        <v>0</v>
      </c>
      <c r="ANN18" s="223"/>
      <c r="ANO18" s="224"/>
      <c r="ANP18" s="217" t="s">
        <v>102</v>
      </c>
      <c r="ANQ18" s="218"/>
      <c r="ANR18" s="222">
        <v>4033</v>
      </c>
      <c r="ANS18" s="223"/>
      <c r="ANT18" s="224"/>
      <c r="ANU18" s="217" t="s">
        <v>101</v>
      </c>
      <c r="ANV18" s="218"/>
      <c r="ANW18" s="222">
        <v>6049.5</v>
      </c>
      <c r="ANX18" s="223"/>
      <c r="ANY18" s="224"/>
      <c r="ANZ18" s="217" t="s">
        <v>41</v>
      </c>
      <c r="AOA18" s="218"/>
      <c r="AOB18" s="222">
        <v>1991.3</v>
      </c>
      <c r="AOC18" s="223"/>
      <c r="AOD18" s="224"/>
      <c r="AOE18" s="217" t="s">
        <v>99</v>
      </c>
      <c r="AOF18" s="218"/>
      <c r="AOG18" s="222">
        <v>28188</v>
      </c>
      <c r="AOH18" s="223"/>
      <c r="AOI18" s="224"/>
      <c r="AOJ18" s="217" t="s">
        <v>98</v>
      </c>
      <c r="AOK18" s="218"/>
      <c r="AOL18" s="222">
        <v>28544</v>
      </c>
      <c r="AOM18" s="223"/>
      <c r="AON18" s="224"/>
      <c r="AOO18" s="217" t="s">
        <v>97</v>
      </c>
      <c r="AOP18" s="218"/>
      <c r="AOQ18" s="222">
        <v>1574</v>
      </c>
      <c r="AOR18" s="223"/>
      <c r="AOS18" s="224"/>
      <c r="AOT18" s="217" t="s">
        <v>96</v>
      </c>
      <c r="AOU18" s="218"/>
      <c r="AOV18" s="222">
        <v>9015</v>
      </c>
      <c r="AOW18" s="223"/>
      <c r="AOX18" s="224"/>
      <c r="AOY18" s="217" t="s">
        <v>102</v>
      </c>
      <c r="AOZ18" s="218"/>
      <c r="APA18" s="222">
        <v>73837</v>
      </c>
      <c r="APB18" s="223"/>
      <c r="APC18" s="224"/>
      <c r="APD18" s="217" t="s">
        <v>101</v>
      </c>
      <c r="APE18" s="218"/>
      <c r="APF18" s="222">
        <v>0</v>
      </c>
      <c r="APG18" s="223"/>
      <c r="APH18" s="224"/>
      <c r="API18" s="217" t="s">
        <v>41</v>
      </c>
      <c r="APJ18" s="218"/>
      <c r="APK18" s="222">
        <v>0</v>
      </c>
      <c r="APL18" s="223"/>
      <c r="APM18" s="224"/>
      <c r="APN18" s="217" t="s">
        <v>99</v>
      </c>
      <c r="APO18" s="218"/>
      <c r="APP18" s="222">
        <v>1574</v>
      </c>
      <c r="APQ18" s="223"/>
      <c r="APR18" s="224"/>
      <c r="APS18" s="217" t="s">
        <v>98</v>
      </c>
      <c r="APT18" s="218"/>
      <c r="APU18" s="222">
        <v>7583</v>
      </c>
      <c r="APV18" s="223"/>
      <c r="APW18" s="224"/>
      <c r="APX18" s="217" t="s">
        <v>97</v>
      </c>
      <c r="APY18" s="218"/>
      <c r="APZ18" s="222">
        <v>4033</v>
      </c>
      <c r="AQA18" s="223"/>
      <c r="AQB18" s="224"/>
      <c r="AQC18" s="217" t="s">
        <v>96</v>
      </c>
      <c r="AQD18" s="218"/>
      <c r="AQE18" s="222">
        <v>21104</v>
      </c>
      <c r="AQF18" s="223"/>
      <c r="AQG18" s="224"/>
      <c r="AQH18" s="217" t="s">
        <v>102</v>
      </c>
      <c r="AQI18" s="218"/>
      <c r="AQJ18" s="222">
        <v>34563.5</v>
      </c>
      <c r="AQK18" s="223"/>
      <c r="AQL18" s="224"/>
      <c r="AQM18" s="217" t="s">
        <v>101</v>
      </c>
      <c r="AQN18" s="218"/>
      <c r="AQO18" s="222">
        <v>0</v>
      </c>
      <c r="AQP18" s="223"/>
      <c r="AQQ18" s="224"/>
      <c r="AQR18" s="217" t="s">
        <v>41</v>
      </c>
      <c r="AQS18" s="218"/>
      <c r="AQT18" s="222">
        <v>0</v>
      </c>
      <c r="AQU18" s="223"/>
      <c r="AQV18" s="224"/>
      <c r="AQW18" s="217" t="s">
        <v>99</v>
      </c>
      <c r="AQX18" s="218"/>
      <c r="AQY18" s="222">
        <v>0</v>
      </c>
      <c r="AQZ18" s="223"/>
      <c r="ARA18" s="224"/>
      <c r="ARB18" s="217" t="s">
        <v>98</v>
      </c>
      <c r="ARC18" s="218"/>
      <c r="ARD18" s="222">
        <v>8540</v>
      </c>
      <c r="ARE18" s="223"/>
      <c r="ARF18" s="224"/>
      <c r="ARG18" s="217" t="s">
        <v>97</v>
      </c>
      <c r="ARH18" s="218"/>
      <c r="ARI18" s="222">
        <v>7512</v>
      </c>
      <c r="ARJ18" s="223"/>
      <c r="ARK18" s="224"/>
      <c r="ARL18" s="217" t="s">
        <v>96</v>
      </c>
      <c r="ARM18" s="218"/>
      <c r="ARN18" s="222">
        <v>6008</v>
      </c>
      <c r="ARO18" s="223"/>
      <c r="ARP18" s="224"/>
      <c r="ARQ18" s="217" t="s">
        <v>102</v>
      </c>
      <c r="ARR18" s="218"/>
      <c r="ARS18" s="222">
        <v>23938</v>
      </c>
      <c r="ART18" s="223"/>
      <c r="ARU18" s="224"/>
      <c r="ARV18" s="217" t="s">
        <v>101</v>
      </c>
      <c r="ARW18" s="218"/>
      <c r="ARX18" s="222">
        <v>1209.8999999999999</v>
      </c>
      <c r="ARY18" s="223"/>
      <c r="ARZ18" s="224"/>
      <c r="ASA18" s="217" t="s">
        <v>41</v>
      </c>
      <c r="ASB18" s="218"/>
      <c r="ASC18" s="222">
        <v>0</v>
      </c>
      <c r="ASD18" s="223"/>
      <c r="ASE18" s="224"/>
      <c r="ASF18" s="217" t="s">
        <v>99</v>
      </c>
      <c r="ASG18" s="218"/>
      <c r="ASH18" s="222">
        <v>6009</v>
      </c>
      <c r="ASI18" s="223"/>
      <c r="ASJ18" s="224"/>
      <c r="ASK18" s="217" t="s">
        <v>98</v>
      </c>
      <c r="ASL18" s="218"/>
      <c r="ASM18" s="222">
        <v>0</v>
      </c>
      <c r="ASN18" s="223"/>
      <c r="ASO18" s="224"/>
      <c r="ASP18" s="217" t="s">
        <v>97</v>
      </c>
      <c r="ASQ18" s="218"/>
      <c r="ASR18" s="222">
        <v>0</v>
      </c>
      <c r="ASS18" s="223"/>
      <c r="AST18" s="224"/>
      <c r="ASU18" s="217" t="s">
        <v>96</v>
      </c>
      <c r="ASV18" s="218"/>
      <c r="ASW18" s="222">
        <v>12020</v>
      </c>
      <c r="ASX18" s="223"/>
      <c r="ASY18" s="224"/>
      <c r="ASZ18" s="217" t="s">
        <v>102</v>
      </c>
      <c r="ATA18" s="218"/>
      <c r="ATB18" s="222">
        <v>28397</v>
      </c>
      <c r="ATC18" s="223"/>
      <c r="ATD18" s="224"/>
      <c r="ATE18" s="217" t="s">
        <v>101</v>
      </c>
      <c r="ATF18" s="218"/>
      <c r="ATG18" s="222">
        <v>6768.2</v>
      </c>
      <c r="ATH18" s="223"/>
      <c r="ATI18" s="224"/>
      <c r="ATJ18" s="217" t="s">
        <v>41</v>
      </c>
      <c r="ATK18" s="218"/>
      <c r="ATL18" s="222">
        <v>0</v>
      </c>
      <c r="ATM18" s="223"/>
      <c r="ATN18" s="224"/>
      <c r="ATO18" s="217" t="s">
        <v>99</v>
      </c>
      <c r="ATP18" s="218"/>
      <c r="ATQ18" s="222">
        <v>0</v>
      </c>
      <c r="ATR18" s="223"/>
      <c r="ATS18" s="224"/>
      <c r="ATT18" s="217" t="s">
        <v>98</v>
      </c>
      <c r="ATU18" s="218"/>
      <c r="ATV18" s="222">
        <v>0</v>
      </c>
      <c r="ATW18" s="223"/>
      <c r="ATX18" s="224"/>
      <c r="ATY18" s="217" t="s">
        <v>97</v>
      </c>
      <c r="ATZ18" s="218"/>
      <c r="AUA18" s="222">
        <v>0</v>
      </c>
      <c r="AUB18" s="223"/>
      <c r="AUC18" s="224"/>
      <c r="AUD18" s="217" t="s">
        <v>96</v>
      </c>
      <c r="AUE18" s="218"/>
      <c r="AUF18" s="222">
        <v>0</v>
      </c>
      <c r="AUG18" s="223"/>
      <c r="AUH18" s="224"/>
      <c r="AUI18" s="217" t="s">
        <v>102</v>
      </c>
      <c r="AUJ18" s="218"/>
      <c r="AUK18" s="222">
        <v>20617.5</v>
      </c>
      <c r="AUL18" s="223"/>
      <c r="AUM18" s="224"/>
      <c r="AUN18" s="217" t="s">
        <v>101</v>
      </c>
      <c r="AUO18" s="218"/>
      <c r="AUP18" s="222">
        <v>0</v>
      </c>
      <c r="AUQ18" s="223"/>
      <c r="AUR18" s="224"/>
      <c r="AUS18" s="217" t="s">
        <v>41</v>
      </c>
      <c r="AUT18" s="218"/>
      <c r="AUU18" s="222">
        <v>0</v>
      </c>
      <c r="AUV18" s="223"/>
      <c r="AUW18" s="224"/>
      <c r="AUX18" s="217" t="s">
        <v>99</v>
      </c>
      <c r="AUY18" s="218"/>
      <c r="AUZ18" s="222">
        <v>10946</v>
      </c>
      <c r="AVA18" s="223"/>
      <c r="AVB18" s="224"/>
      <c r="AVC18" s="217" t="s">
        <v>98</v>
      </c>
      <c r="AVD18" s="218"/>
      <c r="AVE18" s="222">
        <v>0</v>
      </c>
      <c r="AVF18" s="223"/>
      <c r="AVG18" s="224"/>
      <c r="AVH18" s="217" t="s">
        <v>97</v>
      </c>
      <c r="AVI18" s="218"/>
      <c r="AVJ18" s="222">
        <v>0</v>
      </c>
      <c r="AVK18" s="223"/>
      <c r="AVL18" s="224"/>
      <c r="AVM18" s="217" t="s">
        <v>96</v>
      </c>
      <c r="AVN18" s="218"/>
      <c r="AVO18" s="222">
        <v>1502</v>
      </c>
      <c r="AVP18" s="223"/>
      <c r="AVQ18" s="224"/>
      <c r="AVR18" s="217" t="s">
        <v>102</v>
      </c>
      <c r="AVS18" s="218"/>
      <c r="AVT18" s="222">
        <v>34634</v>
      </c>
      <c r="AVU18" s="223"/>
      <c r="AVV18" s="224"/>
      <c r="AVW18" s="217" t="s">
        <v>101</v>
      </c>
      <c r="AVX18" s="218"/>
      <c r="AVY18" s="222">
        <v>15024</v>
      </c>
      <c r="AVZ18" s="223"/>
      <c r="AWA18" s="224"/>
      <c r="AWB18" s="217" t="s">
        <v>41</v>
      </c>
      <c r="AWC18" s="218"/>
      <c r="AWD18" s="222">
        <v>7241</v>
      </c>
      <c r="AWE18" s="223"/>
      <c r="AWF18" s="224"/>
      <c r="AWG18" s="217" t="s">
        <v>99</v>
      </c>
      <c r="AWH18" s="218"/>
      <c r="AWI18" s="222">
        <v>1899</v>
      </c>
      <c r="AWJ18" s="223"/>
      <c r="AWK18" s="224"/>
      <c r="AWL18" s="217" t="s">
        <v>98</v>
      </c>
      <c r="AWM18" s="218"/>
      <c r="AWN18" s="222">
        <v>9229</v>
      </c>
      <c r="AWO18" s="223"/>
      <c r="AWP18" s="224"/>
      <c r="AWQ18" s="217" t="s">
        <v>97</v>
      </c>
      <c r="AWR18" s="218"/>
      <c r="AWS18" s="222">
        <v>0</v>
      </c>
      <c r="AWT18" s="223"/>
      <c r="AWU18" s="224"/>
      <c r="AWV18" s="217" t="s">
        <v>96</v>
      </c>
      <c r="AWW18" s="218"/>
      <c r="AWX18" s="222">
        <v>4507</v>
      </c>
      <c r="AWY18" s="223"/>
      <c r="AWZ18" s="224"/>
      <c r="AXA18" s="217" t="s">
        <v>102</v>
      </c>
      <c r="AXB18" s="218"/>
      <c r="AXC18" s="222">
        <v>27228</v>
      </c>
      <c r="AXD18" s="223"/>
      <c r="AXE18" s="224"/>
      <c r="AXF18" s="217" t="s">
        <v>101</v>
      </c>
      <c r="AXG18" s="218"/>
      <c r="AXH18" s="222">
        <v>0</v>
      </c>
      <c r="AXI18" s="223"/>
      <c r="AXJ18" s="224"/>
      <c r="AXK18" s="217" t="s">
        <v>41</v>
      </c>
      <c r="AXL18" s="218"/>
      <c r="AXM18" s="222">
        <v>0</v>
      </c>
      <c r="AXN18" s="223"/>
      <c r="AXO18" s="224"/>
      <c r="AXP18" s="217" t="s">
        <v>99</v>
      </c>
      <c r="AXQ18" s="218"/>
      <c r="AXR18" s="222">
        <v>4507</v>
      </c>
      <c r="AXS18" s="223"/>
      <c r="AXT18" s="224"/>
      <c r="AXU18" s="217" t="s">
        <v>98</v>
      </c>
      <c r="AXV18" s="218"/>
      <c r="AXW18" s="222">
        <v>0</v>
      </c>
      <c r="AXX18" s="223"/>
      <c r="AXY18" s="224"/>
      <c r="AXZ18" s="217" t="s">
        <v>97</v>
      </c>
      <c r="AYA18" s="218"/>
      <c r="AYB18" s="222">
        <v>18028</v>
      </c>
      <c r="AYC18" s="223"/>
      <c r="AYD18" s="224"/>
      <c r="AYE18" s="217" t="s">
        <v>96</v>
      </c>
      <c r="AYF18" s="218"/>
      <c r="AYG18" s="222">
        <v>4506</v>
      </c>
      <c r="AYH18" s="223"/>
      <c r="AYI18" s="224"/>
      <c r="AYJ18" s="217" t="s">
        <v>102</v>
      </c>
      <c r="AYK18" s="218"/>
      <c r="AYL18" s="222">
        <v>29613.5</v>
      </c>
      <c r="AYM18" s="223"/>
      <c r="AYN18" s="224"/>
      <c r="AYO18" s="217" t="s">
        <v>101</v>
      </c>
      <c r="AYP18" s="218"/>
      <c r="AYQ18" s="222">
        <v>0</v>
      </c>
      <c r="AYR18" s="223"/>
      <c r="AYS18" s="224"/>
      <c r="AYT18" s="217" t="s">
        <v>98</v>
      </c>
      <c r="AYU18" s="218"/>
      <c r="AYV18" s="222">
        <v>3148</v>
      </c>
      <c r="AYW18" s="223"/>
      <c r="AYX18" s="224"/>
      <c r="AYY18" s="217" t="s">
        <v>97</v>
      </c>
      <c r="AYZ18" s="218"/>
      <c r="AZA18" s="222">
        <v>0</v>
      </c>
      <c r="AZB18" s="223"/>
      <c r="AZC18" s="224"/>
      <c r="AZD18" s="217" t="s">
        <v>96</v>
      </c>
      <c r="AZE18" s="218"/>
      <c r="AZF18" s="222">
        <v>787</v>
      </c>
      <c r="AZG18" s="223"/>
      <c r="AZH18" s="224"/>
      <c r="AZI18" s="217" t="s">
        <v>102</v>
      </c>
      <c r="AZJ18" s="218"/>
      <c r="AZK18" s="222">
        <v>28545</v>
      </c>
      <c r="AZL18" s="223"/>
      <c r="AZM18" s="224"/>
      <c r="AZN18" s="217" t="s">
        <v>101</v>
      </c>
      <c r="AZO18" s="218"/>
      <c r="AZP18" s="222">
        <v>24025.8</v>
      </c>
      <c r="AZQ18" s="223"/>
      <c r="AZR18" s="224"/>
      <c r="AZS18" s="217" t="s">
        <v>41</v>
      </c>
      <c r="AZT18" s="218"/>
      <c r="AZU18" s="222">
        <v>0</v>
      </c>
      <c r="AZV18" s="223"/>
      <c r="AZW18" s="224"/>
      <c r="AZX18" s="217" t="s">
        <v>99</v>
      </c>
      <c r="AZY18" s="218"/>
      <c r="AZZ18" s="222">
        <v>0</v>
      </c>
      <c r="BAA18" s="223"/>
      <c r="BAB18" s="224"/>
      <c r="BAC18" s="217" t="s">
        <v>98</v>
      </c>
      <c r="BAD18" s="218"/>
      <c r="BAE18" s="222">
        <v>31480</v>
      </c>
      <c r="BAF18" s="223"/>
      <c r="BAG18" s="224"/>
      <c r="BAH18" s="217" t="s">
        <v>97</v>
      </c>
      <c r="BAI18" s="218"/>
      <c r="BAJ18" s="222">
        <v>1502</v>
      </c>
      <c r="BAK18" s="223"/>
      <c r="BAL18" s="224"/>
      <c r="BAM18" s="217" t="s">
        <v>96</v>
      </c>
      <c r="BAN18" s="218"/>
      <c r="BAO18" s="222">
        <v>1502</v>
      </c>
      <c r="BAP18" s="223"/>
      <c r="BAQ18" s="224"/>
      <c r="BAR18" s="217" t="s">
        <v>102</v>
      </c>
      <c r="BAS18" s="218"/>
      <c r="BAT18" s="222">
        <v>54768</v>
      </c>
      <c r="BAU18" s="223"/>
      <c r="BAV18" s="224"/>
      <c r="BAW18" s="217" t="s">
        <v>101</v>
      </c>
      <c r="BAX18" s="218"/>
      <c r="BAY18" s="222">
        <v>22605</v>
      </c>
      <c r="BAZ18" s="223"/>
      <c r="BBA18" s="224"/>
      <c r="BBB18" s="217" t="s">
        <v>41</v>
      </c>
      <c r="BBC18" s="218"/>
      <c r="BBD18" s="222">
        <v>0</v>
      </c>
      <c r="BBE18" s="223"/>
      <c r="BBF18" s="224"/>
      <c r="BBG18" s="217" t="s">
        <v>99</v>
      </c>
      <c r="BBH18" s="218"/>
      <c r="BBI18" s="222">
        <v>1574</v>
      </c>
      <c r="BBJ18" s="223"/>
      <c r="BBK18" s="224"/>
      <c r="BBL18" s="217" t="s">
        <v>98</v>
      </c>
      <c r="BBM18" s="218"/>
      <c r="BBN18" s="222">
        <v>3004</v>
      </c>
      <c r="BBO18" s="223"/>
      <c r="BBP18" s="224"/>
      <c r="BBQ18" s="217" t="s">
        <v>97</v>
      </c>
      <c r="BBR18" s="218"/>
      <c r="BBS18" s="222">
        <v>15023</v>
      </c>
      <c r="BBT18" s="223"/>
      <c r="BBU18" s="224"/>
      <c r="BBV18" s="217" t="s">
        <v>96</v>
      </c>
      <c r="BBW18" s="218"/>
      <c r="BBX18" s="222">
        <v>6010</v>
      </c>
      <c r="BBY18" s="223"/>
      <c r="BBZ18" s="224"/>
      <c r="BCA18" s="217" t="s">
        <v>102</v>
      </c>
      <c r="BCB18" s="218"/>
      <c r="BCC18" s="222">
        <v>3005</v>
      </c>
      <c r="BCD18" s="223"/>
      <c r="BCE18" s="224"/>
      <c r="BCF18" s="217" t="s">
        <v>101</v>
      </c>
      <c r="BCG18" s="218"/>
      <c r="BCH18" s="222">
        <v>5670</v>
      </c>
      <c r="BCI18" s="223"/>
      <c r="BCJ18" s="224"/>
      <c r="BCK18" s="217" t="s">
        <v>101</v>
      </c>
      <c r="BCL18" s="218"/>
      <c r="BCM18" s="222">
        <v>9014</v>
      </c>
      <c r="BCN18" s="223"/>
      <c r="BCO18" s="224"/>
      <c r="BCP18" s="217" t="s">
        <v>41</v>
      </c>
      <c r="BCQ18" s="218"/>
      <c r="BCR18" s="222">
        <v>0</v>
      </c>
      <c r="BCS18" s="223"/>
      <c r="BCT18" s="224"/>
      <c r="BCU18" s="217" t="s">
        <v>99</v>
      </c>
      <c r="BCV18" s="218"/>
      <c r="BCW18" s="222">
        <v>0</v>
      </c>
      <c r="BCX18" s="223"/>
      <c r="BCY18" s="224"/>
      <c r="BCZ18" s="217" t="s">
        <v>98</v>
      </c>
      <c r="BDA18" s="218"/>
      <c r="BDB18" s="222">
        <v>0</v>
      </c>
      <c r="BDC18" s="223"/>
      <c r="BDD18" s="224"/>
      <c r="BDE18" s="217" t="s">
        <v>97</v>
      </c>
      <c r="BDF18" s="218"/>
      <c r="BDG18" s="222">
        <v>15022</v>
      </c>
      <c r="BDH18" s="223"/>
      <c r="BDI18" s="224"/>
      <c r="BDJ18" s="217" t="s">
        <v>96</v>
      </c>
      <c r="BDK18" s="218"/>
      <c r="BDL18" s="222">
        <v>0</v>
      </c>
      <c r="BDM18" s="223"/>
      <c r="BDN18" s="224"/>
      <c r="BDO18" s="217" t="s">
        <v>102</v>
      </c>
      <c r="BDP18" s="218"/>
      <c r="BDQ18" s="222">
        <v>17553</v>
      </c>
      <c r="BDR18" s="223"/>
      <c r="BDS18" s="224"/>
      <c r="BDT18" s="217" t="s">
        <v>101</v>
      </c>
      <c r="BDU18" s="218"/>
      <c r="BDV18" s="222">
        <v>1502</v>
      </c>
      <c r="BDW18" s="223"/>
      <c r="BDX18" s="224"/>
      <c r="BDY18" s="217" t="s">
        <v>41</v>
      </c>
      <c r="BDZ18" s="218"/>
      <c r="BEA18" s="222">
        <v>0</v>
      </c>
      <c r="BEB18" s="223"/>
      <c r="BEC18" s="224"/>
      <c r="BED18" s="217" t="s">
        <v>99</v>
      </c>
      <c r="BEE18" s="218"/>
      <c r="BEF18" s="222">
        <v>0</v>
      </c>
      <c r="BEG18" s="223"/>
      <c r="BEH18" s="224"/>
      <c r="BEI18" s="217" t="s">
        <v>97</v>
      </c>
      <c r="BEJ18" s="218"/>
      <c r="BEK18" s="222">
        <v>0</v>
      </c>
      <c r="BEL18" s="223"/>
      <c r="BEM18" s="224"/>
      <c r="BEN18" s="217" t="s">
        <v>96</v>
      </c>
      <c r="BEO18" s="218"/>
      <c r="BEP18" s="222">
        <v>13519</v>
      </c>
      <c r="BEQ18" s="223"/>
      <c r="BER18" s="224"/>
      <c r="BES18" s="217" t="s">
        <v>102</v>
      </c>
      <c r="BET18" s="218"/>
      <c r="BEU18" s="222">
        <v>33457</v>
      </c>
      <c r="BEV18" s="223"/>
      <c r="BEW18" s="224"/>
      <c r="BEX18" s="217" t="s">
        <v>101</v>
      </c>
      <c r="BEY18" s="218"/>
      <c r="BEZ18" s="222">
        <v>0</v>
      </c>
      <c r="BFA18" s="223"/>
      <c r="BFB18" s="224"/>
      <c r="BFC18" s="217" t="s">
        <v>41</v>
      </c>
      <c r="BFD18" s="218"/>
      <c r="BFE18" s="222">
        <v>0</v>
      </c>
      <c r="BFF18" s="223"/>
      <c r="BFG18" s="224"/>
      <c r="BFH18" s="217" t="s">
        <v>99</v>
      </c>
      <c r="BFI18" s="218"/>
      <c r="BFJ18" s="222">
        <v>0</v>
      </c>
      <c r="BFK18" s="223"/>
      <c r="BFL18" s="224"/>
      <c r="BFM18" s="217" t="s">
        <v>98</v>
      </c>
      <c r="BFN18" s="218"/>
      <c r="BFO18" s="222">
        <v>19674</v>
      </c>
      <c r="BFP18" s="223"/>
      <c r="BFQ18" s="224"/>
      <c r="BFR18" s="217" t="s">
        <v>97</v>
      </c>
      <c r="BFS18" s="218"/>
      <c r="BFT18" s="222">
        <v>1574</v>
      </c>
      <c r="BFU18" s="223"/>
      <c r="BFV18" s="224"/>
      <c r="BFW18" s="217" t="s">
        <v>96</v>
      </c>
      <c r="BFX18" s="218"/>
      <c r="BFY18" s="222">
        <v>0</v>
      </c>
      <c r="BFZ18" s="223"/>
      <c r="BGA18" s="224"/>
      <c r="BGB18" s="217" t="s">
        <v>102</v>
      </c>
      <c r="BGC18" s="218"/>
      <c r="BGD18" s="222">
        <v>22325.75</v>
      </c>
      <c r="BGE18" s="223"/>
      <c r="BGF18" s="224"/>
      <c r="BGG18" s="217" t="s">
        <v>101</v>
      </c>
      <c r="BGH18" s="218"/>
      <c r="BGI18" s="222">
        <v>4033</v>
      </c>
      <c r="BGJ18" s="223"/>
      <c r="BGK18" s="224"/>
      <c r="BGL18" s="217" t="s">
        <v>99</v>
      </c>
      <c r="BGM18" s="218"/>
      <c r="BGN18" s="222">
        <v>0</v>
      </c>
      <c r="BGO18" s="223"/>
      <c r="BGP18" s="224"/>
      <c r="BGQ18" s="217" t="s">
        <v>98</v>
      </c>
      <c r="BGR18" s="218"/>
      <c r="BGS18" s="222">
        <v>0</v>
      </c>
      <c r="BGT18" s="223"/>
      <c r="BGU18" s="224"/>
      <c r="BGV18" s="217" t="s">
        <v>97</v>
      </c>
      <c r="BGW18" s="218"/>
      <c r="BGX18" s="222">
        <v>6153</v>
      </c>
      <c r="BGY18" s="223"/>
      <c r="BGZ18" s="224"/>
      <c r="BHA18" s="217" t="s">
        <v>96</v>
      </c>
      <c r="BHB18" s="218"/>
      <c r="BHC18" s="222">
        <v>16617.75</v>
      </c>
      <c r="BHD18" s="223"/>
      <c r="BHE18" s="224"/>
      <c r="BHF18" s="217" t="s">
        <v>102</v>
      </c>
      <c r="BHG18" s="218"/>
      <c r="BHH18" s="222">
        <v>30959.5</v>
      </c>
      <c r="BHI18" s="223"/>
      <c r="BHJ18" s="224"/>
      <c r="BHK18" s="217" t="s">
        <v>101</v>
      </c>
      <c r="BHL18" s="218"/>
      <c r="BHM18" s="222">
        <v>0</v>
      </c>
      <c r="BHN18" s="223"/>
      <c r="BHO18" s="224"/>
      <c r="BHP18" s="217" t="s">
        <v>41</v>
      </c>
      <c r="BHQ18" s="218"/>
      <c r="BHR18" s="222">
        <v>4722</v>
      </c>
      <c r="BHS18" s="223"/>
      <c r="BHT18" s="224"/>
      <c r="BHU18" s="217" t="s">
        <v>99</v>
      </c>
      <c r="BHV18" s="218"/>
      <c r="BHW18" s="222">
        <v>0</v>
      </c>
      <c r="BHX18" s="223"/>
      <c r="BHY18" s="224"/>
      <c r="BHZ18" s="217" t="s">
        <v>98</v>
      </c>
      <c r="BIA18" s="218"/>
      <c r="BIB18" s="222">
        <v>3004</v>
      </c>
      <c r="BIC18" s="223"/>
      <c r="BID18" s="224"/>
      <c r="BIE18" s="217" t="s">
        <v>97</v>
      </c>
      <c r="BIF18" s="218"/>
      <c r="BIG18" s="222">
        <v>7510</v>
      </c>
      <c r="BIH18" s="223"/>
      <c r="BII18" s="224"/>
      <c r="BIJ18" s="217" t="s">
        <v>101</v>
      </c>
      <c r="BIK18" s="218"/>
      <c r="BIL18" s="222">
        <v>1502</v>
      </c>
      <c r="BIM18" s="223"/>
      <c r="BIN18" s="224"/>
      <c r="BIO18" s="217" t="s">
        <v>41</v>
      </c>
      <c r="BIP18" s="218"/>
      <c r="BIQ18" s="222">
        <v>0</v>
      </c>
      <c r="BIR18" s="223"/>
      <c r="BIS18" s="224"/>
      <c r="BIT18" s="217" t="s">
        <v>99</v>
      </c>
      <c r="BIU18" s="218"/>
      <c r="BIV18" s="222">
        <v>0</v>
      </c>
      <c r="BIW18" s="223"/>
      <c r="BIX18" s="224"/>
      <c r="BIY18" s="217" t="s">
        <v>98</v>
      </c>
      <c r="BIZ18" s="218"/>
      <c r="BJA18" s="222">
        <v>0</v>
      </c>
      <c r="BJB18" s="223"/>
      <c r="BJC18" s="224"/>
      <c r="BJD18" s="217" t="s">
        <v>97</v>
      </c>
      <c r="BJE18" s="218"/>
      <c r="BJF18" s="222">
        <v>0</v>
      </c>
      <c r="BJG18" s="223"/>
      <c r="BJH18" s="224"/>
      <c r="BJI18" s="217" t="s">
        <v>96</v>
      </c>
      <c r="BJJ18" s="218"/>
      <c r="BJK18" s="222">
        <v>16526</v>
      </c>
      <c r="BJL18" s="223"/>
      <c r="BJM18" s="224"/>
      <c r="BJN18" s="217" t="s">
        <v>99</v>
      </c>
      <c r="BJO18" s="218"/>
      <c r="BJP18" s="222">
        <v>0</v>
      </c>
      <c r="BJQ18" s="223"/>
      <c r="BJR18" s="224"/>
      <c r="BJS18" s="217" t="s">
        <v>98</v>
      </c>
      <c r="BJT18" s="218"/>
      <c r="BJU18" s="222">
        <v>13522</v>
      </c>
      <c r="BJV18" s="223"/>
      <c r="BJW18" s="224"/>
      <c r="BJX18" s="217" t="s">
        <v>98</v>
      </c>
      <c r="BJY18" s="218"/>
      <c r="BJZ18" s="222">
        <v>3005</v>
      </c>
      <c r="BKA18" s="223"/>
      <c r="BKB18" s="224"/>
      <c r="BKC18" s="217" t="s">
        <v>102</v>
      </c>
      <c r="BKD18" s="218"/>
      <c r="BKE18" s="222">
        <v>10516</v>
      </c>
      <c r="BKF18" s="223"/>
      <c r="BKG18" s="224"/>
      <c r="BKH18" s="217" t="s">
        <v>101</v>
      </c>
      <c r="BKI18" s="218"/>
      <c r="BKJ18" s="222">
        <v>10516</v>
      </c>
      <c r="BKK18" s="223"/>
      <c r="BKL18" s="224"/>
      <c r="BKM18" s="217" t="s">
        <v>41</v>
      </c>
      <c r="BKN18" s="218"/>
      <c r="BKO18" s="222">
        <v>0</v>
      </c>
      <c r="BKP18" s="223"/>
      <c r="BKQ18" s="224"/>
      <c r="BKR18" s="217" t="s">
        <v>98</v>
      </c>
      <c r="BKS18" s="218"/>
      <c r="BKT18" s="222">
        <v>4507</v>
      </c>
      <c r="BKU18" s="223"/>
      <c r="BKV18" s="224"/>
      <c r="BKW18" s="217" t="s">
        <v>102</v>
      </c>
      <c r="BKX18" s="218"/>
      <c r="BKY18" s="222">
        <v>38785.300000000003</v>
      </c>
      <c r="BKZ18" s="223"/>
      <c r="BLA18" s="224"/>
      <c r="BLB18" s="217" t="s">
        <v>101</v>
      </c>
      <c r="BLC18" s="218"/>
      <c r="BLD18" s="222">
        <v>11274</v>
      </c>
      <c r="BLE18" s="223"/>
      <c r="BLF18" s="224"/>
      <c r="BLG18" s="217" t="s">
        <v>41</v>
      </c>
      <c r="BLH18" s="218"/>
      <c r="BLI18" s="222">
        <v>0</v>
      </c>
      <c r="BLJ18" s="223"/>
      <c r="BLK18" s="224"/>
      <c r="BLL18" s="217" t="s">
        <v>99</v>
      </c>
      <c r="BLM18" s="218"/>
      <c r="BLN18" s="222">
        <v>10516</v>
      </c>
      <c r="BLO18" s="223"/>
      <c r="BLP18" s="224"/>
      <c r="BLQ18" s="217" t="s">
        <v>98</v>
      </c>
      <c r="BLR18" s="218"/>
      <c r="BLS18" s="222">
        <v>1502</v>
      </c>
      <c r="BLT18" s="223"/>
      <c r="BLU18" s="224"/>
      <c r="BLV18" s="217" t="s">
        <v>102</v>
      </c>
      <c r="BLW18" s="218"/>
      <c r="BLX18" s="222">
        <v>55042</v>
      </c>
      <c r="BLY18" s="223"/>
      <c r="BLZ18" s="224"/>
      <c r="BMA18" s="217" t="s">
        <v>101</v>
      </c>
      <c r="BMB18" s="218"/>
      <c r="BMC18" s="222">
        <v>2016.5</v>
      </c>
      <c r="BMD18" s="223"/>
      <c r="BME18" s="224"/>
      <c r="BMF18" s="217" t="s">
        <v>41</v>
      </c>
      <c r="BMG18" s="218"/>
      <c r="BMH18" s="222">
        <v>0</v>
      </c>
      <c r="BMI18" s="223"/>
      <c r="BMJ18" s="224"/>
      <c r="BMK18" s="217" t="s">
        <v>99</v>
      </c>
      <c r="BML18" s="218"/>
      <c r="BMM18" s="222">
        <v>0</v>
      </c>
      <c r="BMN18" s="223"/>
      <c r="BMO18" s="224"/>
      <c r="BMP18" s="217" t="s">
        <v>102</v>
      </c>
      <c r="BMQ18" s="218"/>
      <c r="BMR18" s="222">
        <v>54943</v>
      </c>
      <c r="BMS18" s="223"/>
      <c r="BMT18" s="224"/>
      <c r="BMU18" s="217" t="s">
        <v>101</v>
      </c>
      <c r="BMV18" s="218"/>
      <c r="BMW18" s="222">
        <v>3004</v>
      </c>
      <c r="BMX18" s="223"/>
      <c r="BMY18" s="224"/>
      <c r="BMZ18" s="217" t="s">
        <v>41</v>
      </c>
      <c r="BNA18" s="218"/>
      <c r="BNB18" s="222">
        <v>0</v>
      </c>
      <c r="BNC18" s="223"/>
      <c r="BND18" s="224"/>
      <c r="BNE18" s="217" t="s">
        <v>98</v>
      </c>
      <c r="BNF18" s="218"/>
      <c r="BNG18" s="222">
        <v>0</v>
      </c>
      <c r="BNH18" s="223"/>
      <c r="BNI18" s="224"/>
      <c r="BNJ18" s="217" t="s">
        <v>41</v>
      </c>
      <c r="BNK18" s="218"/>
      <c r="BNL18" s="222">
        <v>0</v>
      </c>
      <c r="BNM18" s="223"/>
      <c r="BNN18" s="224"/>
      <c r="BNO18" s="217" t="s">
        <v>99</v>
      </c>
      <c r="BNP18" s="218"/>
      <c r="BNQ18" s="222">
        <v>0</v>
      </c>
      <c r="BNR18" s="223"/>
      <c r="BNS18" s="224"/>
      <c r="BNT18" s="217" t="s">
        <v>98</v>
      </c>
      <c r="BNU18" s="218"/>
      <c r="BNV18" s="222">
        <v>6009</v>
      </c>
      <c r="BNW18" s="223"/>
      <c r="BNX18" s="224"/>
      <c r="BNY18" s="217" t="s">
        <v>102</v>
      </c>
      <c r="BNZ18" s="218"/>
      <c r="BOA18" s="222">
        <v>13983</v>
      </c>
      <c r="BOB18" s="223"/>
      <c r="BOC18" s="224"/>
      <c r="BOD18" s="217" t="s">
        <v>99</v>
      </c>
      <c r="BOE18" s="218"/>
      <c r="BOF18" s="222">
        <v>3148</v>
      </c>
      <c r="BOG18" s="223"/>
      <c r="BOH18" s="224"/>
      <c r="BOI18" s="217" t="s">
        <v>98</v>
      </c>
      <c r="BOJ18" s="218"/>
      <c r="BOK18" s="222">
        <v>0</v>
      </c>
      <c r="BOL18" s="223"/>
      <c r="BOM18" s="224"/>
      <c r="BON18" s="217" t="s">
        <v>97</v>
      </c>
      <c r="BOO18" s="218"/>
      <c r="BOP18" s="222">
        <v>1502</v>
      </c>
      <c r="BOQ18" s="223"/>
      <c r="BOR18" s="224"/>
      <c r="BOS18" s="217" t="s">
        <v>96</v>
      </c>
      <c r="BOT18" s="218"/>
      <c r="BOU18" s="222">
        <v>6049.5</v>
      </c>
      <c r="BOV18" s="223"/>
      <c r="BOW18" s="224"/>
      <c r="BOX18" s="217" t="s">
        <v>102</v>
      </c>
      <c r="BOY18" s="218"/>
      <c r="BOZ18" s="222">
        <v>10921</v>
      </c>
      <c r="BPA18" s="223"/>
      <c r="BPB18" s="224"/>
      <c r="BPC18" s="217" t="s">
        <v>101</v>
      </c>
      <c r="BPD18" s="218"/>
      <c r="BPE18" s="222">
        <v>0</v>
      </c>
      <c r="BPF18" s="223"/>
      <c r="BPG18" s="224"/>
      <c r="BPH18" s="217" t="s">
        <v>41</v>
      </c>
      <c r="BPI18" s="218"/>
      <c r="BPJ18" s="222">
        <v>0</v>
      </c>
      <c r="BPK18" s="223"/>
      <c r="BPL18" s="224"/>
      <c r="BPM18" s="217" t="s">
        <v>99</v>
      </c>
      <c r="BPN18" s="218"/>
      <c r="BPO18" s="222">
        <v>0</v>
      </c>
      <c r="BPP18" s="223"/>
      <c r="BPQ18" s="224"/>
      <c r="BPR18" s="217" t="s">
        <v>98</v>
      </c>
      <c r="BPS18" s="218"/>
      <c r="BPT18" s="222">
        <v>2510.25</v>
      </c>
      <c r="BPU18" s="223"/>
      <c r="BPV18" s="224"/>
      <c r="BPW18" s="217" t="s">
        <v>97</v>
      </c>
      <c r="BPX18" s="218"/>
      <c r="BPY18" s="222">
        <v>1502</v>
      </c>
      <c r="BPZ18" s="223"/>
      <c r="BQA18" s="224"/>
      <c r="BQB18" s="217" t="s">
        <v>96</v>
      </c>
      <c r="BQC18" s="218"/>
      <c r="BQD18" s="222">
        <v>0</v>
      </c>
      <c r="BQE18" s="223"/>
      <c r="BQF18" s="224"/>
      <c r="BQG18" s="217" t="s">
        <v>102</v>
      </c>
      <c r="BQH18" s="218"/>
      <c r="BQI18" s="222">
        <v>51081</v>
      </c>
      <c r="BQJ18" s="223"/>
      <c r="BQK18" s="224"/>
      <c r="BQL18" s="217" t="s">
        <v>101</v>
      </c>
      <c r="BQM18" s="218"/>
      <c r="BQN18" s="222">
        <v>0</v>
      </c>
      <c r="BQO18" s="223"/>
      <c r="BQP18" s="224"/>
      <c r="BQQ18" s="217" t="s">
        <v>41</v>
      </c>
      <c r="BQR18" s="218"/>
      <c r="BQS18" s="222">
        <v>0</v>
      </c>
      <c r="BQT18" s="223"/>
      <c r="BQU18" s="224"/>
      <c r="BQV18" s="217" t="s">
        <v>99</v>
      </c>
      <c r="BQW18" s="218"/>
      <c r="BQX18" s="222">
        <v>0</v>
      </c>
      <c r="BQY18" s="223"/>
      <c r="BQZ18" s="224"/>
      <c r="BRA18" s="217" t="s">
        <v>98</v>
      </c>
      <c r="BRB18" s="218"/>
      <c r="BRC18" s="222">
        <v>0</v>
      </c>
      <c r="BRD18" s="223"/>
      <c r="BRE18" s="224"/>
      <c r="BRF18" s="217" t="s">
        <v>97</v>
      </c>
      <c r="BRG18" s="218"/>
      <c r="BRH18" s="222">
        <v>0</v>
      </c>
      <c r="BRI18" s="223"/>
      <c r="BRJ18" s="224"/>
      <c r="BRK18" s="217" t="s">
        <v>96</v>
      </c>
      <c r="BRL18" s="218"/>
      <c r="BRM18" s="222">
        <v>9015</v>
      </c>
      <c r="BRN18" s="223"/>
      <c r="BRO18" s="224"/>
      <c r="BRP18" s="217" t="s">
        <v>102</v>
      </c>
      <c r="BRQ18" s="218"/>
      <c r="BRR18" s="222">
        <v>9013</v>
      </c>
      <c r="BRS18" s="223"/>
      <c r="BRT18" s="224"/>
      <c r="BRU18" s="217" t="s">
        <v>101</v>
      </c>
      <c r="BRV18" s="218"/>
      <c r="BRW18" s="222">
        <v>15226</v>
      </c>
      <c r="BRX18" s="223"/>
      <c r="BRY18" s="224"/>
      <c r="BRZ18" s="217" t="s">
        <v>41</v>
      </c>
      <c r="BSA18" s="218"/>
      <c r="BSB18" s="222">
        <v>0</v>
      </c>
      <c r="BSC18" s="223"/>
      <c r="BSD18" s="224"/>
      <c r="BSE18" s="217" t="s">
        <v>99</v>
      </c>
      <c r="BSF18" s="218"/>
      <c r="BSG18" s="222">
        <v>0</v>
      </c>
      <c r="BSH18" s="223"/>
      <c r="BSI18" s="224"/>
      <c r="BSJ18" s="217" t="s">
        <v>98</v>
      </c>
      <c r="BSK18" s="218"/>
      <c r="BSL18" s="222">
        <v>1502</v>
      </c>
      <c r="BSM18" s="223"/>
      <c r="BSN18" s="224"/>
      <c r="BSO18" s="217" t="s">
        <v>97</v>
      </c>
      <c r="BSP18" s="218"/>
      <c r="BSQ18" s="222">
        <v>2510.25</v>
      </c>
      <c r="BSR18" s="223"/>
      <c r="BSS18" s="224"/>
      <c r="BST18" s="217" t="s">
        <v>96</v>
      </c>
      <c r="BSU18" s="218"/>
      <c r="BSV18" s="222">
        <v>5637</v>
      </c>
      <c r="BSW18" s="223"/>
      <c r="BSX18" s="224"/>
      <c r="BSY18" s="217" t="s">
        <v>102</v>
      </c>
      <c r="BSZ18" s="218"/>
      <c r="BTA18" s="222">
        <v>0</v>
      </c>
      <c r="BTB18" s="223"/>
      <c r="BTC18" s="224"/>
      <c r="BTD18" s="217" t="s">
        <v>101</v>
      </c>
      <c r="BTE18" s="218"/>
      <c r="BTF18" s="222">
        <v>1604</v>
      </c>
      <c r="BTG18" s="223"/>
      <c r="BTH18" s="224"/>
      <c r="BTI18" s="217" t="s">
        <v>41</v>
      </c>
      <c r="BTJ18" s="218"/>
      <c r="BTK18" s="222">
        <v>0</v>
      </c>
      <c r="BTL18" s="223"/>
      <c r="BTM18" s="224"/>
      <c r="BTN18" s="217" t="s">
        <v>99</v>
      </c>
      <c r="BTO18" s="218"/>
      <c r="BTP18" s="222">
        <v>0</v>
      </c>
      <c r="BTQ18" s="223"/>
      <c r="BTR18" s="224"/>
      <c r="BTS18" s="217" t="s">
        <v>98</v>
      </c>
      <c r="BTT18" s="218"/>
      <c r="BTU18" s="222">
        <v>0</v>
      </c>
      <c r="BTV18" s="223"/>
      <c r="BTW18" s="224"/>
      <c r="BTX18" s="217" t="s">
        <v>97</v>
      </c>
      <c r="BTY18" s="218"/>
      <c r="BTZ18" s="222">
        <v>10727.5</v>
      </c>
      <c r="BUA18" s="223"/>
      <c r="BUB18" s="224"/>
      <c r="BUC18" s="217" t="s">
        <v>96</v>
      </c>
      <c r="BUD18" s="218"/>
      <c r="BUE18" s="222">
        <v>1008.25</v>
      </c>
      <c r="BUF18" s="223"/>
      <c r="BUG18" s="224"/>
      <c r="BUH18" s="217" t="s">
        <v>97</v>
      </c>
      <c r="BUI18" s="218"/>
      <c r="BUJ18" s="222">
        <v>4506</v>
      </c>
      <c r="BUK18" s="223"/>
      <c r="BUL18" s="224"/>
      <c r="BUM18" s="217" t="s">
        <v>96</v>
      </c>
      <c r="BUN18" s="218"/>
      <c r="BUO18" s="222">
        <v>15024</v>
      </c>
      <c r="BUP18" s="223"/>
      <c r="BUQ18" s="224"/>
      <c r="BUR18" s="217" t="s">
        <v>102</v>
      </c>
      <c r="BUS18" s="218"/>
      <c r="BUT18" s="222">
        <v>109791</v>
      </c>
      <c r="BUU18" s="223"/>
      <c r="BUV18" s="224"/>
      <c r="BUW18" s="217" t="s">
        <v>101</v>
      </c>
      <c r="BUX18" s="218"/>
      <c r="BUY18" s="222">
        <v>12018</v>
      </c>
      <c r="BUZ18" s="223"/>
      <c r="BVA18" s="224"/>
      <c r="BVB18" s="217" t="s">
        <v>41</v>
      </c>
      <c r="BVC18" s="218"/>
      <c r="BVD18" s="222">
        <v>0</v>
      </c>
      <c r="BVE18" s="223"/>
      <c r="BVF18" s="224"/>
      <c r="BVG18" s="217" t="s">
        <v>41</v>
      </c>
      <c r="BVH18" s="218"/>
      <c r="BVI18" s="222">
        <v>0</v>
      </c>
      <c r="BVJ18" s="223"/>
      <c r="BVK18" s="224"/>
      <c r="BVL18" s="217" t="s">
        <v>99</v>
      </c>
      <c r="BVM18" s="218"/>
      <c r="BVN18" s="222">
        <v>0</v>
      </c>
      <c r="BVO18" s="223"/>
      <c r="BVP18" s="224"/>
      <c r="BVQ18" s="217" t="s">
        <v>98</v>
      </c>
      <c r="BVR18" s="218"/>
      <c r="BVS18" s="222">
        <v>1502</v>
      </c>
      <c r="BVT18" s="223"/>
      <c r="BVU18" s="224"/>
      <c r="BVV18" s="217" t="s">
        <v>97</v>
      </c>
      <c r="BVW18" s="218"/>
      <c r="BVX18" s="222">
        <v>9014</v>
      </c>
      <c r="BVY18" s="223"/>
      <c r="BVZ18" s="224"/>
      <c r="BWA18" s="217" t="s">
        <v>96</v>
      </c>
      <c r="BWB18" s="218"/>
      <c r="BWC18" s="222">
        <v>22534</v>
      </c>
      <c r="BWD18" s="223"/>
      <c r="BWE18" s="224"/>
      <c r="BWF18" s="217" t="s">
        <v>102</v>
      </c>
      <c r="BWG18" s="218"/>
      <c r="BWH18" s="222">
        <v>16698</v>
      </c>
      <c r="BWI18" s="223"/>
      <c r="BWJ18" s="224"/>
      <c r="BWK18" s="217" t="s">
        <v>101</v>
      </c>
      <c r="BWL18" s="218"/>
      <c r="BWM18" s="222">
        <v>55173.4</v>
      </c>
      <c r="BWN18" s="223"/>
      <c r="BWO18" s="224"/>
      <c r="BWP18" s="217" t="s">
        <v>41</v>
      </c>
      <c r="BWQ18" s="218"/>
      <c r="BWR18" s="222">
        <v>0</v>
      </c>
      <c r="BWS18" s="223"/>
      <c r="BWT18" s="224"/>
      <c r="BWU18" s="217" t="s">
        <v>99</v>
      </c>
      <c r="BWV18" s="218"/>
      <c r="BWW18" s="222">
        <v>0</v>
      </c>
      <c r="BWX18" s="223"/>
      <c r="BWY18" s="224"/>
      <c r="BWZ18" s="217" t="s">
        <v>98</v>
      </c>
      <c r="BXA18" s="218"/>
      <c r="BXB18" s="222">
        <v>0</v>
      </c>
      <c r="BXC18" s="223"/>
      <c r="BXD18" s="224"/>
      <c r="BXE18" s="217" t="s">
        <v>97</v>
      </c>
      <c r="BXF18" s="218"/>
      <c r="BXG18" s="222">
        <v>0</v>
      </c>
      <c r="BXH18" s="223"/>
      <c r="BXI18" s="224"/>
      <c r="BXJ18" s="217" t="s">
        <v>96</v>
      </c>
      <c r="BXK18" s="218"/>
      <c r="BXL18" s="222">
        <v>10329</v>
      </c>
      <c r="BXM18" s="223"/>
      <c r="BXN18" s="224"/>
      <c r="BXO18" s="217" t="s">
        <v>102</v>
      </c>
      <c r="BXP18" s="218"/>
      <c r="BXQ18" s="222">
        <v>2016.5</v>
      </c>
      <c r="BXR18" s="223"/>
      <c r="BXS18" s="224"/>
      <c r="BXT18" s="217" t="s">
        <v>101</v>
      </c>
      <c r="BXU18" s="218"/>
      <c r="BXV18" s="222">
        <v>0</v>
      </c>
      <c r="BXW18" s="223"/>
      <c r="BXX18" s="224"/>
      <c r="BXY18" s="217" t="s">
        <v>101</v>
      </c>
      <c r="BXZ18" s="218"/>
      <c r="BYA18" s="222">
        <v>1604</v>
      </c>
      <c r="BYB18" s="223"/>
      <c r="BYC18" s="224"/>
      <c r="BYD18" s="217" t="s">
        <v>101</v>
      </c>
      <c r="BYE18" s="218"/>
      <c r="BYF18" s="222">
        <v>7900</v>
      </c>
      <c r="BYG18" s="223"/>
      <c r="BYH18" s="224"/>
      <c r="BYI18" s="217" t="s">
        <v>41</v>
      </c>
      <c r="BYJ18" s="218"/>
      <c r="BYK18" s="222">
        <v>0</v>
      </c>
      <c r="BYL18" s="223"/>
      <c r="BYM18" s="224"/>
      <c r="BYN18" s="217" t="s">
        <v>99</v>
      </c>
      <c r="BYO18" s="218"/>
      <c r="BYP18" s="222">
        <v>0</v>
      </c>
      <c r="BYQ18" s="223"/>
      <c r="BYR18" s="224"/>
      <c r="BYS18" s="217" t="s">
        <v>98</v>
      </c>
      <c r="BYT18" s="218"/>
      <c r="BYU18" s="222">
        <v>1502</v>
      </c>
      <c r="BYV18" s="223"/>
      <c r="BYW18" s="224"/>
      <c r="BYX18" s="217" t="s">
        <v>97</v>
      </c>
      <c r="BYY18" s="218"/>
      <c r="BYZ18" s="222">
        <v>3005</v>
      </c>
      <c r="BZA18" s="223"/>
      <c r="BZB18" s="224"/>
      <c r="BZC18" s="217" t="s">
        <v>96</v>
      </c>
      <c r="BZD18" s="218"/>
      <c r="BZE18" s="222">
        <v>6008</v>
      </c>
      <c r="BZF18" s="223"/>
      <c r="BZG18" s="224"/>
      <c r="BZH18" s="217" t="s">
        <v>102</v>
      </c>
      <c r="BZI18" s="218"/>
      <c r="BZJ18" s="222">
        <v>18029</v>
      </c>
      <c r="BZK18" s="223"/>
      <c r="BZL18" s="224"/>
      <c r="BZM18" s="217" t="s">
        <v>101</v>
      </c>
      <c r="BZN18" s="218"/>
      <c r="BZO18" s="222">
        <v>4741.75</v>
      </c>
      <c r="BZP18" s="223"/>
      <c r="BZQ18" s="224"/>
      <c r="BZR18" s="217" t="s">
        <v>41</v>
      </c>
      <c r="BZS18" s="218"/>
      <c r="BZT18" s="222">
        <v>0</v>
      </c>
      <c r="BZU18" s="223"/>
      <c r="BZV18" s="224"/>
      <c r="BZW18" s="217" t="s">
        <v>99</v>
      </c>
      <c r="BZX18" s="218"/>
      <c r="BZY18" s="222">
        <v>21892</v>
      </c>
      <c r="BZZ18" s="223"/>
      <c r="CAA18" s="224"/>
      <c r="CAB18" s="217" t="s">
        <v>98</v>
      </c>
      <c r="CAC18" s="218"/>
      <c r="CAD18" s="222">
        <v>0</v>
      </c>
      <c r="CAE18" s="223"/>
      <c r="CAF18" s="224"/>
      <c r="CAG18" s="217" t="s">
        <v>102</v>
      </c>
      <c r="CAH18" s="218"/>
      <c r="CAI18" s="222">
        <v>57166</v>
      </c>
      <c r="CAJ18" s="223"/>
      <c r="CAK18" s="224"/>
      <c r="CAL18" s="217" t="s">
        <v>101</v>
      </c>
      <c r="CAM18" s="218"/>
      <c r="CAN18" s="222">
        <v>0</v>
      </c>
      <c r="CAO18" s="223"/>
      <c r="CAP18" s="224"/>
      <c r="CAQ18" s="217" t="s">
        <v>41</v>
      </c>
      <c r="CAR18" s="218"/>
      <c r="CAS18" s="222">
        <v>0</v>
      </c>
      <c r="CAT18" s="223"/>
      <c r="CAU18" s="224"/>
      <c r="CAV18" s="217" t="s">
        <v>99</v>
      </c>
      <c r="CAW18" s="218"/>
      <c r="CAX18" s="222">
        <v>0</v>
      </c>
      <c r="CAY18" s="223"/>
      <c r="CAZ18" s="224"/>
      <c r="CBA18" s="217" t="s">
        <v>98</v>
      </c>
      <c r="CBB18" s="218"/>
      <c r="CBC18" s="222">
        <v>0</v>
      </c>
      <c r="CBD18" s="223"/>
      <c r="CBE18" s="224"/>
      <c r="CBF18" s="217" t="s">
        <v>97</v>
      </c>
      <c r="CBG18" s="218"/>
      <c r="CBH18" s="222">
        <v>10514</v>
      </c>
      <c r="CBI18" s="223"/>
      <c r="CBJ18" s="224"/>
      <c r="CBK18" s="217" t="s">
        <v>96</v>
      </c>
      <c r="CBL18" s="218"/>
      <c r="CBM18" s="222">
        <v>15024</v>
      </c>
      <c r="CBN18" s="223"/>
      <c r="CBO18" s="224"/>
      <c r="CBP18" s="217" t="s">
        <v>102</v>
      </c>
      <c r="CBQ18" s="218"/>
      <c r="CBR18" s="222">
        <v>9015</v>
      </c>
      <c r="CBS18" s="223"/>
      <c r="CBT18" s="224"/>
      <c r="CBU18" s="217" t="s">
        <v>101</v>
      </c>
      <c r="CBV18" s="218"/>
      <c r="CBW18" s="222">
        <v>24241</v>
      </c>
      <c r="CBX18" s="223"/>
      <c r="CBY18" s="224"/>
      <c r="CBZ18" s="217" t="s">
        <v>41</v>
      </c>
      <c r="CCA18" s="218"/>
      <c r="CCB18" s="222">
        <v>0</v>
      </c>
      <c r="CCC18" s="223"/>
      <c r="CCD18" s="224"/>
      <c r="CCE18" s="217" t="s">
        <v>99</v>
      </c>
      <c r="CCF18" s="218"/>
      <c r="CCG18" s="222">
        <v>0</v>
      </c>
      <c r="CCH18" s="223"/>
      <c r="CCI18" s="224"/>
      <c r="CCJ18" s="217" t="s">
        <v>98</v>
      </c>
      <c r="CCK18" s="218"/>
      <c r="CCL18" s="222">
        <v>6009</v>
      </c>
      <c r="CCM18" s="223"/>
      <c r="CCN18" s="224"/>
      <c r="CCO18" s="217" t="s">
        <v>97</v>
      </c>
      <c r="CCP18" s="218"/>
      <c r="CCQ18" s="222">
        <v>4506</v>
      </c>
      <c r="CCR18" s="223"/>
      <c r="CCS18" s="224"/>
      <c r="CCT18" s="217" t="s">
        <v>96</v>
      </c>
      <c r="CCU18" s="218"/>
      <c r="CCV18" s="222">
        <v>4507</v>
      </c>
      <c r="CCW18" s="223"/>
      <c r="CCX18" s="224"/>
      <c r="CCY18" s="217" t="s">
        <v>101</v>
      </c>
      <c r="CCZ18" s="218"/>
      <c r="CDA18" s="222">
        <v>2582.25</v>
      </c>
      <c r="CDB18" s="223"/>
      <c r="CDC18" s="224"/>
      <c r="CDD18" s="217" t="s">
        <v>41</v>
      </c>
      <c r="CDE18" s="218"/>
      <c r="CDF18" s="222">
        <v>0</v>
      </c>
      <c r="CDG18" s="223"/>
      <c r="CDH18" s="224"/>
      <c r="CDI18" s="217" t="s">
        <v>99</v>
      </c>
      <c r="CDJ18" s="218"/>
      <c r="CDK18" s="222">
        <v>3004</v>
      </c>
      <c r="CDL18" s="223"/>
      <c r="CDM18" s="224"/>
      <c r="CDN18" s="217" t="s">
        <v>98</v>
      </c>
      <c r="CDO18" s="218"/>
      <c r="CDP18" s="222">
        <v>6009</v>
      </c>
      <c r="CDQ18" s="223"/>
      <c r="CDR18" s="224"/>
      <c r="CDS18" s="217" t="s">
        <v>97</v>
      </c>
      <c r="CDT18" s="218"/>
      <c r="CDU18" s="222">
        <v>7510</v>
      </c>
      <c r="CDV18" s="223"/>
      <c r="CDW18" s="224"/>
      <c r="CDX18" s="217" t="s">
        <v>96</v>
      </c>
      <c r="CDY18" s="218"/>
      <c r="CDZ18" s="222">
        <v>18841</v>
      </c>
      <c r="CEA18" s="223"/>
      <c r="CEB18" s="224"/>
      <c r="CEC18" s="217" t="s">
        <v>102</v>
      </c>
      <c r="CED18" s="218"/>
      <c r="CEE18" s="222">
        <v>34697</v>
      </c>
      <c r="CEF18" s="223"/>
      <c r="CEG18" s="224"/>
      <c r="CEH18" s="217" t="s">
        <v>101</v>
      </c>
      <c r="CEI18" s="218"/>
      <c r="CEJ18" s="222">
        <v>4033</v>
      </c>
      <c r="CEK18" s="223"/>
      <c r="CEL18" s="224"/>
      <c r="CEM18" s="217" t="s">
        <v>41</v>
      </c>
      <c r="CEN18" s="218"/>
      <c r="CEO18" s="222">
        <v>0</v>
      </c>
      <c r="CEP18" s="223"/>
      <c r="CEQ18" s="224"/>
      <c r="CER18" s="217" t="s">
        <v>41</v>
      </c>
      <c r="CES18" s="218"/>
      <c r="CET18" s="222">
        <v>0</v>
      </c>
      <c r="CEU18" s="223"/>
      <c r="CEV18" s="224"/>
      <c r="CEW18" s="217" t="s">
        <v>99</v>
      </c>
      <c r="CEX18" s="218"/>
      <c r="CEY18" s="222">
        <v>6010</v>
      </c>
      <c r="CEZ18" s="223"/>
      <c r="CFA18" s="224"/>
      <c r="CFB18" s="217" t="s">
        <v>98</v>
      </c>
      <c r="CFC18" s="218"/>
      <c r="CFD18" s="222">
        <v>0</v>
      </c>
      <c r="CFE18" s="223"/>
      <c r="CFF18" s="224"/>
      <c r="CFG18" s="217" t="s">
        <v>97</v>
      </c>
      <c r="CFH18" s="218"/>
      <c r="CFI18" s="222">
        <v>21032</v>
      </c>
      <c r="CFJ18" s="223"/>
      <c r="CFK18" s="224"/>
      <c r="CFL18" s="217" t="s">
        <v>96</v>
      </c>
      <c r="CFM18" s="218"/>
      <c r="CFN18" s="222">
        <v>20082</v>
      </c>
      <c r="CFO18" s="223"/>
      <c r="CFP18" s="224"/>
      <c r="CFQ18" s="217" t="s">
        <v>101</v>
      </c>
      <c r="CFR18" s="218"/>
      <c r="CFS18" s="222">
        <v>787</v>
      </c>
      <c r="CFT18" s="223"/>
      <c r="CFU18" s="224"/>
      <c r="CFV18" s="217" t="s">
        <v>41</v>
      </c>
      <c r="CFW18" s="218"/>
      <c r="CFX18" s="222">
        <v>0</v>
      </c>
      <c r="CFY18" s="223"/>
      <c r="CFZ18" s="224"/>
      <c r="CGA18" s="217" t="s">
        <v>99</v>
      </c>
      <c r="CGB18" s="218"/>
      <c r="CGC18" s="222">
        <v>0</v>
      </c>
      <c r="CGD18" s="223"/>
      <c r="CGE18" s="224"/>
      <c r="CGF18" s="217" t="s">
        <v>98</v>
      </c>
      <c r="CGG18" s="218"/>
      <c r="CGH18" s="222">
        <v>4507</v>
      </c>
      <c r="CGI18" s="223"/>
      <c r="CGJ18" s="224"/>
      <c r="CGK18" s="217" t="s">
        <v>97</v>
      </c>
      <c r="CGL18" s="218"/>
      <c r="CGM18" s="222">
        <v>54160</v>
      </c>
      <c r="CGN18" s="223"/>
      <c r="CGO18" s="224"/>
      <c r="CGP18" s="217" t="s">
        <v>96</v>
      </c>
      <c r="CGQ18" s="218"/>
      <c r="CGR18" s="222">
        <v>12017</v>
      </c>
      <c r="CGS18" s="223"/>
      <c r="CGT18" s="224"/>
      <c r="CGU18" s="217" t="s">
        <v>101</v>
      </c>
      <c r="CGV18" s="218"/>
      <c r="CGW18" s="222">
        <v>0</v>
      </c>
      <c r="CGX18" s="223"/>
      <c r="CGY18" s="224"/>
      <c r="CGZ18" s="217" t="s">
        <v>41</v>
      </c>
      <c r="CHA18" s="218"/>
      <c r="CHB18" s="222">
        <v>0</v>
      </c>
      <c r="CHC18" s="223"/>
      <c r="CHD18" s="224"/>
      <c r="CHE18" s="217" t="s">
        <v>99</v>
      </c>
      <c r="CHF18" s="218"/>
      <c r="CHG18" s="222">
        <v>0</v>
      </c>
      <c r="CHH18" s="223"/>
      <c r="CHI18" s="224"/>
      <c r="CHJ18" s="217" t="s">
        <v>97</v>
      </c>
      <c r="CHK18" s="218"/>
      <c r="CHL18" s="222">
        <v>7598</v>
      </c>
      <c r="CHM18" s="223"/>
      <c r="CHN18" s="224"/>
      <c r="CHO18" s="217" t="s">
        <v>96</v>
      </c>
      <c r="CHP18" s="218"/>
      <c r="CHQ18" s="222">
        <v>0</v>
      </c>
      <c r="CHR18" s="223"/>
      <c r="CHS18" s="224"/>
      <c r="CHT18" s="217" t="s">
        <v>102</v>
      </c>
      <c r="CHU18" s="218"/>
      <c r="CHV18" s="222">
        <v>9155.5</v>
      </c>
      <c r="CHW18" s="223"/>
      <c r="CHX18" s="224"/>
      <c r="CHY18" s="217" t="s">
        <v>101</v>
      </c>
      <c r="CHZ18" s="218"/>
      <c r="CIA18" s="222">
        <v>7870</v>
      </c>
      <c r="CIB18" s="223"/>
      <c r="CIC18" s="224"/>
      <c r="CID18" s="217" t="s">
        <v>41</v>
      </c>
      <c r="CIE18" s="218"/>
      <c r="CIF18" s="222">
        <v>0</v>
      </c>
      <c r="CIG18" s="223"/>
      <c r="CIH18" s="224"/>
      <c r="CII18" s="217" t="s">
        <v>99</v>
      </c>
      <c r="CIJ18" s="218"/>
      <c r="CIK18" s="222">
        <v>12019</v>
      </c>
      <c r="CIL18" s="223"/>
      <c r="CIM18" s="224"/>
      <c r="CIN18" s="217" t="s">
        <v>98</v>
      </c>
      <c r="CIO18" s="218"/>
      <c r="CIP18" s="222">
        <v>0</v>
      </c>
      <c r="CIQ18" s="223"/>
      <c r="CIR18" s="224"/>
      <c r="CIS18" s="217" t="s">
        <v>97</v>
      </c>
      <c r="CIT18" s="218"/>
      <c r="CIU18" s="222">
        <v>7510</v>
      </c>
      <c r="CIV18" s="223"/>
      <c r="CIW18" s="224"/>
      <c r="CIX18" s="217" t="s">
        <v>96</v>
      </c>
      <c r="CIY18" s="218"/>
      <c r="CIZ18" s="222">
        <v>14115.5</v>
      </c>
      <c r="CJA18" s="223"/>
      <c r="CJB18" s="224"/>
      <c r="CJC18" s="217" t="s">
        <v>101</v>
      </c>
      <c r="CJD18" s="218"/>
      <c r="CJE18" s="222">
        <v>1008.25</v>
      </c>
      <c r="CJF18" s="223"/>
      <c r="CJG18" s="224"/>
      <c r="CJH18" s="217" t="s">
        <v>41</v>
      </c>
      <c r="CJI18" s="218"/>
      <c r="CJJ18" s="222">
        <v>0</v>
      </c>
      <c r="CJK18" s="223"/>
      <c r="CJL18" s="224"/>
      <c r="CJM18" s="217" t="s">
        <v>99</v>
      </c>
      <c r="CJN18" s="218"/>
      <c r="CJO18" s="222">
        <v>0</v>
      </c>
      <c r="CJP18" s="223"/>
      <c r="CJQ18" s="224"/>
      <c r="CJR18" s="217" t="s">
        <v>98</v>
      </c>
      <c r="CJS18" s="218"/>
      <c r="CJT18" s="222">
        <v>0</v>
      </c>
      <c r="CJU18" s="223"/>
      <c r="CJV18" s="224"/>
      <c r="CJW18" s="217" t="s">
        <v>97</v>
      </c>
      <c r="CJX18" s="218"/>
      <c r="CJY18" s="222">
        <v>2203.6</v>
      </c>
      <c r="CJZ18" s="223"/>
      <c r="CKA18" s="224"/>
      <c r="CKB18" s="217" t="s">
        <v>96</v>
      </c>
      <c r="CKC18" s="218"/>
      <c r="CKD18" s="222">
        <v>1574</v>
      </c>
      <c r="CKE18" s="223"/>
      <c r="CKF18" s="224"/>
      <c r="CKG18" s="217" t="s">
        <v>102</v>
      </c>
      <c r="CKH18" s="218"/>
      <c r="CKI18" s="222">
        <v>13521</v>
      </c>
      <c r="CKJ18" s="223"/>
      <c r="CKK18" s="224"/>
      <c r="CKL18" s="217" t="s">
        <v>101</v>
      </c>
      <c r="CKM18" s="218"/>
      <c r="CKN18" s="222">
        <v>0</v>
      </c>
      <c r="CKO18" s="223"/>
      <c r="CKP18" s="224"/>
      <c r="CKQ18" s="217" t="s">
        <v>41</v>
      </c>
      <c r="CKR18" s="218"/>
      <c r="CKS18" s="222">
        <v>0</v>
      </c>
      <c r="CKT18" s="223"/>
      <c r="CKU18" s="224"/>
      <c r="CKV18" s="217" t="s">
        <v>99</v>
      </c>
      <c r="CKW18" s="218"/>
      <c r="CKX18" s="222">
        <v>0</v>
      </c>
      <c r="CKY18" s="223"/>
      <c r="CKZ18" s="224"/>
      <c r="CLA18" s="217" t="s">
        <v>98</v>
      </c>
      <c r="CLB18" s="218"/>
      <c r="CLC18" s="222">
        <v>3004</v>
      </c>
      <c r="CLD18" s="223"/>
      <c r="CLE18" s="224"/>
      <c r="CLF18" s="217" t="s">
        <v>97</v>
      </c>
      <c r="CLG18" s="218"/>
      <c r="CLH18" s="222">
        <v>21031</v>
      </c>
      <c r="CLI18" s="223"/>
      <c r="CLJ18" s="224"/>
      <c r="CLK18" s="217" t="s">
        <v>96</v>
      </c>
      <c r="CLL18" s="218"/>
      <c r="CLM18" s="222">
        <v>31776.6</v>
      </c>
      <c r="CLN18" s="223"/>
      <c r="CLO18" s="224"/>
      <c r="CLP18" s="217" t="s">
        <v>102</v>
      </c>
      <c r="CLQ18" s="218"/>
      <c r="CLR18" s="222">
        <v>31549</v>
      </c>
      <c r="CLS18" s="223"/>
      <c r="CLT18" s="224"/>
      <c r="CLU18" s="217" t="s">
        <v>101</v>
      </c>
      <c r="CLV18" s="218"/>
      <c r="CLW18" s="222">
        <v>18026</v>
      </c>
      <c r="CLX18" s="223"/>
      <c r="CLY18" s="224"/>
      <c r="CLZ18" s="217" t="s">
        <v>41</v>
      </c>
      <c r="CMA18" s="218"/>
      <c r="CMB18" s="222">
        <v>0</v>
      </c>
      <c r="CMC18" s="223"/>
      <c r="CMD18" s="224"/>
      <c r="CME18" s="217" t="s">
        <v>99</v>
      </c>
      <c r="CMF18" s="218"/>
      <c r="CMG18" s="222">
        <v>19937</v>
      </c>
      <c r="CMH18" s="223"/>
      <c r="CMI18" s="224"/>
      <c r="CMJ18" s="217" t="s">
        <v>97</v>
      </c>
      <c r="CMK18" s="218"/>
      <c r="CML18" s="222">
        <v>24038</v>
      </c>
      <c r="CMM18" s="223"/>
      <c r="CMN18" s="224"/>
      <c r="CMO18" s="217" t="s">
        <v>96</v>
      </c>
      <c r="CMP18" s="218"/>
      <c r="CMQ18" s="222">
        <v>10589</v>
      </c>
      <c r="CMR18" s="223"/>
      <c r="CMS18" s="224"/>
      <c r="CMT18" s="217" t="s">
        <v>102</v>
      </c>
      <c r="CMU18" s="218"/>
      <c r="CMV18" s="222">
        <v>21102</v>
      </c>
      <c r="CMW18" s="223"/>
      <c r="CMX18" s="224"/>
      <c r="CMY18" s="217" t="s">
        <v>101</v>
      </c>
      <c r="CMZ18" s="218"/>
      <c r="CNA18" s="222">
        <v>10235.75</v>
      </c>
      <c r="CNB18" s="223"/>
      <c r="CNC18" s="224"/>
      <c r="CND18" s="217" t="s">
        <v>41</v>
      </c>
      <c r="CNE18" s="218"/>
      <c r="CNF18" s="222">
        <v>0</v>
      </c>
      <c r="CNG18" s="223"/>
      <c r="CNH18" s="224"/>
      <c r="CNI18" s="217" t="s">
        <v>99</v>
      </c>
      <c r="CNJ18" s="218"/>
      <c r="CNK18" s="222">
        <v>0</v>
      </c>
      <c r="CNL18" s="223"/>
      <c r="CNM18" s="224"/>
      <c r="CNN18" s="217" t="s">
        <v>98</v>
      </c>
      <c r="CNO18" s="218"/>
      <c r="CNP18" s="222">
        <v>4507</v>
      </c>
      <c r="CNQ18" s="223"/>
      <c r="CNR18" s="224"/>
      <c r="CNS18" s="217" t="s">
        <v>97</v>
      </c>
      <c r="CNT18" s="218"/>
      <c r="CNU18" s="222">
        <v>3004</v>
      </c>
      <c r="CNV18" s="223"/>
      <c r="CNW18" s="224"/>
      <c r="CNX18" s="217" t="s">
        <v>96</v>
      </c>
      <c r="CNY18" s="218"/>
      <c r="CNZ18" s="222">
        <v>38503.4</v>
      </c>
      <c r="COA18" s="223"/>
      <c r="COB18" s="224"/>
      <c r="COC18" s="217" t="s">
        <v>102</v>
      </c>
      <c r="COD18" s="218"/>
      <c r="COE18" s="222">
        <v>28544</v>
      </c>
      <c r="COF18" s="223"/>
      <c r="COG18" s="224"/>
      <c r="COH18" s="217" t="s">
        <v>101</v>
      </c>
      <c r="COI18" s="218"/>
      <c r="COJ18" s="222">
        <v>13810</v>
      </c>
      <c r="COK18" s="223"/>
      <c r="COL18" s="224"/>
      <c r="COM18" s="217" t="s">
        <v>41</v>
      </c>
      <c r="CON18" s="218"/>
      <c r="COO18" s="222">
        <v>0</v>
      </c>
      <c r="COP18" s="223"/>
      <c r="COQ18" s="224"/>
      <c r="COR18" s="217" t="s">
        <v>41</v>
      </c>
      <c r="COS18" s="218"/>
      <c r="COT18" s="222">
        <v>0</v>
      </c>
      <c r="COU18" s="223"/>
      <c r="COV18" s="224"/>
      <c r="COW18" s="217" t="s">
        <v>99</v>
      </c>
      <c r="COX18" s="218"/>
      <c r="COY18" s="222">
        <v>0</v>
      </c>
      <c r="COZ18" s="223"/>
      <c r="CPA18" s="224"/>
      <c r="CPB18" s="217" t="s">
        <v>98</v>
      </c>
      <c r="CPC18" s="218"/>
      <c r="CPD18" s="222">
        <v>17307</v>
      </c>
      <c r="CPE18" s="223"/>
      <c r="CPF18" s="224"/>
      <c r="CPG18" s="217" t="s">
        <v>98</v>
      </c>
      <c r="CPH18" s="218"/>
      <c r="CPI18" s="222">
        <v>7512</v>
      </c>
      <c r="CPJ18" s="223"/>
      <c r="CPK18" s="224"/>
      <c r="CPL18" s="217" t="s">
        <v>98</v>
      </c>
      <c r="CPM18" s="218"/>
      <c r="CPN18" s="222">
        <v>12019</v>
      </c>
      <c r="CPO18" s="223"/>
      <c r="CPP18" s="224"/>
      <c r="CPQ18" s="217" t="s">
        <v>97</v>
      </c>
      <c r="CPR18" s="218"/>
      <c r="CPS18" s="222">
        <v>12017</v>
      </c>
      <c r="CPT18" s="223"/>
      <c r="CPU18" s="224"/>
      <c r="CPV18" s="217" t="s">
        <v>41</v>
      </c>
      <c r="CPW18" s="218"/>
      <c r="CPX18" s="222">
        <v>0</v>
      </c>
      <c r="CPY18" s="223"/>
      <c r="CPZ18" s="224"/>
      <c r="CQA18" s="217" t="s">
        <v>99</v>
      </c>
      <c r="CQB18" s="218"/>
      <c r="CQC18" s="222">
        <v>0</v>
      </c>
      <c r="CQD18" s="223"/>
      <c r="CQE18" s="224"/>
      <c r="CQF18" s="217" t="s">
        <v>98</v>
      </c>
      <c r="CQG18" s="218"/>
      <c r="CQH18" s="222">
        <v>6384</v>
      </c>
      <c r="CQI18" s="223"/>
      <c r="CQJ18" s="224"/>
      <c r="CQK18" s="217" t="s">
        <v>97</v>
      </c>
      <c r="CQL18" s="218"/>
      <c r="CQM18" s="222">
        <v>6010</v>
      </c>
      <c r="CQN18" s="223"/>
      <c r="CQO18" s="224"/>
      <c r="CQP18" s="217" t="s">
        <v>96</v>
      </c>
      <c r="CQQ18" s="218"/>
      <c r="CQR18" s="222">
        <v>43568</v>
      </c>
      <c r="CQS18" s="223"/>
      <c r="CQT18" s="224"/>
      <c r="CQU18" s="217" t="s">
        <v>101</v>
      </c>
      <c r="CQV18" s="218"/>
      <c r="CQW18" s="222">
        <v>0</v>
      </c>
      <c r="CQX18" s="223"/>
      <c r="CQY18" s="224"/>
      <c r="CQZ18" s="217" t="s">
        <v>97</v>
      </c>
      <c r="CRA18" s="218"/>
      <c r="CRB18" s="222">
        <v>16526</v>
      </c>
      <c r="CRC18" s="223"/>
      <c r="CRD18" s="224"/>
      <c r="CRE18" s="310" t="s">
        <v>35</v>
      </c>
      <c r="CRF18" s="311"/>
      <c r="CRG18" s="312">
        <v>25541</v>
      </c>
      <c r="CRH18" s="313"/>
      <c r="CRI18" s="314"/>
      <c r="CRJ18" s="310" t="s">
        <v>37</v>
      </c>
      <c r="CRK18" s="311"/>
      <c r="CRL18" s="312">
        <v>3004</v>
      </c>
      <c r="CRM18" s="313"/>
      <c r="CRN18" s="314"/>
      <c r="CRO18" s="310" t="s">
        <v>42</v>
      </c>
      <c r="CRP18" s="311"/>
      <c r="CRQ18" s="312">
        <v>9807</v>
      </c>
      <c r="CRR18" s="313"/>
      <c r="CRS18" s="314"/>
      <c r="CRT18" s="310" t="s">
        <v>36</v>
      </c>
      <c r="CRU18" s="311"/>
      <c r="CRV18" s="312">
        <v>18029</v>
      </c>
      <c r="CRW18" s="313"/>
      <c r="CRX18" s="314"/>
      <c r="CRY18" s="339" t="s">
        <v>36</v>
      </c>
      <c r="CRZ18" s="340"/>
      <c r="CSA18" s="341">
        <v>1502</v>
      </c>
      <c r="CSB18" s="342"/>
      <c r="CSC18" s="339" t="s">
        <v>35</v>
      </c>
      <c r="CSD18" s="340"/>
      <c r="CSE18" s="341">
        <v>27040</v>
      </c>
      <c r="CSF18" s="342"/>
      <c r="CSG18" s="339" t="s">
        <v>41</v>
      </c>
      <c r="CSH18" s="340"/>
      <c r="CSI18" s="341">
        <v>0</v>
      </c>
      <c r="CSJ18" s="342"/>
      <c r="CSK18" s="339" t="s">
        <v>41</v>
      </c>
      <c r="CSL18" s="340"/>
      <c r="CSM18" s="341">
        <v>6010</v>
      </c>
      <c r="CSN18" s="342"/>
      <c r="CSO18" s="339" t="s">
        <v>42</v>
      </c>
      <c r="CSP18" s="340"/>
      <c r="CSQ18" s="341">
        <v>6095</v>
      </c>
      <c r="CSR18" s="342"/>
      <c r="CSS18" s="339" t="s">
        <v>42</v>
      </c>
      <c r="CST18" s="340"/>
      <c r="CSU18" s="341">
        <v>1242</v>
      </c>
      <c r="CSV18" s="342"/>
      <c r="CSW18" s="339" t="s">
        <v>37</v>
      </c>
      <c r="CSX18" s="340"/>
      <c r="CSY18" s="341">
        <v>3004</v>
      </c>
      <c r="CSZ18" s="342"/>
      <c r="CTA18" s="339" t="s">
        <v>42</v>
      </c>
      <c r="CTB18" s="340"/>
      <c r="CTC18" s="341">
        <v>4710</v>
      </c>
      <c r="CTD18" s="342"/>
      <c r="CTE18" s="339" t="s">
        <v>36</v>
      </c>
      <c r="CTF18" s="340"/>
      <c r="CTG18" s="341">
        <v>12511</v>
      </c>
      <c r="CTH18" s="342"/>
      <c r="CTI18" s="339" t="s">
        <v>35</v>
      </c>
      <c r="CTJ18" s="340"/>
      <c r="CTK18" s="341"/>
      <c r="CTL18" s="342"/>
      <c r="CTM18" s="339" t="s">
        <v>41</v>
      </c>
      <c r="CTN18" s="340"/>
      <c r="CTO18" s="341">
        <v>0</v>
      </c>
      <c r="CTP18" s="342"/>
      <c r="CTQ18" s="339" t="s">
        <v>37</v>
      </c>
      <c r="CTR18" s="340"/>
      <c r="CTS18" s="341">
        <v>0</v>
      </c>
      <c r="CTT18" s="342"/>
      <c r="CTU18" s="339" t="s">
        <v>42</v>
      </c>
      <c r="CTV18" s="340"/>
      <c r="CTW18" s="341">
        <v>1502</v>
      </c>
      <c r="CTX18" s="342"/>
      <c r="CTY18" s="339" t="s">
        <v>36</v>
      </c>
      <c r="CTZ18" s="340"/>
      <c r="CUA18" s="341">
        <v>0</v>
      </c>
      <c r="CUB18" s="342"/>
      <c r="CUC18" s="339" t="s">
        <v>36</v>
      </c>
      <c r="CUD18" s="340"/>
      <c r="CUE18" s="341">
        <v>7631</v>
      </c>
      <c r="CUF18" s="342"/>
      <c r="CUG18" s="339" t="s">
        <v>41</v>
      </c>
      <c r="CUH18" s="340"/>
      <c r="CUI18" s="341">
        <v>0</v>
      </c>
      <c r="CUJ18" s="342"/>
      <c r="CUK18" s="339" t="s">
        <v>37</v>
      </c>
      <c r="CUL18" s="340"/>
      <c r="CUM18" s="341">
        <v>0</v>
      </c>
      <c r="CUN18" s="342"/>
      <c r="CUO18" s="339" t="s">
        <v>42</v>
      </c>
      <c r="CUP18" s="340"/>
      <c r="CUQ18" s="341">
        <v>0</v>
      </c>
      <c r="CUR18" s="342"/>
      <c r="CUS18" s="339" t="s">
        <v>42</v>
      </c>
      <c r="CUT18" s="340"/>
      <c r="CUU18" s="341">
        <v>1502</v>
      </c>
      <c r="CUV18" s="342"/>
      <c r="CUW18" s="339" t="s">
        <v>41</v>
      </c>
      <c r="CUX18" s="340"/>
      <c r="CUY18" s="341">
        <v>0</v>
      </c>
      <c r="CUZ18" s="342"/>
      <c r="CVA18" s="339" t="s">
        <v>37</v>
      </c>
      <c r="CVB18" s="340"/>
      <c r="CVC18" s="341">
        <v>708.75</v>
      </c>
      <c r="CVD18" s="342"/>
      <c r="CVE18" s="339" t="s">
        <v>42</v>
      </c>
      <c r="CVF18" s="340"/>
      <c r="CVG18" s="341"/>
      <c r="CVH18" s="342"/>
      <c r="CVI18" s="339" t="s">
        <v>42</v>
      </c>
      <c r="CVJ18" s="340"/>
      <c r="CVK18" s="341">
        <v>0</v>
      </c>
      <c r="CVL18" s="342"/>
      <c r="CVM18" s="339" t="s">
        <v>36</v>
      </c>
      <c r="CVN18" s="340"/>
      <c r="CVO18" s="341">
        <v>2352.5</v>
      </c>
      <c r="CVP18" s="342"/>
      <c r="CVQ18" s="339" t="s">
        <v>35</v>
      </c>
      <c r="CVR18" s="340"/>
      <c r="CVS18" s="341">
        <v>4507</v>
      </c>
      <c r="CVT18" s="342"/>
      <c r="CVU18" s="339" t="s">
        <v>35</v>
      </c>
      <c r="CVV18" s="340"/>
      <c r="CVW18" s="341"/>
      <c r="CVX18" s="342"/>
      <c r="CVY18" s="339" t="s">
        <v>35</v>
      </c>
      <c r="CVZ18" s="340"/>
      <c r="CWA18" s="341">
        <v>13522</v>
      </c>
      <c r="CWB18" s="342"/>
      <c r="CWC18" s="339" t="s">
        <v>41</v>
      </c>
      <c r="CWD18" s="340"/>
      <c r="CWE18" s="341">
        <v>0</v>
      </c>
      <c r="CWF18" s="342"/>
      <c r="CWG18" s="339" t="s">
        <v>37</v>
      </c>
      <c r="CWH18" s="340"/>
      <c r="CWI18" s="341">
        <v>3148</v>
      </c>
      <c r="CWJ18" s="342"/>
      <c r="CWK18" s="339" t="s">
        <v>42</v>
      </c>
      <c r="CWL18" s="340"/>
      <c r="CWM18" s="341">
        <v>2560.6400000000003</v>
      </c>
      <c r="CWN18" s="342"/>
      <c r="CWO18" s="339" t="s">
        <v>36</v>
      </c>
      <c r="CWP18" s="340"/>
      <c r="CWQ18" s="341">
        <v>1502</v>
      </c>
      <c r="CWR18" s="342"/>
      <c r="CWS18" s="339" t="s">
        <v>36</v>
      </c>
      <c r="CWT18" s="340"/>
      <c r="CWU18" s="341"/>
      <c r="CWV18" s="342"/>
      <c r="CWW18" s="339" t="s">
        <v>35</v>
      </c>
      <c r="CWX18" s="340"/>
      <c r="CWY18" s="341">
        <v>18886</v>
      </c>
      <c r="CWZ18" s="342"/>
      <c r="CXA18" s="368" t="s">
        <v>41</v>
      </c>
      <c r="CXB18" s="369"/>
      <c r="CXC18" s="370">
        <v>0</v>
      </c>
      <c r="CXD18" s="371"/>
      <c r="CXE18" s="368" t="s">
        <v>41</v>
      </c>
      <c r="CXF18" s="369"/>
      <c r="CXG18" s="370">
        <v>0</v>
      </c>
      <c r="CXH18" s="371"/>
      <c r="CXI18" s="368" t="s">
        <v>42</v>
      </c>
      <c r="CXJ18" s="369"/>
      <c r="CXK18" s="370">
        <v>13729.5</v>
      </c>
      <c r="CXL18" s="371"/>
      <c r="CXM18" s="368" t="s">
        <v>36</v>
      </c>
      <c r="CXN18" s="369"/>
      <c r="CXO18" s="370">
        <v>3004</v>
      </c>
      <c r="CXP18" s="371"/>
      <c r="CXQ18" s="368" t="s">
        <v>35</v>
      </c>
      <c r="CXR18" s="369"/>
      <c r="CXS18" s="370">
        <v>14075</v>
      </c>
      <c r="CXT18" s="371"/>
      <c r="CXU18" s="26" t="s">
        <v>37</v>
      </c>
      <c r="CXW18" s="26">
        <v>0</v>
      </c>
      <c r="CXY18" s="26" t="s">
        <v>42</v>
      </c>
      <c r="CYA18" s="26">
        <v>0</v>
      </c>
      <c r="CYC18" s="26" t="s">
        <v>35</v>
      </c>
      <c r="CYE18" s="26">
        <v>24039</v>
      </c>
      <c r="CYG18" s="26" t="s">
        <v>36</v>
      </c>
      <c r="CYK18" s="26" t="s">
        <v>45</v>
      </c>
      <c r="CYM18" s="26">
        <v>0</v>
      </c>
      <c r="CYO18" s="26" t="s">
        <v>37</v>
      </c>
      <c r="CYQ18" s="26">
        <v>0</v>
      </c>
      <c r="CYS18" s="26" t="s">
        <v>45</v>
      </c>
      <c r="CYU18" s="26">
        <v>0</v>
      </c>
      <c r="CYW18" s="26" t="s">
        <v>45</v>
      </c>
      <c r="CYY18" s="26">
        <v>4337</v>
      </c>
      <c r="CZA18" s="26" t="s">
        <v>45</v>
      </c>
      <c r="CZC18" s="26">
        <v>0</v>
      </c>
      <c r="CZE18" s="26" t="s">
        <v>36</v>
      </c>
      <c r="CZG18" s="26">
        <v>0</v>
      </c>
      <c r="CZI18" s="26" t="s">
        <v>45</v>
      </c>
      <c r="CZM18" s="26" t="s">
        <v>41</v>
      </c>
      <c r="CZO18" s="26">
        <v>0</v>
      </c>
      <c r="CZQ18" s="26" t="s">
        <v>37</v>
      </c>
      <c r="CZS18" s="26">
        <v>5378</v>
      </c>
      <c r="CZU18" s="26" t="s">
        <v>45</v>
      </c>
      <c r="CZY18" s="26" t="s">
        <v>41</v>
      </c>
      <c r="DAA18" s="26">
        <v>0</v>
      </c>
      <c r="DAC18" s="26" t="s">
        <v>37</v>
      </c>
      <c r="DAE18" s="26">
        <v>0</v>
      </c>
      <c r="DAG18" s="26" t="s">
        <v>36</v>
      </c>
      <c r="DAI18" s="26">
        <v>0</v>
      </c>
      <c r="DAK18" s="26" t="s">
        <v>42</v>
      </c>
      <c r="DAM18" s="26">
        <v>0</v>
      </c>
      <c r="DAO18" s="26" t="s">
        <v>36</v>
      </c>
      <c r="DAQ18" s="26">
        <v>0</v>
      </c>
      <c r="DAS18" s="26" t="s">
        <v>34</v>
      </c>
      <c r="DAU18" s="26">
        <v>0</v>
      </c>
      <c r="DAW18" s="26" t="s">
        <v>37</v>
      </c>
      <c r="DAY18" s="26">
        <v>0</v>
      </c>
      <c r="DBA18" s="26" t="s">
        <v>37</v>
      </c>
      <c r="DBC18" s="26">
        <v>0</v>
      </c>
      <c r="DBE18" s="26" t="s">
        <v>42</v>
      </c>
      <c r="DBG18" s="26">
        <v>0</v>
      </c>
      <c r="DBI18" s="26" t="s">
        <v>36</v>
      </c>
      <c r="DBK18" s="26">
        <v>0</v>
      </c>
      <c r="DBM18" s="26" t="s">
        <v>34</v>
      </c>
      <c r="DBO18" s="26">
        <v>0</v>
      </c>
      <c r="DBQ18" s="26" t="s">
        <v>37</v>
      </c>
      <c r="DBS18" s="26">
        <v>0</v>
      </c>
      <c r="DBU18" s="26" t="s">
        <v>42</v>
      </c>
      <c r="DBW18" s="26">
        <v>0</v>
      </c>
      <c r="DBY18" s="26" t="s">
        <v>42</v>
      </c>
      <c r="DCA18" s="26">
        <v>0</v>
      </c>
      <c r="DCC18" s="26" t="s">
        <v>35</v>
      </c>
      <c r="DCE18" s="26">
        <v>0</v>
      </c>
      <c r="DCG18" s="26" t="s">
        <v>37</v>
      </c>
      <c r="DCI18" s="26">
        <v>0</v>
      </c>
      <c r="DCK18" s="26" t="s">
        <v>37</v>
      </c>
      <c r="DCM18" s="26">
        <v>0</v>
      </c>
      <c r="DCO18" s="26" t="s">
        <v>42</v>
      </c>
      <c r="DCQ18" s="26">
        <v>0</v>
      </c>
      <c r="DCS18" s="26" t="s">
        <v>36</v>
      </c>
      <c r="DCU18" s="26">
        <v>0</v>
      </c>
      <c r="DCW18" s="26" t="s">
        <v>34</v>
      </c>
      <c r="DCY18" s="26">
        <v>0</v>
      </c>
      <c r="DDA18" s="26" t="s">
        <v>37</v>
      </c>
      <c r="DDC18" s="26">
        <v>0</v>
      </c>
      <c r="DDE18" s="26" t="s">
        <v>7</v>
      </c>
      <c r="DDH18" s="26" t="s">
        <v>31</v>
      </c>
      <c r="DDI18" s="26" t="s">
        <v>7</v>
      </c>
      <c r="DDL18" s="26" t="s">
        <v>31</v>
      </c>
      <c r="DDM18" s="26" t="s">
        <v>7</v>
      </c>
      <c r="DDP18" s="26" t="s">
        <v>31</v>
      </c>
      <c r="DDQ18" s="26" t="s">
        <v>8</v>
      </c>
      <c r="DDT18" s="26" t="s">
        <v>31</v>
      </c>
    </row>
    <row r="19" spans="1:2828" x14ac:dyDescent="0.25">
      <c r="A19" s="217" t="s">
        <v>41</v>
      </c>
      <c r="B19" s="218"/>
      <c r="C19" s="219">
        <v>0</v>
      </c>
      <c r="D19" s="220"/>
      <c r="E19" s="221"/>
      <c r="F19" s="217" t="s">
        <v>99</v>
      </c>
      <c r="G19" s="218"/>
      <c r="H19" s="219">
        <v>1502</v>
      </c>
      <c r="I19" s="220"/>
      <c r="J19" s="221"/>
      <c r="K19" s="217" t="s">
        <v>98</v>
      </c>
      <c r="L19" s="218"/>
      <c r="M19" s="219">
        <v>0</v>
      </c>
      <c r="N19" s="220"/>
      <c r="O19" s="221"/>
      <c r="P19" s="217" t="s">
        <v>97</v>
      </c>
      <c r="Q19" s="218"/>
      <c r="R19" s="219">
        <v>0</v>
      </c>
      <c r="S19" s="220"/>
      <c r="T19" s="221"/>
      <c r="U19" s="217" t="s">
        <v>96</v>
      </c>
      <c r="V19" s="218"/>
      <c r="W19" s="219">
        <v>0</v>
      </c>
      <c r="X19" s="220"/>
      <c r="Y19" s="221"/>
      <c r="Z19" s="217" t="s">
        <v>102</v>
      </c>
      <c r="AA19" s="218"/>
      <c r="AB19" s="219">
        <v>19530</v>
      </c>
      <c r="AC19" s="220"/>
      <c r="AD19" s="221"/>
      <c r="AE19" s="217" t="s">
        <v>101</v>
      </c>
      <c r="AF19" s="218"/>
      <c r="AG19" s="219">
        <v>10517</v>
      </c>
      <c r="AH19" s="220"/>
      <c r="AI19" s="221"/>
      <c r="AJ19" s="217" t="s">
        <v>41</v>
      </c>
      <c r="AK19" s="218"/>
      <c r="AL19" s="219">
        <v>0</v>
      </c>
      <c r="AM19" s="220"/>
      <c r="AN19" s="221"/>
      <c r="AO19" s="217" t="s">
        <v>99</v>
      </c>
      <c r="AP19" s="218"/>
      <c r="AQ19" s="219">
        <v>0</v>
      </c>
      <c r="AR19" s="220"/>
      <c r="AS19" s="221"/>
      <c r="AT19" s="217" t="s">
        <v>98</v>
      </c>
      <c r="AU19" s="218"/>
      <c r="AV19" s="219">
        <v>4506</v>
      </c>
      <c r="AW19" s="220"/>
      <c r="AX19" s="221"/>
      <c r="AY19" s="217" t="s">
        <v>97</v>
      </c>
      <c r="AZ19" s="218"/>
      <c r="BA19" s="219">
        <v>0</v>
      </c>
      <c r="BB19" s="220"/>
      <c r="BC19" s="221"/>
      <c r="BD19" s="217" t="s">
        <v>96</v>
      </c>
      <c r="BE19" s="218"/>
      <c r="BF19" s="219">
        <v>27044</v>
      </c>
      <c r="BG19" s="220"/>
      <c r="BH19" s="221"/>
      <c r="BI19" s="217" t="s">
        <v>102</v>
      </c>
      <c r="BJ19" s="218"/>
      <c r="BK19" s="219">
        <v>787</v>
      </c>
      <c r="BL19" s="220"/>
      <c r="BM19" s="221"/>
      <c r="BN19" s="217" t="s">
        <v>101</v>
      </c>
      <c r="BO19" s="218"/>
      <c r="BP19" s="219">
        <v>6009</v>
      </c>
      <c r="BQ19" s="220"/>
      <c r="BR19" s="221"/>
      <c r="BS19" s="217" t="s">
        <v>41</v>
      </c>
      <c r="BT19" s="218"/>
      <c r="BU19" s="219">
        <v>0</v>
      </c>
      <c r="BV19" s="220"/>
      <c r="BW19" s="221"/>
      <c r="BX19" s="217" t="s">
        <v>99</v>
      </c>
      <c r="BY19" s="218"/>
      <c r="BZ19" s="219">
        <v>0</v>
      </c>
      <c r="CA19" s="220"/>
      <c r="CB19" s="221"/>
      <c r="CC19" s="217" t="s">
        <v>98</v>
      </c>
      <c r="CD19" s="218"/>
      <c r="CE19" s="219">
        <v>4507</v>
      </c>
      <c r="CF19" s="220"/>
      <c r="CG19" s="221"/>
      <c r="CH19" s="217" t="s">
        <v>97</v>
      </c>
      <c r="CI19" s="218"/>
      <c r="CJ19" s="219">
        <v>0</v>
      </c>
      <c r="CK19" s="220"/>
      <c r="CL19" s="221"/>
      <c r="CM19" s="217" t="s">
        <v>96</v>
      </c>
      <c r="CN19" s="218"/>
      <c r="CO19" s="219">
        <v>15023</v>
      </c>
      <c r="CP19" s="220"/>
      <c r="CQ19" s="221"/>
      <c r="CR19" s="217" t="s">
        <v>96</v>
      </c>
      <c r="CS19" s="218"/>
      <c r="CT19" s="219">
        <v>1502</v>
      </c>
      <c r="CU19" s="220"/>
      <c r="CV19" s="221"/>
      <c r="CW19" s="217" t="s">
        <v>102</v>
      </c>
      <c r="CX19" s="218"/>
      <c r="CY19" s="219">
        <v>15167</v>
      </c>
      <c r="CZ19" s="220"/>
      <c r="DA19" s="221"/>
      <c r="DB19" s="217" t="s">
        <v>101</v>
      </c>
      <c r="DC19" s="218"/>
      <c r="DD19" s="219">
        <v>0</v>
      </c>
      <c r="DE19" s="220"/>
      <c r="DF19" s="221"/>
      <c r="DG19" s="217" t="s">
        <v>41</v>
      </c>
      <c r="DH19" s="218"/>
      <c r="DI19" s="219">
        <v>0</v>
      </c>
      <c r="DJ19" s="220"/>
      <c r="DK19" s="221"/>
      <c r="DL19" s="217" t="s">
        <v>99</v>
      </c>
      <c r="DM19" s="218"/>
      <c r="DN19" s="219">
        <v>0</v>
      </c>
      <c r="DO19" s="220"/>
      <c r="DP19" s="221"/>
      <c r="DQ19" s="217" t="s">
        <v>98</v>
      </c>
      <c r="DR19" s="218"/>
      <c r="DS19" s="219">
        <v>1502</v>
      </c>
      <c r="DT19" s="220"/>
      <c r="DU19" s="221"/>
      <c r="DV19" s="217" t="s">
        <v>97</v>
      </c>
      <c r="DW19" s="218"/>
      <c r="DX19" s="219">
        <v>0</v>
      </c>
      <c r="DY19" s="220"/>
      <c r="DZ19" s="221"/>
      <c r="EA19" s="217" t="s">
        <v>96</v>
      </c>
      <c r="EB19" s="218"/>
      <c r="EC19" s="219">
        <v>43566</v>
      </c>
      <c r="ED19" s="220"/>
      <c r="EE19" s="221"/>
      <c r="EF19" s="217" t="s">
        <v>102</v>
      </c>
      <c r="EG19" s="218"/>
      <c r="EH19" s="219">
        <v>10516</v>
      </c>
      <c r="EI19" s="220"/>
      <c r="EJ19" s="221"/>
      <c r="EK19" s="217" t="s">
        <v>101</v>
      </c>
      <c r="EL19" s="218"/>
      <c r="EM19" s="219">
        <v>13522</v>
      </c>
      <c r="EN19" s="220"/>
      <c r="EO19" s="221"/>
      <c r="EP19" s="217" t="s">
        <v>41</v>
      </c>
      <c r="EQ19" s="218"/>
      <c r="ER19" s="219">
        <v>0</v>
      </c>
      <c r="ES19" s="220"/>
      <c r="ET19" s="221"/>
      <c r="EU19" s="217" t="s">
        <v>99</v>
      </c>
      <c r="EV19" s="218"/>
      <c r="EW19" s="219">
        <v>7511</v>
      </c>
      <c r="EX19" s="220"/>
      <c r="EY19" s="221"/>
      <c r="EZ19" s="217" t="s">
        <v>98</v>
      </c>
      <c r="FA19" s="218"/>
      <c r="FB19" s="219">
        <v>1502</v>
      </c>
      <c r="FC19" s="220"/>
      <c r="FD19" s="221"/>
      <c r="FE19" s="217" t="s">
        <v>97</v>
      </c>
      <c r="FF19" s="218"/>
      <c r="FG19" s="219">
        <v>0</v>
      </c>
      <c r="FH19" s="220"/>
      <c r="FI19" s="221"/>
      <c r="FJ19" s="217" t="s">
        <v>96</v>
      </c>
      <c r="FK19" s="218"/>
      <c r="FL19" s="219">
        <v>19529</v>
      </c>
      <c r="FM19" s="220"/>
      <c r="FN19" s="221"/>
      <c r="FO19" s="217" t="s">
        <v>102</v>
      </c>
      <c r="FP19" s="218"/>
      <c r="FQ19" s="219">
        <v>10552.5</v>
      </c>
      <c r="FR19" s="220"/>
      <c r="FS19" s="221"/>
      <c r="FT19" s="217" t="s">
        <v>101</v>
      </c>
      <c r="FU19" s="218"/>
      <c r="FV19" s="219">
        <v>20475.400000000001</v>
      </c>
      <c r="FW19" s="220"/>
      <c r="FX19" s="221"/>
      <c r="FY19" s="217" t="s">
        <v>41</v>
      </c>
      <c r="FZ19" s="218"/>
      <c r="GA19" s="219">
        <v>0</v>
      </c>
      <c r="GB19" s="220"/>
      <c r="GC19" s="221"/>
      <c r="GD19" s="217" t="s">
        <v>99</v>
      </c>
      <c r="GE19" s="218"/>
      <c r="GF19" s="219">
        <v>0</v>
      </c>
      <c r="GG19" s="220"/>
      <c r="GH19" s="221"/>
      <c r="GI19" s="217" t="s">
        <v>98</v>
      </c>
      <c r="GJ19" s="218"/>
      <c r="GK19" s="219">
        <v>0</v>
      </c>
      <c r="GL19" s="220"/>
      <c r="GM19" s="221"/>
      <c r="GN19" s="217" t="s">
        <v>97</v>
      </c>
      <c r="GO19" s="218"/>
      <c r="GP19" s="219">
        <v>0</v>
      </c>
      <c r="GQ19" s="220"/>
      <c r="GR19" s="221"/>
      <c r="GS19" s="217" t="s">
        <v>96</v>
      </c>
      <c r="GT19" s="218"/>
      <c r="GU19" s="219">
        <v>1502</v>
      </c>
      <c r="GV19" s="220"/>
      <c r="GW19" s="221"/>
      <c r="GX19" s="217" t="s">
        <v>102</v>
      </c>
      <c r="GY19" s="218"/>
      <c r="GZ19" s="219">
        <v>15024</v>
      </c>
      <c r="HA19" s="220"/>
      <c r="HB19" s="221"/>
      <c r="HC19" s="217" t="s">
        <v>101</v>
      </c>
      <c r="HD19" s="218"/>
      <c r="HE19" s="219">
        <v>12018</v>
      </c>
      <c r="HF19" s="220"/>
      <c r="HG19" s="221"/>
      <c r="HH19" s="217" t="s">
        <v>41</v>
      </c>
      <c r="HI19" s="218"/>
      <c r="HJ19" s="219">
        <v>0</v>
      </c>
      <c r="HK19" s="220"/>
      <c r="HL19" s="221"/>
      <c r="HM19" s="217" t="s">
        <v>99</v>
      </c>
      <c r="HN19" s="218"/>
      <c r="HO19" s="219">
        <v>0</v>
      </c>
      <c r="HP19" s="220"/>
      <c r="HQ19" s="221"/>
      <c r="HR19" s="217" t="s">
        <v>98</v>
      </c>
      <c r="HS19" s="218"/>
      <c r="HT19" s="219">
        <v>0</v>
      </c>
      <c r="HU19" s="220"/>
      <c r="HV19" s="221"/>
      <c r="HW19" s="217" t="s">
        <v>97</v>
      </c>
      <c r="HX19" s="218"/>
      <c r="HY19" s="219">
        <v>0</v>
      </c>
      <c r="HZ19" s="220"/>
      <c r="IA19" s="221"/>
      <c r="IB19" s="217" t="s">
        <v>96</v>
      </c>
      <c r="IC19" s="218"/>
      <c r="ID19" s="219">
        <v>9014</v>
      </c>
      <c r="IE19" s="220"/>
      <c r="IF19" s="221"/>
      <c r="IG19" s="217" t="s">
        <v>102</v>
      </c>
      <c r="IH19" s="218"/>
      <c r="II19" s="219">
        <v>37557</v>
      </c>
      <c r="IJ19" s="220"/>
      <c r="IK19" s="221"/>
      <c r="IL19" s="217" t="s">
        <v>101</v>
      </c>
      <c r="IM19" s="218"/>
      <c r="IN19" s="219">
        <v>15023</v>
      </c>
      <c r="IO19" s="220"/>
      <c r="IP19" s="221"/>
      <c r="IQ19" s="217" t="s">
        <v>41</v>
      </c>
      <c r="IR19" s="218"/>
      <c r="IS19" s="219">
        <v>0</v>
      </c>
      <c r="IT19" s="220"/>
      <c r="IU19" s="221"/>
      <c r="IV19" s="217" t="s">
        <v>99</v>
      </c>
      <c r="IW19" s="218"/>
      <c r="IX19" s="219">
        <v>7512</v>
      </c>
      <c r="IY19" s="220"/>
      <c r="IZ19" s="221"/>
      <c r="JA19" s="217" t="s">
        <v>98</v>
      </c>
      <c r="JB19" s="218"/>
      <c r="JC19" s="219">
        <v>0</v>
      </c>
      <c r="JD19" s="220"/>
      <c r="JE19" s="221"/>
      <c r="JF19" s="217" t="s">
        <v>97</v>
      </c>
      <c r="JG19" s="218"/>
      <c r="JH19" s="219">
        <v>0</v>
      </c>
      <c r="JI19" s="220"/>
      <c r="JJ19" s="221"/>
      <c r="JK19" s="217" t="s">
        <v>96</v>
      </c>
      <c r="JL19" s="218"/>
      <c r="JM19" s="219">
        <v>15024</v>
      </c>
      <c r="JN19" s="220"/>
      <c r="JO19" s="221"/>
      <c r="JP19" s="217" t="s">
        <v>102</v>
      </c>
      <c r="JQ19" s="218"/>
      <c r="JR19" s="219">
        <v>4507</v>
      </c>
      <c r="JS19" s="220"/>
      <c r="JT19" s="221"/>
      <c r="JU19" s="217" t="s">
        <v>101</v>
      </c>
      <c r="JV19" s="218"/>
      <c r="JW19" s="219">
        <v>0</v>
      </c>
      <c r="JX19" s="220"/>
      <c r="JY19" s="221"/>
      <c r="JZ19" s="217" t="s">
        <v>41</v>
      </c>
      <c r="KA19" s="218"/>
      <c r="KB19" s="219">
        <v>0</v>
      </c>
      <c r="KC19" s="220"/>
      <c r="KD19" s="221"/>
      <c r="KE19" s="217" t="s">
        <v>99</v>
      </c>
      <c r="KF19" s="218"/>
      <c r="KG19" s="219">
        <v>0</v>
      </c>
      <c r="KH19" s="220"/>
      <c r="KI19" s="221"/>
      <c r="KJ19" s="217" t="s">
        <v>98</v>
      </c>
      <c r="KK19" s="218"/>
      <c r="KL19" s="219">
        <v>3004</v>
      </c>
      <c r="KM19" s="220"/>
      <c r="KN19" s="221"/>
      <c r="KO19" s="217" t="s">
        <v>97</v>
      </c>
      <c r="KP19" s="218"/>
      <c r="KQ19" s="219">
        <v>0</v>
      </c>
      <c r="KR19" s="220"/>
      <c r="KS19" s="221"/>
      <c r="KT19" s="217" t="s">
        <v>96</v>
      </c>
      <c r="KU19" s="218"/>
      <c r="KV19" s="219">
        <v>43567</v>
      </c>
      <c r="KW19" s="220"/>
      <c r="KX19" s="221"/>
      <c r="KY19" s="217" t="s">
        <v>102</v>
      </c>
      <c r="KZ19" s="218"/>
      <c r="LA19" s="219">
        <v>0</v>
      </c>
      <c r="LB19" s="220"/>
      <c r="LC19" s="221"/>
      <c r="LD19" s="217" t="s">
        <v>101</v>
      </c>
      <c r="LE19" s="218"/>
      <c r="LF19" s="219">
        <v>9013</v>
      </c>
      <c r="LG19" s="220"/>
      <c r="LH19" s="221"/>
      <c r="LI19" s="217" t="s">
        <v>41</v>
      </c>
      <c r="LJ19" s="218"/>
      <c r="LK19" s="219">
        <v>0</v>
      </c>
      <c r="LL19" s="220"/>
      <c r="LM19" s="221"/>
      <c r="LN19" s="217" t="s">
        <v>99</v>
      </c>
      <c r="LO19" s="218"/>
      <c r="LP19" s="219">
        <v>0</v>
      </c>
      <c r="LQ19" s="220"/>
      <c r="LR19" s="221"/>
      <c r="LS19" s="217" t="s">
        <v>98</v>
      </c>
      <c r="LT19" s="218"/>
      <c r="LU19" s="219">
        <v>0</v>
      </c>
      <c r="LV19" s="220"/>
      <c r="LW19" s="221"/>
      <c r="LX19" s="217" t="s">
        <v>97</v>
      </c>
      <c r="LY19" s="218"/>
      <c r="LZ19" s="219">
        <v>0</v>
      </c>
      <c r="MA19" s="220"/>
      <c r="MB19" s="221"/>
      <c r="MC19" s="217" t="s">
        <v>96</v>
      </c>
      <c r="MD19" s="218"/>
      <c r="ME19" s="219">
        <v>10586</v>
      </c>
      <c r="MF19" s="220"/>
      <c r="MG19" s="221"/>
      <c r="MH19" s="217" t="s">
        <v>102</v>
      </c>
      <c r="MI19" s="218"/>
      <c r="MJ19" s="219">
        <v>15024</v>
      </c>
      <c r="MK19" s="220"/>
      <c r="ML19" s="221"/>
      <c r="MM19" s="217" t="s">
        <v>101</v>
      </c>
      <c r="MN19" s="218"/>
      <c r="MO19" s="219">
        <v>6009</v>
      </c>
      <c r="MP19" s="220"/>
      <c r="MQ19" s="221"/>
      <c r="MR19" s="217" t="s">
        <v>41</v>
      </c>
      <c r="MS19" s="218"/>
      <c r="MT19" s="219">
        <v>0</v>
      </c>
      <c r="MU19" s="220"/>
      <c r="MV19" s="221"/>
      <c r="MW19" s="217" t="s">
        <v>41</v>
      </c>
      <c r="MX19" s="218"/>
      <c r="MY19" s="219">
        <v>0</v>
      </c>
      <c r="MZ19" s="220"/>
      <c r="NA19" s="221"/>
      <c r="NB19" s="217" t="s">
        <v>99</v>
      </c>
      <c r="NC19" s="218"/>
      <c r="ND19" s="219">
        <v>0</v>
      </c>
      <c r="NE19" s="220"/>
      <c r="NF19" s="221"/>
      <c r="NG19" s="217" t="s">
        <v>98</v>
      </c>
      <c r="NH19" s="218"/>
      <c r="NI19" s="219">
        <v>0</v>
      </c>
      <c r="NJ19" s="220"/>
      <c r="NK19" s="221"/>
      <c r="NL19" s="217" t="s">
        <v>97</v>
      </c>
      <c r="NM19" s="218"/>
      <c r="NN19" s="219">
        <v>0</v>
      </c>
      <c r="NO19" s="220"/>
      <c r="NP19" s="221"/>
      <c r="NQ19" s="217" t="s">
        <v>96</v>
      </c>
      <c r="NR19" s="218"/>
      <c r="NS19" s="219">
        <v>10588</v>
      </c>
      <c r="NT19" s="220"/>
      <c r="NU19" s="221"/>
      <c r="NV19" s="217" t="s">
        <v>102</v>
      </c>
      <c r="NW19" s="218"/>
      <c r="NX19" s="219">
        <v>0</v>
      </c>
      <c r="NY19" s="220"/>
      <c r="NZ19" s="221"/>
      <c r="OA19" s="217" t="s">
        <v>101</v>
      </c>
      <c r="OB19" s="218"/>
      <c r="OC19" s="219">
        <v>6009</v>
      </c>
      <c r="OD19" s="220"/>
      <c r="OE19" s="221"/>
      <c r="OF19" s="217" t="s">
        <v>101</v>
      </c>
      <c r="OG19" s="218"/>
      <c r="OH19" s="219">
        <v>6009</v>
      </c>
      <c r="OI19" s="220"/>
      <c r="OJ19" s="221"/>
      <c r="OK19" s="217" t="s">
        <v>41</v>
      </c>
      <c r="OL19" s="218"/>
      <c r="OM19" s="219">
        <v>0</v>
      </c>
      <c r="ON19" s="220"/>
      <c r="OO19" s="221"/>
      <c r="OP19" s="217" t="s">
        <v>99</v>
      </c>
      <c r="OQ19" s="218"/>
      <c r="OR19" s="219">
        <v>0</v>
      </c>
      <c r="OS19" s="220"/>
      <c r="OT19" s="221"/>
      <c r="OU19" s="217" t="s">
        <v>98</v>
      </c>
      <c r="OV19" s="218"/>
      <c r="OW19" s="219">
        <v>0</v>
      </c>
      <c r="OX19" s="220"/>
      <c r="OY19" s="221"/>
      <c r="OZ19" s="217" t="s">
        <v>97</v>
      </c>
      <c r="PA19" s="218"/>
      <c r="PB19" s="219">
        <v>0</v>
      </c>
      <c r="PC19" s="220"/>
      <c r="PD19" s="221"/>
      <c r="PE19" s="217" t="s">
        <v>96</v>
      </c>
      <c r="PF19" s="218"/>
      <c r="PG19" s="219">
        <v>13592</v>
      </c>
      <c r="PH19" s="220"/>
      <c r="PI19" s="221"/>
      <c r="PJ19" s="217" t="s">
        <v>102</v>
      </c>
      <c r="PK19" s="218"/>
      <c r="PL19" s="219">
        <v>21030</v>
      </c>
      <c r="PM19" s="220"/>
      <c r="PN19" s="221"/>
      <c r="PO19" s="217" t="s">
        <v>101</v>
      </c>
      <c r="PP19" s="218"/>
      <c r="PQ19" s="219">
        <v>33122</v>
      </c>
      <c r="PR19" s="220"/>
      <c r="PS19" s="221"/>
      <c r="PT19" s="217" t="s">
        <v>41</v>
      </c>
      <c r="PU19" s="218"/>
      <c r="PV19" s="219">
        <v>0</v>
      </c>
      <c r="PW19" s="220"/>
      <c r="PX19" s="221"/>
      <c r="PY19" s="217" t="s">
        <v>99</v>
      </c>
      <c r="PZ19" s="218"/>
      <c r="QA19" s="219">
        <v>0</v>
      </c>
      <c r="QB19" s="220"/>
      <c r="QC19" s="221"/>
      <c r="QD19" s="217" t="s">
        <v>98</v>
      </c>
      <c r="QE19" s="218"/>
      <c r="QF19" s="219">
        <v>4578</v>
      </c>
      <c r="QG19" s="220"/>
      <c r="QH19" s="221"/>
      <c r="QI19" s="217" t="s">
        <v>97</v>
      </c>
      <c r="QJ19" s="218"/>
      <c r="QK19" s="219">
        <v>0</v>
      </c>
      <c r="QL19" s="220"/>
      <c r="QM19" s="221"/>
      <c r="QN19" s="217" t="s">
        <v>97</v>
      </c>
      <c r="QO19" s="218"/>
      <c r="QP19" s="219">
        <v>0</v>
      </c>
      <c r="QQ19" s="220"/>
      <c r="QR19" s="221"/>
      <c r="QS19" s="217" t="s">
        <v>96</v>
      </c>
      <c r="QT19" s="218"/>
      <c r="QU19" s="219">
        <v>28615</v>
      </c>
      <c r="QV19" s="220"/>
      <c r="QW19" s="221"/>
      <c r="QX19" s="217" t="s">
        <v>102</v>
      </c>
      <c r="QY19" s="218"/>
      <c r="QZ19" s="219">
        <v>45069</v>
      </c>
      <c r="RA19" s="220"/>
      <c r="RB19" s="221"/>
      <c r="RC19" s="217" t="s">
        <v>101</v>
      </c>
      <c r="RD19" s="218"/>
      <c r="RE19" s="219">
        <v>30047</v>
      </c>
      <c r="RF19" s="220"/>
      <c r="RG19" s="221"/>
      <c r="RH19" s="217" t="s">
        <v>41</v>
      </c>
      <c r="RI19" s="218"/>
      <c r="RJ19" s="219">
        <v>0</v>
      </c>
      <c r="RK19" s="220"/>
      <c r="RL19" s="221"/>
      <c r="RM19" s="217" t="s">
        <v>99</v>
      </c>
      <c r="RN19" s="218"/>
      <c r="RO19" s="219">
        <v>0</v>
      </c>
      <c r="RP19" s="220"/>
      <c r="RQ19" s="221"/>
      <c r="RR19" s="217" t="s">
        <v>98</v>
      </c>
      <c r="RS19" s="218"/>
      <c r="RT19" s="219">
        <v>0</v>
      </c>
      <c r="RU19" s="220"/>
      <c r="RV19" s="221"/>
      <c r="RW19" s="217" t="s">
        <v>98</v>
      </c>
      <c r="RX19" s="218"/>
      <c r="RY19" s="219">
        <v>0</v>
      </c>
      <c r="RZ19" s="220"/>
      <c r="SA19" s="221"/>
      <c r="SB19" s="217" t="s">
        <v>97</v>
      </c>
      <c r="SC19" s="218"/>
      <c r="SD19" s="219">
        <v>21033</v>
      </c>
      <c r="SE19" s="220"/>
      <c r="SF19" s="221"/>
      <c r="SG19" s="217" t="s">
        <v>96</v>
      </c>
      <c r="SH19" s="218"/>
      <c r="SI19" s="219">
        <v>9014</v>
      </c>
      <c r="SJ19" s="220"/>
      <c r="SK19" s="221"/>
      <c r="SL19" s="217" t="s">
        <v>102</v>
      </c>
      <c r="SM19" s="218"/>
      <c r="SN19" s="219">
        <v>0</v>
      </c>
      <c r="SO19" s="220"/>
      <c r="SP19" s="221"/>
      <c r="SQ19" s="217" t="s">
        <v>101</v>
      </c>
      <c r="SR19" s="218"/>
      <c r="SS19" s="219">
        <v>34554</v>
      </c>
      <c r="ST19" s="220"/>
      <c r="SU19" s="221"/>
      <c r="SV19" s="217" t="s">
        <v>41</v>
      </c>
      <c r="SW19" s="218"/>
      <c r="SX19" s="219">
        <v>0</v>
      </c>
      <c r="SY19" s="220"/>
      <c r="SZ19" s="221"/>
      <c r="TA19" s="217" t="s">
        <v>99</v>
      </c>
      <c r="TB19" s="218"/>
      <c r="TC19" s="219">
        <v>3518.5</v>
      </c>
      <c r="TD19" s="220"/>
      <c r="TE19" s="221"/>
      <c r="TF19" s="217" t="s">
        <v>98</v>
      </c>
      <c r="TG19" s="218"/>
      <c r="TH19" s="219">
        <v>1502</v>
      </c>
      <c r="TI19" s="220"/>
      <c r="TJ19" s="221"/>
      <c r="TK19" s="217" t="s">
        <v>97</v>
      </c>
      <c r="TL19" s="218"/>
      <c r="TM19" s="219">
        <v>0</v>
      </c>
      <c r="TN19" s="220"/>
      <c r="TO19" s="221"/>
      <c r="TP19" s="217" t="s">
        <v>96</v>
      </c>
      <c r="TQ19" s="218"/>
      <c r="TR19" s="219">
        <v>0</v>
      </c>
      <c r="TS19" s="220"/>
      <c r="TT19" s="221"/>
      <c r="TU19" s="217" t="s">
        <v>102</v>
      </c>
      <c r="TV19" s="218"/>
      <c r="TW19" s="219">
        <v>0</v>
      </c>
      <c r="TX19" s="220"/>
      <c r="TY19" s="221"/>
      <c r="TZ19" s="217" t="s">
        <v>101</v>
      </c>
      <c r="UA19" s="218"/>
      <c r="UB19" s="219">
        <v>30048</v>
      </c>
      <c r="UC19" s="220"/>
      <c r="UD19" s="221"/>
      <c r="UE19" s="217" t="s">
        <v>41</v>
      </c>
      <c r="UF19" s="218"/>
      <c r="UG19" s="219">
        <v>0</v>
      </c>
      <c r="UH19" s="220"/>
      <c r="UI19" s="221"/>
      <c r="UJ19" s="217" t="s">
        <v>99</v>
      </c>
      <c r="UK19" s="218"/>
      <c r="UL19" s="219">
        <v>0</v>
      </c>
      <c r="UM19" s="220"/>
      <c r="UN19" s="221"/>
      <c r="UO19" s="217" t="s">
        <v>98</v>
      </c>
      <c r="UP19" s="218"/>
      <c r="UQ19" s="219">
        <v>0</v>
      </c>
      <c r="UR19" s="220"/>
      <c r="US19" s="221"/>
      <c r="UT19" s="217" t="s">
        <v>97</v>
      </c>
      <c r="UU19" s="218"/>
      <c r="UV19" s="219">
        <v>6009</v>
      </c>
      <c r="UW19" s="220"/>
      <c r="UX19" s="221"/>
      <c r="UY19" s="217" t="s">
        <v>96</v>
      </c>
      <c r="UZ19" s="218"/>
      <c r="VA19" s="219">
        <v>7512</v>
      </c>
      <c r="VB19" s="220"/>
      <c r="VC19" s="221"/>
      <c r="VD19" s="217" t="s">
        <v>102</v>
      </c>
      <c r="VE19" s="218"/>
      <c r="VF19" s="219">
        <v>0</v>
      </c>
      <c r="VG19" s="220"/>
      <c r="VH19" s="221"/>
      <c r="VI19" s="217" t="s">
        <v>101</v>
      </c>
      <c r="VJ19" s="218"/>
      <c r="VK19" s="219">
        <v>0</v>
      </c>
      <c r="VL19" s="220"/>
      <c r="VM19" s="221"/>
      <c r="VN19" s="217" t="s">
        <v>41</v>
      </c>
      <c r="VO19" s="218"/>
      <c r="VP19" s="219">
        <v>0</v>
      </c>
      <c r="VQ19" s="220"/>
      <c r="VR19" s="221"/>
      <c r="VS19" s="217" t="s">
        <v>99</v>
      </c>
      <c r="VT19" s="218"/>
      <c r="VU19" s="219">
        <v>0</v>
      </c>
      <c r="VV19" s="220"/>
      <c r="VW19" s="221"/>
      <c r="VX19" s="217" t="s">
        <v>98</v>
      </c>
      <c r="VY19" s="218"/>
      <c r="VZ19" s="219">
        <v>3005</v>
      </c>
      <c r="WA19" s="220"/>
      <c r="WB19" s="221"/>
      <c r="WC19" s="217" t="s">
        <v>97</v>
      </c>
      <c r="WD19" s="218"/>
      <c r="WE19" s="219">
        <v>10516</v>
      </c>
      <c r="WF19" s="220"/>
      <c r="WG19" s="221"/>
      <c r="WH19" s="217" t="s">
        <v>102</v>
      </c>
      <c r="WI19" s="218"/>
      <c r="WJ19" s="219">
        <v>4507</v>
      </c>
      <c r="WK19" s="220"/>
      <c r="WL19" s="221"/>
      <c r="WM19" s="217" t="s">
        <v>101</v>
      </c>
      <c r="WN19" s="218"/>
      <c r="WO19" s="219">
        <v>12757.5</v>
      </c>
      <c r="WP19" s="220"/>
      <c r="WQ19" s="221"/>
      <c r="WR19" s="217" t="s">
        <v>41</v>
      </c>
      <c r="WS19" s="218"/>
      <c r="WT19" s="219">
        <v>0</v>
      </c>
      <c r="WU19" s="220"/>
      <c r="WV19" s="221"/>
      <c r="WW19" s="217" t="s">
        <v>99</v>
      </c>
      <c r="WX19" s="218"/>
      <c r="WY19" s="219">
        <v>4506</v>
      </c>
      <c r="WZ19" s="220"/>
      <c r="XA19" s="221"/>
      <c r="XB19" s="217" t="s">
        <v>98</v>
      </c>
      <c r="XC19" s="218"/>
      <c r="XD19" s="219">
        <v>0</v>
      </c>
      <c r="XE19" s="220"/>
      <c r="XF19" s="221"/>
      <c r="XG19" s="217" t="s">
        <v>97</v>
      </c>
      <c r="XH19" s="218"/>
      <c r="XI19" s="219">
        <v>1502</v>
      </c>
      <c r="XJ19" s="220"/>
      <c r="XK19" s="221"/>
      <c r="XL19" s="217" t="s">
        <v>96</v>
      </c>
      <c r="XM19" s="218"/>
      <c r="XN19" s="219">
        <v>3004</v>
      </c>
      <c r="XO19" s="220"/>
      <c r="XP19" s="221"/>
      <c r="XQ19" s="217" t="s">
        <v>102</v>
      </c>
      <c r="XR19" s="218"/>
      <c r="XS19" s="219">
        <v>0</v>
      </c>
      <c r="XT19" s="220"/>
      <c r="XU19" s="221"/>
      <c r="XV19" s="217" t="s">
        <v>101</v>
      </c>
      <c r="XW19" s="218"/>
      <c r="XX19" s="219">
        <v>9014</v>
      </c>
      <c r="XY19" s="220"/>
      <c r="XZ19" s="221"/>
      <c r="YA19" s="217" t="s">
        <v>41</v>
      </c>
      <c r="YB19" s="218"/>
      <c r="YC19" s="219">
        <v>0</v>
      </c>
      <c r="YD19" s="220"/>
      <c r="YE19" s="221"/>
      <c r="YF19" s="217" t="s">
        <v>99</v>
      </c>
      <c r="YG19" s="218"/>
      <c r="YH19" s="219">
        <v>0</v>
      </c>
      <c r="YI19" s="220"/>
      <c r="YJ19" s="221"/>
      <c r="YK19" s="217" t="s">
        <v>98</v>
      </c>
      <c r="YL19" s="218"/>
      <c r="YM19" s="219">
        <v>0</v>
      </c>
      <c r="YN19" s="220"/>
      <c r="YO19" s="221"/>
      <c r="YP19" s="217" t="s">
        <v>97</v>
      </c>
      <c r="YQ19" s="218"/>
      <c r="YR19" s="219">
        <v>0</v>
      </c>
      <c r="YS19" s="220"/>
      <c r="YT19" s="221"/>
      <c r="YU19" s="217" t="s">
        <v>96</v>
      </c>
      <c r="YV19" s="218"/>
      <c r="YW19" s="219">
        <v>0</v>
      </c>
      <c r="YX19" s="220"/>
      <c r="YY19" s="221"/>
      <c r="YZ19" s="217" t="s">
        <v>102</v>
      </c>
      <c r="ZA19" s="218"/>
      <c r="ZB19" s="219">
        <v>0</v>
      </c>
      <c r="ZC19" s="220"/>
      <c r="ZD19" s="221"/>
      <c r="ZE19" s="217" t="s">
        <v>101</v>
      </c>
      <c r="ZF19" s="218"/>
      <c r="ZG19" s="219">
        <v>0</v>
      </c>
      <c r="ZH19" s="220"/>
      <c r="ZI19" s="221"/>
      <c r="ZJ19" s="217" t="s">
        <v>41</v>
      </c>
      <c r="ZK19" s="218"/>
      <c r="ZL19" s="219">
        <v>0</v>
      </c>
      <c r="ZM19" s="220"/>
      <c r="ZN19" s="221"/>
      <c r="ZO19" s="217" t="s">
        <v>99</v>
      </c>
      <c r="ZP19" s="218"/>
      <c r="ZQ19" s="219">
        <v>0</v>
      </c>
      <c r="ZR19" s="220"/>
      <c r="ZS19" s="221"/>
      <c r="ZT19" s="217" t="s">
        <v>98</v>
      </c>
      <c r="ZU19" s="218"/>
      <c r="ZV19" s="219">
        <v>0</v>
      </c>
      <c r="ZW19" s="220"/>
      <c r="ZX19" s="221"/>
      <c r="ZY19" s="217" t="s">
        <v>97</v>
      </c>
      <c r="ZZ19" s="218"/>
      <c r="AAA19" s="219">
        <v>0</v>
      </c>
      <c r="AAB19" s="220"/>
      <c r="AAC19" s="221"/>
      <c r="AAD19" s="217" t="s">
        <v>96</v>
      </c>
      <c r="AAE19" s="218"/>
      <c r="AAF19" s="219">
        <v>12449</v>
      </c>
      <c r="AAG19" s="220"/>
      <c r="AAH19" s="221"/>
      <c r="AAI19" s="217" t="s">
        <v>101</v>
      </c>
      <c r="AAJ19" s="218"/>
      <c r="AAK19" s="219">
        <v>0</v>
      </c>
      <c r="AAL19" s="220"/>
      <c r="AAM19" s="221"/>
      <c r="AAN19" s="217" t="s">
        <v>41</v>
      </c>
      <c r="AAO19" s="218"/>
      <c r="AAP19" s="219">
        <v>0</v>
      </c>
      <c r="AAQ19" s="220"/>
      <c r="AAR19" s="221"/>
      <c r="AAS19" s="217" t="s">
        <v>99</v>
      </c>
      <c r="AAT19" s="218"/>
      <c r="AAU19" s="219">
        <v>0</v>
      </c>
      <c r="AAV19" s="220"/>
      <c r="AAW19" s="221"/>
      <c r="AAX19" s="217" t="s">
        <v>98</v>
      </c>
      <c r="AAY19" s="218"/>
      <c r="AAZ19" s="219">
        <v>0</v>
      </c>
      <c r="ABA19" s="220"/>
      <c r="ABB19" s="221"/>
      <c r="ABC19" s="217" t="s">
        <v>97</v>
      </c>
      <c r="ABD19" s="218"/>
      <c r="ABE19" s="219">
        <v>43567</v>
      </c>
      <c r="ABF19" s="220"/>
      <c r="ABG19" s="221"/>
      <c r="ABH19" s="217" t="s">
        <v>96</v>
      </c>
      <c r="ABI19" s="218"/>
      <c r="ABJ19" s="219">
        <v>36126</v>
      </c>
      <c r="ABK19" s="220"/>
      <c r="ABL19" s="221"/>
      <c r="ABM19" s="217" t="s">
        <v>102</v>
      </c>
      <c r="ABN19" s="218"/>
      <c r="ABO19" s="219">
        <v>15022</v>
      </c>
      <c r="ABP19" s="220"/>
      <c r="ABQ19" s="221"/>
      <c r="ABR19" s="217" t="s">
        <v>101</v>
      </c>
      <c r="ABS19" s="218"/>
      <c r="ABT19" s="219">
        <v>0</v>
      </c>
      <c r="ABU19" s="220"/>
      <c r="ABV19" s="221"/>
      <c r="ABW19" s="217" t="s">
        <v>41</v>
      </c>
      <c r="ABX19" s="218"/>
      <c r="ABY19" s="219">
        <v>0</v>
      </c>
      <c r="ABZ19" s="220"/>
      <c r="ACA19" s="221"/>
      <c r="ACB19" s="217" t="s">
        <v>99</v>
      </c>
      <c r="ACC19" s="218"/>
      <c r="ACD19" s="219">
        <v>0</v>
      </c>
      <c r="ACE19" s="220"/>
      <c r="ACF19" s="221"/>
      <c r="ACG19" s="217" t="s">
        <v>98</v>
      </c>
      <c r="ACH19" s="218"/>
      <c r="ACI19" s="219">
        <v>0</v>
      </c>
      <c r="ACJ19" s="220"/>
      <c r="ACK19" s="221"/>
      <c r="ACL19" s="217" t="s">
        <v>97</v>
      </c>
      <c r="ACM19" s="218"/>
      <c r="ACN19" s="219">
        <v>0</v>
      </c>
      <c r="ACO19" s="220"/>
      <c r="ACP19" s="221"/>
      <c r="ACQ19" s="217" t="s">
        <v>97</v>
      </c>
      <c r="ACR19" s="218"/>
      <c r="ACS19" s="219">
        <v>0</v>
      </c>
      <c r="ACT19" s="220"/>
      <c r="ACU19" s="221"/>
      <c r="ACV19" s="217" t="s">
        <v>96</v>
      </c>
      <c r="ACW19" s="218"/>
      <c r="ACX19" s="219">
        <v>6010</v>
      </c>
      <c r="ACY19" s="220"/>
      <c r="ACZ19" s="221"/>
      <c r="ADA19" s="217" t="s">
        <v>102</v>
      </c>
      <c r="ADB19" s="218"/>
      <c r="ADC19" s="219">
        <v>24110</v>
      </c>
      <c r="ADD19" s="220"/>
      <c r="ADE19" s="221"/>
      <c r="ADF19" s="217" t="s">
        <v>101</v>
      </c>
      <c r="ADG19" s="218"/>
      <c r="ADH19" s="219">
        <v>22537</v>
      </c>
      <c r="ADI19" s="220"/>
      <c r="ADJ19" s="221"/>
      <c r="ADK19" s="217" t="s">
        <v>41</v>
      </c>
      <c r="ADL19" s="218"/>
      <c r="ADM19" s="219">
        <v>0</v>
      </c>
      <c r="ADN19" s="220"/>
      <c r="ADO19" s="221"/>
      <c r="ADP19" s="217" t="s">
        <v>98</v>
      </c>
      <c r="ADQ19" s="218"/>
      <c r="ADR19" s="219">
        <v>0</v>
      </c>
      <c r="ADS19" s="220"/>
      <c r="ADT19" s="221"/>
      <c r="ADU19" s="217" t="s">
        <v>97</v>
      </c>
      <c r="ADV19" s="218"/>
      <c r="ADW19" s="219">
        <v>0</v>
      </c>
      <c r="ADX19" s="220"/>
      <c r="ADY19" s="221"/>
      <c r="ADZ19" s="217" t="s">
        <v>102</v>
      </c>
      <c r="AEA19" s="218"/>
      <c r="AEB19" s="219">
        <v>31979</v>
      </c>
      <c r="AEC19" s="220"/>
      <c r="AED19" s="221"/>
      <c r="AEE19" s="217" t="s">
        <v>101</v>
      </c>
      <c r="AEF19" s="218"/>
      <c r="AEG19" s="219">
        <v>4579</v>
      </c>
      <c r="AEH19" s="220"/>
      <c r="AEI19" s="221"/>
      <c r="AEJ19" s="217" t="s">
        <v>41</v>
      </c>
      <c r="AEK19" s="218"/>
      <c r="AEL19" s="219">
        <v>0</v>
      </c>
      <c r="AEM19" s="220"/>
      <c r="AEN19" s="221"/>
      <c r="AEO19" s="217" t="s">
        <v>99</v>
      </c>
      <c r="AEP19" s="218"/>
      <c r="AEQ19" s="219">
        <v>0</v>
      </c>
      <c r="AER19" s="220"/>
      <c r="AES19" s="221"/>
      <c r="AET19" s="217" t="s">
        <v>97</v>
      </c>
      <c r="AEU19" s="218"/>
      <c r="AEV19" s="219">
        <v>3005</v>
      </c>
      <c r="AEW19" s="220"/>
      <c r="AEX19" s="221"/>
      <c r="AEY19" s="217" t="s">
        <v>102</v>
      </c>
      <c r="AEZ19" s="218"/>
      <c r="AFA19" s="219">
        <v>32576</v>
      </c>
      <c r="AFB19" s="220"/>
      <c r="AFC19" s="221"/>
      <c r="AFD19" s="217" t="s">
        <v>101</v>
      </c>
      <c r="AFE19" s="218"/>
      <c r="AFF19" s="219">
        <v>18100</v>
      </c>
      <c r="AFG19" s="220"/>
      <c r="AFH19" s="221"/>
      <c r="AFI19" s="217" t="s">
        <v>41</v>
      </c>
      <c r="AFJ19" s="218"/>
      <c r="AFK19" s="219">
        <v>0</v>
      </c>
      <c r="AFL19" s="220"/>
      <c r="AFM19" s="221"/>
      <c r="AFN19" s="217" t="s">
        <v>99</v>
      </c>
      <c r="AFO19" s="218"/>
      <c r="AFP19" s="219">
        <v>0</v>
      </c>
      <c r="AFQ19" s="220"/>
      <c r="AFR19" s="221"/>
      <c r="AFS19" s="217" t="s">
        <v>98</v>
      </c>
      <c r="AFT19" s="218"/>
      <c r="AFU19" s="219">
        <v>0</v>
      </c>
      <c r="AFV19" s="220"/>
      <c r="AFW19" s="221"/>
      <c r="AFX19" s="217" t="s">
        <v>97</v>
      </c>
      <c r="AFY19" s="218"/>
      <c r="AFZ19" s="219">
        <v>9014</v>
      </c>
      <c r="AGA19" s="220"/>
      <c r="AGB19" s="221"/>
      <c r="AGC19" s="217" t="s">
        <v>102</v>
      </c>
      <c r="AGD19" s="218"/>
      <c r="AGE19" s="219">
        <v>0</v>
      </c>
      <c r="AGF19" s="220"/>
      <c r="AGG19" s="221"/>
      <c r="AGH19" s="217" t="s">
        <v>101</v>
      </c>
      <c r="AGI19" s="218"/>
      <c r="AGJ19" s="219">
        <v>43641</v>
      </c>
      <c r="AGK19" s="220"/>
      <c r="AGL19" s="221"/>
      <c r="AGM19" s="217" t="s">
        <v>41</v>
      </c>
      <c r="AGN19" s="218"/>
      <c r="AGO19" s="219">
        <v>0</v>
      </c>
      <c r="AGP19" s="220"/>
      <c r="AGQ19" s="221"/>
      <c r="AGR19" s="217" t="s">
        <v>99</v>
      </c>
      <c r="AGS19" s="218"/>
      <c r="AGT19" s="219">
        <v>0</v>
      </c>
      <c r="AGU19" s="220"/>
      <c r="AGV19" s="221"/>
      <c r="AGW19" s="217" t="s">
        <v>99</v>
      </c>
      <c r="AGX19" s="218"/>
      <c r="AGY19" s="219">
        <v>0</v>
      </c>
      <c r="AGZ19" s="220"/>
      <c r="AHA19" s="221"/>
      <c r="AHB19" s="217" t="s">
        <v>98</v>
      </c>
      <c r="AHC19" s="218"/>
      <c r="AHD19" s="219">
        <v>9015</v>
      </c>
      <c r="AHE19" s="220"/>
      <c r="AHF19" s="221"/>
      <c r="AHG19" s="217" t="s">
        <v>97</v>
      </c>
      <c r="AHH19" s="218"/>
      <c r="AHI19" s="219">
        <v>0</v>
      </c>
      <c r="AHJ19" s="220"/>
      <c r="AHK19" s="221"/>
      <c r="AHL19" s="217" t="s">
        <v>102</v>
      </c>
      <c r="AHM19" s="218"/>
      <c r="AHN19" s="219">
        <v>22532</v>
      </c>
      <c r="AHO19" s="220"/>
      <c r="AHP19" s="221"/>
      <c r="AHQ19" s="217" t="s">
        <v>101</v>
      </c>
      <c r="AHR19" s="218"/>
      <c r="AHS19" s="219">
        <v>46574</v>
      </c>
      <c r="AHT19" s="220"/>
      <c r="AHU19" s="221"/>
      <c r="AHV19" s="217" t="s">
        <v>41</v>
      </c>
      <c r="AHW19" s="218"/>
      <c r="AHX19" s="219">
        <v>0</v>
      </c>
      <c r="AHY19" s="220"/>
      <c r="AHZ19" s="221"/>
      <c r="AIA19" s="217" t="s">
        <v>99</v>
      </c>
      <c r="AIB19" s="218"/>
      <c r="AIC19" s="219">
        <v>0</v>
      </c>
      <c r="AID19" s="220"/>
      <c r="AIE19" s="221"/>
      <c r="AIF19" s="217" t="s">
        <v>98</v>
      </c>
      <c r="AIG19" s="218"/>
      <c r="AIH19" s="219">
        <v>18030</v>
      </c>
      <c r="AII19" s="220"/>
      <c r="AIJ19" s="221"/>
      <c r="AIK19" s="217" t="s">
        <v>97</v>
      </c>
      <c r="AIL19" s="218"/>
      <c r="AIM19" s="219">
        <v>0</v>
      </c>
      <c r="AIN19" s="220"/>
      <c r="AIO19" s="221"/>
      <c r="AIP19" s="217" t="s">
        <v>102</v>
      </c>
      <c r="AIQ19" s="218"/>
      <c r="AIR19" s="219">
        <v>40560</v>
      </c>
      <c r="AIS19" s="220"/>
      <c r="AIT19" s="221"/>
      <c r="AIU19" s="217" t="s">
        <v>101</v>
      </c>
      <c r="AIV19" s="218"/>
      <c r="AIW19" s="219">
        <v>27115</v>
      </c>
      <c r="AIX19" s="220"/>
      <c r="AIY19" s="221"/>
      <c r="AIZ19" s="217" t="s">
        <v>41</v>
      </c>
      <c r="AJA19" s="218"/>
      <c r="AJB19" s="219">
        <v>0</v>
      </c>
      <c r="AJC19" s="220"/>
      <c r="AJD19" s="221"/>
      <c r="AJE19" s="217" t="s">
        <v>99</v>
      </c>
      <c r="AJF19" s="218"/>
      <c r="AJG19" s="219">
        <v>0</v>
      </c>
      <c r="AJH19" s="220"/>
      <c r="AJI19" s="221"/>
      <c r="AJJ19" s="217" t="s">
        <v>98</v>
      </c>
      <c r="AJK19" s="218"/>
      <c r="AJL19" s="219">
        <v>0</v>
      </c>
      <c r="AJM19" s="220"/>
      <c r="AJN19" s="221"/>
      <c r="AJO19" s="217" t="s">
        <v>97</v>
      </c>
      <c r="AJP19" s="218"/>
      <c r="AJQ19" s="219">
        <v>4507</v>
      </c>
      <c r="AJR19" s="220"/>
      <c r="AJS19" s="221"/>
      <c r="AJT19" s="217" t="s">
        <v>96</v>
      </c>
      <c r="AJU19" s="218"/>
      <c r="AJV19" s="219">
        <v>33053</v>
      </c>
      <c r="AJW19" s="220"/>
      <c r="AJX19" s="221"/>
      <c r="AJY19" s="217" t="s">
        <v>102</v>
      </c>
      <c r="AJZ19" s="218"/>
      <c r="AKA19" s="219">
        <v>0</v>
      </c>
      <c r="AKB19" s="220"/>
      <c r="AKC19" s="221"/>
      <c r="AKD19" s="217" t="s">
        <v>101</v>
      </c>
      <c r="AKE19" s="218"/>
      <c r="AKF19" s="219">
        <v>1502</v>
      </c>
      <c r="AKG19" s="220"/>
      <c r="AKH19" s="221"/>
      <c r="AKI19" s="217" t="s">
        <v>41</v>
      </c>
      <c r="AKJ19" s="218"/>
      <c r="AKK19" s="219">
        <v>0</v>
      </c>
      <c r="AKL19" s="220"/>
      <c r="AKM19" s="221"/>
      <c r="AKN19" s="217" t="s">
        <v>99</v>
      </c>
      <c r="AKO19" s="218"/>
      <c r="AKP19" s="219">
        <v>0</v>
      </c>
      <c r="AKQ19" s="220"/>
      <c r="AKR19" s="221"/>
      <c r="AKS19" s="217" t="s">
        <v>98</v>
      </c>
      <c r="AKT19" s="218"/>
      <c r="AKU19" s="219">
        <v>0</v>
      </c>
      <c r="AKV19" s="220"/>
      <c r="AKW19" s="221"/>
      <c r="AKX19" s="217" t="s">
        <v>97</v>
      </c>
      <c r="AKY19" s="218"/>
      <c r="AKZ19" s="219">
        <v>0</v>
      </c>
      <c r="ALA19" s="220"/>
      <c r="ALB19" s="221"/>
      <c r="ALC19" s="217" t="s">
        <v>96</v>
      </c>
      <c r="ALD19" s="218"/>
      <c r="ALE19" s="219">
        <v>0</v>
      </c>
      <c r="ALF19" s="220"/>
      <c r="ALG19" s="221"/>
      <c r="ALH19" s="217" t="s">
        <v>102</v>
      </c>
      <c r="ALI19" s="218"/>
      <c r="ALJ19" s="219">
        <v>66246</v>
      </c>
      <c r="ALK19" s="220"/>
      <c r="ALL19" s="221"/>
      <c r="ALM19" s="217" t="s">
        <v>101</v>
      </c>
      <c r="ALN19" s="218"/>
      <c r="ALO19" s="219">
        <v>25540</v>
      </c>
      <c r="ALP19" s="220"/>
      <c r="ALQ19" s="221"/>
      <c r="ALR19" s="217" t="s">
        <v>41</v>
      </c>
      <c r="ALS19" s="218"/>
      <c r="ALT19" s="219">
        <v>0</v>
      </c>
      <c r="ALU19" s="220"/>
      <c r="ALV19" s="221"/>
      <c r="ALW19" s="217" t="s">
        <v>99</v>
      </c>
      <c r="ALX19" s="218"/>
      <c r="ALY19" s="219">
        <v>0</v>
      </c>
      <c r="ALZ19" s="220"/>
      <c r="AMA19" s="221"/>
      <c r="AMB19" s="217" t="s">
        <v>98</v>
      </c>
      <c r="AMC19" s="218"/>
      <c r="AMD19" s="219">
        <v>0</v>
      </c>
      <c r="AME19" s="220"/>
      <c r="AMF19" s="221"/>
      <c r="AMG19" s="217" t="s">
        <v>97</v>
      </c>
      <c r="AMH19" s="218"/>
      <c r="AMI19" s="219">
        <v>0</v>
      </c>
      <c r="AMJ19" s="220"/>
      <c r="AMK19" s="221"/>
      <c r="AML19" s="217" t="s">
        <v>102</v>
      </c>
      <c r="AMM19" s="218"/>
      <c r="AMN19" s="219">
        <v>25536</v>
      </c>
      <c r="AMO19" s="220"/>
      <c r="AMP19" s="221"/>
      <c r="AMQ19" s="217" t="s">
        <v>101</v>
      </c>
      <c r="AMR19" s="218"/>
      <c r="AMS19" s="219">
        <v>30046</v>
      </c>
      <c r="AMT19" s="220"/>
      <c r="AMU19" s="221"/>
      <c r="AMV19" s="217" t="s">
        <v>41</v>
      </c>
      <c r="AMW19" s="218"/>
      <c r="AMX19" s="219" t="e">
        <v>#VALUE!</v>
      </c>
      <c r="AMY19" s="220"/>
      <c r="AMZ19" s="221"/>
      <c r="ANA19" s="217" t="s">
        <v>99</v>
      </c>
      <c r="ANB19" s="218"/>
      <c r="ANC19" s="219">
        <v>0</v>
      </c>
      <c r="AND19" s="220"/>
      <c r="ANE19" s="221"/>
      <c r="ANF19" s="217" t="s">
        <v>98</v>
      </c>
      <c r="ANG19" s="218"/>
      <c r="ANH19" s="219">
        <v>0</v>
      </c>
      <c r="ANI19" s="220"/>
      <c r="ANJ19" s="221"/>
      <c r="ANK19" s="217" t="s">
        <v>97</v>
      </c>
      <c r="ANL19" s="218"/>
      <c r="ANM19" s="219">
        <v>0</v>
      </c>
      <c r="ANN19" s="220"/>
      <c r="ANO19" s="221"/>
      <c r="ANP19" s="217" t="s">
        <v>96</v>
      </c>
      <c r="ANQ19" s="218"/>
      <c r="ANR19" s="219">
        <v>1502</v>
      </c>
      <c r="ANS19" s="220"/>
      <c r="ANT19" s="221"/>
      <c r="ANU19" s="217" t="s">
        <v>102</v>
      </c>
      <c r="ANV19" s="218"/>
      <c r="ANW19" s="219">
        <v>46571</v>
      </c>
      <c r="ANX19" s="220"/>
      <c r="ANY19" s="221"/>
      <c r="ANZ19" s="217" t="s">
        <v>101</v>
      </c>
      <c r="AOA19" s="218"/>
      <c r="AOB19" s="219">
        <v>0</v>
      </c>
      <c r="AOC19" s="220"/>
      <c r="AOD19" s="221"/>
      <c r="AOE19" s="217" t="s">
        <v>41</v>
      </c>
      <c r="AOF19" s="218"/>
      <c r="AOG19" s="219">
        <v>0</v>
      </c>
      <c r="AOH19" s="220"/>
      <c r="AOI19" s="221"/>
      <c r="AOJ19" s="217" t="s">
        <v>99</v>
      </c>
      <c r="AOK19" s="218"/>
      <c r="AOL19" s="219">
        <v>0</v>
      </c>
      <c r="AOM19" s="220"/>
      <c r="AON19" s="221"/>
      <c r="AOO19" s="217" t="s">
        <v>98</v>
      </c>
      <c r="AOP19" s="218"/>
      <c r="AOQ19" s="219">
        <v>3005</v>
      </c>
      <c r="AOR19" s="220"/>
      <c r="AOS19" s="221"/>
      <c r="AOT19" s="217" t="s">
        <v>97</v>
      </c>
      <c r="AOU19" s="218"/>
      <c r="AOV19" s="219">
        <v>0</v>
      </c>
      <c r="AOW19" s="220"/>
      <c r="AOX19" s="221"/>
      <c r="AOY19" s="217" t="s">
        <v>96</v>
      </c>
      <c r="AOZ19" s="218"/>
      <c r="APA19" s="219">
        <v>6010</v>
      </c>
      <c r="APB19" s="220"/>
      <c r="APC19" s="221"/>
      <c r="APD19" s="217" t="s">
        <v>102</v>
      </c>
      <c r="APE19" s="218"/>
      <c r="APF19" s="219">
        <v>60392.5</v>
      </c>
      <c r="APG19" s="220"/>
      <c r="APH19" s="221"/>
      <c r="API19" s="217" t="s">
        <v>101</v>
      </c>
      <c r="APJ19" s="218"/>
      <c r="APK19" s="219">
        <v>15023</v>
      </c>
      <c r="APL19" s="220"/>
      <c r="APM19" s="221"/>
      <c r="APN19" s="217" t="s">
        <v>41</v>
      </c>
      <c r="APO19" s="218"/>
      <c r="APP19" s="219">
        <v>0</v>
      </c>
      <c r="APQ19" s="220"/>
      <c r="APR19" s="221"/>
      <c r="APS19" s="217" t="s">
        <v>99</v>
      </c>
      <c r="APT19" s="218"/>
      <c r="APU19" s="219">
        <v>0</v>
      </c>
      <c r="APV19" s="220"/>
      <c r="APW19" s="221"/>
      <c r="APX19" s="217" t="s">
        <v>98</v>
      </c>
      <c r="APY19" s="218"/>
      <c r="APZ19" s="219">
        <v>0</v>
      </c>
      <c r="AQA19" s="220"/>
      <c r="AQB19" s="221"/>
      <c r="AQC19" s="217" t="s">
        <v>97</v>
      </c>
      <c r="AQD19" s="218"/>
      <c r="AQE19" s="219">
        <v>0</v>
      </c>
      <c r="AQF19" s="220"/>
      <c r="AQG19" s="221"/>
      <c r="AQH19" s="217" t="s">
        <v>96</v>
      </c>
      <c r="AQI19" s="218"/>
      <c r="AQJ19" s="219">
        <v>19601</v>
      </c>
      <c r="AQK19" s="220"/>
      <c r="AQL19" s="221"/>
      <c r="AQM19" s="217" t="s">
        <v>102</v>
      </c>
      <c r="AQN19" s="218"/>
      <c r="AQO19" s="219">
        <v>15023</v>
      </c>
      <c r="AQP19" s="220"/>
      <c r="AQQ19" s="221"/>
      <c r="AQR19" s="217" t="s">
        <v>101</v>
      </c>
      <c r="AQS19" s="218"/>
      <c r="AQT19" s="219">
        <v>26093</v>
      </c>
      <c r="AQU19" s="220"/>
      <c r="AQV19" s="221"/>
      <c r="AQW19" s="217" t="s">
        <v>41</v>
      </c>
      <c r="AQX19" s="218"/>
      <c r="AQY19" s="219">
        <v>0</v>
      </c>
      <c r="AQZ19" s="220"/>
      <c r="ARA19" s="221"/>
      <c r="ARB19" s="217" t="s">
        <v>99</v>
      </c>
      <c r="ARC19" s="218"/>
      <c r="ARD19" s="219">
        <v>0</v>
      </c>
      <c r="ARE19" s="220"/>
      <c r="ARF19" s="221"/>
      <c r="ARG19" s="217" t="s">
        <v>98</v>
      </c>
      <c r="ARH19" s="218"/>
      <c r="ARI19" s="219">
        <v>0</v>
      </c>
      <c r="ARJ19" s="220"/>
      <c r="ARK19" s="221"/>
      <c r="ARL19" s="217" t="s">
        <v>97</v>
      </c>
      <c r="ARM19" s="218"/>
      <c r="ARN19" s="219">
        <v>0</v>
      </c>
      <c r="ARO19" s="220"/>
      <c r="ARP19" s="221"/>
      <c r="ARQ19" s="217" t="s">
        <v>96</v>
      </c>
      <c r="ARR19" s="218"/>
      <c r="ARS19" s="219">
        <v>15021</v>
      </c>
      <c r="ART19" s="220"/>
      <c r="ARU19" s="221"/>
      <c r="ARV19" s="217" t="s">
        <v>102</v>
      </c>
      <c r="ARW19" s="218"/>
      <c r="ARX19" s="219">
        <v>36055</v>
      </c>
      <c r="ARY19" s="220"/>
      <c r="ARZ19" s="221"/>
      <c r="ASA19" s="217" t="s">
        <v>101</v>
      </c>
      <c r="ASB19" s="218"/>
      <c r="ASC19" s="219">
        <v>0</v>
      </c>
      <c r="ASD19" s="220"/>
      <c r="ASE19" s="221"/>
      <c r="ASF19" s="217" t="s">
        <v>41</v>
      </c>
      <c r="ASG19" s="218"/>
      <c r="ASH19" s="219">
        <v>0</v>
      </c>
      <c r="ASI19" s="220"/>
      <c r="ASJ19" s="221"/>
      <c r="ASK19" s="217" t="s">
        <v>99</v>
      </c>
      <c r="ASL19" s="218"/>
      <c r="ASM19" s="219">
        <v>0</v>
      </c>
      <c r="ASN19" s="220"/>
      <c r="ASO19" s="221"/>
      <c r="ASP19" s="217" t="s">
        <v>98</v>
      </c>
      <c r="ASQ19" s="218"/>
      <c r="ASR19" s="219">
        <v>4507</v>
      </c>
      <c r="ASS19" s="220"/>
      <c r="AST19" s="221"/>
      <c r="ASU19" s="217" t="s">
        <v>97</v>
      </c>
      <c r="ASV19" s="218"/>
      <c r="ASW19" s="219">
        <v>0</v>
      </c>
      <c r="ASX19" s="220"/>
      <c r="ASY19" s="221"/>
      <c r="ASZ19" s="217" t="s">
        <v>96</v>
      </c>
      <c r="ATA19" s="218"/>
      <c r="ATB19" s="219">
        <v>0</v>
      </c>
      <c r="ATC19" s="220"/>
      <c r="ATD19" s="221"/>
      <c r="ATE19" s="217" t="s">
        <v>102</v>
      </c>
      <c r="ATF19" s="218"/>
      <c r="ATG19" s="219">
        <v>31480</v>
      </c>
      <c r="ATH19" s="220"/>
      <c r="ATI19" s="221"/>
      <c r="ATJ19" s="217" t="s">
        <v>101</v>
      </c>
      <c r="ATK19" s="218"/>
      <c r="ATL19" s="219">
        <v>3148</v>
      </c>
      <c r="ATM19" s="220"/>
      <c r="ATN19" s="221"/>
      <c r="ATO19" s="217" t="s">
        <v>41</v>
      </c>
      <c r="ATP19" s="218"/>
      <c r="ATQ19" s="219">
        <v>0</v>
      </c>
      <c r="ATR19" s="220"/>
      <c r="ATS19" s="221"/>
      <c r="ATT19" s="217" t="s">
        <v>99</v>
      </c>
      <c r="ATU19" s="218"/>
      <c r="ATV19" s="219">
        <v>0</v>
      </c>
      <c r="ATW19" s="220"/>
      <c r="ATX19" s="221"/>
      <c r="ATY19" s="217" t="s">
        <v>98</v>
      </c>
      <c r="ATZ19" s="218"/>
      <c r="AUA19" s="219">
        <v>0</v>
      </c>
      <c r="AUB19" s="220"/>
      <c r="AUC19" s="221"/>
      <c r="AUD19" s="217" t="s">
        <v>97</v>
      </c>
      <c r="AUE19" s="218"/>
      <c r="AUF19" s="219">
        <v>4507</v>
      </c>
      <c r="AUG19" s="220"/>
      <c r="AUH19" s="221"/>
      <c r="AUI19" s="217" t="s">
        <v>96</v>
      </c>
      <c r="AUJ19" s="218"/>
      <c r="AUK19" s="219">
        <v>0</v>
      </c>
      <c r="AUL19" s="220"/>
      <c r="AUM19" s="221"/>
      <c r="AUN19" s="217" t="s">
        <v>102</v>
      </c>
      <c r="AUO19" s="218"/>
      <c r="AUP19" s="219">
        <v>7511</v>
      </c>
      <c r="AUQ19" s="220"/>
      <c r="AUR19" s="221"/>
      <c r="AUS19" s="217" t="s">
        <v>101</v>
      </c>
      <c r="AUT19" s="218"/>
      <c r="AUU19" s="219">
        <v>11544</v>
      </c>
      <c r="AUV19" s="220"/>
      <c r="AUW19" s="221"/>
      <c r="AUX19" s="217" t="s">
        <v>41</v>
      </c>
      <c r="AUY19" s="218"/>
      <c r="AUZ19" s="219">
        <v>6009</v>
      </c>
      <c r="AVA19" s="220"/>
      <c r="AVB19" s="221"/>
      <c r="AVC19" s="217" t="s">
        <v>99</v>
      </c>
      <c r="AVD19" s="218"/>
      <c r="AVE19" s="219">
        <v>0</v>
      </c>
      <c r="AVF19" s="220"/>
      <c r="AVG19" s="221"/>
      <c r="AVH19" s="217" t="s">
        <v>98</v>
      </c>
      <c r="AVI19" s="218"/>
      <c r="AVJ19" s="219">
        <v>0</v>
      </c>
      <c r="AVK19" s="220"/>
      <c r="AVL19" s="221"/>
      <c r="AVM19" s="217" t="s">
        <v>97</v>
      </c>
      <c r="AVN19" s="218"/>
      <c r="AVO19" s="219">
        <v>0</v>
      </c>
      <c r="AVP19" s="220"/>
      <c r="AVQ19" s="221"/>
      <c r="AVR19" s="217" t="s">
        <v>96</v>
      </c>
      <c r="AVS19" s="218"/>
      <c r="AVT19" s="219">
        <v>3004</v>
      </c>
      <c r="AVU19" s="220"/>
      <c r="AVV19" s="221"/>
      <c r="AVW19" s="217" t="s">
        <v>102</v>
      </c>
      <c r="AVX19" s="218"/>
      <c r="AVY19" s="219">
        <v>16523</v>
      </c>
      <c r="AVZ19" s="220"/>
      <c r="AWA19" s="221"/>
      <c r="AWB19" s="217" t="s">
        <v>101</v>
      </c>
      <c r="AWC19" s="218"/>
      <c r="AWD19" s="219">
        <v>43313.8</v>
      </c>
      <c r="AWE19" s="220"/>
      <c r="AWF19" s="221"/>
      <c r="AWG19" s="217" t="s">
        <v>41</v>
      </c>
      <c r="AWH19" s="218"/>
      <c r="AWI19" s="219">
        <v>0</v>
      </c>
      <c r="AWJ19" s="220"/>
      <c r="AWK19" s="221"/>
      <c r="AWL19" s="217" t="s">
        <v>99</v>
      </c>
      <c r="AWM19" s="218"/>
      <c r="AWN19" s="219">
        <v>0</v>
      </c>
      <c r="AWO19" s="220"/>
      <c r="AWP19" s="221"/>
      <c r="AWQ19" s="217" t="s">
        <v>98</v>
      </c>
      <c r="AWR19" s="218"/>
      <c r="AWS19" s="219">
        <v>1502</v>
      </c>
      <c r="AWT19" s="220"/>
      <c r="AWU19" s="221"/>
      <c r="AWV19" s="217" t="s">
        <v>97</v>
      </c>
      <c r="AWW19" s="218"/>
      <c r="AWX19" s="219">
        <v>0</v>
      </c>
      <c r="AWY19" s="220"/>
      <c r="AWZ19" s="221"/>
      <c r="AXA19" s="217" t="s">
        <v>96</v>
      </c>
      <c r="AXB19" s="218"/>
      <c r="AXC19" s="219">
        <v>7512</v>
      </c>
      <c r="AXD19" s="220"/>
      <c r="AXE19" s="221"/>
      <c r="AXF19" s="217" t="s">
        <v>102</v>
      </c>
      <c r="AXG19" s="218"/>
      <c r="AXH19" s="219">
        <v>12091</v>
      </c>
      <c r="AXI19" s="220"/>
      <c r="AXJ19" s="221"/>
      <c r="AXK19" s="217" t="s">
        <v>101</v>
      </c>
      <c r="AXL19" s="218"/>
      <c r="AXM19" s="219">
        <v>0</v>
      </c>
      <c r="AXN19" s="220"/>
      <c r="AXO19" s="221"/>
      <c r="AXP19" s="217" t="s">
        <v>41</v>
      </c>
      <c r="AXQ19" s="218"/>
      <c r="AXR19" s="219">
        <v>0</v>
      </c>
      <c r="AXS19" s="220"/>
      <c r="AXT19" s="221"/>
      <c r="AXU19" s="217" t="s">
        <v>99</v>
      </c>
      <c r="AXV19" s="218"/>
      <c r="AXW19" s="219">
        <v>1502</v>
      </c>
      <c r="AXX19" s="220"/>
      <c r="AXY19" s="221"/>
      <c r="AXZ19" s="217" t="s">
        <v>98</v>
      </c>
      <c r="AYA19" s="218"/>
      <c r="AYB19" s="219">
        <v>0</v>
      </c>
      <c r="AYC19" s="220"/>
      <c r="AYD19" s="221"/>
      <c r="AYE19" s="217" t="s">
        <v>97</v>
      </c>
      <c r="AYF19" s="218"/>
      <c r="AYG19" s="219">
        <v>0</v>
      </c>
      <c r="AYH19" s="220"/>
      <c r="AYI19" s="221"/>
      <c r="AYJ19" s="217" t="s">
        <v>96</v>
      </c>
      <c r="AYK19" s="218"/>
      <c r="AYL19" s="219">
        <v>0</v>
      </c>
      <c r="AYM19" s="220"/>
      <c r="AYN19" s="221"/>
      <c r="AYO19" s="217" t="s">
        <v>102</v>
      </c>
      <c r="AYP19" s="218"/>
      <c r="AYQ19" s="219">
        <v>19531</v>
      </c>
      <c r="AYR19" s="220"/>
      <c r="AYS19" s="221"/>
      <c r="AYT19" s="217" t="s">
        <v>99</v>
      </c>
      <c r="AYU19" s="218"/>
      <c r="AYV19" s="219">
        <v>0</v>
      </c>
      <c r="AYW19" s="220"/>
      <c r="AYX19" s="221"/>
      <c r="AYY19" s="217" t="s">
        <v>98</v>
      </c>
      <c r="AYZ19" s="218"/>
      <c r="AZA19" s="219">
        <v>0</v>
      </c>
      <c r="AZB19" s="220"/>
      <c r="AZC19" s="221"/>
      <c r="AZD19" s="217" t="s">
        <v>97</v>
      </c>
      <c r="AZE19" s="218"/>
      <c r="AZF19" s="219">
        <v>0</v>
      </c>
      <c r="AZG19" s="220"/>
      <c r="AZH19" s="221"/>
      <c r="AZI19" s="217" t="s">
        <v>96</v>
      </c>
      <c r="AZJ19" s="218"/>
      <c r="AZK19" s="219">
        <v>0</v>
      </c>
      <c r="AZL19" s="220"/>
      <c r="AZM19" s="221"/>
      <c r="AZN19" s="217" t="s">
        <v>102</v>
      </c>
      <c r="AZO19" s="218"/>
      <c r="AZP19" s="219">
        <v>36773</v>
      </c>
      <c r="AZQ19" s="220"/>
      <c r="AZR19" s="221"/>
      <c r="AZS19" s="217" t="s">
        <v>101</v>
      </c>
      <c r="AZT19" s="218"/>
      <c r="AZU19" s="219">
        <v>44072</v>
      </c>
      <c r="AZV19" s="220"/>
      <c r="AZW19" s="221"/>
      <c r="AZX19" s="217" t="s">
        <v>41</v>
      </c>
      <c r="AZY19" s="218"/>
      <c r="AZZ19" s="219">
        <v>0</v>
      </c>
      <c r="BAA19" s="220"/>
      <c r="BAB19" s="221"/>
      <c r="BAC19" s="217" t="s">
        <v>99</v>
      </c>
      <c r="BAD19" s="218"/>
      <c r="BAE19" s="219">
        <v>0</v>
      </c>
      <c r="BAF19" s="220"/>
      <c r="BAG19" s="221"/>
      <c r="BAH19" s="217" t="s">
        <v>98</v>
      </c>
      <c r="BAI19" s="218"/>
      <c r="BAJ19" s="219">
        <v>0</v>
      </c>
      <c r="BAK19" s="220"/>
      <c r="BAL19" s="221"/>
      <c r="BAM19" s="217" t="s">
        <v>97</v>
      </c>
      <c r="BAN19" s="218"/>
      <c r="BAO19" s="219">
        <v>0</v>
      </c>
      <c r="BAP19" s="220"/>
      <c r="BAQ19" s="221"/>
      <c r="BAR19" s="217" t="s">
        <v>96</v>
      </c>
      <c r="BAS19" s="218"/>
      <c r="BAT19" s="219">
        <v>0</v>
      </c>
      <c r="BAU19" s="220"/>
      <c r="BAV19" s="221"/>
      <c r="BAW19" s="217" t="s">
        <v>102</v>
      </c>
      <c r="BAX19" s="218"/>
      <c r="BAY19" s="219">
        <v>24038</v>
      </c>
      <c r="BAZ19" s="220"/>
      <c r="BBA19" s="221"/>
      <c r="BBB19" s="217" t="s">
        <v>101</v>
      </c>
      <c r="BBC19" s="218"/>
      <c r="BBD19" s="219">
        <v>27112</v>
      </c>
      <c r="BBE19" s="220"/>
      <c r="BBF19" s="221"/>
      <c r="BBG19" s="217" t="s">
        <v>41</v>
      </c>
      <c r="BBH19" s="218"/>
      <c r="BBI19" s="219">
        <v>0</v>
      </c>
      <c r="BBJ19" s="220"/>
      <c r="BBK19" s="221"/>
      <c r="BBL19" s="217" t="s">
        <v>99</v>
      </c>
      <c r="BBM19" s="218"/>
      <c r="BBN19" s="219">
        <v>0</v>
      </c>
      <c r="BBO19" s="220"/>
      <c r="BBP19" s="221"/>
      <c r="BBQ19" s="217" t="s">
        <v>98</v>
      </c>
      <c r="BBR19" s="218"/>
      <c r="BBS19" s="219">
        <v>0</v>
      </c>
      <c r="BBT19" s="220"/>
      <c r="BBU19" s="221"/>
      <c r="BBV19" s="217" t="s">
        <v>97</v>
      </c>
      <c r="BBW19" s="218"/>
      <c r="BBX19" s="219">
        <v>0</v>
      </c>
      <c r="BBY19" s="220"/>
      <c r="BBZ19" s="221"/>
      <c r="BCA19" s="217" t="s">
        <v>96</v>
      </c>
      <c r="BCB19" s="218"/>
      <c r="BCC19" s="219">
        <v>0</v>
      </c>
      <c r="BCD19" s="220"/>
      <c r="BCE19" s="221"/>
      <c r="BCF19" s="217" t="s">
        <v>102</v>
      </c>
      <c r="BCG19" s="218"/>
      <c r="BCH19" s="219">
        <v>0</v>
      </c>
      <c r="BCI19" s="220"/>
      <c r="BCJ19" s="221"/>
      <c r="BCK19" s="217" t="s">
        <v>102</v>
      </c>
      <c r="BCL19" s="218"/>
      <c r="BCM19" s="219">
        <v>15023</v>
      </c>
      <c r="BCN19" s="220"/>
      <c r="BCO19" s="221"/>
      <c r="BCP19" s="217" t="s">
        <v>101</v>
      </c>
      <c r="BCQ19" s="218"/>
      <c r="BCR19" s="219">
        <v>10588</v>
      </c>
      <c r="BCS19" s="220"/>
      <c r="BCT19" s="221"/>
      <c r="BCU19" s="217" t="s">
        <v>41</v>
      </c>
      <c r="BCV19" s="218"/>
      <c r="BCW19" s="219">
        <v>0</v>
      </c>
      <c r="BCX19" s="220"/>
      <c r="BCY19" s="221"/>
      <c r="BCZ19" s="217" t="s">
        <v>99</v>
      </c>
      <c r="BDA19" s="218"/>
      <c r="BDB19" s="219">
        <v>0</v>
      </c>
      <c r="BDC19" s="220"/>
      <c r="BDD19" s="221"/>
      <c r="BDE19" s="217" t="s">
        <v>98</v>
      </c>
      <c r="BDF19" s="218"/>
      <c r="BDG19" s="219">
        <v>0</v>
      </c>
      <c r="BDH19" s="220"/>
      <c r="BDI19" s="221"/>
      <c r="BDJ19" s="217" t="s">
        <v>97</v>
      </c>
      <c r="BDK19" s="218"/>
      <c r="BDL19" s="219">
        <v>0</v>
      </c>
      <c r="BDM19" s="220"/>
      <c r="BDN19" s="221"/>
      <c r="BDO19" s="217" t="s">
        <v>96</v>
      </c>
      <c r="BDP19" s="218"/>
      <c r="BDQ19" s="219">
        <v>0</v>
      </c>
      <c r="BDR19" s="220"/>
      <c r="BDS19" s="221"/>
      <c r="BDT19" s="217" t="s">
        <v>102</v>
      </c>
      <c r="BDU19" s="218"/>
      <c r="BDV19" s="219">
        <v>15023</v>
      </c>
      <c r="BDW19" s="220"/>
      <c r="BDX19" s="221"/>
      <c r="BDY19" s="217" t="s">
        <v>101</v>
      </c>
      <c r="BDZ19" s="218"/>
      <c r="BEA19" s="219">
        <v>1502</v>
      </c>
      <c r="BEB19" s="220"/>
      <c r="BEC19" s="221"/>
      <c r="BED19" s="217" t="s">
        <v>41</v>
      </c>
      <c r="BEE19" s="218"/>
      <c r="BEF19" s="219">
        <v>0</v>
      </c>
      <c r="BEG19" s="220"/>
      <c r="BEH19" s="221"/>
      <c r="BEI19" s="217" t="s">
        <v>98</v>
      </c>
      <c r="BEJ19" s="218"/>
      <c r="BEK19" s="219">
        <v>0</v>
      </c>
      <c r="BEL19" s="220"/>
      <c r="BEM19" s="221"/>
      <c r="BEN19" s="217" t="s">
        <v>97</v>
      </c>
      <c r="BEO19" s="218"/>
      <c r="BEP19" s="219">
        <v>0</v>
      </c>
      <c r="BEQ19" s="220"/>
      <c r="BER19" s="221"/>
      <c r="BES19" s="217" t="s">
        <v>96</v>
      </c>
      <c r="BET19" s="218"/>
      <c r="BEU19" s="219">
        <v>9013</v>
      </c>
      <c r="BEV19" s="220"/>
      <c r="BEW19" s="221"/>
      <c r="BEX19" s="217" t="s">
        <v>102</v>
      </c>
      <c r="BEY19" s="218"/>
      <c r="BEZ19" s="219">
        <v>21032</v>
      </c>
      <c r="BFA19" s="220"/>
      <c r="BFB19" s="221"/>
      <c r="BFC19" s="217" t="s">
        <v>101</v>
      </c>
      <c r="BFD19" s="218"/>
      <c r="BFE19" s="219">
        <v>7512</v>
      </c>
      <c r="BFF19" s="220"/>
      <c r="BFG19" s="221"/>
      <c r="BFH19" s="217" t="s">
        <v>41</v>
      </c>
      <c r="BFI19" s="218"/>
      <c r="BFJ19" s="219">
        <v>0</v>
      </c>
      <c r="BFK19" s="220"/>
      <c r="BFL19" s="221"/>
      <c r="BFM19" s="217" t="s">
        <v>99</v>
      </c>
      <c r="BFN19" s="218"/>
      <c r="BFO19" s="219">
        <v>0</v>
      </c>
      <c r="BFP19" s="220"/>
      <c r="BFQ19" s="221"/>
      <c r="BFR19" s="217" t="s">
        <v>98</v>
      </c>
      <c r="BFS19" s="218"/>
      <c r="BFT19" s="219">
        <v>0</v>
      </c>
      <c r="BFU19" s="220"/>
      <c r="BFV19" s="221"/>
      <c r="BFW19" s="217" t="s">
        <v>97</v>
      </c>
      <c r="BFX19" s="218"/>
      <c r="BFY19" s="219">
        <v>0</v>
      </c>
      <c r="BFZ19" s="220"/>
      <c r="BGA19" s="221"/>
      <c r="BGB19" s="217" t="s">
        <v>96</v>
      </c>
      <c r="BGC19" s="218"/>
      <c r="BGD19" s="219">
        <v>0</v>
      </c>
      <c r="BGE19" s="220"/>
      <c r="BGF19" s="221"/>
      <c r="BGG19" s="217" t="s">
        <v>102</v>
      </c>
      <c r="BGH19" s="218"/>
      <c r="BGI19" s="219">
        <v>13664</v>
      </c>
      <c r="BGJ19" s="220"/>
      <c r="BGK19" s="221"/>
      <c r="BGL19" s="217" t="s">
        <v>41</v>
      </c>
      <c r="BGM19" s="218"/>
      <c r="BGN19" s="219">
        <v>0</v>
      </c>
      <c r="BGO19" s="220"/>
      <c r="BGP19" s="221"/>
      <c r="BGQ19" s="217" t="s">
        <v>99</v>
      </c>
      <c r="BGR19" s="218"/>
      <c r="BGS19" s="219">
        <v>0</v>
      </c>
      <c r="BGT19" s="220"/>
      <c r="BGU19" s="221"/>
      <c r="BGV19" s="217" t="s">
        <v>98</v>
      </c>
      <c r="BGW19" s="218"/>
      <c r="BGX19" s="219">
        <v>0</v>
      </c>
      <c r="BGY19" s="220"/>
      <c r="BGZ19" s="221"/>
      <c r="BHA19" s="217" t="s">
        <v>97</v>
      </c>
      <c r="BHB19" s="218"/>
      <c r="BHC19" s="219">
        <v>0</v>
      </c>
      <c r="BHD19" s="220"/>
      <c r="BHE19" s="221"/>
      <c r="BHF19" s="217" t="s">
        <v>96</v>
      </c>
      <c r="BHG19" s="218"/>
      <c r="BHH19" s="219">
        <v>1574</v>
      </c>
      <c r="BHI19" s="220"/>
      <c r="BHJ19" s="221"/>
      <c r="BHK19" s="217" t="s">
        <v>102</v>
      </c>
      <c r="BHL19" s="218"/>
      <c r="BHM19" s="219">
        <v>24037</v>
      </c>
      <c r="BHN19" s="220"/>
      <c r="BHO19" s="221"/>
      <c r="BHP19" s="217" t="s">
        <v>101</v>
      </c>
      <c r="BHQ19" s="218"/>
      <c r="BHR19" s="219">
        <v>6009</v>
      </c>
      <c r="BHS19" s="220"/>
      <c r="BHT19" s="221"/>
      <c r="BHU19" s="217" t="s">
        <v>41</v>
      </c>
      <c r="BHV19" s="218"/>
      <c r="BHW19" s="219">
        <v>0</v>
      </c>
      <c r="BHX19" s="220"/>
      <c r="BHY19" s="221"/>
      <c r="BHZ19" s="217" t="s">
        <v>99</v>
      </c>
      <c r="BIA19" s="218"/>
      <c r="BIB19" s="219">
        <v>0</v>
      </c>
      <c r="BIC19" s="220"/>
      <c r="BID19" s="221"/>
      <c r="BIE19" s="217" t="s">
        <v>98</v>
      </c>
      <c r="BIF19" s="218"/>
      <c r="BIG19" s="219">
        <v>0</v>
      </c>
      <c r="BIH19" s="220"/>
      <c r="BII19" s="221"/>
      <c r="BIJ19" s="217" t="s">
        <v>102</v>
      </c>
      <c r="BIK19" s="218"/>
      <c r="BIL19" s="219">
        <v>6008</v>
      </c>
      <c r="BIM19" s="220"/>
      <c r="BIN19" s="221"/>
      <c r="BIO19" s="217" t="s">
        <v>101</v>
      </c>
      <c r="BIP19" s="218"/>
      <c r="BIQ19" s="219">
        <v>10516</v>
      </c>
      <c r="BIR19" s="220"/>
      <c r="BIS19" s="221"/>
      <c r="BIT19" s="217" t="s">
        <v>41</v>
      </c>
      <c r="BIU19" s="218"/>
      <c r="BIV19" s="219">
        <v>0</v>
      </c>
      <c r="BIW19" s="220"/>
      <c r="BIX19" s="221"/>
      <c r="BIY19" s="217" t="s">
        <v>99</v>
      </c>
      <c r="BIZ19" s="218"/>
      <c r="BJA19" s="219">
        <v>0</v>
      </c>
      <c r="BJB19" s="220"/>
      <c r="BJC19" s="221"/>
      <c r="BJD19" s="217" t="s">
        <v>98</v>
      </c>
      <c r="BJE19" s="218"/>
      <c r="BJF19" s="219">
        <v>0</v>
      </c>
      <c r="BJG19" s="220"/>
      <c r="BJH19" s="221"/>
      <c r="BJI19" s="217" t="s">
        <v>97</v>
      </c>
      <c r="BJJ19" s="218"/>
      <c r="BJK19" s="219">
        <v>1008.25</v>
      </c>
      <c r="BJL19" s="220"/>
      <c r="BJM19" s="221"/>
      <c r="BJN19" s="217" t="s">
        <v>41</v>
      </c>
      <c r="BJO19" s="218"/>
      <c r="BJP19" s="219">
        <v>0</v>
      </c>
      <c r="BJQ19" s="220"/>
      <c r="BJR19" s="221"/>
      <c r="BJS19" s="217" t="s">
        <v>99</v>
      </c>
      <c r="BJT19" s="218"/>
      <c r="BJU19" s="219">
        <v>0</v>
      </c>
      <c r="BJV19" s="220"/>
      <c r="BJW19" s="221"/>
      <c r="BJX19" s="217" t="s">
        <v>99</v>
      </c>
      <c r="BJY19" s="218"/>
      <c r="BJZ19" s="219">
        <v>0</v>
      </c>
      <c r="BKA19" s="220"/>
      <c r="BKB19" s="221"/>
      <c r="BKC19" s="217" t="s">
        <v>96</v>
      </c>
      <c r="BKD19" s="218"/>
      <c r="BKE19" s="219">
        <v>0</v>
      </c>
      <c r="BKF19" s="220"/>
      <c r="BKG19" s="221"/>
      <c r="BKH19" s="217" t="s">
        <v>102</v>
      </c>
      <c r="BKI19" s="218"/>
      <c r="BKJ19" s="219">
        <v>21033</v>
      </c>
      <c r="BKK19" s="220"/>
      <c r="BKL19" s="221"/>
      <c r="BKM19" s="217" t="s">
        <v>101</v>
      </c>
      <c r="BKN19" s="218"/>
      <c r="BKO19" s="219">
        <v>31550</v>
      </c>
      <c r="BKP19" s="220"/>
      <c r="BKQ19" s="221"/>
      <c r="BKR19" s="217" t="s">
        <v>99</v>
      </c>
      <c r="BKS19" s="218"/>
      <c r="BKT19" s="219">
        <v>0</v>
      </c>
      <c r="BKU19" s="220"/>
      <c r="BKV19" s="221"/>
      <c r="BKW19" s="217" t="s">
        <v>96</v>
      </c>
      <c r="BKX19" s="218"/>
      <c r="BKY19" s="219">
        <v>6081</v>
      </c>
      <c r="BKZ19" s="220"/>
      <c r="BLA19" s="221"/>
      <c r="BLB19" s="217" t="s">
        <v>102</v>
      </c>
      <c r="BLC19" s="218"/>
      <c r="BLD19" s="219">
        <v>27042</v>
      </c>
      <c r="BLE19" s="220"/>
      <c r="BLF19" s="221"/>
      <c r="BLG19" s="217" t="s">
        <v>101</v>
      </c>
      <c r="BLH19" s="218"/>
      <c r="BLI19" s="219">
        <v>0</v>
      </c>
      <c r="BLJ19" s="220"/>
      <c r="BLK19" s="221"/>
      <c r="BLL19" s="217" t="s">
        <v>41</v>
      </c>
      <c r="BLM19" s="218"/>
      <c r="BLN19" s="219">
        <v>0</v>
      </c>
      <c r="BLO19" s="220"/>
      <c r="BLP19" s="221"/>
      <c r="BLQ19" s="217" t="s">
        <v>99</v>
      </c>
      <c r="BLR19" s="218"/>
      <c r="BLS19" s="219">
        <v>0</v>
      </c>
      <c r="BLT19" s="220"/>
      <c r="BLU19" s="221"/>
      <c r="BLV19" s="217" t="s">
        <v>96</v>
      </c>
      <c r="BLW19" s="218"/>
      <c r="BLX19" s="219">
        <v>12333.8</v>
      </c>
      <c r="BLY19" s="220"/>
      <c r="BLZ19" s="221"/>
      <c r="BMA19" s="217" t="s">
        <v>102</v>
      </c>
      <c r="BMB19" s="218"/>
      <c r="BMC19" s="219">
        <v>42866</v>
      </c>
      <c r="BMD19" s="220"/>
      <c r="BME19" s="221"/>
      <c r="BMF19" s="217" t="s">
        <v>101</v>
      </c>
      <c r="BMG19" s="218"/>
      <c r="BMH19" s="219">
        <v>9013</v>
      </c>
      <c r="BMI19" s="220"/>
      <c r="BMJ19" s="221"/>
      <c r="BMK19" s="217" t="s">
        <v>41</v>
      </c>
      <c r="BML19" s="218"/>
      <c r="BMM19" s="219">
        <v>0</v>
      </c>
      <c r="BMN19" s="220"/>
      <c r="BMO19" s="221"/>
      <c r="BMP19" s="217" t="s">
        <v>96</v>
      </c>
      <c r="BMQ19" s="218"/>
      <c r="BMR19" s="219">
        <v>9014</v>
      </c>
      <c r="BMS19" s="220"/>
      <c r="BMT19" s="221"/>
      <c r="BMU19" s="217" t="s">
        <v>102</v>
      </c>
      <c r="BMV19" s="218"/>
      <c r="BMW19" s="219">
        <v>31548</v>
      </c>
      <c r="BMX19" s="220"/>
      <c r="BMY19" s="221"/>
      <c r="BMZ19" s="217" t="s">
        <v>101</v>
      </c>
      <c r="BNA19" s="218"/>
      <c r="BNB19" s="219">
        <v>1502</v>
      </c>
      <c r="BNC19" s="220"/>
      <c r="BND19" s="221"/>
      <c r="BNE19" s="217" t="s">
        <v>99</v>
      </c>
      <c r="BNF19" s="218"/>
      <c r="BNG19" s="219">
        <v>0</v>
      </c>
      <c r="BNH19" s="220"/>
      <c r="BNI19" s="221"/>
      <c r="BNJ19" s="217" t="s">
        <v>101</v>
      </c>
      <c r="BNK19" s="218"/>
      <c r="BNL19" s="219">
        <v>0</v>
      </c>
      <c r="BNM19" s="220"/>
      <c r="BNN19" s="221"/>
      <c r="BNO19" s="217" t="s">
        <v>41</v>
      </c>
      <c r="BNP19" s="218"/>
      <c r="BNQ19" s="219">
        <v>0</v>
      </c>
      <c r="BNR19" s="220"/>
      <c r="BNS19" s="221"/>
      <c r="BNT19" s="217" t="s">
        <v>99</v>
      </c>
      <c r="BNU19" s="218"/>
      <c r="BNV19" s="219">
        <v>0</v>
      </c>
      <c r="BNW19" s="220"/>
      <c r="BNX19" s="221"/>
      <c r="BNY19" s="217" t="s">
        <v>96</v>
      </c>
      <c r="BNZ19" s="218"/>
      <c r="BOA19" s="219">
        <v>1574</v>
      </c>
      <c r="BOB19" s="220"/>
      <c r="BOC19" s="221"/>
      <c r="BOD19" s="217" t="s">
        <v>41</v>
      </c>
      <c r="BOE19" s="218"/>
      <c r="BOF19" s="219">
        <v>0</v>
      </c>
      <c r="BOG19" s="220"/>
      <c r="BOH19" s="221"/>
      <c r="BOI19" s="217" t="s">
        <v>99</v>
      </c>
      <c r="BOJ19" s="218"/>
      <c r="BOK19" s="219">
        <v>0</v>
      </c>
      <c r="BOL19" s="220"/>
      <c r="BOM19" s="221"/>
      <c r="BON19" s="217" t="s">
        <v>98</v>
      </c>
      <c r="BOO19" s="218"/>
      <c r="BOP19" s="219">
        <v>0</v>
      </c>
      <c r="BOQ19" s="220"/>
      <c r="BOR19" s="221"/>
      <c r="BOS19" s="217" t="s">
        <v>97</v>
      </c>
      <c r="BOT19" s="218"/>
      <c r="BOU19" s="219">
        <v>0</v>
      </c>
      <c r="BOV19" s="220"/>
      <c r="BOW19" s="221"/>
      <c r="BOX19" s="217" t="s">
        <v>96</v>
      </c>
      <c r="BOY19" s="218"/>
      <c r="BOZ19" s="219">
        <v>7136.5</v>
      </c>
      <c r="BPA19" s="220"/>
      <c r="BPB19" s="221"/>
      <c r="BPC19" s="217" t="s">
        <v>102</v>
      </c>
      <c r="BPD19" s="218"/>
      <c r="BPE19" s="219">
        <v>9014</v>
      </c>
      <c r="BPF19" s="220"/>
      <c r="BPG19" s="221"/>
      <c r="BPH19" s="217" t="s">
        <v>101</v>
      </c>
      <c r="BPI19" s="218"/>
      <c r="BPJ19" s="219">
        <v>19529</v>
      </c>
      <c r="BPK19" s="220"/>
      <c r="BPL19" s="221"/>
      <c r="BPM19" s="217" t="s">
        <v>41</v>
      </c>
      <c r="BPN19" s="218"/>
      <c r="BPO19" s="219">
        <v>0</v>
      </c>
      <c r="BPP19" s="220"/>
      <c r="BPQ19" s="221"/>
      <c r="BPR19" s="217" t="s">
        <v>99</v>
      </c>
      <c r="BPS19" s="218"/>
      <c r="BPT19" s="219">
        <v>0</v>
      </c>
      <c r="BPU19" s="220"/>
      <c r="BPV19" s="221"/>
      <c r="BPW19" s="217" t="s">
        <v>98</v>
      </c>
      <c r="BPX19" s="218"/>
      <c r="BPY19" s="219">
        <v>0</v>
      </c>
      <c r="BPZ19" s="220"/>
      <c r="BQA19" s="221"/>
      <c r="BQB19" s="217" t="s">
        <v>97</v>
      </c>
      <c r="BQC19" s="218"/>
      <c r="BQD19" s="219">
        <v>0</v>
      </c>
      <c r="BQE19" s="220"/>
      <c r="BQF19" s="221"/>
      <c r="BQG19" s="217" t="s">
        <v>96</v>
      </c>
      <c r="BQH19" s="218"/>
      <c r="BQI19" s="219">
        <v>1502</v>
      </c>
      <c r="BQJ19" s="220"/>
      <c r="BQK19" s="221"/>
      <c r="BQL19" s="217" t="s">
        <v>102</v>
      </c>
      <c r="BQM19" s="218"/>
      <c r="BQN19" s="219">
        <v>69108</v>
      </c>
      <c r="BQO19" s="220"/>
      <c r="BQP19" s="221"/>
      <c r="BQQ19" s="217" t="s">
        <v>101</v>
      </c>
      <c r="BQR19" s="218"/>
      <c r="BQS19" s="219">
        <v>37557</v>
      </c>
      <c r="BQT19" s="220"/>
      <c r="BQU19" s="221"/>
      <c r="BQV19" s="217" t="s">
        <v>41</v>
      </c>
      <c r="BQW19" s="218"/>
      <c r="BQX19" s="219">
        <v>0</v>
      </c>
      <c r="BQY19" s="220"/>
      <c r="BQZ19" s="221"/>
      <c r="BRA19" s="217" t="s">
        <v>99</v>
      </c>
      <c r="BRB19" s="218"/>
      <c r="BRC19" s="219">
        <v>3005</v>
      </c>
      <c r="BRD19" s="220"/>
      <c r="BRE19" s="221"/>
      <c r="BRF19" s="217" t="s">
        <v>98</v>
      </c>
      <c r="BRG19" s="218"/>
      <c r="BRH19" s="219">
        <v>0</v>
      </c>
      <c r="BRI19" s="220"/>
      <c r="BRJ19" s="221"/>
      <c r="BRK19" s="217" t="s">
        <v>97</v>
      </c>
      <c r="BRL19" s="218"/>
      <c r="BRM19" s="219">
        <v>0</v>
      </c>
      <c r="BRN19" s="220"/>
      <c r="BRO19" s="221"/>
      <c r="BRP19" s="217" t="s">
        <v>96</v>
      </c>
      <c r="BRQ19" s="218"/>
      <c r="BRR19" s="219">
        <v>12019</v>
      </c>
      <c r="BRS19" s="220"/>
      <c r="BRT19" s="221"/>
      <c r="BRU19" s="217" t="s">
        <v>102</v>
      </c>
      <c r="BRV19" s="218"/>
      <c r="BRW19" s="219">
        <v>0</v>
      </c>
      <c r="BRX19" s="220"/>
      <c r="BRY19" s="221"/>
      <c r="BRZ19" s="217" t="s">
        <v>101</v>
      </c>
      <c r="BSA19" s="218"/>
      <c r="BSB19" s="219">
        <v>27144</v>
      </c>
      <c r="BSC19" s="220"/>
      <c r="BSD19" s="221"/>
      <c r="BSE19" s="217" t="s">
        <v>41</v>
      </c>
      <c r="BSF19" s="218"/>
      <c r="BSG19" s="219">
        <v>0</v>
      </c>
      <c r="BSH19" s="220"/>
      <c r="BSI19" s="221"/>
      <c r="BSJ19" s="217" t="s">
        <v>99</v>
      </c>
      <c r="BSK19" s="218"/>
      <c r="BSL19" s="219">
        <v>0</v>
      </c>
      <c r="BSM19" s="220"/>
      <c r="BSN19" s="221"/>
      <c r="BSO19" s="217" t="s">
        <v>98</v>
      </c>
      <c r="BSP19" s="218"/>
      <c r="BSQ19" s="219">
        <v>0</v>
      </c>
      <c r="BSR19" s="220"/>
      <c r="BSS19" s="221"/>
      <c r="BST19" s="217" t="s">
        <v>97</v>
      </c>
      <c r="BSU19" s="218"/>
      <c r="BSV19" s="219">
        <v>0</v>
      </c>
      <c r="BSW19" s="220"/>
      <c r="BSX19" s="221"/>
      <c r="BSY19" s="217" t="s">
        <v>96</v>
      </c>
      <c r="BSZ19" s="218"/>
      <c r="BTA19" s="219">
        <v>1502</v>
      </c>
      <c r="BTB19" s="220"/>
      <c r="BTC19" s="221"/>
      <c r="BTD19" s="217" t="s">
        <v>102</v>
      </c>
      <c r="BTE19" s="218"/>
      <c r="BTF19" s="219">
        <v>1502</v>
      </c>
      <c r="BTG19" s="220"/>
      <c r="BTH19" s="221"/>
      <c r="BTI19" s="217" t="s">
        <v>101</v>
      </c>
      <c r="BTJ19" s="218"/>
      <c r="BTK19" s="219">
        <v>12019</v>
      </c>
      <c r="BTL19" s="220"/>
      <c r="BTM19" s="221"/>
      <c r="BTN19" s="217" t="s">
        <v>41</v>
      </c>
      <c r="BTO19" s="218"/>
      <c r="BTP19" s="219">
        <v>0</v>
      </c>
      <c r="BTQ19" s="220"/>
      <c r="BTR19" s="221"/>
      <c r="BTS19" s="217" t="s">
        <v>99</v>
      </c>
      <c r="BTT19" s="218"/>
      <c r="BTU19" s="219">
        <v>0</v>
      </c>
      <c r="BTV19" s="220"/>
      <c r="BTW19" s="221"/>
      <c r="BTX19" s="217" t="s">
        <v>98</v>
      </c>
      <c r="BTY19" s="218"/>
      <c r="BTZ19" s="219">
        <v>0</v>
      </c>
      <c r="BUA19" s="220"/>
      <c r="BUB19" s="221"/>
      <c r="BUC19" s="217" t="s">
        <v>97</v>
      </c>
      <c r="BUD19" s="218"/>
      <c r="BUE19" s="219">
        <v>0</v>
      </c>
      <c r="BUF19" s="220"/>
      <c r="BUG19" s="221"/>
      <c r="BUH19" s="217" t="s">
        <v>98</v>
      </c>
      <c r="BUI19" s="218"/>
      <c r="BUJ19" s="219">
        <v>0</v>
      </c>
      <c r="BUK19" s="220"/>
      <c r="BUL19" s="221"/>
      <c r="BUM19" s="217" t="s">
        <v>97</v>
      </c>
      <c r="BUN19" s="218"/>
      <c r="BUO19" s="219">
        <v>0</v>
      </c>
      <c r="BUP19" s="220"/>
      <c r="BUQ19" s="221"/>
      <c r="BUR19" s="217" t="s">
        <v>96</v>
      </c>
      <c r="BUS19" s="218"/>
      <c r="BUT19" s="219">
        <v>6009</v>
      </c>
      <c r="BUU19" s="220"/>
      <c r="BUV19" s="221"/>
      <c r="BUW19" s="217" t="s">
        <v>102</v>
      </c>
      <c r="BUX19" s="218"/>
      <c r="BUY19" s="219">
        <v>57087</v>
      </c>
      <c r="BUZ19" s="220"/>
      <c r="BVA19" s="221"/>
      <c r="BVB19" s="217" t="s">
        <v>101</v>
      </c>
      <c r="BVC19" s="218"/>
      <c r="BVD19" s="219">
        <v>10515</v>
      </c>
      <c r="BVE19" s="220"/>
      <c r="BVF19" s="221"/>
      <c r="BVG19" s="217" t="s">
        <v>101</v>
      </c>
      <c r="BVH19" s="218"/>
      <c r="BVI19" s="219">
        <v>0</v>
      </c>
      <c r="BVJ19" s="220"/>
      <c r="BVK19" s="221"/>
      <c r="BVL19" s="217" t="s">
        <v>41</v>
      </c>
      <c r="BVM19" s="218"/>
      <c r="BVN19" s="219">
        <v>0</v>
      </c>
      <c r="BVO19" s="220"/>
      <c r="BVP19" s="221"/>
      <c r="BVQ19" s="217" t="s">
        <v>99</v>
      </c>
      <c r="BVR19" s="218"/>
      <c r="BVS19" s="219">
        <v>0</v>
      </c>
      <c r="BVT19" s="220"/>
      <c r="BVU19" s="221"/>
      <c r="BVV19" s="217" t="s">
        <v>98</v>
      </c>
      <c r="BVW19" s="218"/>
      <c r="BVX19" s="219">
        <v>0</v>
      </c>
      <c r="BVY19" s="220"/>
      <c r="BVZ19" s="221"/>
      <c r="BWA19" s="217" t="s">
        <v>97</v>
      </c>
      <c r="BWB19" s="218"/>
      <c r="BWC19" s="219">
        <v>0</v>
      </c>
      <c r="BWD19" s="220"/>
      <c r="BWE19" s="221"/>
      <c r="BWF19" s="217" t="s">
        <v>96</v>
      </c>
      <c r="BWG19" s="218"/>
      <c r="BWH19" s="219">
        <v>33194</v>
      </c>
      <c r="BWI19" s="220"/>
      <c r="BWJ19" s="221"/>
      <c r="BWK19" s="217" t="s">
        <v>102</v>
      </c>
      <c r="BWL19" s="218"/>
      <c r="BWM19" s="219">
        <v>21891</v>
      </c>
      <c r="BWN19" s="220"/>
      <c r="BWO19" s="221"/>
      <c r="BWP19" s="217" t="s">
        <v>101</v>
      </c>
      <c r="BWQ19" s="218"/>
      <c r="BWR19" s="219">
        <v>49578</v>
      </c>
      <c r="BWS19" s="220"/>
      <c r="BWT19" s="221"/>
      <c r="BWU19" s="217" t="s">
        <v>41</v>
      </c>
      <c r="BWV19" s="218"/>
      <c r="BWW19" s="219">
        <v>201.65</v>
      </c>
      <c r="BWX19" s="220"/>
      <c r="BWY19" s="221"/>
      <c r="BWZ19" s="217" t="s">
        <v>99</v>
      </c>
      <c r="BXA19" s="218"/>
      <c r="BXB19" s="219">
        <v>0</v>
      </c>
      <c r="BXC19" s="220"/>
      <c r="BXD19" s="221"/>
      <c r="BXE19" s="217" t="s">
        <v>98</v>
      </c>
      <c r="BXF19" s="218"/>
      <c r="BXG19" s="219">
        <v>0</v>
      </c>
      <c r="BXH19" s="220"/>
      <c r="BXI19" s="221"/>
      <c r="BXJ19" s="217" t="s">
        <v>97</v>
      </c>
      <c r="BXK19" s="218"/>
      <c r="BXL19" s="219">
        <v>0</v>
      </c>
      <c r="BXM19" s="220"/>
      <c r="BXN19" s="221"/>
      <c r="BXO19" s="217" t="s">
        <v>96</v>
      </c>
      <c r="BXP19" s="218"/>
      <c r="BXQ19" s="219">
        <v>16524</v>
      </c>
      <c r="BXR19" s="220"/>
      <c r="BXS19" s="221"/>
      <c r="BXT19" s="217" t="s">
        <v>102</v>
      </c>
      <c r="BXU19" s="218"/>
      <c r="BXV19" s="219">
        <v>0</v>
      </c>
      <c r="BXW19" s="220"/>
      <c r="BXX19" s="221"/>
      <c r="BXY19" s="217" t="s">
        <v>102</v>
      </c>
      <c r="BXZ19" s="218"/>
      <c r="BYA19" s="219">
        <v>6080</v>
      </c>
      <c r="BYB19" s="220"/>
      <c r="BYC19" s="221"/>
      <c r="BYD19" s="217" t="s">
        <v>102</v>
      </c>
      <c r="BYE19" s="218"/>
      <c r="BYF19" s="219">
        <v>6080</v>
      </c>
      <c r="BYG19" s="220"/>
      <c r="BYH19" s="221"/>
      <c r="BYI19" s="217" t="s">
        <v>101</v>
      </c>
      <c r="BYJ19" s="218"/>
      <c r="BYK19" s="219">
        <v>36056</v>
      </c>
      <c r="BYL19" s="220"/>
      <c r="BYM19" s="221"/>
      <c r="BYN19" s="217" t="s">
        <v>41</v>
      </c>
      <c r="BYO19" s="218"/>
      <c r="BYP19" s="219">
        <v>0</v>
      </c>
      <c r="BYQ19" s="220"/>
      <c r="BYR19" s="221"/>
      <c r="BYS19" s="217" t="s">
        <v>99</v>
      </c>
      <c r="BYT19" s="218"/>
      <c r="BYU19" s="219">
        <v>0</v>
      </c>
      <c r="BYV19" s="220"/>
      <c r="BYW19" s="221"/>
      <c r="BYX19" s="217" t="s">
        <v>98</v>
      </c>
      <c r="BYY19" s="218"/>
      <c r="BYZ19" s="219">
        <v>0</v>
      </c>
      <c r="BZA19" s="220"/>
      <c r="BZB19" s="221"/>
      <c r="BZC19" s="217" t="s">
        <v>97</v>
      </c>
      <c r="BZD19" s="218"/>
      <c r="BZE19" s="219">
        <v>0</v>
      </c>
      <c r="BZF19" s="220"/>
      <c r="BZG19" s="221"/>
      <c r="BZH19" s="217" t="s">
        <v>96</v>
      </c>
      <c r="BZI19" s="218"/>
      <c r="BZJ19" s="219">
        <v>15166</v>
      </c>
      <c r="BZK19" s="220"/>
      <c r="BZL19" s="221"/>
      <c r="BZM19" s="217" t="s">
        <v>102</v>
      </c>
      <c r="BZN19" s="218"/>
      <c r="BZO19" s="219">
        <v>21033</v>
      </c>
      <c r="BZP19" s="220"/>
      <c r="BZQ19" s="221"/>
      <c r="BZR19" s="217" t="s">
        <v>101</v>
      </c>
      <c r="BZS19" s="218"/>
      <c r="BZT19" s="219">
        <v>0</v>
      </c>
      <c r="BZU19" s="220"/>
      <c r="BZV19" s="221"/>
      <c r="BZW19" s="217" t="s">
        <v>41</v>
      </c>
      <c r="BZX19" s="218"/>
      <c r="BZY19" s="219">
        <v>0</v>
      </c>
      <c r="BZZ19" s="220"/>
      <c r="CAA19" s="221"/>
      <c r="CAB19" s="217" t="s">
        <v>99</v>
      </c>
      <c r="CAC19" s="218"/>
      <c r="CAD19" s="219">
        <v>0</v>
      </c>
      <c r="CAE19" s="220"/>
      <c r="CAF19" s="221"/>
      <c r="CAG19" s="217" t="s">
        <v>96</v>
      </c>
      <c r="CAH19" s="218"/>
      <c r="CAI19" s="219">
        <v>0</v>
      </c>
      <c r="CAJ19" s="220"/>
      <c r="CAK19" s="221"/>
      <c r="CAL19" s="217" t="s">
        <v>102</v>
      </c>
      <c r="CAM19" s="218"/>
      <c r="CAN19" s="219">
        <v>48072</v>
      </c>
      <c r="CAO19" s="220"/>
      <c r="CAP19" s="221"/>
      <c r="CAQ19" s="217" t="s">
        <v>101</v>
      </c>
      <c r="CAR19" s="218"/>
      <c r="CAS19" s="219">
        <v>7511</v>
      </c>
      <c r="CAT19" s="220"/>
      <c r="CAU19" s="221"/>
      <c r="CAV19" s="217" t="s">
        <v>41</v>
      </c>
      <c r="CAW19" s="218"/>
      <c r="CAX19" s="219">
        <v>0</v>
      </c>
      <c r="CAY19" s="220"/>
      <c r="CAZ19" s="221"/>
      <c r="CBA19" s="217" t="s">
        <v>99</v>
      </c>
      <c r="CBB19" s="218"/>
      <c r="CBC19" s="219">
        <v>0</v>
      </c>
      <c r="CBD19" s="220"/>
      <c r="CBE19" s="221"/>
      <c r="CBF19" s="217" t="s">
        <v>98</v>
      </c>
      <c r="CBG19" s="218"/>
      <c r="CBH19" s="219">
        <v>0</v>
      </c>
      <c r="CBI19" s="220"/>
      <c r="CBJ19" s="221"/>
      <c r="CBK19" s="217" t="s">
        <v>97</v>
      </c>
      <c r="CBL19" s="218"/>
      <c r="CBM19" s="219">
        <v>0</v>
      </c>
      <c r="CBN19" s="220"/>
      <c r="CBO19" s="221"/>
      <c r="CBP19" s="217" t="s">
        <v>96</v>
      </c>
      <c r="CBQ19" s="218"/>
      <c r="CBR19" s="219">
        <v>1502</v>
      </c>
      <c r="CBS19" s="220"/>
      <c r="CBT19" s="221"/>
      <c r="CBU19" s="217" t="s">
        <v>102</v>
      </c>
      <c r="CBV19" s="218"/>
      <c r="CBW19" s="219">
        <v>10514</v>
      </c>
      <c r="CBX19" s="220"/>
      <c r="CBY19" s="221"/>
      <c r="CBZ19" s="217" t="s">
        <v>101</v>
      </c>
      <c r="CCA19" s="218"/>
      <c r="CCB19" s="219">
        <v>25683</v>
      </c>
      <c r="CCC19" s="220"/>
      <c r="CCD19" s="221"/>
      <c r="CCE19" s="217" t="s">
        <v>41</v>
      </c>
      <c r="CCF19" s="218"/>
      <c r="CCG19" s="219">
        <v>0</v>
      </c>
      <c r="CCH19" s="220"/>
      <c r="CCI19" s="221"/>
      <c r="CCJ19" s="217" t="s">
        <v>99</v>
      </c>
      <c r="CCK19" s="218"/>
      <c r="CCL19" s="219">
        <v>0</v>
      </c>
      <c r="CCM19" s="220"/>
      <c r="CCN19" s="221"/>
      <c r="CCO19" s="217" t="s">
        <v>98</v>
      </c>
      <c r="CCP19" s="218"/>
      <c r="CCQ19" s="219">
        <v>0</v>
      </c>
      <c r="CCR19" s="220"/>
      <c r="CCS19" s="221"/>
      <c r="CCT19" s="217" t="s">
        <v>97</v>
      </c>
      <c r="CCU19" s="218"/>
      <c r="CCV19" s="219">
        <v>4506</v>
      </c>
      <c r="CCW19" s="220"/>
      <c r="CCX19" s="221"/>
      <c r="CCY19" s="217" t="s">
        <v>102</v>
      </c>
      <c r="CCZ19" s="218"/>
      <c r="CDA19" s="219">
        <v>24110</v>
      </c>
      <c r="CDB19" s="220"/>
      <c r="CDC19" s="221"/>
      <c r="CDD19" s="217" t="s">
        <v>101</v>
      </c>
      <c r="CDE19" s="218"/>
      <c r="CDF19" s="219">
        <v>22534</v>
      </c>
      <c r="CDG19" s="220"/>
      <c r="CDH19" s="221"/>
      <c r="CDI19" s="217" t="s">
        <v>41</v>
      </c>
      <c r="CDJ19" s="218"/>
      <c r="CDK19" s="219">
        <v>0</v>
      </c>
      <c r="CDL19" s="220"/>
      <c r="CDM19" s="221"/>
      <c r="CDN19" s="217" t="s">
        <v>99</v>
      </c>
      <c r="CDO19" s="218"/>
      <c r="CDP19" s="219">
        <v>0</v>
      </c>
      <c r="CDQ19" s="220"/>
      <c r="CDR19" s="221"/>
      <c r="CDS19" s="217" t="s">
        <v>98</v>
      </c>
      <c r="CDT19" s="218"/>
      <c r="CDU19" s="219">
        <v>0</v>
      </c>
      <c r="CDV19" s="220"/>
      <c r="CDW19" s="221"/>
      <c r="CDX19" s="217" t="s">
        <v>97</v>
      </c>
      <c r="CDY19" s="218"/>
      <c r="CDZ19" s="219">
        <v>1502</v>
      </c>
      <c r="CEA19" s="220"/>
      <c r="CEB19" s="221"/>
      <c r="CEC19" s="217" t="s">
        <v>96</v>
      </c>
      <c r="CED19" s="218"/>
      <c r="CEE19" s="219">
        <v>10517</v>
      </c>
      <c r="CEF19" s="220"/>
      <c r="CEG19" s="221"/>
      <c r="CEH19" s="217" t="s">
        <v>102</v>
      </c>
      <c r="CEI19" s="218"/>
      <c r="CEJ19" s="219">
        <v>31692</v>
      </c>
      <c r="CEK19" s="220"/>
      <c r="CEL19" s="221"/>
      <c r="CEM19" s="217" t="s">
        <v>101</v>
      </c>
      <c r="CEN19" s="218"/>
      <c r="CEO19" s="219">
        <v>0</v>
      </c>
      <c r="CEP19" s="220"/>
      <c r="CEQ19" s="221"/>
      <c r="CER19" s="217" t="s">
        <v>101</v>
      </c>
      <c r="CES19" s="218"/>
      <c r="CET19" s="219">
        <v>7512</v>
      </c>
      <c r="CEU19" s="220"/>
      <c r="CEV19" s="221"/>
      <c r="CEW19" s="217" t="s">
        <v>41</v>
      </c>
      <c r="CEX19" s="218"/>
      <c r="CEY19" s="219">
        <v>0</v>
      </c>
      <c r="CEZ19" s="220"/>
      <c r="CFA19" s="221"/>
      <c r="CFB19" s="217" t="s">
        <v>99</v>
      </c>
      <c r="CFC19" s="218"/>
      <c r="CFD19" s="219">
        <v>0</v>
      </c>
      <c r="CFE19" s="220"/>
      <c r="CFF19" s="221"/>
      <c r="CFG19" s="217" t="s">
        <v>98</v>
      </c>
      <c r="CFH19" s="218"/>
      <c r="CFI19" s="219">
        <v>0</v>
      </c>
      <c r="CFJ19" s="220"/>
      <c r="CFK19" s="221"/>
      <c r="CFL19" s="217" t="s">
        <v>97</v>
      </c>
      <c r="CFM19" s="218"/>
      <c r="CFN19" s="219">
        <v>3005</v>
      </c>
      <c r="CFO19" s="220"/>
      <c r="CFP19" s="221"/>
      <c r="CFQ19" s="217" t="s">
        <v>102</v>
      </c>
      <c r="CFR19" s="218"/>
      <c r="CFS19" s="219">
        <v>54083</v>
      </c>
      <c r="CFT19" s="220"/>
      <c r="CFU19" s="221"/>
      <c r="CFV19" s="217" t="s">
        <v>101</v>
      </c>
      <c r="CFW19" s="218"/>
      <c r="CFX19" s="219">
        <v>0</v>
      </c>
      <c r="CFY19" s="220"/>
      <c r="CFZ19" s="221"/>
      <c r="CGA19" s="217" t="s">
        <v>41</v>
      </c>
      <c r="CGB19" s="218"/>
      <c r="CGC19" s="219">
        <v>0</v>
      </c>
      <c r="CGD19" s="220"/>
      <c r="CGE19" s="221"/>
      <c r="CGF19" s="217" t="s">
        <v>99</v>
      </c>
      <c r="CGG19" s="218"/>
      <c r="CGH19" s="219">
        <v>0</v>
      </c>
      <c r="CGI19" s="220"/>
      <c r="CGJ19" s="221"/>
      <c r="CGK19" s="217" t="s">
        <v>98</v>
      </c>
      <c r="CGL19" s="218"/>
      <c r="CGM19" s="219">
        <v>0</v>
      </c>
      <c r="CGN19" s="220"/>
      <c r="CGO19" s="221"/>
      <c r="CGP19" s="217" t="s">
        <v>97</v>
      </c>
      <c r="CGQ19" s="218"/>
      <c r="CGR19" s="219">
        <v>10515</v>
      </c>
      <c r="CGS19" s="220"/>
      <c r="CGT19" s="221"/>
      <c r="CGU19" s="217" t="s">
        <v>102</v>
      </c>
      <c r="CGV19" s="218"/>
      <c r="CGW19" s="219">
        <v>9014</v>
      </c>
      <c r="CGX19" s="220"/>
      <c r="CGY19" s="221"/>
      <c r="CGZ19" s="217" t="s">
        <v>101</v>
      </c>
      <c r="CHA19" s="218"/>
      <c r="CHB19" s="219">
        <v>0</v>
      </c>
      <c r="CHC19" s="220"/>
      <c r="CHD19" s="221"/>
      <c r="CHE19" s="217" t="s">
        <v>41</v>
      </c>
      <c r="CHF19" s="218"/>
      <c r="CHG19" s="219">
        <v>5670</v>
      </c>
      <c r="CHH19" s="220"/>
      <c r="CHI19" s="221"/>
      <c r="CHJ19" s="217" t="s">
        <v>98</v>
      </c>
      <c r="CHK19" s="218"/>
      <c r="CHL19" s="219">
        <v>0</v>
      </c>
      <c r="CHM19" s="220"/>
      <c r="CHN19" s="221"/>
      <c r="CHO19" s="217" t="s">
        <v>97</v>
      </c>
      <c r="CHP19" s="218"/>
      <c r="CHQ19" s="219">
        <v>0</v>
      </c>
      <c r="CHR19" s="220"/>
      <c r="CHS19" s="221"/>
      <c r="CHT19" s="217" t="s">
        <v>96</v>
      </c>
      <c r="CHU19" s="218"/>
      <c r="CHV19" s="219">
        <v>3004</v>
      </c>
      <c r="CHW19" s="220"/>
      <c r="CHX19" s="221"/>
      <c r="CHY19" s="217" t="s">
        <v>102</v>
      </c>
      <c r="CHZ19" s="218"/>
      <c r="CIA19" s="219">
        <v>6296</v>
      </c>
      <c r="CIB19" s="220"/>
      <c r="CIC19" s="221"/>
      <c r="CID19" s="217" t="s">
        <v>101</v>
      </c>
      <c r="CIE19" s="218"/>
      <c r="CIF19" s="219">
        <v>0</v>
      </c>
      <c r="CIG19" s="220"/>
      <c r="CIH19" s="221"/>
      <c r="CII19" s="217" t="s">
        <v>41</v>
      </c>
      <c r="CIJ19" s="218"/>
      <c r="CIK19" s="219">
        <v>0</v>
      </c>
      <c r="CIL19" s="220"/>
      <c r="CIM19" s="221"/>
      <c r="CIN19" s="217" t="s">
        <v>99</v>
      </c>
      <c r="CIO19" s="218"/>
      <c r="CIP19" s="219">
        <v>0</v>
      </c>
      <c r="CIQ19" s="220"/>
      <c r="CIR19" s="221"/>
      <c r="CIS19" s="217" t="s">
        <v>98</v>
      </c>
      <c r="CIT19" s="218"/>
      <c r="CIU19" s="219">
        <v>0</v>
      </c>
      <c r="CIV19" s="220"/>
      <c r="CIW19" s="221"/>
      <c r="CIX19" s="217" t="s">
        <v>97</v>
      </c>
      <c r="CIY19" s="218"/>
      <c r="CIZ19" s="219">
        <v>0</v>
      </c>
      <c r="CJA19" s="220"/>
      <c r="CJB19" s="221"/>
      <c r="CJC19" s="217" t="s">
        <v>102</v>
      </c>
      <c r="CJD19" s="218"/>
      <c r="CJE19" s="219">
        <v>3005</v>
      </c>
      <c r="CJF19" s="220"/>
      <c r="CJG19" s="221"/>
      <c r="CJH19" s="217" t="s">
        <v>101</v>
      </c>
      <c r="CJI19" s="218"/>
      <c r="CJJ19" s="219">
        <v>0</v>
      </c>
      <c r="CJK19" s="220"/>
      <c r="CJL19" s="221"/>
      <c r="CJM19" s="217" t="s">
        <v>41</v>
      </c>
      <c r="CJN19" s="218"/>
      <c r="CJO19" s="219">
        <v>0</v>
      </c>
      <c r="CJP19" s="220"/>
      <c r="CJQ19" s="221"/>
      <c r="CJR19" s="217" t="s">
        <v>99</v>
      </c>
      <c r="CJS19" s="218"/>
      <c r="CJT19" s="219">
        <v>0</v>
      </c>
      <c r="CJU19" s="220"/>
      <c r="CJV19" s="221"/>
      <c r="CJW19" s="217" t="s">
        <v>98</v>
      </c>
      <c r="CJX19" s="218"/>
      <c r="CJY19" s="219">
        <v>0</v>
      </c>
      <c r="CJZ19" s="220"/>
      <c r="CKA19" s="221"/>
      <c r="CKB19" s="217" t="s">
        <v>97</v>
      </c>
      <c r="CKC19" s="218"/>
      <c r="CKD19" s="219">
        <v>3004</v>
      </c>
      <c r="CKE19" s="220"/>
      <c r="CKF19" s="221"/>
      <c r="CKG19" s="217" t="s">
        <v>96</v>
      </c>
      <c r="CKH19" s="218"/>
      <c r="CKI19" s="219">
        <v>1502</v>
      </c>
      <c r="CKJ19" s="220"/>
      <c r="CKK19" s="221"/>
      <c r="CKL19" s="217" t="s">
        <v>102</v>
      </c>
      <c r="CKM19" s="218"/>
      <c r="CKN19" s="219">
        <v>15095</v>
      </c>
      <c r="CKO19" s="220"/>
      <c r="CKP19" s="221"/>
      <c r="CKQ19" s="217" t="s">
        <v>101</v>
      </c>
      <c r="CKR19" s="218"/>
      <c r="CKS19" s="219">
        <v>21031</v>
      </c>
      <c r="CKT19" s="220"/>
      <c r="CKU19" s="221"/>
      <c r="CKV19" s="217" t="s">
        <v>41</v>
      </c>
      <c r="CKW19" s="218"/>
      <c r="CKX19" s="219">
        <v>0</v>
      </c>
      <c r="CKY19" s="220"/>
      <c r="CKZ19" s="221"/>
      <c r="CLA19" s="217" t="s">
        <v>99</v>
      </c>
      <c r="CLB19" s="218"/>
      <c r="CLC19" s="219">
        <v>0</v>
      </c>
      <c r="CLD19" s="220"/>
      <c r="CLE19" s="221"/>
      <c r="CLF19" s="217" t="s">
        <v>98</v>
      </c>
      <c r="CLG19" s="218"/>
      <c r="CLH19" s="219">
        <v>0</v>
      </c>
      <c r="CLI19" s="220"/>
      <c r="CLJ19" s="221"/>
      <c r="CLK19" s="217" t="s">
        <v>97</v>
      </c>
      <c r="CLL19" s="218"/>
      <c r="CLM19" s="219">
        <v>26240.6</v>
      </c>
      <c r="CLN19" s="220"/>
      <c r="CLO19" s="221"/>
      <c r="CLP19" s="217" t="s">
        <v>96</v>
      </c>
      <c r="CLQ19" s="218"/>
      <c r="CLR19" s="219">
        <v>28616</v>
      </c>
      <c r="CLS19" s="220"/>
      <c r="CLT19" s="221"/>
      <c r="CLU19" s="217" t="s">
        <v>102</v>
      </c>
      <c r="CLV19" s="218"/>
      <c r="CLW19" s="219">
        <v>16668</v>
      </c>
      <c r="CLX19" s="220"/>
      <c r="CLY19" s="221"/>
      <c r="CLZ19" s="217" t="s">
        <v>101</v>
      </c>
      <c r="CMA19" s="218"/>
      <c r="CMB19" s="219">
        <v>0</v>
      </c>
      <c r="CMC19" s="220"/>
      <c r="CMD19" s="221"/>
      <c r="CME19" s="217" t="s">
        <v>41</v>
      </c>
      <c r="CMF19" s="218"/>
      <c r="CMG19" s="219">
        <v>0</v>
      </c>
      <c r="CMH19" s="220"/>
      <c r="CMI19" s="221"/>
      <c r="CMJ19" s="217" t="s">
        <v>98</v>
      </c>
      <c r="CMK19" s="218"/>
      <c r="CML19" s="219">
        <v>1502</v>
      </c>
      <c r="CMM19" s="220"/>
      <c r="CMN19" s="221"/>
      <c r="CMO19" s="217" t="s">
        <v>97</v>
      </c>
      <c r="CMP19" s="218"/>
      <c r="CMQ19" s="219">
        <v>0</v>
      </c>
      <c r="CMR19" s="220"/>
      <c r="CMS19" s="221"/>
      <c r="CMT19" s="217" t="s">
        <v>96</v>
      </c>
      <c r="CMU19" s="218"/>
      <c r="CMV19" s="219">
        <v>15095</v>
      </c>
      <c r="CMW19" s="220"/>
      <c r="CMX19" s="221"/>
      <c r="CMY19" s="217" t="s">
        <v>102</v>
      </c>
      <c r="CMZ19" s="218"/>
      <c r="CNA19" s="219">
        <v>18026</v>
      </c>
      <c r="CNB19" s="220"/>
      <c r="CNC19" s="221"/>
      <c r="CND19" s="217" t="s">
        <v>101</v>
      </c>
      <c r="CNE19" s="218"/>
      <c r="CNF19" s="219">
        <v>14644.5</v>
      </c>
      <c r="CNG19" s="220"/>
      <c r="CNH19" s="221"/>
      <c r="CNI19" s="217" t="s">
        <v>41</v>
      </c>
      <c r="CNJ19" s="218"/>
      <c r="CNK19" s="219">
        <v>0</v>
      </c>
      <c r="CNL19" s="220"/>
      <c r="CNM19" s="221"/>
      <c r="CNN19" s="217" t="s">
        <v>99</v>
      </c>
      <c r="CNO19" s="218"/>
      <c r="CNP19" s="219">
        <v>0</v>
      </c>
      <c r="CNQ19" s="220"/>
      <c r="CNR19" s="221"/>
      <c r="CNS19" s="217" t="s">
        <v>98</v>
      </c>
      <c r="CNT19" s="218"/>
      <c r="CNU19" s="219">
        <v>0</v>
      </c>
      <c r="CNV19" s="220"/>
      <c r="CNW19" s="221"/>
      <c r="CNX19" s="217" t="s">
        <v>97</v>
      </c>
      <c r="CNY19" s="218"/>
      <c r="CNZ19" s="219">
        <v>0</v>
      </c>
      <c r="COA19" s="220"/>
      <c r="COB19" s="221"/>
      <c r="COC19" s="217" t="s">
        <v>96</v>
      </c>
      <c r="COD19" s="218"/>
      <c r="COE19" s="219">
        <v>48076</v>
      </c>
      <c r="COF19" s="220"/>
      <c r="COG19" s="221"/>
      <c r="COH19" s="217" t="s">
        <v>102</v>
      </c>
      <c r="COI19" s="218"/>
      <c r="COJ19" s="219">
        <v>15108</v>
      </c>
      <c r="COK19" s="220"/>
      <c r="COL19" s="221"/>
      <c r="COM19" s="217" t="s">
        <v>101</v>
      </c>
      <c r="CON19" s="218"/>
      <c r="COO19" s="219">
        <v>21835</v>
      </c>
      <c r="COP19" s="220"/>
      <c r="COQ19" s="221"/>
      <c r="COR19" s="217" t="s">
        <v>101</v>
      </c>
      <c r="COS19" s="218"/>
      <c r="COT19" s="219">
        <v>0</v>
      </c>
      <c r="COU19" s="220"/>
      <c r="COV19" s="221"/>
      <c r="COW19" s="217" t="s">
        <v>41</v>
      </c>
      <c r="COX19" s="218"/>
      <c r="COY19" s="219">
        <v>0</v>
      </c>
      <c r="COZ19" s="220"/>
      <c r="CPA19" s="221"/>
      <c r="CPB19" s="217" t="s">
        <v>99</v>
      </c>
      <c r="CPC19" s="218"/>
      <c r="CPD19" s="219">
        <v>0</v>
      </c>
      <c r="CPE19" s="220"/>
      <c r="CPF19" s="221"/>
      <c r="CPG19" s="217" t="s">
        <v>99</v>
      </c>
      <c r="CPH19" s="218"/>
      <c r="CPI19" s="219">
        <v>0</v>
      </c>
      <c r="CPJ19" s="220"/>
      <c r="CPK19" s="221"/>
      <c r="CPL19" s="217" t="s">
        <v>99</v>
      </c>
      <c r="CPM19" s="218"/>
      <c r="CPN19" s="219">
        <v>0</v>
      </c>
      <c r="CPO19" s="220"/>
      <c r="CPP19" s="221"/>
      <c r="CPQ19" s="217" t="s">
        <v>98</v>
      </c>
      <c r="CPR19" s="218"/>
      <c r="CPS19" s="219">
        <v>0</v>
      </c>
      <c r="CPT19" s="220"/>
      <c r="CPU19" s="221"/>
      <c r="CPV19" s="217" t="s">
        <v>101</v>
      </c>
      <c r="CPW19" s="218"/>
      <c r="CPX19" s="219">
        <v>22060</v>
      </c>
      <c r="CPY19" s="220"/>
      <c r="CPZ19" s="221"/>
      <c r="CQA19" s="217" t="s">
        <v>41</v>
      </c>
      <c r="CQB19" s="218"/>
      <c r="CQC19" s="219">
        <v>0</v>
      </c>
      <c r="CQD19" s="220"/>
      <c r="CQE19" s="221"/>
      <c r="CQF19" s="217" t="s">
        <v>99</v>
      </c>
      <c r="CQG19" s="218"/>
      <c r="CQH19" s="219">
        <v>16596</v>
      </c>
      <c r="CQI19" s="220"/>
      <c r="CQJ19" s="221"/>
      <c r="CQK19" s="217" t="s">
        <v>98</v>
      </c>
      <c r="CQL19" s="218"/>
      <c r="CQM19" s="219">
        <v>8066</v>
      </c>
      <c r="CQN19" s="220"/>
      <c r="CQO19" s="221"/>
      <c r="CQP19" s="217" t="s">
        <v>97</v>
      </c>
      <c r="CQQ19" s="218"/>
      <c r="CQR19" s="219">
        <v>0</v>
      </c>
      <c r="CQS19" s="220"/>
      <c r="CQT19" s="221"/>
      <c r="CQU19" s="217" t="s">
        <v>102</v>
      </c>
      <c r="CQV19" s="218"/>
      <c r="CQW19" s="219">
        <v>1502</v>
      </c>
      <c r="CQX19" s="220"/>
      <c r="CQY19" s="221"/>
      <c r="CQZ19" s="217" t="s">
        <v>98</v>
      </c>
      <c r="CRA19" s="218"/>
      <c r="CRB19" s="219">
        <v>1502</v>
      </c>
      <c r="CRC19" s="220"/>
      <c r="CRD19" s="221"/>
      <c r="CRE19" s="310" t="s">
        <v>36</v>
      </c>
      <c r="CRF19" s="311"/>
      <c r="CRG19" s="330">
        <v>0</v>
      </c>
      <c r="CRH19" s="331"/>
      <c r="CRI19" s="332"/>
      <c r="CRJ19" s="310" t="s">
        <v>41</v>
      </c>
      <c r="CRK19" s="311"/>
      <c r="CRL19" s="330"/>
      <c r="CRM19" s="331"/>
      <c r="CRN19" s="332"/>
      <c r="CRO19" s="310" t="s">
        <v>37</v>
      </c>
      <c r="CRP19" s="311"/>
      <c r="CRQ19" s="330">
        <v>0</v>
      </c>
      <c r="CRR19" s="331"/>
      <c r="CRS19" s="332"/>
      <c r="CRT19" s="310" t="s">
        <v>42</v>
      </c>
      <c r="CRU19" s="311"/>
      <c r="CRV19" s="330">
        <v>0</v>
      </c>
      <c r="CRW19" s="331"/>
      <c r="CRX19" s="332"/>
      <c r="CRY19" s="339" t="s">
        <v>42</v>
      </c>
      <c r="CRZ19" s="340"/>
      <c r="CSA19" s="330">
        <v>0</v>
      </c>
      <c r="CSB19" s="332"/>
      <c r="CSC19" s="339" t="s">
        <v>36</v>
      </c>
      <c r="CSD19" s="340"/>
      <c r="CSE19" s="330">
        <v>3086</v>
      </c>
      <c r="CSF19" s="332"/>
      <c r="CSG19" s="339" t="s">
        <v>45</v>
      </c>
      <c r="CSH19" s="340"/>
      <c r="CSI19" s="330">
        <v>37559</v>
      </c>
      <c r="CSJ19" s="332"/>
      <c r="CSK19" s="339" t="s">
        <v>45</v>
      </c>
      <c r="CSL19" s="340"/>
      <c r="CSM19" s="330">
        <v>24038</v>
      </c>
      <c r="CSN19" s="332"/>
      <c r="CSO19" s="339" t="s">
        <v>37</v>
      </c>
      <c r="CSP19" s="340"/>
      <c r="CSQ19" s="347">
        <v>18030</v>
      </c>
      <c r="CSR19" s="348"/>
      <c r="CSS19" s="339" t="s">
        <v>37</v>
      </c>
      <c r="CST19" s="340"/>
      <c r="CSU19" s="347">
        <v>14050</v>
      </c>
      <c r="CSV19" s="348"/>
      <c r="CSW19" s="339" t="s">
        <v>41</v>
      </c>
      <c r="CSX19" s="340"/>
      <c r="CSY19" s="347">
        <v>0</v>
      </c>
      <c r="CSZ19" s="348"/>
      <c r="CTA19" s="339" t="s">
        <v>37</v>
      </c>
      <c r="CTB19" s="340"/>
      <c r="CTC19" s="347">
        <v>0</v>
      </c>
      <c r="CTD19" s="348"/>
      <c r="CTE19" s="339" t="s">
        <v>42</v>
      </c>
      <c r="CTF19" s="340"/>
      <c r="CTG19" s="347">
        <v>10517</v>
      </c>
      <c r="CTH19" s="348"/>
      <c r="CTI19" s="339" t="s">
        <v>36</v>
      </c>
      <c r="CTJ19" s="340"/>
      <c r="CTK19" s="347">
        <v>24983</v>
      </c>
      <c r="CTL19" s="348"/>
      <c r="CTM19" s="339" t="s">
        <v>45</v>
      </c>
      <c r="CTN19" s="340"/>
      <c r="CTO19" s="347">
        <v>15024</v>
      </c>
      <c r="CTP19" s="348"/>
      <c r="CTQ19" s="339" t="s">
        <v>41</v>
      </c>
      <c r="CTR19" s="340"/>
      <c r="CTS19" s="347">
        <v>0</v>
      </c>
      <c r="CTT19" s="348"/>
      <c r="CTU19" s="339" t="s">
        <v>37</v>
      </c>
      <c r="CTV19" s="340"/>
      <c r="CTW19" s="347">
        <v>0</v>
      </c>
      <c r="CTX19" s="348"/>
      <c r="CTY19" s="339" t="s">
        <v>42</v>
      </c>
      <c r="CTZ19" s="340"/>
      <c r="CUA19" s="347">
        <v>0</v>
      </c>
      <c r="CUB19" s="348"/>
      <c r="CUC19" s="339" t="s">
        <v>42</v>
      </c>
      <c r="CUD19" s="340"/>
      <c r="CUE19" s="347">
        <v>10517</v>
      </c>
      <c r="CUF19" s="348"/>
      <c r="CUG19" s="339" t="s">
        <v>45</v>
      </c>
      <c r="CUH19" s="340"/>
      <c r="CUI19" s="347">
        <v>24038</v>
      </c>
      <c r="CUJ19" s="348"/>
      <c r="CUK19" s="339" t="s">
        <v>41</v>
      </c>
      <c r="CUL19" s="340"/>
      <c r="CUM19" s="347">
        <v>0</v>
      </c>
      <c r="CUN19" s="348"/>
      <c r="CUO19" s="339" t="s">
        <v>37</v>
      </c>
      <c r="CUP19" s="340"/>
      <c r="CUQ19" s="347">
        <v>0</v>
      </c>
      <c r="CUR19" s="348"/>
      <c r="CUS19" s="339" t="s">
        <v>37</v>
      </c>
      <c r="CUT19" s="340"/>
      <c r="CUU19" s="347"/>
      <c r="CUV19" s="348"/>
      <c r="CUW19" s="339" t="s">
        <v>45</v>
      </c>
      <c r="CUX19" s="340"/>
      <c r="CUY19" s="347">
        <v>15023</v>
      </c>
      <c r="CUZ19" s="348"/>
      <c r="CVA19" s="339" t="s">
        <v>41</v>
      </c>
      <c r="CVB19" s="340"/>
      <c r="CVC19" s="347">
        <v>0</v>
      </c>
      <c r="CVD19" s="348"/>
      <c r="CVE19" s="339" t="s">
        <v>37</v>
      </c>
      <c r="CVF19" s="340"/>
      <c r="CVG19" s="347"/>
      <c r="CVH19" s="348"/>
      <c r="CVI19" s="339" t="s">
        <v>37</v>
      </c>
      <c r="CVJ19" s="340"/>
      <c r="CVK19" s="347">
        <v>1502</v>
      </c>
      <c r="CVL19" s="348"/>
      <c r="CVM19" s="339" t="s">
        <v>42</v>
      </c>
      <c r="CVN19" s="340"/>
      <c r="CVO19" s="347">
        <v>0</v>
      </c>
      <c r="CVP19" s="348"/>
      <c r="CVQ19" s="339" t="s">
        <v>36</v>
      </c>
      <c r="CVR19" s="340"/>
      <c r="CVS19" s="347">
        <v>0</v>
      </c>
      <c r="CVT19" s="348"/>
      <c r="CVU19" s="339" t="s">
        <v>36</v>
      </c>
      <c r="CVV19" s="340"/>
      <c r="CVW19" s="347"/>
      <c r="CVX19" s="348"/>
      <c r="CVY19" s="339" t="s">
        <v>36</v>
      </c>
      <c r="CVZ19" s="340"/>
      <c r="CWA19" s="347">
        <v>12919</v>
      </c>
      <c r="CWB19" s="348"/>
      <c r="CWC19" s="339" t="s">
        <v>45</v>
      </c>
      <c r="CWD19" s="340"/>
      <c r="CWE19" s="347">
        <v>55587</v>
      </c>
      <c r="CWF19" s="348"/>
      <c r="CWG19" s="339" t="s">
        <v>41</v>
      </c>
      <c r="CWH19" s="340"/>
      <c r="CWI19" s="347">
        <v>0</v>
      </c>
      <c r="CWJ19" s="348"/>
      <c r="CWK19" s="339" t="s">
        <v>37</v>
      </c>
      <c r="CWL19" s="340"/>
      <c r="CWM19" s="347">
        <v>0</v>
      </c>
      <c r="CWN19" s="348"/>
      <c r="CWO19" s="339" t="s">
        <v>42</v>
      </c>
      <c r="CWP19" s="340"/>
      <c r="CWQ19" s="347">
        <v>0</v>
      </c>
      <c r="CWR19" s="348"/>
      <c r="CWS19" s="339" t="s">
        <v>42</v>
      </c>
      <c r="CWT19" s="340"/>
      <c r="CWU19" s="347"/>
      <c r="CWV19" s="348"/>
      <c r="CWW19" s="339" t="s">
        <v>36</v>
      </c>
      <c r="CWX19" s="340"/>
      <c r="CWY19" s="347">
        <v>0</v>
      </c>
      <c r="CWZ19" s="348"/>
      <c r="CXA19" s="368" t="s">
        <v>45</v>
      </c>
      <c r="CXB19" s="369"/>
      <c r="CXC19" s="385">
        <v>0</v>
      </c>
      <c r="CXD19" s="386"/>
      <c r="CXE19" s="368" t="s">
        <v>45</v>
      </c>
      <c r="CXF19" s="369"/>
      <c r="CXG19" s="385">
        <v>0</v>
      </c>
      <c r="CXH19" s="386"/>
      <c r="CXI19" s="368" t="s">
        <v>37</v>
      </c>
      <c r="CXJ19" s="369"/>
      <c r="CXK19" s="385">
        <v>0</v>
      </c>
      <c r="CXL19" s="386"/>
      <c r="CXM19" s="368" t="s">
        <v>42</v>
      </c>
      <c r="CXN19" s="369"/>
      <c r="CXO19" s="385">
        <v>4507</v>
      </c>
      <c r="CXP19" s="386"/>
      <c r="CXQ19" s="368" t="s">
        <v>36</v>
      </c>
      <c r="CXR19" s="369"/>
      <c r="CXS19" s="385">
        <v>0</v>
      </c>
      <c r="CXT19" s="386"/>
      <c r="CXU19" s="26" t="s">
        <v>41</v>
      </c>
      <c r="CXW19" s="26">
        <v>0</v>
      </c>
      <c r="CXY19" s="26" t="s">
        <v>37</v>
      </c>
      <c r="CYA19" s="26">
        <v>0</v>
      </c>
      <c r="CYC19" s="26" t="s">
        <v>36</v>
      </c>
      <c r="CYE19" s="26">
        <v>0</v>
      </c>
      <c r="CYG19" s="26" t="s">
        <v>7</v>
      </c>
      <c r="CYJ19" s="26" t="s">
        <v>31</v>
      </c>
      <c r="CYK19" s="26" t="s">
        <v>7</v>
      </c>
      <c r="CYN19" s="26" t="s">
        <v>31</v>
      </c>
      <c r="CYO19" s="26" t="s">
        <v>7</v>
      </c>
      <c r="CYR19" s="26" t="s">
        <v>31</v>
      </c>
      <c r="CYS19" s="26" t="s">
        <v>7</v>
      </c>
      <c r="CYV19" s="26" t="s">
        <v>31</v>
      </c>
      <c r="CYW19" s="26" t="s">
        <v>7</v>
      </c>
      <c r="CYZ19" s="26" t="s">
        <v>31</v>
      </c>
      <c r="CZA19" s="26" t="s">
        <v>7</v>
      </c>
      <c r="CZD19" s="26" t="s">
        <v>31</v>
      </c>
      <c r="CZE19" s="26" t="s">
        <v>7</v>
      </c>
      <c r="CZH19" s="26" t="s">
        <v>31</v>
      </c>
      <c r="CZI19" s="26" t="s">
        <v>7</v>
      </c>
      <c r="CZL19" s="26" t="s">
        <v>31</v>
      </c>
      <c r="CZM19" s="26" t="s">
        <v>7</v>
      </c>
      <c r="CZP19" s="26" t="s">
        <v>31</v>
      </c>
      <c r="CZQ19" s="26" t="s">
        <v>7</v>
      </c>
      <c r="CZT19" s="26" t="s">
        <v>31</v>
      </c>
      <c r="CZU19" s="26" t="s">
        <v>7</v>
      </c>
      <c r="CZX19" s="26" t="s">
        <v>31</v>
      </c>
      <c r="CZY19" s="26" t="s">
        <v>7</v>
      </c>
      <c r="DAB19" s="26" t="s">
        <v>31</v>
      </c>
      <c r="DAC19" s="26" t="s">
        <v>7</v>
      </c>
      <c r="DAF19" s="26" t="s">
        <v>31</v>
      </c>
      <c r="DAG19" s="26" t="s">
        <v>7</v>
      </c>
      <c r="DAJ19" s="26" t="s">
        <v>31</v>
      </c>
      <c r="DAK19" s="26" t="s">
        <v>7</v>
      </c>
      <c r="DAN19" s="26" t="s">
        <v>31</v>
      </c>
      <c r="DAO19" s="26" t="s">
        <v>7</v>
      </c>
      <c r="DAR19" s="26" t="s">
        <v>31</v>
      </c>
      <c r="DAS19" s="26" t="s">
        <v>7</v>
      </c>
      <c r="DAV19" s="26" t="s">
        <v>31</v>
      </c>
      <c r="DAW19" s="26" t="s">
        <v>7</v>
      </c>
      <c r="DAZ19" s="26" t="s">
        <v>31</v>
      </c>
      <c r="DBA19" s="26" t="s">
        <v>7</v>
      </c>
      <c r="DBD19" s="26" t="s">
        <v>31</v>
      </c>
      <c r="DBE19" s="26" t="s">
        <v>7</v>
      </c>
      <c r="DBH19" s="26" t="s">
        <v>31</v>
      </c>
      <c r="DBI19" s="26" t="s">
        <v>7</v>
      </c>
      <c r="DBL19" s="26" t="s">
        <v>31</v>
      </c>
      <c r="DBM19" s="26" t="s">
        <v>7</v>
      </c>
      <c r="DBP19" s="26" t="s">
        <v>31</v>
      </c>
      <c r="DBQ19" s="26" t="s">
        <v>7</v>
      </c>
      <c r="DBT19" s="26" t="s">
        <v>31</v>
      </c>
      <c r="DBU19" s="26" t="s">
        <v>7</v>
      </c>
      <c r="DBX19" s="26" t="s">
        <v>31</v>
      </c>
      <c r="DBY19" s="26" t="s">
        <v>7</v>
      </c>
      <c r="DCB19" s="26" t="s">
        <v>31</v>
      </c>
      <c r="DCC19" s="26" t="s">
        <v>7</v>
      </c>
      <c r="DCF19" s="26" t="s">
        <v>31</v>
      </c>
      <c r="DCG19" s="26" t="s">
        <v>7</v>
      </c>
      <c r="DCJ19" s="26" t="s">
        <v>31</v>
      </c>
      <c r="DCK19" s="26" t="s">
        <v>7</v>
      </c>
      <c r="DCN19" s="26" t="s">
        <v>31</v>
      </c>
      <c r="DCO19" s="26" t="s">
        <v>7</v>
      </c>
      <c r="DCR19" s="26" t="s">
        <v>31</v>
      </c>
      <c r="DCS19" s="26" t="s">
        <v>7</v>
      </c>
      <c r="DCV19" s="26" t="s">
        <v>31</v>
      </c>
      <c r="DCW19" s="26" t="s">
        <v>7</v>
      </c>
      <c r="DCZ19" s="26" t="s">
        <v>31</v>
      </c>
      <c r="DDA19" s="26" t="s">
        <v>7</v>
      </c>
      <c r="DDD19" s="26" t="s">
        <v>31</v>
      </c>
      <c r="DDE19" s="26" t="s">
        <v>8</v>
      </c>
      <c r="DDH19" s="26" t="s">
        <v>31</v>
      </c>
      <c r="DDI19" s="26" t="s">
        <v>8</v>
      </c>
      <c r="DDL19" s="26" t="s">
        <v>31</v>
      </c>
      <c r="DDM19" s="26" t="s">
        <v>8</v>
      </c>
      <c r="DDP19" s="26" t="s">
        <v>31</v>
      </c>
      <c r="DDQ19" s="26" t="s">
        <v>9</v>
      </c>
      <c r="DDT19" s="26">
        <v>0</v>
      </c>
    </row>
    <row r="20" spans="1:2828" ht="14.4" thickBot="1" x14ac:dyDescent="0.3">
      <c r="A20" s="215" t="s">
        <v>101</v>
      </c>
      <c r="B20" s="216"/>
      <c r="C20" s="225">
        <v>7512</v>
      </c>
      <c r="D20" s="226"/>
      <c r="E20" s="227"/>
      <c r="F20" s="215" t="s">
        <v>41</v>
      </c>
      <c r="G20" s="216"/>
      <c r="H20" s="225">
        <v>0</v>
      </c>
      <c r="I20" s="226"/>
      <c r="J20" s="227"/>
      <c r="K20" s="215" t="s">
        <v>99</v>
      </c>
      <c r="L20" s="216"/>
      <c r="M20" s="225">
        <v>0</v>
      </c>
      <c r="N20" s="226"/>
      <c r="O20" s="227"/>
      <c r="P20" s="215" t="s">
        <v>98</v>
      </c>
      <c r="Q20" s="216"/>
      <c r="R20" s="225">
        <v>0</v>
      </c>
      <c r="S20" s="226"/>
      <c r="T20" s="227"/>
      <c r="U20" s="215" t="s">
        <v>97</v>
      </c>
      <c r="V20" s="216"/>
      <c r="W20" s="225">
        <v>0</v>
      </c>
      <c r="X20" s="226"/>
      <c r="Y20" s="227"/>
      <c r="Z20" s="215" t="s">
        <v>96</v>
      </c>
      <c r="AA20" s="216"/>
      <c r="AB20" s="225">
        <v>0</v>
      </c>
      <c r="AC20" s="226"/>
      <c r="AD20" s="227"/>
      <c r="AE20" s="215" t="s">
        <v>102</v>
      </c>
      <c r="AF20" s="216"/>
      <c r="AG20" s="225">
        <v>0</v>
      </c>
      <c r="AH20" s="226"/>
      <c r="AI20" s="227"/>
      <c r="AJ20" s="215" t="s">
        <v>101</v>
      </c>
      <c r="AK20" s="216"/>
      <c r="AL20" s="225">
        <v>0</v>
      </c>
      <c r="AM20" s="226"/>
      <c r="AN20" s="227"/>
      <c r="AO20" s="215" t="s">
        <v>41</v>
      </c>
      <c r="AP20" s="216"/>
      <c r="AQ20" s="225">
        <v>0</v>
      </c>
      <c r="AR20" s="226"/>
      <c r="AS20" s="227"/>
      <c r="AT20" s="215" t="s">
        <v>99</v>
      </c>
      <c r="AU20" s="216"/>
      <c r="AV20" s="225">
        <v>0</v>
      </c>
      <c r="AW20" s="226"/>
      <c r="AX20" s="227"/>
      <c r="AY20" s="215" t="s">
        <v>98</v>
      </c>
      <c r="AZ20" s="216"/>
      <c r="BA20" s="225">
        <v>0</v>
      </c>
      <c r="BB20" s="226"/>
      <c r="BC20" s="227"/>
      <c r="BD20" s="215" t="s">
        <v>97</v>
      </c>
      <c r="BE20" s="216"/>
      <c r="BF20" s="225">
        <v>0</v>
      </c>
      <c r="BG20" s="226"/>
      <c r="BH20" s="227"/>
      <c r="BI20" s="215" t="s">
        <v>96</v>
      </c>
      <c r="BJ20" s="216"/>
      <c r="BK20" s="225">
        <v>7512.5</v>
      </c>
      <c r="BL20" s="226"/>
      <c r="BM20" s="227"/>
      <c r="BN20" s="215" t="s">
        <v>102</v>
      </c>
      <c r="BO20" s="216"/>
      <c r="BP20" s="225">
        <v>7512.5</v>
      </c>
      <c r="BQ20" s="226"/>
      <c r="BR20" s="227"/>
      <c r="BS20" s="215" t="s">
        <v>101</v>
      </c>
      <c r="BT20" s="216"/>
      <c r="BU20" s="225">
        <v>0</v>
      </c>
      <c r="BV20" s="226"/>
      <c r="BW20" s="227"/>
      <c r="BX20" s="215" t="s">
        <v>41</v>
      </c>
      <c r="BY20" s="216"/>
      <c r="BZ20" s="225">
        <v>0</v>
      </c>
      <c r="CA20" s="226"/>
      <c r="CB20" s="227"/>
      <c r="CC20" s="215" t="s">
        <v>99</v>
      </c>
      <c r="CD20" s="216"/>
      <c r="CE20" s="225">
        <v>0</v>
      </c>
      <c r="CF20" s="226"/>
      <c r="CG20" s="227"/>
      <c r="CH20" s="215" t="s">
        <v>98</v>
      </c>
      <c r="CI20" s="216"/>
      <c r="CJ20" s="225">
        <v>0</v>
      </c>
      <c r="CK20" s="226"/>
      <c r="CL20" s="227"/>
      <c r="CM20" s="215" t="s">
        <v>97</v>
      </c>
      <c r="CN20" s="216"/>
      <c r="CO20" s="225">
        <v>0</v>
      </c>
      <c r="CP20" s="226"/>
      <c r="CQ20" s="227"/>
      <c r="CR20" s="215" t="s">
        <v>97</v>
      </c>
      <c r="CS20" s="216"/>
      <c r="CT20" s="225">
        <v>0</v>
      </c>
      <c r="CU20" s="226"/>
      <c r="CV20" s="227"/>
      <c r="CW20" s="215" t="s">
        <v>96</v>
      </c>
      <c r="CX20" s="216"/>
      <c r="CY20" s="225">
        <v>3005</v>
      </c>
      <c r="CZ20" s="226"/>
      <c r="DA20" s="227"/>
      <c r="DB20" s="215" t="s">
        <v>102</v>
      </c>
      <c r="DC20" s="216"/>
      <c r="DD20" s="225">
        <v>0</v>
      </c>
      <c r="DE20" s="226"/>
      <c r="DF20" s="227"/>
      <c r="DG20" s="215" t="s">
        <v>101</v>
      </c>
      <c r="DH20" s="216"/>
      <c r="DI20" s="225">
        <v>0</v>
      </c>
      <c r="DJ20" s="226"/>
      <c r="DK20" s="227"/>
      <c r="DL20" s="215" t="s">
        <v>41</v>
      </c>
      <c r="DM20" s="216"/>
      <c r="DN20" s="225">
        <v>0</v>
      </c>
      <c r="DO20" s="226"/>
      <c r="DP20" s="227"/>
      <c r="DQ20" s="215" t="s">
        <v>99</v>
      </c>
      <c r="DR20" s="216"/>
      <c r="DS20" s="225">
        <v>0</v>
      </c>
      <c r="DT20" s="226"/>
      <c r="DU20" s="227"/>
      <c r="DV20" s="215" t="s">
        <v>98</v>
      </c>
      <c r="DW20" s="216"/>
      <c r="DX20" s="225">
        <v>0</v>
      </c>
      <c r="DY20" s="226"/>
      <c r="DZ20" s="227"/>
      <c r="EA20" s="215" t="s">
        <v>97</v>
      </c>
      <c r="EB20" s="216"/>
      <c r="EC20" s="225">
        <v>0</v>
      </c>
      <c r="ED20" s="226"/>
      <c r="EE20" s="227"/>
      <c r="EF20" s="215" t="s">
        <v>96</v>
      </c>
      <c r="EG20" s="216"/>
      <c r="EH20" s="225">
        <v>0</v>
      </c>
      <c r="EI20" s="226"/>
      <c r="EJ20" s="227"/>
      <c r="EK20" s="215" t="s">
        <v>102</v>
      </c>
      <c r="EL20" s="216"/>
      <c r="EM20" s="225">
        <v>19530</v>
      </c>
      <c r="EN20" s="226"/>
      <c r="EO20" s="227"/>
      <c r="EP20" s="215" t="s">
        <v>101</v>
      </c>
      <c r="EQ20" s="216"/>
      <c r="ER20" s="225">
        <v>0</v>
      </c>
      <c r="ES20" s="226"/>
      <c r="ET20" s="227"/>
      <c r="EU20" s="215" t="s">
        <v>41</v>
      </c>
      <c r="EV20" s="216"/>
      <c r="EW20" s="225">
        <v>0</v>
      </c>
      <c r="EX20" s="226"/>
      <c r="EY20" s="227"/>
      <c r="EZ20" s="215" t="s">
        <v>99</v>
      </c>
      <c r="FA20" s="216"/>
      <c r="FB20" s="225">
        <v>0</v>
      </c>
      <c r="FC20" s="226"/>
      <c r="FD20" s="227"/>
      <c r="FE20" s="215" t="s">
        <v>98</v>
      </c>
      <c r="FF20" s="216"/>
      <c r="FG20" s="225">
        <v>0</v>
      </c>
      <c r="FH20" s="226"/>
      <c r="FI20" s="227"/>
      <c r="FJ20" s="215" t="s">
        <v>97</v>
      </c>
      <c r="FK20" s="216"/>
      <c r="FL20" s="225">
        <v>0</v>
      </c>
      <c r="FM20" s="226"/>
      <c r="FN20" s="227"/>
      <c r="FO20" s="215" t="s">
        <v>96</v>
      </c>
      <c r="FP20" s="216"/>
      <c r="FQ20" s="225">
        <v>0</v>
      </c>
      <c r="FR20" s="226"/>
      <c r="FS20" s="227"/>
      <c r="FT20" s="215" t="s">
        <v>102</v>
      </c>
      <c r="FU20" s="216"/>
      <c r="FV20" s="225">
        <v>0</v>
      </c>
      <c r="FW20" s="226"/>
      <c r="FX20" s="227"/>
      <c r="FY20" s="215" t="s">
        <v>101</v>
      </c>
      <c r="FZ20" s="216"/>
      <c r="GA20" s="225">
        <v>0</v>
      </c>
      <c r="GB20" s="226"/>
      <c r="GC20" s="227"/>
      <c r="GD20" s="215" t="s">
        <v>41</v>
      </c>
      <c r="GE20" s="216"/>
      <c r="GF20" s="225">
        <v>0</v>
      </c>
      <c r="GG20" s="226"/>
      <c r="GH20" s="227"/>
      <c r="GI20" s="215" t="s">
        <v>99</v>
      </c>
      <c r="GJ20" s="216"/>
      <c r="GK20" s="225">
        <v>0</v>
      </c>
      <c r="GL20" s="226"/>
      <c r="GM20" s="227"/>
      <c r="GN20" s="215" t="s">
        <v>98</v>
      </c>
      <c r="GO20" s="216"/>
      <c r="GP20" s="225">
        <v>0</v>
      </c>
      <c r="GQ20" s="226"/>
      <c r="GR20" s="227"/>
      <c r="GS20" s="215" t="s">
        <v>97</v>
      </c>
      <c r="GT20" s="216"/>
      <c r="GU20" s="225">
        <v>0</v>
      </c>
      <c r="GV20" s="226"/>
      <c r="GW20" s="227"/>
      <c r="GX20" s="215" t="s">
        <v>96</v>
      </c>
      <c r="GY20" s="216"/>
      <c r="GZ20" s="225">
        <v>0</v>
      </c>
      <c r="HA20" s="226"/>
      <c r="HB20" s="227"/>
      <c r="HC20" s="215" t="s">
        <v>102</v>
      </c>
      <c r="HD20" s="216"/>
      <c r="HE20" s="225">
        <v>28543</v>
      </c>
      <c r="HF20" s="226"/>
      <c r="HG20" s="227"/>
      <c r="HH20" s="215" t="s">
        <v>101</v>
      </c>
      <c r="HI20" s="216"/>
      <c r="HJ20" s="225">
        <v>0</v>
      </c>
      <c r="HK20" s="226"/>
      <c r="HL20" s="227"/>
      <c r="HM20" s="215" t="s">
        <v>41</v>
      </c>
      <c r="HN20" s="216"/>
      <c r="HO20" s="225">
        <v>0</v>
      </c>
      <c r="HP20" s="226"/>
      <c r="HQ20" s="227"/>
      <c r="HR20" s="215" t="s">
        <v>99</v>
      </c>
      <c r="HS20" s="216"/>
      <c r="HT20" s="225">
        <v>0</v>
      </c>
      <c r="HU20" s="226"/>
      <c r="HV20" s="227"/>
      <c r="HW20" s="215" t="s">
        <v>98</v>
      </c>
      <c r="HX20" s="216"/>
      <c r="HY20" s="225">
        <v>0</v>
      </c>
      <c r="HZ20" s="226"/>
      <c r="IA20" s="227"/>
      <c r="IB20" s="215" t="s">
        <v>97</v>
      </c>
      <c r="IC20" s="216"/>
      <c r="ID20" s="225">
        <v>0</v>
      </c>
      <c r="IE20" s="226"/>
      <c r="IF20" s="227"/>
      <c r="IG20" s="215" t="s">
        <v>96</v>
      </c>
      <c r="IH20" s="216"/>
      <c r="II20" s="225">
        <v>1502</v>
      </c>
      <c r="IJ20" s="226"/>
      <c r="IK20" s="227"/>
      <c r="IL20" s="215" t="s">
        <v>102</v>
      </c>
      <c r="IM20" s="216"/>
      <c r="IN20" s="225">
        <v>0</v>
      </c>
      <c r="IO20" s="226"/>
      <c r="IP20" s="227"/>
      <c r="IQ20" s="215" t="s">
        <v>101</v>
      </c>
      <c r="IR20" s="216"/>
      <c r="IS20" s="225">
        <v>0</v>
      </c>
      <c r="IT20" s="226"/>
      <c r="IU20" s="227"/>
      <c r="IV20" s="215" t="s">
        <v>41</v>
      </c>
      <c r="IW20" s="216"/>
      <c r="IX20" s="225">
        <v>0</v>
      </c>
      <c r="IY20" s="226"/>
      <c r="IZ20" s="227"/>
      <c r="JA20" s="215" t="s">
        <v>99</v>
      </c>
      <c r="JB20" s="216"/>
      <c r="JC20" s="225">
        <v>0</v>
      </c>
      <c r="JD20" s="226"/>
      <c r="JE20" s="227"/>
      <c r="JF20" s="215" t="s">
        <v>98</v>
      </c>
      <c r="JG20" s="216"/>
      <c r="JH20" s="225">
        <v>0</v>
      </c>
      <c r="JI20" s="226"/>
      <c r="JJ20" s="227"/>
      <c r="JK20" s="215" t="s">
        <v>97</v>
      </c>
      <c r="JL20" s="216"/>
      <c r="JM20" s="225">
        <v>0</v>
      </c>
      <c r="JN20" s="226"/>
      <c r="JO20" s="227"/>
      <c r="JP20" s="215" t="s">
        <v>96</v>
      </c>
      <c r="JQ20" s="216"/>
      <c r="JR20" s="225">
        <v>0</v>
      </c>
      <c r="JS20" s="226"/>
      <c r="JT20" s="227"/>
      <c r="JU20" s="215" t="s">
        <v>102</v>
      </c>
      <c r="JV20" s="216"/>
      <c r="JW20" s="225">
        <v>7512</v>
      </c>
      <c r="JX20" s="226"/>
      <c r="JY20" s="227"/>
      <c r="JZ20" s="215" t="s">
        <v>101</v>
      </c>
      <c r="KA20" s="216"/>
      <c r="KB20" s="225">
        <v>18028</v>
      </c>
      <c r="KC20" s="226"/>
      <c r="KD20" s="227"/>
      <c r="KE20" s="215" t="s">
        <v>41</v>
      </c>
      <c r="KF20" s="216"/>
      <c r="KG20" s="225">
        <v>0</v>
      </c>
      <c r="KH20" s="226"/>
      <c r="KI20" s="227"/>
      <c r="KJ20" s="215" t="s">
        <v>99</v>
      </c>
      <c r="KK20" s="216"/>
      <c r="KL20" s="225">
        <v>0</v>
      </c>
      <c r="KM20" s="226"/>
      <c r="KN20" s="227"/>
      <c r="KO20" s="215" t="s">
        <v>98</v>
      </c>
      <c r="KP20" s="216"/>
      <c r="KQ20" s="225">
        <v>0</v>
      </c>
      <c r="KR20" s="226"/>
      <c r="KS20" s="227"/>
      <c r="KT20" s="215" t="s">
        <v>97</v>
      </c>
      <c r="KU20" s="216"/>
      <c r="KV20" s="225">
        <v>0</v>
      </c>
      <c r="KW20" s="226"/>
      <c r="KX20" s="227"/>
      <c r="KY20" s="215" t="s">
        <v>96</v>
      </c>
      <c r="KZ20" s="216"/>
      <c r="LA20" s="225">
        <v>0</v>
      </c>
      <c r="LB20" s="226"/>
      <c r="LC20" s="227"/>
      <c r="LD20" s="215" t="s">
        <v>102</v>
      </c>
      <c r="LE20" s="216"/>
      <c r="LF20" s="225">
        <v>0</v>
      </c>
      <c r="LG20" s="226"/>
      <c r="LH20" s="227"/>
      <c r="LI20" s="215" t="s">
        <v>101</v>
      </c>
      <c r="LJ20" s="216"/>
      <c r="LK20" s="225">
        <v>0</v>
      </c>
      <c r="LL20" s="226"/>
      <c r="LM20" s="227"/>
      <c r="LN20" s="215" t="s">
        <v>41</v>
      </c>
      <c r="LO20" s="216"/>
      <c r="LP20" s="225">
        <v>0</v>
      </c>
      <c r="LQ20" s="226"/>
      <c r="LR20" s="227"/>
      <c r="LS20" s="215" t="s">
        <v>99</v>
      </c>
      <c r="LT20" s="216"/>
      <c r="LU20" s="225">
        <v>0</v>
      </c>
      <c r="LV20" s="226"/>
      <c r="LW20" s="227"/>
      <c r="LX20" s="215" t="s">
        <v>98</v>
      </c>
      <c r="LY20" s="216"/>
      <c r="LZ20" s="225">
        <v>0</v>
      </c>
      <c r="MA20" s="226"/>
      <c r="MB20" s="227"/>
      <c r="MC20" s="215" t="s">
        <v>97</v>
      </c>
      <c r="MD20" s="216"/>
      <c r="ME20" s="225">
        <v>0</v>
      </c>
      <c r="MF20" s="226"/>
      <c r="MG20" s="227"/>
      <c r="MH20" s="215" t="s">
        <v>96</v>
      </c>
      <c r="MI20" s="216"/>
      <c r="MJ20" s="225">
        <v>0</v>
      </c>
      <c r="MK20" s="226"/>
      <c r="ML20" s="227"/>
      <c r="MM20" s="215" t="s">
        <v>102</v>
      </c>
      <c r="MN20" s="216"/>
      <c r="MO20" s="225">
        <v>3004</v>
      </c>
      <c r="MP20" s="226"/>
      <c r="MQ20" s="227"/>
      <c r="MR20" s="215" t="s">
        <v>101</v>
      </c>
      <c r="MS20" s="216"/>
      <c r="MT20" s="225">
        <v>0</v>
      </c>
      <c r="MU20" s="226"/>
      <c r="MV20" s="227"/>
      <c r="MW20" s="215" t="s">
        <v>101</v>
      </c>
      <c r="MX20" s="216"/>
      <c r="MY20" s="225">
        <v>0</v>
      </c>
      <c r="MZ20" s="226"/>
      <c r="NA20" s="227"/>
      <c r="NB20" s="215" t="s">
        <v>41</v>
      </c>
      <c r="NC20" s="216"/>
      <c r="ND20" s="225">
        <v>0</v>
      </c>
      <c r="NE20" s="226"/>
      <c r="NF20" s="227"/>
      <c r="NG20" s="215" t="s">
        <v>99</v>
      </c>
      <c r="NH20" s="216"/>
      <c r="NI20" s="225">
        <v>0</v>
      </c>
      <c r="NJ20" s="226"/>
      <c r="NK20" s="227"/>
      <c r="NL20" s="215" t="s">
        <v>98</v>
      </c>
      <c r="NM20" s="216"/>
      <c r="NN20" s="225">
        <v>0</v>
      </c>
      <c r="NO20" s="226"/>
      <c r="NP20" s="227"/>
      <c r="NQ20" s="215" t="s">
        <v>97</v>
      </c>
      <c r="NR20" s="216"/>
      <c r="NS20" s="225">
        <v>0</v>
      </c>
      <c r="NT20" s="226"/>
      <c r="NU20" s="227"/>
      <c r="NV20" s="215" t="s">
        <v>96</v>
      </c>
      <c r="NW20" s="216"/>
      <c r="NX20" s="225">
        <v>0</v>
      </c>
      <c r="NY20" s="226"/>
      <c r="NZ20" s="227"/>
      <c r="OA20" s="215" t="s">
        <v>102</v>
      </c>
      <c r="OB20" s="216"/>
      <c r="OC20" s="225">
        <v>6008</v>
      </c>
      <c r="OD20" s="226"/>
      <c r="OE20" s="227"/>
      <c r="OF20" s="215" t="s">
        <v>102</v>
      </c>
      <c r="OG20" s="216"/>
      <c r="OH20" s="225">
        <v>6008</v>
      </c>
      <c r="OI20" s="226"/>
      <c r="OJ20" s="227"/>
      <c r="OK20" s="215" t="s">
        <v>101</v>
      </c>
      <c r="OL20" s="216"/>
      <c r="OM20" s="225">
        <v>0</v>
      </c>
      <c r="ON20" s="226"/>
      <c r="OO20" s="227"/>
      <c r="OP20" s="215" t="s">
        <v>41</v>
      </c>
      <c r="OQ20" s="216"/>
      <c r="OR20" s="225">
        <v>0</v>
      </c>
      <c r="OS20" s="226"/>
      <c r="OT20" s="227"/>
      <c r="OU20" s="215" t="s">
        <v>99</v>
      </c>
      <c r="OV20" s="216"/>
      <c r="OW20" s="225">
        <v>0</v>
      </c>
      <c r="OX20" s="226"/>
      <c r="OY20" s="227"/>
      <c r="OZ20" s="215" t="s">
        <v>98</v>
      </c>
      <c r="PA20" s="216"/>
      <c r="PB20" s="225">
        <v>0</v>
      </c>
      <c r="PC20" s="226"/>
      <c r="PD20" s="227"/>
      <c r="PE20" s="215" t="s">
        <v>97</v>
      </c>
      <c r="PF20" s="216"/>
      <c r="PG20" s="225">
        <v>0</v>
      </c>
      <c r="PH20" s="226"/>
      <c r="PI20" s="227"/>
      <c r="PJ20" s="215" t="s">
        <v>96</v>
      </c>
      <c r="PK20" s="216"/>
      <c r="PL20" s="225">
        <v>0</v>
      </c>
      <c r="PM20" s="226"/>
      <c r="PN20" s="227"/>
      <c r="PO20" s="215" t="s">
        <v>102</v>
      </c>
      <c r="PP20" s="216"/>
      <c r="PQ20" s="225">
        <v>9014</v>
      </c>
      <c r="PR20" s="226"/>
      <c r="PS20" s="227"/>
      <c r="PT20" s="215" t="s">
        <v>101</v>
      </c>
      <c r="PU20" s="216"/>
      <c r="PV20" s="225">
        <v>0</v>
      </c>
      <c r="PW20" s="226"/>
      <c r="PX20" s="227"/>
      <c r="PY20" s="215" t="s">
        <v>41</v>
      </c>
      <c r="PZ20" s="216"/>
      <c r="QA20" s="225">
        <v>0</v>
      </c>
      <c r="QB20" s="226"/>
      <c r="QC20" s="227"/>
      <c r="QD20" s="215" t="s">
        <v>99</v>
      </c>
      <c r="QE20" s="216"/>
      <c r="QF20" s="225">
        <v>0</v>
      </c>
      <c r="QG20" s="226"/>
      <c r="QH20" s="227"/>
      <c r="QI20" s="215" t="s">
        <v>98</v>
      </c>
      <c r="QJ20" s="216"/>
      <c r="QK20" s="225">
        <v>0</v>
      </c>
      <c r="QL20" s="226"/>
      <c r="QM20" s="227"/>
      <c r="QN20" s="215" t="s">
        <v>98</v>
      </c>
      <c r="QO20" s="216"/>
      <c r="QP20" s="225">
        <v>0</v>
      </c>
      <c r="QQ20" s="226"/>
      <c r="QR20" s="227"/>
      <c r="QS20" s="215" t="s">
        <v>97</v>
      </c>
      <c r="QT20" s="216"/>
      <c r="QU20" s="225">
        <v>0</v>
      </c>
      <c r="QV20" s="226"/>
      <c r="QW20" s="227"/>
      <c r="QX20" s="215" t="s">
        <v>96</v>
      </c>
      <c r="QY20" s="216"/>
      <c r="QZ20" s="225">
        <v>22535</v>
      </c>
      <c r="RA20" s="226"/>
      <c r="RB20" s="227"/>
      <c r="RC20" s="215" t="s">
        <v>102</v>
      </c>
      <c r="RD20" s="216"/>
      <c r="RE20" s="225">
        <v>18026</v>
      </c>
      <c r="RF20" s="226"/>
      <c r="RG20" s="227"/>
      <c r="RH20" s="215" t="s">
        <v>101</v>
      </c>
      <c r="RI20" s="216"/>
      <c r="RJ20" s="225">
        <v>0</v>
      </c>
      <c r="RK20" s="226"/>
      <c r="RL20" s="227"/>
      <c r="RM20" s="215" t="s">
        <v>41</v>
      </c>
      <c r="RN20" s="216"/>
      <c r="RO20" s="225">
        <v>4033</v>
      </c>
      <c r="RP20" s="226"/>
      <c r="RQ20" s="227"/>
      <c r="RR20" s="215" t="s">
        <v>99</v>
      </c>
      <c r="RS20" s="216"/>
      <c r="RT20" s="225">
        <v>0</v>
      </c>
      <c r="RU20" s="226"/>
      <c r="RV20" s="227"/>
      <c r="RW20" s="215" t="s">
        <v>99</v>
      </c>
      <c r="RX20" s="216"/>
      <c r="RY20" s="225">
        <v>0</v>
      </c>
      <c r="RZ20" s="226"/>
      <c r="SA20" s="227"/>
      <c r="SB20" s="215" t="s">
        <v>98</v>
      </c>
      <c r="SC20" s="216"/>
      <c r="SD20" s="225">
        <v>0</v>
      </c>
      <c r="SE20" s="226"/>
      <c r="SF20" s="227"/>
      <c r="SG20" s="215" t="s">
        <v>97</v>
      </c>
      <c r="SH20" s="216"/>
      <c r="SI20" s="225">
        <v>0</v>
      </c>
      <c r="SJ20" s="226"/>
      <c r="SK20" s="227"/>
      <c r="SL20" s="215" t="s">
        <v>96</v>
      </c>
      <c r="SM20" s="216"/>
      <c r="SN20" s="225">
        <v>0</v>
      </c>
      <c r="SO20" s="226"/>
      <c r="SP20" s="227"/>
      <c r="SQ20" s="215" t="s">
        <v>102</v>
      </c>
      <c r="SR20" s="216"/>
      <c r="SS20" s="225">
        <v>0</v>
      </c>
      <c r="ST20" s="226"/>
      <c r="SU20" s="227"/>
      <c r="SV20" s="215" t="s">
        <v>101</v>
      </c>
      <c r="SW20" s="216"/>
      <c r="SX20" s="225">
        <v>6009</v>
      </c>
      <c r="SY20" s="226"/>
      <c r="SZ20" s="227"/>
      <c r="TA20" s="215" t="s">
        <v>41</v>
      </c>
      <c r="TB20" s="216"/>
      <c r="TC20" s="225">
        <v>0</v>
      </c>
      <c r="TD20" s="226"/>
      <c r="TE20" s="227"/>
      <c r="TF20" s="215" t="s">
        <v>99</v>
      </c>
      <c r="TG20" s="216"/>
      <c r="TH20" s="225">
        <v>0</v>
      </c>
      <c r="TI20" s="226"/>
      <c r="TJ20" s="227"/>
      <c r="TK20" s="215" t="s">
        <v>98</v>
      </c>
      <c r="TL20" s="216"/>
      <c r="TM20" s="225">
        <v>0</v>
      </c>
      <c r="TN20" s="226"/>
      <c r="TO20" s="227"/>
      <c r="TP20" s="215" t="s">
        <v>97</v>
      </c>
      <c r="TQ20" s="216"/>
      <c r="TR20" s="225">
        <v>0</v>
      </c>
      <c r="TS20" s="226"/>
      <c r="TT20" s="227"/>
      <c r="TU20" s="215" t="s">
        <v>96</v>
      </c>
      <c r="TV20" s="216"/>
      <c r="TW20" s="225">
        <v>0</v>
      </c>
      <c r="TX20" s="226"/>
      <c r="TY20" s="227"/>
      <c r="TZ20" s="215" t="s">
        <v>102</v>
      </c>
      <c r="UA20" s="216"/>
      <c r="UB20" s="225">
        <v>3148</v>
      </c>
      <c r="UC20" s="226"/>
      <c r="UD20" s="227"/>
      <c r="UE20" s="215" t="s">
        <v>101</v>
      </c>
      <c r="UF20" s="216"/>
      <c r="UG20" s="225">
        <v>9015</v>
      </c>
      <c r="UH20" s="226"/>
      <c r="UI20" s="227"/>
      <c r="UJ20" s="215" t="s">
        <v>41</v>
      </c>
      <c r="UK20" s="216"/>
      <c r="UL20" s="225">
        <v>0</v>
      </c>
      <c r="UM20" s="226"/>
      <c r="UN20" s="227"/>
      <c r="UO20" s="215" t="s">
        <v>99</v>
      </c>
      <c r="UP20" s="216"/>
      <c r="UQ20" s="225">
        <v>0</v>
      </c>
      <c r="UR20" s="226"/>
      <c r="US20" s="227"/>
      <c r="UT20" s="215" t="s">
        <v>98</v>
      </c>
      <c r="UU20" s="216"/>
      <c r="UV20" s="225">
        <v>0</v>
      </c>
      <c r="UW20" s="226"/>
      <c r="UX20" s="227"/>
      <c r="UY20" s="215" t="s">
        <v>97</v>
      </c>
      <c r="UZ20" s="216"/>
      <c r="VA20" s="225">
        <v>0</v>
      </c>
      <c r="VB20" s="226"/>
      <c r="VC20" s="227"/>
      <c r="VD20" s="215" t="s">
        <v>96</v>
      </c>
      <c r="VE20" s="216"/>
      <c r="VF20" s="225">
        <v>0</v>
      </c>
      <c r="VG20" s="226"/>
      <c r="VH20" s="227"/>
      <c r="VI20" s="215" t="s">
        <v>102</v>
      </c>
      <c r="VJ20" s="216"/>
      <c r="VK20" s="225">
        <v>0</v>
      </c>
      <c r="VL20" s="226"/>
      <c r="VM20" s="227"/>
      <c r="VN20" s="215" t="s">
        <v>101</v>
      </c>
      <c r="VO20" s="216"/>
      <c r="VP20" s="225">
        <v>0</v>
      </c>
      <c r="VQ20" s="226"/>
      <c r="VR20" s="227"/>
      <c r="VS20" s="215" t="s">
        <v>41</v>
      </c>
      <c r="VT20" s="216"/>
      <c r="VU20" s="225">
        <v>0</v>
      </c>
      <c r="VV20" s="226"/>
      <c r="VW20" s="227"/>
      <c r="VX20" s="215" t="s">
        <v>99</v>
      </c>
      <c r="VY20" s="216"/>
      <c r="VZ20" s="225">
        <v>0</v>
      </c>
      <c r="WA20" s="226"/>
      <c r="WB20" s="227"/>
      <c r="WC20" s="215" t="s">
        <v>98</v>
      </c>
      <c r="WD20" s="216"/>
      <c r="WE20" s="225">
        <v>0</v>
      </c>
      <c r="WF20" s="226"/>
      <c r="WG20" s="227"/>
      <c r="WH20" s="215" t="s">
        <v>96</v>
      </c>
      <c r="WI20" s="216"/>
      <c r="WJ20" s="225">
        <v>0</v>
      </c>
      <c r="WK20" s="226"/>
      <c r="WL20" s="227"/>
      <c r="WM20" s="215" t="s">
        <v>102</v>
      </c>
      <c r="WN20" s="216"/>
      <c r="WO20" s="225">
        <v>4507</v>
      </c>
      <c r="WP20" s="226"/>
      <c r="WQ20" s="227"/>
      <c r="WR20" s="215" t="s">
        <v>101</v>
      </c>
      <c r="WS20" s="216"/>
      <c r="WT20" s="225">
        <v>0</v>
      </c>
      <c r="WU20" s="226"/>
      <c r="WV20" s="227"/>
      <c r="WW20" s="215" t="s">
        <v>41</v>
      </c>
      <c r="WX20" s="216"/>
      <c r="WY20" s="225">
        <v>0</v>
      </c>
      <c r="WZ20" s="226"/>
      <c r="XA20" s="227"/>
      <c r="XB20" s="215" t="s">
        <v>99</v>
      </c>
      <c r="XC20" s="216"/>
      <c r="XD20" s="225">
        <v>0</v>
      </c>
      <c r="XE20" s="226"/>
      <c r="XF20" s="227"/>
      <c r="XG20" s="215" t="s">
        <v>98</v>
      </c>
      <c r="XH20" s="216"/>
      <c r="XI20" s="225">
        <v>0</v>
      </c>
      <c r="XJ20" s="226"/>
      <c r="XK20" s="227"/>
      <c r="XL20" s="215" t="s">
        <v>97</v>
      </c>
      <c r="XM20" s="216"/>
      <c r="XN20" s="225">
        <v>0</v>
      </c>
      <c r="XO20" s="226"/>
      <c r="XP20" s="227"/>
      <c r="XQ20" s="215" t="s">
        <v>96</v>
      </c>
      <c r="XR20" s="216"/>
      <c r="XS20" s="225">
        <v>0</v>
      </c>
      <c r="XT20" s="226"/>
      <c r="XU20" s="227"/>
      <c r="XV20" s="215" t="s">
        <v>102</v>
      </c>
      <c r="XW20" s="216"/>
      <c r="XX20" s="225">
        <v>0</v>
      </c>
      <c r="XY20" s="226"/>
      <c r="XZ20" s="227"/>
      <c r="YA20" s="215" t="s">
        <v>101</v>
      </c>
      <c r="YB20" s="216"/>
      <c r="YC20" s="225">
        <v>0</v>
      </c>
      <c r="YD20" s="226"/>
      <c r="YE20" s="227"/>
      <c r="YF20" s="215" t="s">
        <v>41</v>
      </c>
      <c r="YG20" s="216"/>
      <c r="YH20" s="225">
        <v>0</v>
      </c>
      <c r="YI20" s="226"/>
      <c r="YJ20" s="227"/>
      <c r="YK20" s="215" t="s">
        <v>99</v>
      </c>
      <c r="YL20" s="216"/>
      <c r="YM20" s="225">
        <v>0</v>
      </c>
      <c r="YN20" s="226"/>
      <c r="YO20" s="227"/>
      <c r="YP20" s="215" t="s">
        <v>98</v>
      </c>
      <c r="YQ20" s="216"/>
      <c r="YR20" s="225">
        <v>0</v>
      </c>
      <c r="YS20" s="226"/>
      <c r="YT20" s="227"/>
      <c r="YU20" s="215" t="s">
        <v>97</v>
      </c>
      <c r="YV20" s="216"/>
      <c r="YW20" s="225">
        <v>1574</v>
      </c>
      <c r="YX20" s="226"/>
      <c r="YY20" s="227"/>
      <c r="YZ20" s="215" t="s">
        <v>96</v>
      </c>
      <c r="ZA20" s="216"/>
      <c r="ZB20" s="225">
        <v>0</v>
      </c>
      <c r="ZC20" s="226"/>
      <c r="ZD20" s="227"/>
      <c r="ZE20" s="215" t="s">
        <v>102</v>
      </c>
      <c r="ZF20" s="216"/>
      <c r="ZG20" s="225">
        <v>0</v>
      </c>
      <c r="ZH20" s="226"/>
      <c r="ZI20" s="227"/>
      <c r="ZJ20" s="215" t="s">
        <v>101</v>
      </c>
      <c r="ZK20" s="216"/>
      <c r="ZL20" s="225">
        <v>0</v>
      </c>
      <c r="ZM20" s="226"/>
      <c r="ZN20" s="227"/>
      <c r="ZO20" s="215" t="s">
        <v>41</v>
      </c>
      <c r="ZP20" s="216"/>
      <c r="ZQ20" s="225">
        <v>0</v>
      </c>
      <c r="ZR20" s="226"/>
      <c r="ZS20" s="227"/>
      <c r="ZT20" s="215" t="s">
        <v>99</v>
      </c>
      <c r="ZU20" s="216"/>
      <c r="ZV20" s="225">
        <v>0</v>
      </c>
      <c r="ZW20" s="226"/>
      <c r="ZX20" s="227"/>
      <c r="ZY20" s="215" t="s">
        <v>98</v>
      </c>
      <c r="ZZ20" s="216"/>
      <c r="AAA20" s="225">
        <v>0</v>
      </c>
      <c r="AAB20" s="226"/>
      <c r="AAC20" s="227"/>
      <c r="AAD20" s="215" t="s">
        <v>97</v>
      </c>
      <c r="AAE20" s="216"/>
      <c r="AAF20" s="225">
        <v>0</v>
      </c>
      <c r="AAG20" s="226"/>
      <c r="AAH20" s="227"/>
      <c r="AAI20" s="215" t="s">
        <v>102</v>
      </c>
      <c r="AAJ20" s="216"/>
      <c r="AAK20" s="225">
        <v>0</v>
      </c>
      <c r="AAL20" s="226"/>
      <c r="AAM20" s="227"/>
      <c r="AAN20" s="215" t="s">
        <v>101</v>
      </c>
      <c r="AAO20" s="216"/>
      <c r="AAP20" s="225">
        <v>0</v>
      </c>
      <c r="AAQ20" s="226"/>
      <c r="AAR20" s="227"/>
      <c r="AAS20" s="215" t="s">
        <v>41</v>
      </c>
      <c r="AAT20" s="216"/>
      <c r="AAU20" s="225">
        <v>0</v>
      </c>
      <c r="AAV20" s="226"/>
      <c r="AAW20" s="227"/>
      <c r="AAX20" s="215" t="s">
        <v>99</v>
      </c>
      <c r="AAY20" s="216"/>
      <c r="AAZ20" s="225">
        <v>0</v>
      </c>
      <c r="ABA20" s="226"/>
      <c r="ABB20" s="227"/>
      <c r="ABC20" s="215" t="s">
        <v>98</v>
      </c>
      <c r="ABD20" s="216"/>
      <c r="ABE20" s="225">
        <v>1574</v>
      </c>
      <c r="ABF20" s="226"/>
      <c r="ABG20" s="227"/>
      <c r="ABH20" s="215" t="s">
        <v>97</v>
      </c>
      <c r="ABI20" s="216"/>
      <c r="ABJ20" s="225">
        <v>43569</v>
      </c>
      <c r="ABK20" s="226"/>
      <c r="ABL20" s="227"/>
      <c r="ABM20" s="215" t="s">
        <v>96</v>
      </c>
      <c r="ABN20" s="216"/>
      <c r="ABO20" s="225">
        <v>0</v>
      </c>
      <c r="ABP20" s="226"/>
      <c r="ABQ20" s="227"/>
      <c r="ABR20" s="215" t="s">
        <v>102</v>
      </c>
      <c r="ABS20" s="216"/>
      <c r="ABT20" s="225">
        <v>0</v>
      </c>
      <c r="ABU20" s="226"/>
      <c r="ABV20" s="227"/>
      <c r="ABW20" s="215" t="s">
        <v>101</v>
      </c>
      <c r="ABX20" s="216"/>
      <c r="ABY20" s="225">
        <v>0</v>
      </c>
      <c r="ABZ20" s="226"/>
      <c r="ACA20" s="227"/>
      <c r="ACB20" s="215" t="s">
        <v>41</v>
      </c>
      <c r="ACC20" s="216"/>
      <c r="ACD20" s="225">
        <v>0</v>
      </c>
      <c r="ACE20" s="226"/>
      <c r="ACF20" s="227"/>
      <c r="ACG20" s="215" t="s">
        <v>99</v>
      </c>
      <c r="ACH20" s="216"/>
      <c r="ACI20" s="225">
        <v>0</v>
      </c>
      <c r="ACJ20" s="226"/>
      <c r="ACK20" s="227"/>
      <c r="ACL20" s="215" t="s">
        <v>98</v>
      </c>
      <c r="ACM20" s="216"/>
      <c r="ACN20" s="225">
        <v>0</v>
      </c>
      <c r="ACO20" s="226"/>
      <c r="ACP20" s="227"/>
      <c r="ACQ20" s="215" t="s">
        <v>98</v>
      </c>
      <c r="ACR20" s="216"/>
      <c r="ACS20" s="225">
        <v>0</v>
      </c>
      <c r="ACT20" s="226"/>
      <c r="ACU20" s="227"/>
      <c r="ACV20" s="215" t="s">
        <v>97</v>
      </c>
      <c r="ACW20" s="216"/>
      <c r="ACX20" s="225">
        <v>0</v>
      </c>
      <c r="ACY20" s="226"/>
      <c r="ACZ20" s="227"/>
      <c r="ADA20" s="215" t="s">
        <v>96</v>
      </c>
      <c r="ADB20" s="216"/>
      <c r="ADC20" s="225">
        <v>3005</v>
      </c>
      <c r="ADD20" s="226"/>
      <c r="ADE20" s="227"/>
      <c r="ADF20" s="215" t="s">
        <v>102</v>
      </c>
      <c r="ADG20" s="216"/>
      <c r="ADH20" s="225">
        <v>0</v>
      </c>
      <c r="ADI20" s="226"/>
      <c r="ADJ20" s="227"/>
      <c r="ADK20" s="215" t="s">
        <v>101</v>
      </c>
      <c r="ADL20" s="216"/>
      <c r="ADM20" s="225">
        <v>6010</v>
      </c>
      <c r="ADN20" s="226"/>
      <c r="ADO20" s="227"/>
      <c r="ADP20" s="215" t="s">
        <v>99</v>
      </c>
      <c r="ADQ20" s="216"/>
      <c r="ADR20" s="225">
        <v>0</v>
      </c>
      <c r="ADS20" s="226"/>
      <c r="ADT20" s="227"/>
      <c r="ADU20" s="215" t="s">
        <v>98</v>
      </c>
      <c r="ADV20" s="216"/>
      <c r="ADW20" s="225">
        <v>0</v>
      </c>
      <c r="ADX20" s="226"/>
      <c r="ADY20" s="227"/>
      <c r="ADZ20" s="215" t="s">
        <v>96</v>
      </c>
      <c r="AEA20" s="216"/>
      <c r="AEB20" s="225">
        <v>7512</v>
      </c>
      <c r="AEC20" s="226"/>
      <c r="AED20" s="227"/>
      <c r="AEE20" s="215" t="s">
        <v>102</v>
      </c>
      <c r="AEF20" s="216"/>
      <c r="AEG20" s="225">
        <v>0</v>
      </c>
      <c r="AEH20" s="226"/>
      <c r="AEI20" s="227"/>
      <c r="AEJ20" s="215" t="s">
        <v>101</v>
      </c>
      <c r="AEK20" s="216"/>
      <c r="AEL20" s="225">
        <v>0</v>
      </c>
      <c r="AEM20" s="226"/>
      <c r="AEN20" s="227"/>
      <c r="AEO20" s="215" t="s">
        <v>41</v>
      </c>
      <c r="AEP20" s="216"/>
      <c r="AEQ20" s="225">
        <v>0</v>
      </c>
      <c r="AER20" s="226"/>
      <c r="AES20" s="227"/>
      <c r="AET20" s="215" t="s">
        <v>98</v>
      </c>
      <c r="AEU20" s="216"/>
      <c r="AEV20" s="225">
        <v>0</v>
      </c>
      <c r="AEW20" s="226"/>
      <c r="AEX20" s="227"/>
      <c r="AEY20" s="215" t="s">
        <v>96</v>
      </c>
      <c r="AEZ20" s="216"/>
      <c r="AFA20" s="225">
        <v>0</v>
      </c>
      <c r="AFB20" s="226"/>
      <c r="AFC20" s="227"/>
      <c r="AFD20" s="215" t="s">
        <v>102</v>
      </c>
      <c r="AFE20" s="216"/>
      <c r="AFF20" s="225">
        <v>46573</v>
      </c>
      <c r="AFG20" s="226"/>
      <c r="AFH20" s="227"/>
      <c r="AFI20" s="215" t="s">
        <v>101</v>
      </c>
      <c r="AFJ20" s="216"/>
      <c r="AFK20" s="225">
        <v>3004</v>
      </c>
      <c r="AFL20" s="226"/>
      <c r="AFM20" s="227"/>
      <c r="AFN20" s="215" t="s">
        <v>41</v>
      </c>
      <c r="AFO20" s="216"/>
      <c r="AFP20" s="225">
        <v>0</v>
      </c>
      <c r="AFQ20" s="226"/>
      <c r="AFR20" s="227"/>
      <c r="AFS20" s="215" t="s">
        <v>99</v>
      </c>
      <c r="AFT20" s="216"/>
      <c r="AFU20" s="225">
        <v>0</v>
      </c>
      <c r="AFV20" s="226"/>
      <c r="AFW20" s="227"/>
      <c r="AFX20" s="215" t="s">
        <v>98</v>
      </c>
      <c r="AFY20" s="216"/>
      <c r="AFZ20" s="225">
        <v>0</v>
      </c>
      <c r="AGA20" s="226"/>
      <c r="AGB20" s="227"/>
      <c r="AGC20" s="215" t="s">
        <v>96</v>
      </c>
      <c r="AGD20" s="216"/>
      <c r="AGE20" s="225">
        <v>0</v>
      </c>
      <c r="AGF20" s="226"/>
      <c r="AGG20" s="227"/>
      <c r="AGH20" s="215" t="s">
        <v>102</v>
      </c>
      <c r="AGI20" s="216"/>
      <c r="AGJ20" s="225">
        <v>0</v>
      </c>
      <c r="AGK20" s="226"/>
      <c r="AGL20" s="227"/>
      <c r="AGM20" s="215" t="s">
        <v>101</v>
      </c>
      <c r="AGN20" s="216"/>
      <c r="AGO20" s="225">
        <v>0</v>
      </c>
      <c r="AGP20" s="226"/>
      <c r="AGQ20" s="227"/>
      <c r="AGR20" s="215" t="s">
        <v>41</v>
      </c>
      <c r="AGS20" s="216"/>
      <c r="AGT20" s="225">
        <v>0</v>
      </c>
      <c r="AGU20" s="226"/>
      <c r="AGV20" s="227"/>
      <c r="AGW20" s="215" t="s">
        <v>41</v>
      </c>
      <c r="AGX20" s="216"/>
      <c r="AGY20" s="225">
        <v>0</v>
      </c>
      <c r="AGZ20" s="226"/>
      <c r="AHA20" s="227"/>
      <c r="AHB20" s="215" t="s">
        <v>99</v>
      </c>
      <c r="AHC20" s="216"/>
      <c r="AHD20" s="225">
        <v>0</v>
      </c>
      <c r="AHE20" s="226"/>
      <c r="AHF20" s="227"/>
      <c r="AHG20" s="215" t="s">
        <v>98</v>
      </c>
      <c r="AHH20" s="216"/>
      <c r="AHI20" s="225">
        <v>0</v>
      </c>
      <c r="AHJ20" s="226"/>
      <c r="AHK20" s="227"/>
      <c r="AHL20" s="215" t="s">
        <v>96</v>
      </c>
      <c r="AHM20" s="216"/>
      <c r="AHN20" s="225">
        <v>0</v>
      </c>
      <c r="AHO20" s="226"/>
      <c r="AHP20" s="227"/>
      <c r="AHQ20" s="215" t="s">
        <v>102</v>
      </c>
      <c r="AHR20" s="216"/>
      <c r="AHS20" s="225">
        <v>0</v>
      </c>
      <c r="AHT20" s="226"/>
      <c r="AHU20" s="227"/>
      <c r="AHV20" s="215" t="s">
        <v>101</v>
      </c>
      <c r="AHW20" s="216"/>
      <c r="AHX20" s="225">
        <v>0</v>
      </c>
      <c r="AHY20" s="226"/>
      <c r="AHZ20" s="227"/>
      <c r="AIA20" s="215" t="s">
        <v>41</v>
      </c>
      <c r="AIB20" s="216"/>
      <c r="AIC20" s="225">
        <v>0</v>
      </c>
      <c r="AID20" s="226"/>
      <c r="AIE20" s="227"/>
      <c r="AIF20" s="215" t="s">
        <v>99</v>
      </c>
      <c r="AIG20" s="216"/>
      <c r="AIH20" s="225">
        <v>0</v>
      </c>
      <c r="AII20" s="226"/>
      <c r="AIJ20" s="227"/>
      <c r="AIK20" s="215" t="s">
        <v>98</v>
      </c>
      <c r="AIL20" s="216"/>
      <c r="AIM20" s="225">
        <v>0</v>
      </c>
      <c r="AIN20" s="226"/>
      <c r="AIO20" s="227"/>
      <c r="AIP20" s="215" t="s">
        <v>96</v>
      </c>
      <c r="AIQ20" s="216"/>
      <c r="AIR20" s="225">
        <v>0</v>
      </c>
      <c r="AIS20" s="226"/>
      <c r="AIT20" s="227"/>
      <c r="AIU20" s="215" t="s">
        <v>102</v>
      </c>
      <c r="AIV20" s="216"/>
      <c r="AIW20" s="225">
        <v>18028</v>
      </c>
      <c r="AIX20" s="226"/>
      <c r="AIY20" s="227"/>
      <c r="AIZ20" s="215" t="s">
        <v>101</v>
      </c>
      <c r="AJA20" s="216"/>
      <c r="AJB20" s="225">
        <v>0</v>
      </c>
      <c r="AJC20" s="226"/>
      <c r="AJD20" s="227"/>
      <c r="AJE20" s="215" t="s">
        <v>41</v>
      </c>
      <c r="AJF20" s="216"/>
      <c r="AJG20" s="225">
        <v>0</v>
      </c>
      <c r="AJH20" s="226"/>
      <c r="AJI20" s="227"/>
      <c r="AJJ20" s="215" t="s">
        <v>99</v>
      </c>
      <c r="AJK20" s="216"/>
      <c r="AJL20" s="225">
        <v>0</v>
      </c>
      <c r="AJM20" s="226"/>
      <c r="AJN20" s="227"/>
      <c r="AJO20" s="215" t="s">
        <v>98</v>
      </c>
      <c r="AJP20" s="216"/>
      <c r="AJQ20" s="225">
        <v>0</v>
      </c>
      <c r="AJR20" s="226"/>
      <c r="AJS20" s="227"/>
      <c r="AJT20" s="215" t="s">
        <v>97</v>
      </c>
      <c r="AJU20" s="216"/>
      <c r="AJV20" s="225">
        <v>0</v>
      </c>
      <c r="AJW20" s="226"/>
      <c r="AJX20" s="227"/>
      <c r="AJY20" s="215" t="s">
        <v>96</v>
      </c>
      <c r="AJZ20" s="216"/>
      <c r="AKA20" s="225">
        <v>0</v>
      </c>
      <c r="AKB20" s="226"/>
      <c r="AKC20" s="227"/>
      <c r="AKD20" s="215" t="s">
        <v>102</v>
      </c>
      <c r="AKE20" s="216"/>
      <c r="AKF20" s="225">
        <v>0</v>
      </c>
      <c r="AKG20" s="226"/>
      <c r="AKH20" s="227"/>
      <c r="AKI20" s="215" t="s">
        <v>101</v>
      </c>
      <c r="AKJ20" s="216"/>
      <c r="AKK20" s="225">
        <v>0</v>
      </c>
      <c r="AKL20" s="226"/>
      <c r="AKM20" s="227"/>
      <c r="AKN20" s="215" t="s">
        <v>41</v>
      </c>
      <c r="AKO20" s="216"/>
      <c r="AKP20" s="225">
        <v>0</v>
      </c>
      <c r="AKQ20" s="226"/>
      <c r="AKR20" s="227"/>
      <c r="AKS20" s="215" t="s">
        <v>99</v>
      </c>
      <c r="AKT20" s="216"/>
      <c r="AKU20" s="225">
        <v>0</v>
      </c>
      <c r="AKV20" s="226"/>
      <c r="AKW20" s="227"/>
      <c r="AKX20" s="215" t="s">
        <v>98</v>
      </c>
      <c r="AKY20" s="216"/>
      <c r="AKZ20" s="225">
        <v>0</v>
      </c>
      <c r="ALA20" s="226"/>
      <c r="ALB20" s="227"/>
      <c r="ALC20" s="215" t="s">
        <v>97</v>
      </c>
      <c r="ALD20" s="216"/>
      <c r="ALE20" s="225">
        <v>0</v>
      </c>
      <c r="ALF20" s="226"/>
      <c r="ALG20" s="227"/>
      <c r="ALH20" s="215" t="s">
        <v>96</v>
      </c>
      <c r="ALI20" s="216"/>
      <c r="ALJ20" s="225">
        <v>1502</v>
      </c>
      <c r="ALK20" s="226"/>
      <c r="ALL20" s="227"/>
      <c r="ALM20" s="215" t="s">
        <v>102</v>
      </c>
      <c r="ALN20" s="216"/>
      <c r="ALO20" s="225">
        <v>12019</v>
      </c>
      <c r="ALP20" s="226"/>
      <c r="ALQ20" s="227"/>
      <c r="ALR20" s="215" t="s">
        <v>101</v>
      </c>
      <c r="ALS20" s="216"/>
      <c r="ALT20" s="225">
        <v>0</v>
      </c>
      <c r="ALU20" s="226"/>
      <c r="ALV20" s="227"/>
      <c r="ALW20" s="215" t="s">
        <v>41</v>
      </c>
      <c r="ALX20" s="216"/>
      <c r="ALY20" s="225">
        <v>0</v>
      </c>
      <c r="ALZ20" s="226"/>
      <c r="AMA20" s="227"/>
      <c r="AMB20" s="215" t="s">
        <v>99</v>
      </c>
      <c r="AMC20" s="216"/>
      <c r="AMD20" s="225">
        <v>0</v>
      </c>
      <c r="AME20" s="226"/>
      <c r="AMF20" s="227"/>
      <c r="AMG20" s="215" t="s">
        <v>98</v>
      </c>
      <c r="AMH20" s="216"/>
      <c r="AMI20" s="225">
        <v>0</v>
      </c>
      <c r="AMJ20" s="226"/>
      <c r="AMK20" s="227"/>
      <c r="AML20" s="215" t="s">
        <v>96</v>
      </c>
      <c r="AMM20" s="216"/>
      <c r="AMN20" s="225">
        <v>0</v>
      </c>
      <c r="AMO20" s="226"/>
      <c r="AMP20" s="227"/>
      <c r="AMQ20" s="215" t="s">
        <v>102</v>
      </c>
      <c r="AMR20" s="216"/>
      <c r="AMS20" s="225">
        <v>3004</v>
      </c>
      <c r="AMT20" s="226"/>
      <c r="AMU20" s="227"/>
      <c r="AMV20" s="215" t="s">
        <v>101</v>
      </c>
      <c r="AMW20" s="216"/>
      <c r="AMX20" s="225">
        <v>1502</v>
      </c>
      <c r="AMY20" s="226"/>
      <c r="AMZ20" s="227"/>
      <c r="ANA20" s="215" t="s">
        <v>41</v>
      </c>
      <c r="ANB20" s="216"/>
      <c r="ANC20" s="225">
        <v>0</v>
      </c>
      <c r="AND20" s="226"/>
      <c r="ANE20" s="227"/>
      <c r="ANF20" s="215" t="s">
        <v>99</v>
      </c>
      <c r="ANG20" s="216"/>
      <c r="ANH20" s="225">
        <v>0</v>
      </c>
      <c r="ANI20" s="226"/>
      <c r="ANJ20" s="227"/>
      <c r="ANK20" s="215" t="s">
        <v>98</v>
      </c>
      <c r="ANL20" s="216"/>
      <c r="ANM20" s="225">
        <v>0</v>
      </c>
      <c r="ANN20" s="226"/>
      <c r="ANO20" s="227"/>
      <c r="ANP20" s="215" t="s">
        <v>97</v>
      </c>
      <c r="ANQ20" s="216"/>
      <c r="ANR20" s="225">
        <v>0</v>
      </c>
      <c r="ANS20" s="226"/>
      <c r="ANT20" s="227"/>
      <c r="ANU20" s="215" t="s">
        <v>96</v>
      </c>
      <c r="ANV20" s="216"/>
      <c r="ANW20" s="225">
        <v>0</v>
      </c>
      <c r="ANX20" s="226"/>
      <c r="ANY20" s="227"/>
      <c r="ANZ20" s="215" t="s">
        <v>102</v>
      </c>
      <c r="AOA20" s="216"/>
      <c r="AOB20" s="225">
        <v>0</v>
      </c>
      <c r="AOC20" s="226"/>
      <c r="AOD20" s="227"/>
      <c r="AOE20" s="215" t="s">
        <v>101</v>
      </c>
      <c r="AOF20" s="216"/>
      <c r="AOG20" s="225">
        <v>0</v>
      </c>
      <c r="AOH20" s="226"/>
      <c r="AOI20" s="227"/>
      <c r="AOJ20" s="215" t="s">
        <v>41</v>
      </c>
      <c r="AOK20" s="216"/>
      <c r="AOL20" s="225">
        <v>0</v>
      </c>
      <c r="AOM20" s="226"/>
      <c r="AON20" s="227"/>
      <c r="AOO20" s="215" t="s">
        <v>99</v>
      </c>
      <c r="AOP20" s="216"/>
      <c r="AOQ20" s="225">
        <v>0</v>
      </c>
      <c r="AOR20" s="226"/>
      <c r="AOS20" s="227"/>
      <c r="AOT20" s="215" t="s">
        <v>98</v>
      </c>
      <c r="AOU20" s="216"/>
      <c r="AOV20" s="225">
        <v>0</v>
      </c>
      <c r="AOW20" s="226"/>
      <c r="AOX20" s="227"/>
      <c r="AOY20" s="215" t="s">
        <v>97</v>
      </c>
      <c r="AOZ20" s="216"/>
      <c r="APA20" s="225">
        <v>0</v>
      </c>
      <c r="APB20" s="226"/>
      <c r="APC20" s="227"/>
      <c r="APD20" s="215" t="s">
        <v>96</v>
      </c>
      <c r="APE20" s="216"/>
      <c r="APF20" s="225">
        <v>0</v>
      </c>
      <c r="APG20" s="226"/>
      <c r="APH20" s="227"/>
      <c r="API20" s="215" t="s">
        <v>102</v>
      </c>
      <c r="APJ20" s="216"/>
      <c r="APK20" s="225">
        <v>0</v>
      </c>
      <c r="APL20" s="226"/>
      <c r="APM20" s="227"/>
      <c r="APN20" s="215" t="s">
        <v>101</v>
      </c>
      <c r="APO20" s="216"/>
      <c r="APP20" s="225">
        <v>4608</v>
      </c>
      <c r="APQ20" s="226"/>
      <c r="APR20" s="227"/>
      <c r="APS20" s="215" t="s">
        <v>41</v>
      </c>
      <c r="APT20" s="216"/>
      <c r="APU20" s="225">
        <v>0</v>
      </c>
      <c r="APV20" s="226"/>
      <c r="APW20" s="227"/>
      <c r="APX20" s="215" t="s">
        <v>99</v>
      </c>
      <c r="APY20" s="216"/>
      <c r="APZ20" s="225">
        <v>0</v>
      </c>
      <c r="AQA20" s="226"/>
      <c r="AQB20" s="227"/>
      <c r="AQC20" s="215" t="s">
        <v>98</v>
      </c>
      <c r="AQD20" s="216"/>
      <c r="AQE20" s="225">
        <v>0</v>
      </c>
      <c r="AQF20" s="226"/>
      <c r="AQG20" s="227"/>
      <c r="AQH20" s="215" t="s">
        <v>97</v>
      </c>
      <c r="AQI20" s="216"/>
      <c r="AQJ20" s="225">
        <v>0</v>
      </c>
      <c r="AQK20" s="226"/>
      <c r="AQL20" s="227"/>
      <c r="AQM20" s="215" t="s">
        <v>96</v>
      </c>
      <c r="AQN20" s="216"/>
      <c r="AQO20" s="225">
        <v>0</v>
      </c>
      <c r="AQP20" s="226"/>
      <c r="AQQ20" s="227"/>
      <c r="AQR20" s="215" t="s">
        <v>102</v>
      </c>
      <c r="AQS20" s="216"/>
      <c r="AQT20" s="225">
        <v>0</v>
      </c>
      <c r="AQU20" s="226"/>
      <c r="AQV20" s="227"/>
      <c r="AQW20" s="215" t="s">
        <v>101</v>
      </c>
      <c r="AQX20" s="216"/>
      <c r="AQY20" s="225">
        <v>0</v>
      </c>
      <c r="AQZ20" s="226"/>
      <c r="ARA20" s="227"/>
      <c r="ARB20" s="215" t="s">
        <v>41</v>
      </c>
      <c r="ARC20" s="216"/>
      <c r="ARD20" s="225">
        <v>0</v>
      </c>
      <c r="ARE20" s="226"/>
      <c r="ARF20" s="227"/>
      <c r="ARG20" s="215" t="s">
        <v>99</v>
      </c>
      <c r="ARH20" s="216"/>
      <c r="ARI20" s="225">
        <v>0</v>
      </c>
      <c r="ARJ20" s="226"/>
      <c r="ARK20" s="227"/>
      <c r="ARL20" s="215" t="s">
        <v>98</v>
      </c>
      <c r="ARM20" s="216"/>
      <c r="ARN20" s="225">
        <v>0</v>
      </c>
      <c r="ARO20" s="226"/>
      <c r="ARP20" s="227"/>
      <c r="ARQ20" s="215" t="s">
        <v>97</v>
      </c>
      <c r="ARR20" s="216"/>
      <c r="ARS20" s="225">
        <v>0</v>
      </c>
      <c r="ART20" s="226"/>
      <c r="ARU20" s="227"/>
      <c r="ARV20" s="215" t="s">
        <v>96</v>
      </c>
      <c r="ARW20" s="216"/>
      <c r="ARX20" s="225">
        <v>0</v>
      </c>
      <c r="ARY20" s="226"/>
      <c r="ARZ20" s="227"/>
      <c r="ASA20" s="215" t="s">
        <v>102</v>
      </c>
      <c r="ASB20" s="216"/>
      <c r="ASC20" s="225">
        <v>0</v>
      </c>
      <c r="ASD20" s="226"/>
      <c r="ASE20" s="227"/>
      <c r="ASF20" s="215" t="s">
        <v>101</v>
      </c>
      <c r="ASG20" s="216"/>
      <c r="ASH20" s="225">
        <v>0</v>
      </c>
      <c r="ASI20" s="226"/>
      <c r="ASJ20" s="227"/>
      <c r="ASK20" s="215" t="s">
        <v>41</v>
      </c>
      <c r="ASL20" s="216"/>
      <c r="ASM20" s="225">
        <v>0</v>
      </c>
      <c r="ASN20" s="226"/>
      <c r="ASO20" s="227"/>
      <c r="ASP20" s="215" t="s">
        <v>99</v>
      </c>
      <c r="ASQ20" s="216"/>
      <c r="ASR20" s="225">
        <v>0</v>
      </c>
      <c r="ASS20" s="226"/>
      <c r="AST20" s="227"/>
      <c r="ASU20" s="215" t="s">
        <v>98</v>
      </c>
      <c r="ASV20" s="216"/>
      <c r="ASW20" s="225">
        <v>0</v>
      </c>
      <c r="ASX20" s="226"/>
      <c r="ASY20" s="227"/>
      <c r="ASZ20" s="215" t="s">
        <v>97</v>
      </c>
      <c r="ATA20" s="216"/>
      <c r="ATB20" s="225">
        <v>0</v>
      </c>
      <c r="ATC20" s="226"/>
      <c r="ATD20" s="227"/>
      <c r="ATE20" s="215" t="s">
        <v>96</v>
      </c>
      <c r="ATF20" s="216"/>
      <c r="ATG20" s="225">
        <v>0</v>
      </c>
      <c r="ATH20" s="226"/>
      <c r="ATI20" s="227"/>
      <c r="ATJ20" s="215" t="s">
        <v>102</v>
      </c>
      <c r="ATK20" s="216"/>
      <c r="ATL20" s="225">
        <v>0</v>
      </c>
      <c r="ATM20" s="226"/>
      <c r="ATN20" s="227"/>
      <c r="ATO20" s="215" t="s">
        <v>101</v>
      </c>
      <c r="ATP20" s="216"/>
      <c r="ATQ20" s="225">
        <v>0</v>
      </c>
      <c r="ATR20" s="226"/>
      <c r="ATS20" s="227"/>
      <c r="ATT20" s="215" t="s">
        <v>41</v>
      </c>
      <c r="ATU20" s="216"/>
      <c r="ATV20" s="225">
        <v>0</v>
      </c>
      <c r="ATW20" s="226"/>
      <c r="ATX20" s="227"/>
      <c r="ATY20" s="215" t="s">
        <v>99</v>
      </c>
      <c r="ATZ20" s="216"/>
      <c r="AUA20" s="225">
        <v>0</v>
      </c>
      <c r="AUB20" s="226"/>
      <c r="AUC20" s="227"/>
      <c r="AUD20" s="215" t="s">
        <v>98</v>
      </c>
      <c r="AUE20" s="216"/>
      <c r="AUF20" s="225">
        <v>0</v>
      </c>
      <c r="AUG20" s="226"/>
      <c r="AUH20" s="227"/>
      <c r="AUI20" s="215" t="s">
        <v>97</v>
      </c>
      <c r="AUJ20" s="216"/>
      <c r="AUK20" s="225">
        <v>0</v>
      </c>
      <c r="AUL20" s="226"/>
      <c r="AUM20" s="227"/>
      <c r="AUN20" s="215" t="s">
        <v>96</v>
      </c>
      <c r="AUO20" s="216"/>
      <c r="AUP20" s="225">
        <v>0</v>
      </c>
      <c r="AUQ20" s="226"/>
      <c r="AUR20" s="227"/>
      <c r="AUS20" s="215" t="s">
        <v>102</v>
      </c>
      <c r="AUT20" s="216"/>
      <c r="AUU20" s="225">
        <v>1502</v>
      </c>
      <c r="AUV20" s="226"/>
      <c r="AUW20" s="227"/>
      <c r="AUX20" s="215" t="s">
        <v>101</v>
      </c>
      <c r="AUY20" s="216"/>
      <c r="AUZ20" s="225">
        <v>9444</v>
      </c>
      <c r="AVA20" s="226"/>
      <c r="AVB20" s="227"/>
      <c r="AVC20" s="215" t="s">
        <v>41</v>
      </c>
      <c r="AVD20" s="216"/>
      <c r="AVE20" s="225">
        <v>0</v>
      </c>
      <c r="AVF20" s="226"/>
      <c r="AVG20" s="227"/>
      <c r="AVH20" s="215" t="s">
        <v>99</v>
      </c>
      <c r="AVI20" s="216"/>
      <c r="AVJ20" s="225">
        <v>0</v>
      </c>
      <c r="AVK20" s="226"/>
      <c r="AVL20" s="227"/>
      <c r="AVM20" s="215" t="s">
        <v>98</v>
      </c>
      <c r="AVN20" s="216"/>
      <c r="AVO20" s="225">
        <v>0</v>
      </c>
      <c r="AVP20" s="226"/>
      <c r="AVQ20" s="227"/>
      <c r="AVR20" s="215" t="s">
        <v>97</v>
      </c>
      <c r="AVS20" s="216"/>
      <c r="AVT20" s="225">
        <v>0</v>
      </c>
      <c r="AVU20" s="226"/>
      <c r="AVV20" s="227"/>
      <c r="AVW20" s="215" t="s">
        <v>96</v>
      </c>
      <c r="AVX20" s="216"/>
      <c r="AVY20" s="225">
        <v>0</v>
      </c>
      <c r="AVZ20" s="226"/>
      <c r="AWA20" s="227"/>
      <c r="AWB20" s="215" t="s">
        <v>102</v>
      </c>
      <c r="AWC20" s="216"/>
      <c r="AWD20" s="225">
        <v>0</v>
      </c>
      <c r="AWE20" s="226"/>
      <c r="AWF20" s="227"/>
      <c r="AWG20" s="215" t="s">
        <v>101</v>
      </c>
      <c r="AWH20" s="216"/>
      <c r="AWI20" s="225">
        <v>1502</v>
      </c>
      <c r="AWJ20" s="226"/>
      <c r="AWK20" s="227"/>
      <c r="AWL20" s="215" t="s">
        <v>41</v>
      </c>
      <c r="AWM20" s="216"/>
      <c r="AWN20" s="225">
        <v>0</v>
      </c>
      <c r="AWO20" s="226"/>
      <c r="AWP20" s="227"/>
      <c r="AWQ20" s="215" t="s">
        <v>99</v>
      </c>
      <c r="AWR20" s="216"/>
      <c r="AWS20" s="225">
        <v>0</v>
      </c>
      <c r="AWT20" s="226"/>
      <c r="AWU20" s="227"/>
      <c r="AWV20" s="215" t="s">
        <v>98</v>
      </c>
      <c r="AWW20" s="216"/>
      <c r="AWX20" s="225">
        <v>0</v>
      </c>
      <c r="AWY20" s="226"/>
      <c r="AWZ20" s="227"/>
      <c r="AXA20" s="215" t="s">
        <v>97</v>
      </c>
      <c r="AXB20" s="216"/>
      <c r="AXC20" s="225">
        <v>0</v>
      </c>
      <c r="AXD20" s="226"/>
      <c r="AXE20" s="227"/>
      <c r="AXF20" s="215" t="s">
        <v>96</v>
      </c>
      <c r="AXG20" s="216"/>
      <c r="AXH20" s="225">
        <v>4507</v>
      </c>
      <c r="AXI20" s="226"/>
      <c r="AXJ20" s="227"/>
      <c r="AXK20" s="215" t="s">
        <v>102</v>
      </c>
      <c r="AXL20" s="216"/>
      <c r="AXM20" s="225">
        <v>4506</v>
      </c>
      <c r="AXN20" s="226"/>
      <c r="AXO20" s="227"/>
      <c r="AXP20" s="215" t="s">
        <v>101</v>
      </c>
      <c r="AXQ20" s="216"/>
      <c r="AXR20" s="225">
        <v>0</v>
      </c>
      <c r="AXS20" s="226"/>
      <c r="AXT20" s="227"/>
      <c r="AXU20" s="215" t="s">
        <v>41</v>
      </c>
      <c r="AXV20" s="216"/>
      <c r="AXW20" s="225">
        <v>0</v>
      </c>
      <c r="AXX20" s="226"/>
      <c r="AXY20" s="227"/>
      <c r="AXZ20" s="215" t="s">
        <v>99</v>
      </c>
      <c r="AYA20" s="216"/>
      <c r="AYB20" s="225">
        <v>0</v>
      </c>
      <c r="AYC20" s="226"/>
      <c r="AYD20" s="227"/>
      <c r="AYE20" s="215" t="s">
        <v>98</v>
      </c>
      <c r="AYF20" s="216"/>
      <c r="AYG20" s="225">
        <v>0</v>
      </c>
      <c r="AYH20" s="226"/>
      <c r="AYI20" s="227"/>
      <c r="AYJ20" s="215" t="s">
        <v>97</v>
      </c>
      <c r="AYK20" s="216"/>
      <c r="AYL20" s="225">
        <v>0</v>
      </c>
      <c r="AYM20" s="226"/>
      <c r="AYN20" s="227"/>
      <c r="AYO20" s="215" t="s">
        <v>96</v>
      </c>
      <c r="AYP20" s="216"/>
      <c r="AYQ20" s="225">
        <v>0</v>
      </c>
      <c r="AYR20" s="226"/>
      <c r="AYS20" s="227"/>
      <c r="AYT20" s="215" t="s">
        <v>41</v>
      </c>
      <c r="AYU20" s="216"/>
      <c r="AYV20" s="225">
        <v>0</v>
      </c>
      <c r="AYW20" s="226"/>
      <c r="AYX20" s="227"/>
      <c r="AYY20" s="215" t="s">
        <v>99</v>
      </c>
      <c r="AYZ20" s="216"/>
      <c r="AZA20" s="225">
        <v>0</v>
      </c>
      <c r="AZB20" s="226"/>
      <c r="AZC20" s="227"/>
      <c r="AZD20" s="215" t="s">
        <v>98</v>
      </c>
      <c r="AZE20" s="216"/>
      <c r="AZF20" s="225">
        <v>0</v>
      </c>
      <c r="AZG20" s="226"/>
      <c r="AZH20" s="227"/>
      <c r="AZI20" s="215" t="s">
        <v>97</v>
      </c>
      <c r="AZJ20" s="216"/>
      <c r="AZK20" s="225">
        <v>0</v>
      </c>
      <c r="AZL20" s="226"/>
      <c r="AZM20" s="227"/>
      <c r="AZN20" s="215" t="s">
        <v>96</v>
      </c>
      <c r="AZO20" s="216"/>
      <c r="AZP20" s="225">
        <v>0</v>
      </c>
      <c r="AZQ20" s="226"/>
      <c r="AZR20" s="227"/>
      <c r="AZS20" s="215" t="s">
        <v>102</v>
      </c>
      <c r="AZT20" s="216"/>
      <c r="AZU20" s="225">
        <v>2361</v>
      </c>
      <c r="AZV20" s="226"/>
      <c r="AZW20" s="227"/>
      <c r="AZX20" s="215" t="s">
        <v>101</v>
      </c>
      <c r="AZY20" s="216"/>
      <c r="AZZ20" s="225">
        <v>3004</v>
      </c>
      <c r="BAA20" s="226"/>
      <c r="BAB20" s="227"/>
      <c r="BAC20" s="215" t="s">
        <v>41</v>
      </c>
      <c r="BAD20" s="216"/>
      <c r="BAE20" s="225">
        <v>0</v>
      </c>
      <c r="BAF20" s="226"/>
      <c r="BAG20" s="227"/>
      <c r="BAH20" s="215" t="s">
        <v>99</v>
      </c>
      <c r="BAI20" s="216"/>
      <c r="BAJ20" s="225">
        <v>0</v>
      </c>
      <c r="BAK20" s="226"/>
      <c r="BAL20" s="227"/>
      <c r="BAM20" s="215" t="s">
        <v>98</v>
      </c>
      <c r="BAN20" s="216"/>
      <c r="BAO20" s="225">
        <v>0</v>
      </c>
      <c r="BAP20" s="226"/>
      <c r="BAQ20" s="227"/>
      <c r="BAR20" s="215" t="s">
        <v>97</v>
      </c>
      <c r="BAS20" s="216"/>
      <c r="BAT20" s="225">
        <v>0</v>
      </c>
      <c r="BAU20" s="226"/>
      <c r="BAV20" s="227"/>
      <c r="BAW20" s="215" t="s">
        <v>96</v>
      </c>
      <c r="BAX20" s="216"/>
      <c r="BAY20" s="225">
        <v>0</v>
      </c>
      <c r="BAZ20" s="226"/>
      <c r="BBA20" s="227"/>
      <c r="BBB20" s="215" t="s">
        <v>102</v>
      </c>
      <c r="BBC20" s="216"/>
      <c r="BBD20" s="225">
        <v>18029</v>
      </c>
      <c r="BBE20" s="226"/>
      <c r="BBF20" s="227"/>
      <c r="BBG20" s="215" t="s">
        <v>101</v>
      </c>
      <c r="BBH20" s="216"/>
      <c r="BBI20" s="225">
        <v>0</v>
      </c>
      <c r="BBJ20" s="226"/>
      <c r="BBK20" s="227"/>
      <c r="BBL20" s="215" t="s">
        <v>41</v>
      </c>
      <c r="BBM20" s="216"/>
      <c r="BBN20" s="225">
        <v>0</v>
      </c>
      <c r="BBO20" s="226"/>
      <c r="BBP20" s="227"/>
      <c r="BBQ20" s="215" t="s">
        <v>99</v>
      </c>
      <c r="BBR20" s="216"/>
      <c r="BBS20" s="225">
        <v>0</v>
      </c>
      <c r="BBT20" s="226"/>
      <c r="BBU20" s="227"/>
      <c r="BBV20" s="215" t="s">
        <v>98</v>
      </c>
      <c r="BBW20" s="216"/>
      <c r="BBX20" s="225">
        <v>0</v>
      </c>
      <c r="BBY20" s="226"/>
      <c r="BBZ20" s="227"/>
      <c r="BCA20" s="215" t="s">
        <v>97</v>
      </c>
      <c r="BCB20" s="216"/>
      <c r="BCC20" s="225">
        <v>0</v>
      </c>
      <c r="BCD20" s="226"/>
      <c r="BCE20" s="227"/>
      <c r="BCF20" s="215" t="s">
        <v>96</v>
      </c>
      <c r="BCG20" s="216"/>
      <c r="BCH20" s="225">
        <v>0</v>
      </c>
      <c r="BCI20" s="226"/>
      <c r="BCJ20" s="227"/>
      <c r="BCK20" s="215" t="s">
        <v>96</v>
      </c>
      <c r="BCL20" s="216"/>
      <c r="BCM20" s="225">
        <v>0</v>
      </c>
      <c r="BCN20" s="226"/>
      <c r="BCO20" s="227"/>
      <c r="BCP20" s="215" t="s">
        <v>102</v>
      </c>
      <c r="BCQ20" s="216"/>
      <c r="BCR20" s="225">
        <v>6009</v>
      </c>
      <c r="BCS20" s="226"/>
      <c r="BCT20" s="227"/>
      <c r="BCU20" s="215" t="s">
        <v>101</v>
      </c>
      <c r="BCV20" s="216"/>
      <c r="BCW20" s="225">
        <v>9014</v>
      </c>
      <c r="BCX20" s="226"/>
      <c r="BCY20" s="227"/>
      <c r="BCZ20" s="215" t="s">
        <v>41</v>
      </c>
      <c r="BDA20" s="216"/>
      <c r="BDB20" s="225">
        <v>0</v>
      </c>
      <c r="BDC20" s="226"/>
      <c r="BDD20" s="227"/>
      <c r="BDE20" s="215" t="s">
        <v>99</v>
      </c>
      <c r="BDF20" s="216"/>
      <c r="BDG20" s="225">
        <v>0</v>
      </c>
      <c r="BDH20" s="226"/>
      <c r="BDI20" s="227"/>
      <c r="BDJ20" s="215" t="s">
        <v>98</v>
      </c>
      <c r="BDK20" s="216"/>
      <c r="BDL20" s="225">
        <v>0</v>
      </c>
      <c r="BDM20" s="226"/>
      <c r="BDN20" s="227"/>
      <c r="BDO20" s="215" t="s">
        <v>97</v>
      </c>
      <c r="BDP20" s="216"/>
      <c r="BDQ20" s="225">
        <v>0</v>
      </c>
      <c r="BDR20" s="226"/>
      <c r="BDS20" s="227"/>
      <c r="BDT20" s="215" t="s">
        <v>96</v>
      </c>
      <c r="BDU20" s="216"/>
      <c r="BDV20" s="225">
        <v>0</v>
      </c>
      <c r="BDW20" s="226"/>
      <c r="BDX20" s="227"/>
      <c r="BDY20" s="215" t="s">
        <v>102</v>
      </c>
      <c r="BDZ20" s="216"/>
      <c r="BEA20" s="225">
        <v>0</v>
      </c>
      <c r="BEB20" s="226"/>
      <c r="BEC20" s="227"/>
      <c r="BED20" s="215" t="s">
        <v>101</v>
      </c>
      <c r="BEE20" s="216"/>
      <c r="BEF20" s="225">
        <v>4507</v>
      </c>
      <c r="BEG20" s="226"/>
      <c r="BEH20" s="227"/>
      <c r="BEI20" s="215" t="s">
        <v>99</v>
      </c>
      <c r="BEJ20" s="216"/>
      <c r="BEK20" s="225">
        <v>0</v>
      </c>
      <c r="BEL20" s="226"/>
      <c r="BEM20" s="227"/>
      <c r="BEN20" s="215" t="s">
        <v>98</v>
      </c>
      <c r="BEO20" s="216"/>
      <c r="BEP20" s="225">
        <v>0</v>
      </c>
      <c r="BEQ20" s="226"/>
      <c r="BER20" s="227"/>
      <c r="BES20" s="215" t="s">
        <v>97</v>
      </c>
      <c r="BET20" s="216"/>
      <c r="BEU20" s="225">
        <v>0</v>
      </c>
      <c r="BEV20" s="226"/>
      <c r="BEW20" s="227"/>
      <c r="BEX20" s="215" t="s">
        <v>96</v>
      </c>
      <c r="BEY20" s="216"/>
      <c r="BEZ20" s="225">
        <v>10517</v>
      </c>
      <c r="BFA20" s="226"/>
      <c r="BFB20" s="227"/>
      <c r="BFC20" s="215" t="s">
        <v>102</v>
      </c>
      <c r="BFD20" s="216"/>
      <c r="BFE20" s="225">
        <v>9014</v>
      </c>
      <c r="BFF20" s="226"/>
      <c r="BFG20" s="227"/>
      <c r="BFH20" s="215" t="s">
        <v>101</v>
      </c>
      <c r="BFI20" s="216"/>
      <c r="BFJ20" s="225">
        <v>0</v>
      </c>
      <c r="BFK20" s="226"/>
      <c r="BFL20" s="227"/>
      <c r="BFM20" s="215" t="s">
        <v>41</v>
      </c>
      <c r="BFN20" s="216"/>
      <c r="BFO20" s="225">
        <v>0</v>
      </c>
      <c r="BFP20" s="226"/>
      <c r="BFQ20" s="227"/>
      <c r="BFR20" s="215" t="s">
        <v>99</v>
      </c>
      <c r="BFS20" s="216"/>
      <c r="BFT20" s="225">
        <v>0</v>
      </c>
      <c r="BFU20" s="226"/>
      <c r="BFV20" s="227"/>
      <c r="BFW20" s="215" t="s">
        <v>98</v>
      </c>
      <c r="BFX20" s="216"/>
      <c r="BFY20" s="225">
        <v>0</v>
      </c>
      <c r="BFZ20" s="226"/>
      <c r="BGA20" s="227"/>
      <c r="BGB20" s="215" t="s">
        <v>97</v>
      </c>
      <c r="BGC20" s="216"/>
      <c r="BGD20" s="225">
        <v>0</v>
      </c>
      <c r="BGE20" s="226"/>
      <c r="BGF20" s="227"/>
      <c r="BGG20" s="215" t="s">
        <v>96</v>
      </c>
      <c r="BGH20" s="216"/>
      <c r="BGI20" s="225">
        <v>0</v>
      </c>
      <c r="BGJ20" s="226"/>
      <c r="BGK20" s="227"/>
      <c r="BGL20" s="215" t="s">
        <v>101</v>
      </c>
      <c r="BGM20" s="216"/>
      <c r="BGN20" s="225">
        <v>0</v>
      </c>
      <c r="BGO20" s="226"/>
      <c r="BGP20" s="227"/>
      <c r="BGQ20" s="215" t="s">
        <v>41</v>
      </c>
      <c r="BGR20" s="216"/>
      <c r="BGS20" s="225">
        <v>0</v>
      </c>
      <c r="BGT20" s="226"/>
      <c r="BGU20" s="227"/>
      <c r="BGV20" s="215" t="s">
        <v>99</v>
      </c>
      <c r="BGW20" s="216"/>
      <c r="BGX20" s="225">
        <v>0</v>
      </c>
      <c r="BGY20" s="226"/>
      <c r="BGZ20" s="227"/>
      <c r="BHA20" s="215" t="s">
        <v>98</v>
      </c>
      <c r="BHB20" s="216"/>
      <c r="BHC20" s="225">
        <v>0</v>
      </c>
      <c r="BHD20" s="226"/>
      <c r="BHE20" s="227"/>
      <c r="BHF20" s="215" t="s">
        <v>97</v>
      </c>
      <c r="BHG20" s="216"/>
      <c r="BHH20" s="225">
        <v>0</v>
      </c>
      <c r="BHI20" s="226"/>
      <c r="BHJ20" s="227"/>
      <c r="BHK20" s="215" t="s">
        <v>96</v>
      </c>
      <c r="BHL20" s="216"/>
      <c r="BHM20" s="225">
        <v>0</v>
      </c>
      <c r="BHN20" s="226"/>
      <c r="BHO20" s="227"/>
      <c r="BHP20" s="215" t="s">
        <v>102</v>
      </c>
      <c r="BHQ20" s="216"/>
      <c r="BHR20" s="225">
        <v>7512</v>
      </c>
      <c r="BHS20" s="226"/>
      <c r="BHT20" s="227"/>
      <c r="BHU20" s="215" t="s">
        <v>101</v>
      </c>
      <c r="BHV20" s="216"/>
      <c r="BHW20" s="225">
        <v>10517</v>
      </c>
      <c r="BHX20" s="226"/>
      <c r="BHY20" s="227"/>
      <c r="BHZ20" s="215" t="s">
        <v>41</v>
      </c>
      <c r="BIA20" s="216"/>
      <c r="BIB20" s="225">
        <v>0</v>
      </c>
      <c r="BIC20" s="226"/>
      <c r="BID20" s="227"/>
      <c r="BIE20" s="215" t="s">
        <v>99</v>
      </c>
      <c r="BIF20" s="216"/>
      <c r="BIG20" s="225">
        <v>0</v>
      </c>
      <c r="BIH20" s="226"/>
      <c r="BII20" s="227"/>
      <c r="BIJ20" s="215" t="s">
        <v>96</v>
      </c>
      <c r="BIK20" s="216"/>
      <c r="BIL20" s="225">
        <v>37561</v>
      </c>
      <c r="BIM20" s="226"/>
      <c r="BIN20" s="227"/>
      <c r="BIO20" s="215" t="s">
        <v>102</v>
      </c>
      <c r="BIP20" s="216"/>
      <c r="BIQ20" s="225">
        <v>1502</v>
      </c>
      <c r="BIR20" s="226"/>
      <c r="BIS20" s="227"/>
      <c r="BIT20" s="215" t="s">
        <v>101</v>
      </c>
      <c r="BIU20" s="216"/>
      <c r="BIV20" s="225">
        <v>0</v>
      </c>
      <c r="BIW20" s="226"/>
      <c r="BIX20" s="227"/>
      <c r="BIY20" s="215" t="s">
        <v>41</v>
      </c>
      <c r="BIZ20" s="216"/>
      <c r="BJA20" s="225">
        <v>15023</v>
      </c>
      <c r="BJB20" s="226"/>
      <c r="BJC20" s="227"/>
      <c r="BJD20" s="215" t="s">
        <v>99</v>
      </c>
      <c r="BJE20" s="216"/>
      <c r="BJF20" s="225">
        <v>0</v>
      </c>
      <c r="BJG20" s="226"/>
      <c r="BJH20" s="227"/>
      <c r="BJI20" s="215" t="s">
        <v>98</v>
      </c>
      <c r="BJJ20" s="216"/>
      <c r="BJK20" s="225">
        <v>0</v>
      </c>
      <c r="BJL20" s="226"/>
      <c r="BJM20" s="227"/>
      <c r="BJN20" s="215" t="s">
        <v>101</v>
      </c>
      <c r="BJO20" s="216"/>
      <c r="BJP20" s="225">
        <v>0</v>
      </c>
      <c r="BJQ20" s="226"/>
      <c r="BJR20" s="227"/>
      <c r="BJS20" s="215" t="s">
        <v>41</v>
      </c>
      <c r="BJT20" s="216"/>
      <c r="BJU20" s="225">
        <v>0</v>
      </c>
      <c r="BJV20" s="226"/>
      <c r="BJW20" s="227"/>
      <c r="BJX20" s="215" t="s">
        <v>41</v>
      </c>
      <c r="BJY20" s="216"/>
      <c r="BJZ20" s="225">
        <v>0</v>
      </c>
      <c r="BKA20" s="226"/>
      <c r="BKB20" s="227"/>
      <c r="BKC20" s="215" t="s">
        <v>97</v>
      </c>
      <c r="BKD20" s="216"/>
      <c r="BKE20" s="225">
        <v>0</v>
      </c>
      <c r="BKF20" s="226"/>
      <c r="BKG20" s="227"/>
      <c r="BKH20" s="215" t="s">
        <v>96</v>
      </c>
      <c r="BKI20" s="216"/>
      <c r="BKJ20" s="225">
        <v>0</v>
      </c>
      <c r="BKK20" s="226"/>
      <c r="BKL20" s="227"/>
      <c r="BKM20" s="215" t="s">
        <v>102</v>
      </c>
      <c r="BKN20" s="216"/>
      <c r="BKO20" s="225">
        <v>3005</v>
      </c>
      <c r="BKP20" s="226"/>
      <c r="BKQ20" s="227"/>
      <c r="BKR20" s="215" t="s">
        <v>41</v>
      </c>
      <c r="BKS20" s="216"/>
      <c r="BKT20" s="225">
        <v>0</v>
      </c>
      <c r="BKU20" s="226"/>
      <c r="BKV20" s="227"/>
      <c r="BKW20" s="215" t="s">
        <v>97</v>
      </c>
      <c r="BKX20" s="216"/>
      <c r="BKY20" s="225">
        <v>0</v>
      </c>
      <c r="BKZ20" s="226"/>
      <c r="BLA20" s="227"/>
      <c r="BLB20" s="215" t="s">
        <v>96</v>
      </c>
      <c r="BLC20" s="216"/>
      <c r="BLD20" s="225">
        <v>0</v>
      </c>
      <c r="BLE20" s="226"/>
      <c r="BLF20" s="227"/>
      <c r="BLG20" s="215" t="s">
        <v>102</v>
      </c>
      <c r="BLH20" s="216"/>
      <c r="BLI20" s="225">
        <v>3005</v>
      </c>
      <c r="BLJ20" s="226"/>
      <c r="BLK20" s="227"/>
      <c r="BLL20" s="215" t="s">
        <v>101</v>
      </c>
      <c r="BLM20" s="216"/>
      <c r="BLN20" s="225">
        <v>0</v>
      </c>
      <c r="BLO20" s="226"/>
      <c r="BLP20" s="227"/>
      <c r="BLQ20" s="215" t="s">
        <v>41</v>
      </c>
      <c r="BLR20" s="216"/>
      <c r="BLS20" s="225">
        <v>0</v>
      </c>
      <c r="BLT20" s="226"/>
      <c r="BLU20" s="227"/>
      <c r="BLV20" s="215" t="s">
        <v>97</v>
      </c>
      <c r="BLW20" s="216"/>
      <c r="BLX20" s="225">
        <v>0</v>
      </c>
      <c r="BLY20" s="226"/>
      <c r="BLZ20" s="227"/>
      <c r="BMA20" s="215" t="s">
        <v>96</v>
      </c>
      <c r="BMB20" s="216"/>
      <c r="BMC20" s="225">
        <v>0</v>
      </c>
      <c r="BMD20" s="226"/>
      <c r="BME20" s="227"/>
      <c r="BMF20" s="215" t="s">
        <v>102</v>
      </c>
      <c r="BMG20" s="216"/>
      <c r="BMH20" s="225">
        <v>24037</v>
      </c>
      <c r="BMI20" s="226"/>
      <c r="BMJ20" s="227"/>
      <c r="BMK20" s="215" t="s">
        <v>101</v>
      </c>
      <c r="BML20" s="216"/>
      <c r="BMM20" s="225">
        <v>0</v>
      </c>
      <c r="BMN20" s="226"/>
      <c r="BMO20" s="227"/>
      <c r="BMP20" s="215" t="s">
        <v>97</v>
      </c>
      <c r="BMQ20" s="216"/>
      <c r="BMR20" s="225">
        <v>0</v>
      </c>
      <c r="BMS20" s="226"/>
      <c r="BMT20" s="227"/>
      <c r="BMU20" s="215" t="s">
        <v>96</v>
      </c>
      <c r="BMV20" s="216"/>
      <c r="BMW20" s="225">
        <v>0</v>
      </c>
      <c r="BMX20" s="226"/>
      <c r="BMY20" s="227"/>
      <c r="BMZ20" s="215" t="s">
        <v>102</v>
      </c>
      <c r="BNA20" s="216"/>
      <c r="BNB20" s="225">
        <v>0</v>
      </c>
      <c r="BNC20" s="226"/>
      <c r="BND20" s="227"/>
      <c r="BNE20" s="215" t="s">
        <v>41</v>
      </c>
      <c r="BNF20" s="216"/>
      <c r="BNG20" s="225">
        <v>0</v>
      </c>
      <c r="BNH20" s="226"/>
      <c r="BNI20" s="227"/>
      <c r="BNJ20" s="215" t="s">
        <v>102</v>
      </c>
      <c r="BNK20" s="216"/>
      <c r="BNL20" s="225">
        <v>4507</v>
      </c>
      <c r="BNM20" s="226"/>
      <c r="BNN20" s="227"/>
      <c r="BNO20" s="215" t="s">
        <v>101</v>
      </c>
      <c r="BNP20" s="216"/>
      <c r="BNQ20" s="225">
        <v>0</v>
      </c>
      <c r="BNR20" s="226"/>
      <c r="BNS20" s="227"/>
      <c r="BNT20" s="215" t="s">
        <v>41</v>
      </c>
      <c r="BNU20" s="216"/>
      <c r="BNV20" s="225">
        <v>0</v>
      </c>
      <c r="BNW20" s="226"/>
      <c r="BNX20" s="227"/>
      <c r="BNY20" s="215" t="s">
        <v>97</v>
      </c>
      <c r="BNZ20" s="216"/>
      <c r="BOA20" s="225">
        <v>0</v>
      </c>
      <c r="BOB20" s="226"/>
      <c r="BOC20" s="227"/>
      <c r="BOD20" s="215" t="s">
        <v>101</v>
      </c>
      <c r="BOE20" s="216"/>
      <c r="BOF20" s="225">
        <v>0</v>
      </c>
      <c r="BOG20" s="226"/>
      <c r="BOH20" s="227"/>
      <c r="BOI20" s="215" t="s">
        <v>41</v>
      </c>
      <c r="BOJ20" s="216"/>
      <c r="BOK20" s="225">
        <v>0</v>
      </c>
      <c r="BOL20" s="226"/>
      <c r="BOM20" s="227"/>
      <c r="BON20" s="215" t="s">
        <v>99</v>
      </c>
      <c r="BOO20" s="216"/>
      <c r="BOP20" s="225">
        <v>0</v>
      </c>
      <c r="BOQ20" s="226"/>
      <c r="BOR20" s="227"/>
      <c r="BOS20" s="215" t="s">
        <v>98</v>
      </c>
      <c r="BOT20" s="216"/>
      <c r="BOU20" s="225">
        <v>0</v>
      </c>
      <c r="BOV20" s="226"/>
      <c r="BOW20" s="227"/>
      <c r="BOX20" s="215" t="s">
        <v>97</v>
      </c>
      <c r="BOY20" s="216"/>
      <c r="BOZ20" s="225">
        <v>0</v>
      </c>
      <c r="BPA20" s="226"/>
      <c r="BPB20" s="227"/>
      <c r="BPC20" s="215" t="s">
        <v>96</v>
      </c>
      <c r="BPD20" s="216"/>
      <c r="BPE20" s="225">
        <v>0</v>
      </c>
      <c r="BPF20" s="226"/>
      <c r="BPG20" s="227"/>
      <c r="BPH20" s="215" t="s">
        <v>102</v>
      </c>
      <c r="BPI20" s="216"/>
      <c r="BPJ20" s="225">
        <v>0</v>
      </c>
      <c r="BPK20" s="226"/>
      <c r="BPL20" s="227"/>
      <c r="BPM20" s="215" t="s">
        <v>101</v>
      </c>
      <c r="BPN20" s="216"/>
      <c r="BPO20" s="225">
        <v>0</v>
      </c>
      <c r="BPP20" s="226"/>
      <c r="BPQ20" s="227"/>
      <c r="BPR20" s="215" t="s">
        <v>41</v>
      </c>
      <c r="BPS20" s="216"/>
      <c r="BPT20" s="225">
        <v>0</v>
      </c>
      <c r="BPU20" s="226"/>
      <c r="BPV20" s="227"/>
      <c r="BPW20" s="215" t="s">
        <v>99</v>
      </c>
      <c r="BPX20" s="216"/>
      <c r="BPY20" s="225">
        <v>0</v>
      </c>
      <c r="BPZ20" s="226"/>
      <c r="BQA20" s="227"/>
      <c r="BQB20" s="215" t="s">
        <v>98</v>
      </c>
      <c r="BQC20" s="216"/>
      <c r="BQD20" s="225">
        <v>0</v>
      </c>
      <c r="BQE20" s="226"/>
      <c r="BQF20" s="227"/>
      <c r="BQG20" s="215" t="s">
        <v>97</v>
      </c>
      <c r="BQH20" s="216"/>
      <c r="BQI20" s="225">
        <v>0</v>
      </c>
      <c r="BQJ20" s="226"/>
      <c r="BQK20" s="227"/>
      <c r="BQL20" s="215" t="s">
        <v>96</v>
      </c>
      <c r="BQM20" s="216"/>
      <c r="BQN20" s="225">
        <v>0</v>
      </c>
      <c r="BQO20" s="226"/>
      <c r="BQP20" s="227"/>
      <c r="BQQ20" s="215" t="s">
        <v>102</v>
      </c>
      <c r="BQR20" s="216"/>
      <c r="BQS20" s="225">
        <v>36058</v>
      </c>
      <c r="BQT20" s="226"/>
      <c r="BQU20" s="227"/>
      <c r="BQV20" s="215" t="s">
        <v>101</v>
      </c>
      <c r="BQW20" s="216"/>
      <c r="BQX20" s="225">
        <v>0</v>
      </c>
      <c r="BQY20" s="226"/>
      <c r="BQZ20" s="227"/>
      <c r="BRA20" s="215" t="s">
        <v>41</v>
      </c>
      <c r="BRB20" s="216"/>
      <c r="BRC20" s="225">
        <v>0</v>
      </c>
      <c r="BRD20" s="226"/>
      <c r="BRE20" s="227"/>
      <c r="BRF20" s="215" t="s">
        <v>99</v>
      </c>
      <c r="BRG20" s="216"/>
      <c r="BRH20" s="225">
        <v>0</v>
      </c>
      <c r="BRI20" s="226"/>
      <c r="BRJ20" s="227"/>
      <c r="BRK20" s="215" t="s">
        <v>98</v>
      </c>
      <c r="BRL20" s="216"/>
      <c r="BRM20" s="225">
        <v>0</v>
      </c>
      <c r="BRN20" s="226"/>
      <c r="BRO20" s="227"/>
      <c r="BRP20" s="215" t="s">
        <v>97</v>
      </c>
      <c r="BRQ20" s="216"/>
      <c r="BRR20" s="225">
        <v>0</v>
      </c>
      <c r="BRS20" s="226"/>
      <c r="BRT20" s="227"/>
      <c r="BRU20" s="215" t="s">
        <v>96</v>
      </c>
      <c r="BRV20" s="216"/>
      <c r="BRW20" s="225">
        <v>0</v>
      </c>
      <c r="BRX20" s="226"/>
      <c r="BRY20" s="227"/>
      <c r="BRZ20" s="215" t="s">
        <v>102</v>
      </c>
      <c r="BSA20" s="216"/>
      <c r="BSB20" s="225">
        <v>0</v>
      </c>
      <c r="BSC20" s="226"/>
      <c r="BSD20" s="227"/>
      <c r="BSE20" s="215" t="s">
        <v>101</v>
      </c>
      <c r="BSF20" s="216"/>
      <c r="BSG20" s="225">
        <v>3005</v>
      </c>
      <c r="BSH20" s="226"/>
      <c r="BSI20" s="227"/>
      <c r="BSJ20" s="215" t="s">
        <v>41</v>
      </c>
      <c r="BSK20" s="216"/>
      <c r="BSL20" s="225">
        <v>0</v>
      </c>
      <c r="BSM20" s="226"/>
      <c r="BSN20" s="227"/>
      <c r="BSO20" s="215" t="s">
        <v>99</v>
      </c>
      <c r="BSP20" s="216"/>
      <c r="BSQ20" s="225">
        <v>0</v>
      </c>
      <c r="BSR20" s="226"/>
      <c r="BSS20" s="227"/>
      <c r="BST20" s="215" t="s">
        <v>98</v>
      </c>
      <c r="BSU20" s="216"/>
      <c r="BSV20" s="225">
        <v>0</v>
      </c>
      <c r="BSW20" s="226"/>
      <c r="BSX20" s="227"/>
      <c r="BSY20" s="215" t="s">
        <v>97</v>
      </c>
      <c r="BSZ20" s="216"/>
      <c r="BTA20" s="225">
        <v>0</v>
      </c>
      <c r="BTB20" s="226"/>
      <c r="BTC20" s="227"/>
      <c r="BTD20" s="215" t="s">
        <v>96</v>
      </c>
      <c r="BTE20" s="216"/>
      <c r="BTF20" s="225">
        <v>0</v>
      </c>
      <c r="BTG20" s="226"/>
      <c r="BTH20" s="227"/>
      <c r="BTI20" s="215" t="s">
        <v>102</v>
      </c>
      <c r="BTJ20" s="216"/>
      <c r="BTK20" s="225">
        <v>7511</v>
      </c>
      <c r="BTL20" s="226"/>
      <c r="BTM20" s="227"/>
      <c r="BTN20" s="215" t="s">
        <v>101</v>
      </c>
      <c r="BTO20" s="216"/>
      <c r="BTP20" s="225">
        <v>0</v>
      </c>
      <c r="BTQ20" s="226"/>
      <c r="BTR20" s="227"/>
      <c r="BTS20" s="215" t="s">
        <v>41</v>
      </c>
      <c r="BTT20" s="216"/>
      <c r="BTU20" s="225">
        <v>0</v>
      </c>
      <c r="BTV20" s="226"/>
      <c r="BTW20" s="227"/>
      <c r="BTX20" s="215" t="s">
        <v>99</v>
      </c>
      <c r="BTY20" s="216"/>
      <c r="BTZ20" s="225">
        <v>0</v>
      </c>
      <c r="BUA20" s="226"/>
      <c r="BUB20" s="227"/>
      <c r="BUC20" s="215" t="s">
        <v>98</v>
      </c>
      <c r="BUD20" s="216"/>
      <c r="BUE20" s="225">
        <v>0</v>
      </c>
      <c r="BUF20" s="226"/>
      <c r="BUG20" s="227"/>
      <c r="BUH20" s="215" t="s">
        <v>99</v>
      </c>
      <c r="BUI20" s="216"/>
      <c r="BUJ20" s="225">
        <v>0</v>
      </c>
      <c r="BUK20" s="226"/>
      <c r="BUL20" s="227"/>
      <c r="BUM20" s="215" t="s">
        <v>98</v>
      </c>
      <c r="BUN20" s="216"/>
      <c r="BUO20" s="225">
        <v>0</v>
      </c>
      <c r="BUP20" s="226"/>
      <c r="BUQ20" s="227"/>
      <c r="BUR20" s="215" t="s">
        <v>97</v>
      </c>
      <c r="BUS20" s="216"/>
      <c r="BUT20" s="225">
        <v>0</v>
      </c>
      <c r="BUU20" s="226"/>
      <c r="BUV20" s="227"/>
      <c r="BUW20" s="215" t="s">
        <v>96</v>
      </c>
      <c r="BUX20" s="216"/>
      <c r="BUY20" s="225">
        <v>0</v>
      </c>
      <c r="BUZ20" s="226"/>
      <c r="BVA20" s="227"/>
      <c r="BVB20" s="215" t="s">
        <v>102</v>
      </c>
      <c r="BVC20" s="216"/>
      <c r="BVD20" s="225">
        <v>0</v>
      </c>
      <c r="BVE20" s="226"/>
      <c r="BVF20" s="227"/>
      <c r="BVG20" s="215" t="s">
        <v>102</v>
      </c>
      <c r="BVH20" s="216"/>
      <c r="BVI20" s="225">
        <v>0</v>
      </c>
      <c r="BVJ20" s="226"/>
      <c r="BVK20" s="227"/>
      <c r="BVL20" s="215" t="s">
        <v>101</v>
      </c>
      <c r="BVM20" s="216"/>
      <c r="BVN20" s="225">
        <v>0</v>
      </c>
      <c r="BVO20" s="226"/>
      <c r="BVP20" s="227"/>
      <c r="BVQ20" s="215" t="s">
        <v>41</v>
      </c>
      <c r="BVR20" s="216"/>
      <c r="BVS20" s="225">
        <v>0</v>
      </c>
      <c r="BVT20" s="226"/>
      <c r="BVU20" s="227"/>
      <c r="BVV20" s="215" t="s">
        <v>99</v>
      </c>
      <c r="BVW20" s="216"/>
      <c r="BVX20" s="225">
        <v>0</v>
      </c>
      <c r="BVY20" s="226"/>
      <c r="BVZ20" s="227"/>
      <c r="BWA20" s="215" t="s">
        <v>98</v>
      </c>
      <c r="BWB20" s="216"/>
      <c r="BWC20" s="225">
        <v>0</v>
      </c>
      <c r="BWD20" s="226"/>
      <c r="BWE20" s="227"/>
      <c r="BWF20" s="215" t="s">
        <v>97</v>
      </c>
      <c r="BWG20" s="216"/>
      <c r="BWH20" s="225">
        <v>0</v>
      </c>
      <c r="BWI20" s="226"/>
      <c r="BWJ20" s="227"/>
      <c r="BWK20" s="215" t="s">
        <v>96</v>
      </c>
      <c r="BWL20" s="216"/>
      <c r="BWM20" s="225">
        <v>0</v>
      </c>
      <c r="BWN20" s="226"/>
      <c r="BWO20" s="227"/>
      <c r="BWP20" s="215" t="s">
        <v>102</v>
      </c>
      <c r="BWQ20" s="216"/>
      <c r="BWR20" s="225">
        <v>30046</v>
      </c>
      <c r="BWS20" s="226"/>
      <c r="BWT20" s="227"/>
      <c r="BWU20" s="215" t="s">
        <v>101</v>
      </c>
      <c r="BWV20" s="216"/>
      <c r="BWW20" s="225">
        <v>0</v>
      </c>
      <c r="BWX20" s="226"/>
      <c r="BWY20" s="227"/>
      <c r="BWZ20" s="215" t="s">
        <v>41</v>
      </c>
      <c r="BXA20" s="216"/>
      <c r="BXB20" s="225">
        <v>0</v>
      </c>
      <c r="BXC20" s="226"/>
      <c r="BXD20" s="227"/>
      <c r="BXE20" s="215" t="s">
        <v>99</v>
      </c>
      <c r="BXF20" s="216"/>
      <c r="BXG20" s="225">
        <v>0</v>
      </c>
      <c r="BXH20" s="226"/>
      <c r="BXI20" s="227"/>
      <c r="BXJ20" s="215" t="s">
        <v>98</v>
      </c>
      <c r="BXK20" s="216"/>
      <c r="BXL20" s="225">
        <v>0</v>
      </c>
      <c r="BXM20" s="226"/>
      <c r="BXN20" s="227"/>
      <c r="BXO20" s="215" t="s">
        <v>97</v>
      </c>
      <c r="BXP20" s="216"/>
      <c r="BXQ20" s="225">
        <v>0</v>
      </c>
      <c r="BXR20" s="226"/>
      <c r="BXS20" s="227"/>
      <c r="BXT20" s="215" t="s">
        <v>96</v>
      </c>
      <c r="BXU20" s="216"/>
      <c r="BXV20" s="225">
        <v>0</v>
      </c>
      <c r="BXW20" s="226"/>
      <c r="BXX20" s="227"/>
      <c r="BXY20" s="215" t="s">
        <v>96</v>
      </c>
      <c r="BXZ20" s="216"/>
      <c r="BYA20" s="225">
        <v>0</v>
      </c>
      <c r="BYB20" s="226"/>
      <c r="BYC20" s="227"/>
      <c r="BYD20" s="215" t="s">
        <v>96</v>
      </c>
      <c r="BYE20" s="216"/>
      <c r="BYF20" s="225">
        <v>0</v>
      </c>
      <c r="BYG20" s="226"/>
      <c r="BYH20" s="227"/>
      <c r="BYI20" s="215" t="s">
        <v>102</v>
      </c>
      <c r="BYJ20" s="216"/>
      <c r="BYK20" s="225">
        <v>0</v>
      </c>
      <c r="BYL20" s="226"/>
      <c r="BYM20" s="227"/>
      <c r="BYN20" s="215" t="s">
        <v>101</v>
      </c>
      <c r="BYO20" s="216"/>
      <c r="BYP20" s="225">
        <v>0</v>
      </c>
      <c r="BYQ20" s="226"/>
      <c r="BYR20" s="227"/>
      <c r="BYS20" s="215" t="s">
        <v>41</v>
      </c>
      <c r="BYT20" s="216"/>
      <c r="BYU20" s="225">
        <v>0</v>
      </c>
      <c r="BYV20" s="226"/>
      <c r="BYW20" s="227"/>
      <c r="BYX20" s="215" t="s">
        <v>99</v>
      </c>
      <c r="BYY20" s="216"/>
      <c r="BYZ20" s="225">
        <v>0</v>
      </c>
      <c r="BZA20" s="226"/>
      <c r="BZB20" s="227"/>
      <c r="BZC20" s="215" t="s">
        <v>98</v>
      </c>
      <c r="BZD20" s="216"/>
      <c r="BZE20" s="225">
        <v>0</v>
      </c>
      <c r="BZF20" s="226"/>
      <c r="BZG20" s="227"/>
      <c r="BZH20" s="215" t="s">
        <v>97</v>
      </c>
      <c r="BZI20" s="216"/>
      <c r="BZJ20" s="225">
        <v>0</v>
      </c>
      <c r="BZK20" s="226"/>
      <c r="BZL20" s="227"/>
      <c r="BZM20" s="215" t="s">
        <v>96</v>
      </c>
      <c r="BZN20" s="216"/>
      <c r="BZO20" s="225">
        <v>4506</v>
      </c>
      <c r="BZP20" s="226"/>
      <c r="BZQ20" s="227"/>
      <c r="BZR20" s="215" t="s">
        <v>102</v>
      </c>
      <c r="BZS20" s="216"/>
      <c r="BZT20" s="225">
        <v>6009</v>
      </c>
      <c r="BZU20" s="226"/>
      <c r="BZV20" s="227"/>
      <c r="BZW20" s="215" t="s">
        <v>101</v>
      </c>
      <c r="BZX20" s="216"/>
      <c r="BZY20" s="225">
        <v>0</v>
      </c>
      <c r="BZZ20" s="226"/>
      <c r="CAA20" s="227"/>
      <c r="CAB20" s="215" t="s">
        <v>41</v>
      </c>
      <c r="CAC20" s="216"/>
      <c r="CAD20" s="225">
        <v>0</v>
      </c>
      <c r="CAE20" s="226"/>
      <c r="CAF20" s="227"/>
      <c r="CAG20" s="215" t="s">
        <v>97</v>
      </c>
      <c r="CAH20" s="216"/>
      <c r="CAI20" s="225">
        <v>0</v>
      </c>
      <c r="CAJ20" s="226"/>
      <c r="CAK20" s="227"/>
      <c r="CAL20" s="215" t="s">
        <v>96</v>
      </c>
      <c r="CAM20" s="216"/>
      <c r="CAN20" s="225">
        <v>3005</v>
      </c>
      <c r="CAO20" s="226"/>
      <c r="CAP20" s="227"/>
      <c r="CAQ20" s="215" t="s">
        <v>102</v>
      </c>
      <c r="CAR20" s="216"/>
      <c r="CAS20" s="225">
        <v>4507</v>
      </c>
      <c r="CAT20" s="226"/>
      <c r="CAU20" s="227"/>
      <c r="CAV20" s="215" t="s">
        <v>101</v>
      </c>
      <c r="CAW20" s="216"/>
      <c r="CAX20" s="225">
        <v>0</v>
      </c>
      <c r="CAY20" s="226"/>
      <c r="CAZ20" s="227"/>
      <c r="CBA20" s="215" t="s">
        <v>41</v>
      </c>
      <c r="CBB20" s="216"/>
      <c r="CBC20" s="225">
        <v>0</v>
      </c>
      <c r="CBD20" s="226"/>
      <c r="CBE20" s="227"/>
      <c r="CBF20" s="215" t="s">
        <v>99</v>
      </c>
      <c r="CBG20" s="216"/>
      <c r="CBH20" s="225">
        <v>0</v>
      </c>
      <c r="CBI20" s="226"/>
      <c r="CBJ20" s="227"/>
      <c r="CBK20" s="215" t="s">
        <v>98</v>
      </c>
      <c r="CBL20" s="216"/>
      <c r="CBM20" s="225">
        <v>0</v>
      </c>
      <c r="CBN20" s="226"/>
      <c r="CBO20" s="227"/>
      <c r="CBP20" s="215" t="s">
        <v>97</v>
      </c>
      <c r="CBQ20" s="216"/>
      <c r="CBR20" s="225">
        <v>0</v>
      </c>
      <c r="CBS20" s="226"/>
      <c r="CBT20" s="227"/>
      <c r="CBU20" s="215" t="s">
        <v>96</v>
      </c>
      <c r="CBV20" s="216"/>
      <c r="CBW20" s="225">
        <v>0</v>
      </c>
      <c r="CBX20" s="226"/>
      <c r="CBY20" s="227"/>
      <c r="CBZ20" s="215" t="s">
        <v>102</v>
      </c>
      <c r="CCA20" s="216"/>
      <c r="CCB20" s="225">
        <v>3004</v>
      </c>
      <c r="CCC20" s="226"/>
      <c r="CCD20" s="227"/>
      <c r="CCE20" s="215" t="s">
        <v>101</v>
      </c>
      <c r="CCF20" s="216"/>
      <c r="CCG20" s="225">
        <v>3005</v>
      </c>
      <c r="CCH20" s="226"/>
      <c r="CCI20" s="227"/>
      <c r="CCJ20" s="215" t="s">
        <v>41</v>
      </c>
      <c r="CCK20" s="216"/>
      <c r="CCL20" s="225">
        <v>0</v>
      </c>
      <c r="CCM20" s="226"/>
      <c r="CCN20" s="227"/>
      <c r="CCO20" s="215" t="s">
        <v>99</v>
      </c>
      <c r="CCP20" s="216"/>
      <c r="CCQ20" s="225">
        <v>0</v>
      </c>
      <c r="CCR20" s="226"/>
      <c r="CCS20" s="227"/>
      <c r="CCT20" s="215" t="s">
        <v>98</v>
      </c>
      <c r="CCU20" s="216"/>
      <c r="CCV20" s="225">
        <v>0</v>
      </c>
      <c r="CCW20" s="226"/>
      <c r="CCX20" s="227"/>
      <c r="CCY20" s="215" t="s">
        <v>96</v>
      </c>
      <c r="CCZ20" s="216"/>
      <c r="CDA20" s="225">
        <v>0</v>
      </c>
      <c r="CDB20" s="226"/>
      <c r="CDC20" s="227"/>
      <c r="CDD20" s="215" t="s">
        <v>102</v>
      </c>
      <c r="CDE20" s="216"/>
      <c r="CDF20" s="225">
        <v>0</v>
      </c>
      <c r="CDG20" s="226"/>
      <c r="CDH20" s="227"/>
      <c r="CDI20" s="215" t="s">
        <v>101</v>
      </c>
      <c r="CDJ20" s="216"/>
      <c r="CDK20" s="225">
        <v>0</v>
      </c>
      <c r="CDL20" s="226"/>
      <c r="CDM20" s="227"/>
      <c r="CDN20" s="215" t="s">
        <v>41</v>
      </c>
      <c r="CDO20" s="216"/>
      <c r="CDP20" s="225">
        <v>0</v>
      </c>
      <c r="CDQ20" s="226"/>
      <c r="CDR20" s="227"/>
      <c r="CDS20" s="215" t="s">
        <v>99</v>
      </c>
      <c r="CDT20" s="216"/>
      <c r="CDU20" s="225">
        <v>0</v>
      </c>
      <c r="CDV20" s="226"/>
      <c r="CDW20" s="227"/>
      <c r="CDX20" s="215" t="s">
        <v>98</v>
      </c>
      <c r="CDY20" s="216"/>
      <c r="CDZ20" s="225">
        <v>0</v>
      </c>
      <c r="CEA20" s="226"/>
      <c r="CEB20" s="227"/>
      <c r="CEC20" s="215" t="s">
        <v>97</v>
      </c>
      <c r="CED20" s="216"/>
      <c r="CEE20" s="225">
        <v>0</v>
      </c>
      <c r="CEF20" s="226"/>
      <c r="CEG20" s="227"/>
      <c r="CEH20" s="215" t="s">
        <v>96</v>
      </c>
      <c r="CEI20" s="216"/>
      <c r="CEJ20" s="225">
        <v>0</v>
      </c>
      <c r="CEK20" s="226"/>
      <c r="CEL20" s="227"/>
      <c r="CEM20" s="215" t="s">
        <v>102</v>
      </c>
      <c r="CEN20" s="216"/>
      <c r="CEO20" s="225">
        <v>0</v>
      </c>
      <c r="CEP20" s="226"/>
      <c r="CEQ20" s="227"/>
      <c r="CER20" s="215" t="s">
        <v>102</v>
      </c>
      <c r="CES20" s="216"/>
      <c r="CET20" s="225">
        <v>0</v>
      </c>
      <c r="CEU20" s="226"/>
      <c r="CEV20" s="227"/>
      <c r="CEW20" s="215" t="s">
        <v>101</v>
      </c>
      <c r="CEX20" s="216"/>
      <c r="CEY20" s="225">
        <v>12019</v>
      </c>
      <c r="CEZ20" s="226"/>
      <c r="CFA20" s="227"/>
      <c r="CFB20" s="215" t="s">
        <v>41</v>
      </c>
      <c r="CFC20" s="216"/>
      <c r="CFD20" s="225">
        <v>0</v>
      </c>
      <c r="CFE20" s="226"/>
      <c r="CFF20" s="227"/>
      <c r="CFG20" s="215" t="s">
        <v>99</v>
      </c>
      <c r="CFH20" s="216"/>
      <c r="CFI20" s="225">
        <v>0</v>
      </c>
      <c r="CFJ20" s="226"/>
      <c r="CFK20" s="227"/>
      <c r="CFL20" s="215" t="s">
        <v>98</v>
      </c>
      <c r="CFM20" s="216"/>
      <c r="CFN20" s="225">
        <v>1502</v>
      </c>
      <c r="CFO20" s="226"/>
      <c r="CFP20" s="227"/>
      <c r="CFQ20" s="215" t="s">
        <v>96</v>
      </c>
      <c r="CFR20" s="216"/>
      <c r="CFS20" s="225">
        <v>9015</v>
      </c>
      <c r="CFT20" s="226"/>
      <c r="CFU20" s="227"/>
      <c r="CFV20" s="215" t="s">
        <v>102</v>
      </c>
      <c r="CFW20" s="216"/>
      <c r="CFX20" s="225">
        <v>0</v>
      </c>
      <c r="CFY20" s="226"/>
      <c r="CFZ20" s="227"/>
      <c r="CGA20" s="215" t="s">
        <v>101</v>
      </c>
      <c r="CGB20" s="216"/>
      <c r="CGC20" s="225">
        <v>0</v>
      </c>
      <c r="CGD20" s="226"/>
      <c r="CGE20" s="227"/>
      <c r="CGF20" s="215" t="s">
        <v>41</v>
      </c>
      <c r="CGG20" s="216"/>
      <c r="CGH20" s="225">
        <v>0</v>
      </c>
      <c r="CGI20" s="226"/>
      <c r="CGJ20" s="227"/>
      <c r="CGK20" s="215" t="s">
        <v>99</v>
      </c>
      <c r="CGL20" s="216"/>
      <c r="CGM20" s="225">
        <v>0</v>
      </c>
      <c r="CGN20" s="226"/>
      <c r="CGO20" s="227"/>
      <c r="CGP20" s="215" t="s">
        <v>98</v>
      </c>
      <c r="CGQ20" s="216"/>
      <c r="CGR20" s="225">
        <v>0</v>
      </c>
      <c r="CGS20" s="226"/>
      <c r="CGT20" s="227"/>
      <c r="CGU20" s="215" t="s">
        <v>96</v>
      </c>
      <c r="CGV20" s="216"/>
      <c r="CGW20" s="225">
        <v>0</v>
      </c>
      <c r="CGX20" s="226"/>
      <c r="CGY20" s="227"/>
      <c r="CGZ20" s="215" t="s">
        <v>102</v>
      </c>
      <c r="CHA20" s="216"/>
      <c r="CHB20" s="225">
        <v>1259.2</v>
      </c>
      <c r="CHC20" s="226"/>
      <c r="CHD20" s="227"/>
      <c r="CHE20" s="215" t="s">
        <v>101</v>
      </c>
      <c r="CHF20" s="216"/>
      <c r="CHG20" s="225">
        <v>0</v>
      </c>
      <c r="CHH20" s="226"/>
      <c r="CHI20" s="227"/>
      <c r="CHJ20" s="215" t="s">
        <v>99</v>
      </c>
      <c r="CHK20" s="216"/>
      <c r="CHL20" s="225">
        <v>0</v>
      </c>
      <c r="CHM20" s="226"/>
      <c r="CHN20" s="227"/>
      <c r="CHO20" s="215" t="s">
        <v>98</v>
      </c>
      <c r="CHP20" s="216"/>
      <c r="CHQ20" s="225">
        <v>0</v>
      </c>
      <c r="CHR20" s="226"/>
      <c r="CHS20" s="227"/>
      <c r="CHT20" s="215" t="s">
        <v>97</v>
      </c>
      <c r="CHU20" s="216"/>
      <c r="CHV20" s="225">
        <v>0</v>
      </c>
      <c r="CHW20" s="226"/>
      <c r="CHX20" s="227"/>
      <c r="CHY20" s="215" t="s">
        <v>96</v>
      </c>
      <c r="CHZ20" s="216"/>
      <c r="CIA20" s="225">
        <v>1502</v>
      </c>
      <c r="CIB20" s="226"/>
      <c r="CIC20" s="227"/>
      <c r="CID20" s="215" t="s">
        <v>102</v>
      </c>
      <c r="CIE20" s="216"/>
      <c r="CIF20" s="225">
        <v>6008</v>
      </c>
      <c r="CIG20" s="226"/>
      <c r="CIH20" s="227"/>
      <c r="CII20" s="215" t="s">
        <v>101</v>
      </c>
      <c r="CIJ20" s="216"/>
      <c r="CIK20" s="225">
        <v>0</v>
      </c>
      <c r="CIL20" s="226"/>
      <c r="CIM20" s="227"/>
      <c r="CIN20" s="215" t="s">
        <v>41</v>
      </c>
      <c r="CIO20" s="216"/>
      <c r="CIP20" s="225">
        <v>0</v>
      </c>
      <c r="CIQ20" s="226"/>
      <c r="CIR20" s="227"/>
      <c r="CIS20" s="215" t="s">
        <v>99</v>
      </c>
      <c r="CIT20" s="216"/>
      <c r="CIU20" s="225">
        <v>0</v>
      </c>
      <c r="CIV20" s="226"/>
      <c r="CIW20" s="227"/>
      <c r="CIX20" s="215" t="s">
        <v>98</v>
      </c>
      <c r="CIY20" s="216"/>
      <c r="CIZ20" s="225">
        <v>0</v>
      </c>
      <c r="CJA20" s="226"/>
      <c r="CJB20" s="227"/>
      <c r="CJC20" s="215" t="s">
        <v>96</v>
      </c>
      <c r="CJD20" s="216"/>
      <c r="CJE20" s="225">
        <v>0</v>
      </c>
      <c r="CJF20" s="226"/>
      <c r="CJG20" s="227"/>
      <c r="CJH20" s="215" t="s">
        <v>102</v>
      </c>
      <c r="CJI20" s="216"/>
      <c r="CJJ20" s="225">
        <v>0</v>
      </c>
      <c r="CJK20" s="226"/>
      <c r="CJL20" s="227"/>
      <c r="CJM20" s="215" t="s">
        <v>101</v>
      </c>
      <c r="CJN20" s="216"/>
      <c r="CJO20" s="225">
        <v>0</v>
      </c>
      <c r="CJP20" s="226"/>
      <c r="CJQ20" s="227"/>
      <c r="CJR20" s="215" t="s">
        <v>41</v>
      </c>
      <c r="CJS20" s="216"/>
      <c r="CJT20" s="225">
        <v>0</v>
      </c>
      <c r="CJU20" s="226"/>
      <c r="CJV20" s="227"/>
      <c r="CJW20" s="215" t="s">
        <v>99</v>
      </c>
      <c r="CJX20" s="216"/>
      <c r="CJY20" s="225">
        <v>0</v>
      </c>
      <c r="CJZ20" s="226"/>
      <c r="CKA20" s="227"/>
      <c r="CKB20" s="215" t="s">
        <v>98</v>
      </c>
      <c r="CKC20" s="216"/>
      <c r="CKD20" s="225">
        <v>0</v>
      </c>
      <c r="CKE20" s="226"/>
      <c r="CKF20" s="227"/>
      <c r="CKG20" s="215" t="s">
        <v>97</v>
      </c>
      <c r="CKH20" s="216"/>
      <c r="CKI20" s="225">
        <v>0</v>
      </c>
      <c r="CKJ20" s="226"/>
      <c r="CKK20" s="227"/>
      <c r="CKL20" s="215" t="s">
        <v>96</v>
      </c>
      <c r="CKM20" s="216"/>
      <c r="CKN20" s="225">
        <v>3005</v>
      </c>
      <c r="CKO20" s="226"/>
      <c r="CKP20" s="227"/>
      <c r="CKQ20" s="215" t="s">
        <v>102</v>
      </c>
      <c r="CKR20" s="216"/>
      <c r="CKS20" s="225">
        <v>0</v>
      </c>
      <c r="CKT20" s="226"/>
      <c r="CKU20" s="227"/>
      <c r="CKV20" s="215" t="s">
        <v>101</v>
      </c>
      <c r="CKW20" s="216"/>
      <c r="CKX20" s="225">
        <v>0</v>
      </c>
      <c r="CKY20" s="226"/>
      <c r="CKZ20" s="227"/>
      <c r="CLA20" s="215" t="s">
        <v>41</v>
      </c>
      <c r="CLB20" s="216"/>
      <c r="CLC20" s="225">
        <v>0</v>
      </c>
      <c r="CLD20" s="226"/>
      <c r="CLE20" s="227"/>
      <c r="CLF20" s="215" t="s">
        <v>99</v>
      </c>
      <c r="CLG20" s="216"/>
      <c r="CLH20" s="225">
        <v>0</v>
      </c>
      <c r="CLI20" s="226"/>
      <c r="CLJ20" s="227"/>
      <c r="CLK20" s="215" t="s">
        <v>98</v>
      </c>
      <c r="CLL20" s="216"/>
      <c r="CLM20" s="225">
        <v>0</v>
      </c>
      <c r="CLN20" s="226"/>
      <c r="CLO20" s="227"/>
      <c r="CLP20" s="215" t="s">
        <v>97</v>
      </c>
      <c r="CLQ20" s="216"/>
      <c r="CLR20" s="225">
        <v>0</v>
      </c>
      <c r="CLS20" s="226"/>
      <c r="CLT20" s="227"/>
      <c r="CLU20" s="215" t="s">
        <v>96</v>
      </c>
      <c r="CLV20" s="216"/>
      <c r="CLW20" s="225">
        <v>0</v>
      </c>
      <c r="CLX20" s="226"/>
      <c r="CLY20" s="227"/>
      <c r="CLZ20" s="215" t="s">
        <v>102</v>
      </c>
      <c r="CMA20" s="216"/>
      <c r="CMB20" s="225">
        <v>1502</v>
      </c>
      <c r="CMC20" s="226"/>
      <c r="CMD20" s="227"/>
      <c r="CME20" s="215" t="s">
        <v>101</v>
      </c>
      <c r="CMF20" s="216"/>
      <c r="CMG20" s="225">
        <v>15024</v>
      </c>
      <c r="CMH20" s="226"/>
      <c r="CMI20" s="227"/>
      <c r="CMJ20" s="215" t="s">
        <v>99</v>
      </c>
      <c r="CMK20" s="216"/>
      <c r="CML20" s="225">
        <v>0</v>
      </c>
      <c r="CMM20" s="226"/>
      <c r="CMN20" s="227"/>
      <c r="CMO20" s="215" t="s">
        <v>98</v>
      </c>
      <c r="CMP20" s="216"/>
      <c r="CMQ20" s="225">
        <v>0</v>
      </c>
      <c r="CMR20" s="226"/>
      <c r="CMS20" s="227"/>
      <c r="CMT20" s="215" t="s">
        <v>97</v>
      </c>
      <c r="CMU20" s="216"/>
      <c r="CMV20" s="225">
        <v>0</v>
      </c>
      <c r="CMW20" s="226"/>
      <c r="CMX20" s="227"/>
      <c r="CMY20" s="215" t="s">
        <v>96</v>
      </c>
      <c r="CMZ20" s="216"/>
      <c r="CNA20" s="225">
        <v>0</v>
      </c>
      <c r="CNB20" s="226"/>
      <c r="CNC20" s="227"/>
      <c r="CND20" s="215" t="s">
        <v>102</v>
      </c>
      <c r="CNE20" s="216"/>
      <c r="CNF20" s="225">
        <v>0</v>
      </c>
      <c r="CNG20" s="226"/>
      <c r="CNH20" s="227"/>
      <c r="CNI20" s="215" t="s">
        <v>101</v>
      </c>
      <c r="CNJ20" s="216"/>
      <c r="CNK20" s="225">
        <v>4507</v>
      </c>
      <c r="CNL20" s="226"/>
      <c r="CNM20" s="227"/>
      <c r="CNN20" s="215" t="s">
        <v>41</v>
      </c>
      <c r="CNO20" s="216"/>
      <c r="CNP20" s="225">
        <v>0</v>
      </c>
      <c r="CNQ20" s="226"/>
      <c r="CNR20" s="227"/>
      <c r="CNS20" s="215" t="s">
        <v>99</v>
      </c>
      <c r="CNT20" s="216"/>
      <c r="CNU20" s="225">
        <v>0</v>
      </c>
      <c r="CNV20" s="226"/>
      <c r="CNW20" s="227"/>
      <c r="CNX20" s="215" t="s">
        <v>98</v>
      </c>
      <c r="CNY20" s="216"/>
      <c r="CNZ20" s="225">
        <v>0</v>
      </c>
      <c r="COA20" s="226"/>
      <c r="COB20" s="227"/>
      <c r="COC20" s="215" t="s">
        <v>97</v>
      </c>
      <c r="COD20" s="216"/>
      <c r="COE20" s="225">
        <v>0</v>
      </c>
      <c r="COF20" s="226"/>
      <c r="COG20" s="227"/>
      <c r="COH20" s="215" t="s">
        <v>96</v>
      </c>
      <c r="COI20" s="216"/>
      <c r="COJ20" s="225">
        <v>0</v>
      </c>
      <c r="COK20" s="226"/>
      <c r="COL20" s="227"/>
      <c r="COM20" s="215" t="s">
        <v>102</v>
      </c>
      <c r="CON20" s="216"/>
      <c r="COO20" s="225">
        <v>10517</v>
      </c>
      <c r="COP20" s="226"/>
      <c r="COQ20" s="227"/>
      <c r="COR20" s="215" t="s">
        <v>102</v>
      </c>
      <c r="COS20" s="216"/>
      <c r="COT20" s="225">
        <v>0</v>
      </c>
      <c r="COU20" s="226"/>
      <c r="COV20" s="227"/>
      <c r="COW20" s="215" t="s">
        <v>101</v>
      </c>
      <c r="COX20" s="216"/>
      <c r="COY20" s="225">
        <v>0</v>
      </c>
      <c r="COZ20" s="226"/>
      <c r="CPA20" s="227"/>
      <c r="CPB20" s="215" t="s">
        <v>41</v>
      </c>
      <c r="CPC20" s="216"/>
      <c r="CPD20" s="225">
        <v>0</v>
      </c>
      <c r="CPE20" s="226"/>
      <c r="CPF20" s="227"/>
      <c r="CPG20" s="215" t="s">
        <v>41</v>
      </c>
      <c r="CPH20" s="216"/>
      <c r="CPI20" s="225">
        <v>0</v>
      </c>
      <c r="CPJ20" s="226"/>
      <c r="CPK20" s="227"/>
      <c r="CPL20" s="215" t="s">
        <v>41</v>
      </c>
      <c r="CPM20" s="216"/>
      <c r="CPN20" s="225">
        <v>0</v>
      </c>
      <c r="CPO20" s="226"/>
      <c r="CPP20" s="227"/>
      <c r="CPQ20" s="215" t="s">
        <v>99</v>
      </c>
      <c r="CPR20" s="216"/>
      <c r="CPS20" s="225">
        <v>0</v>
      </c>
      <c r="CPT20" s="226"/>
      <c r="CPU20" s="227"/>
      <c r="CPV20" s="215" t="s">
        <v>102</v>
      </c>
      <c r="CPW20" s="216"/>
      <c r="CPX20" s="225">
        <v>4507</v>
      </c>
      <c r="CPY20" s="226"/>
      <c r="CPZ20" s="227"/>
      <c r="CQA20" s="215" t="s">
        <v>101</v>
      </c>
      <c r="CQB20" s="216"/>
      <c r="CQC20" s="225">
        <v>0</v>
      </c>
      <c r="CQD20" s="226"/>
      <c r="CQE20" s="227"/>
      <c r="CQF20" s="215" t="s">
        <v>41</v>
      </c>
      <c r="CQG20" s="216"/>
      <c r="CQH20" s="225">
        <v>0</v>
      </c>
      <c r="CQI20" s="226"/>
      <c r="CQJ20" s="227"/>
      <c r="CQK20" s="215" t="s">
        <v>99</v>
      </c>
      <c r="CQL20" s="216"/>
      <c r="CQM20" s="225">
        <v>0</v>
      </c>
      <c r="CQN20" s="226"/>
      <c r="CQO20" s="227"/>
      <c r="CQP20" s="215" t="s">
        <v>98</v>
      </c>
      <c r="CQQ20" s="216"/>
      <c r="CQR20" s="225">
        <v>0</v>
      </c>
      <c r="CQS20" s="226"/>
      <c r="CQT20" s="227"/>
      <c r="CQU20" s="215" t="s">
        <v>96</v>
      </c>
      <c r="CQV20" s="216"/>
      <c r="CQW20" s="225">
        <v>21032</v>
      </c>
      <c r="CQX20" s="226"/>
      <c r="CQY20" s="227"/>
      <c r="CQZ20" s="215" t="s">
        <v>99</v>
      </c>
      <c r="CRA20" s="216"/>
      <c r="CRB20" s="225">
        <v>0</v>
      </c>
      <c r="CRC20" s="226"/>
      <c r="CRD20" s="227"/>
      <c r="CRE20" s="326" t="s">
        <v>42</v>
      </c>
      <c r="CRF20" s="327"/>
      <c r="CRG20" s="279">
        <v>0</v>
      </c>
      <c r="CRH20" s="280"/>
      <c r="CRI20" s="281"/>
      <c r="CRJ20" s="326" t="s">
        <v>45</v>
      </c>
      <c r="CRK20" s="327"/>
      <c r="CRL20" s="279">
        <v>9014</v>
      </c>
      <c r="CRM20" s="280"/>
      <c r="CRN20" s="281"/>
      <c r="CRO20" s="326" t="s">
        <v>45</v>
      </c>
      <c r="CRP20" s="327"/>
      <c r="CRQ20" s="279">
        <v>0</v>
      </c>
      <c r="CRR20" s="280"/>
      <c r="CRS20" s="281"/>
      <c r="CRT20" s="326" t="s">
        <v>37</v>
      </c>
      <c r="CRU20" s="327"/>
      <c r="CRV20" s="279">
        <v>0</v>
      </c>
      <c r="CRW20" s="280"/>
      <c r="CRX20" s="281"/>
      <c r="CRY20" s="343" t="s">
        <v>37</v>
      </c>
      <c r="CRZ20" s="344"/>
      <c r="CSA20" s="345">
        <v>0</v>
      </c>
      <c r="CSB20" s="346"/>
      <c r="CSC20" s="343" t="s">
        <v>42</v>
      </c>
      <c r="CSD20" s="344"/>
      <c r="CSE20" s="345">
        <v>1502</v>
      </c>
      <c r="CSF20" s="346"/>
      <c r="CSG20" s="343" t="s">
        <v>34</v>
      </c>
      <c r="CSH20" s="344"/>
      <c r="CSI20" s="345">
        <v>0</v>
      </c>
      <c r="CSJ20" s="346"/>
      <c r="CSK20" s="343" t="s">
        <v>34</v>
      </c>
      <c r="CSL20" s="344"/>
      <c r="CSM20" s="345">
        <v>9300</v>
      </c>
      <c r="CSN20" s="346"/>
      <c r="CSO20" s="343" t="s">
        <v>45</v>
      </c>
      <c r="CSP20" s="344"/>
      <c r="CSQ20" s="345">
        <v>0</v>
      </c>
      <c r="CSR20" s="346"/>
      <c r="CSS20" s="343" t="s">
        <v>45</v>
      </c>
      <c r="CST20" s="344"/>
      <c r="CSU20" s="345">
        <v>6009</v>
      </c>
      <c r="CSV20" s="346"/>
      <c r="CSW20" s="343" t="s">
        <v>45</v>
      </c>
      <c r="CSX20" s="344"/>
      <c r="CSY20" s="345">
        <v>25541</v>
      </c>
      <c r="CSZ20" s="346"/>
      <c r="CTA20" s="343" t="s">
        <v>45</v>
      </c>
      <c r="CTB20" s="344"/>
      <c r="CTC20" s="345">
        <v>0</v>
      </c>
      <c r="CTD20" s="346"/>
      <c r="CTE20" s="343" t="s">
        <v>37</v>
      </c>
      <c r="CTF20" s="344"/>
      <c r="CTG20" s="345">
        <v>0</v>
      </c>
      <c r="CTH20" s="346"/>
      <c r="CTI20" s="343" t="s">
        <v>42</v>
      </c>
      <c r="CTJ20" s="344"/>
      <c r="CTK20" s="345"/>
      <c r="CTL20" s="346"/>
      <c r="CTM20" s="343" t="s">
        <v>34</v>
      </c>
      <c r="CTN20" s="344"/>
      <c r="CTO20" s="345">
        <v>13520</v>
      </c>
      <c r="CTP20" s="346"/>
      <c r="CTQ20" s="343" t="s">
        <v>45</v>
      </c>
      <c r="CTR20" s="344"/>
      <c r="CTS20" s="345">
        <v>1502</v>
      </c>
      <c r="CTT20" s="346"/>
      <c r="CTU20" s="343" t="s">
        <v>45</v>
      </c>
      <c r="CTV20" s="344"/>
      <c r="CTW20" s="345">
        <v>0</v>
      </c>
      <c r="CTX20" s="346"/>
      <c r="CTY20" s="343" t="s">
        <v>37</v>
      </c>
      <c r="CTZ20" s="344"/>
      <c r="CUA20" s="345">
        <v>0</v>
      </c>
      <c r="CUB20" s="346"/>
      <c r="CUC20" s="343" t="s">
        <v>37</v>
      </c>
      <c r="CUD20" s="344"/>
      <c r="CUE20" s="345"/>
      <c r="CUF20" s="346"/>
      <c r="CUG20" s="343" t="s">
        <v>34</v>
      </c>
      <c r="CUH20" s="344"/>
      <c r="CUI20" s="345">
        <v>21032</v>
      </c>
      <c r="CUJ20" s="346"/>
      <c r="CUK20" s="343" t="s">
        <v>45</v>
      </c>
      <c r="CUL20" s="344"/>
      <c r="CUM20" s="345">
        <v>0</v>
      </c>
      <c r="CUN20" s="346"/>
      <c r="CUO20" s="343" t="s">
        <v>45</v>
      </c>
      <c r="CUP20" s="344"/>
      <c r="CUQ20" s="345">
        <v>0</v>
      </c>
      <c r="CUR20" s="346"/>
      <c r="CUS20" s="343" t="s">
        <v>45</v>
      </c>
      <c r="CUT20" s="344"/>
      <c r="CUU20" s="345"/>
      <c r="CUV20" s="346"/>
      <c r="CUW20" s="343" t="s">
        <v>34</v>
      </c>
      <c r="CUX20" s="344"/>
      <c r="CUY20" s="345">
        <v>18029</v>
      </c>
      <c r="CUZ20" s="346"/>
      <c r="CVA20" s="343" t="s">
        <v>45</v>
      </c>
      <c r="CVB20" s="344"/>
      <c r="CVC20" s="345">
        <v>0</v>
      </c>
      <c r="CVD20" s="346"/>
      <c r="CVE20" s="343" t="s">
        <v>45</v>
      </c>
      <c r="CVF20" s="344"/>
      <c r="CVG20" s="345"/>
      <c r="CVH20" s="346"/>
      <c r="CVI20" s="343" t="s">
        <v>45</v>
      </c>
      <c r="CVJ20" s="344"/>
      <c r="CVK20" s="345">
        <v>0</v>
      </c>
      <c r="CVL20" s="346"/>
      <c r="CVM20" s="343" t="s">
        <v>37</v>
      </c>
      <c r="CVN20" s="344"/>
      <c r="CVO20" s="345">
        <v>0</v>
      </c>
      <c r="CVP20" s="346"/>
      <c r="CVQ20" s="343" t="s">
        <v>42</v>
      </c>
      <c r="CVR20" s="344"/>
      <c r="CVS20" s="345">
        <v>0</v>
      </c>
      <c r="CVT20" s="346"/>
      <c r="CVU20" s="343" t="s">
        <v>42</v>
      </c>
      <c r="CVV20" s="344"/>
      <c r="CVW20" s="345"/>
      <c r="CVX20" s="346"/>
      <c r="CVY20" s="343" t="s">
        <v>42</v>
      </c>
      <c r="CVZ20" s="344"/>
      <c r="CWA20" s="345"/>
      <c r="CWB20" s="346"/>
      <c r="CWC20" s="343" t="s">
        <v>34</v>
      </c>
      <c r="CWD20" s="344"/>
      <c r="CWE20" s="345">
        <v>1502</v>
      </c>
      <c r="CWF20" s="346"/>
      <c r="CWG20" s="343" t="s">
        <v>45</v>
      </c>
      <c r="CWH20" s="344"/>
      <c r="CWI20" s="345">
        <v>4507</v>
      </c>
      <c r="CWJ20" s="346"/>
      <c r="CWK20" s="343" t="s">
        <v>45</v>
      </c>
      <c r="CWL20" s="344"/>
      <c r="CWM20" s="345">
        <v>0</v>
      </c>
      <c r="CWN20" s="346"/>
      <c r="CWO20" s="343" t="s">
        <v>37</v>
      </c>
      <c r="CWP20" s="344"/>
      <c r="CWQ20" s="345">
        <v>0</v>
      </c>
      <c r="CWR20" s="346"/>
      <c r="CWS20" s="343" t="s">
        <v>37</v>
      </c>
      <c r="CWT20" s="344"/>
      <c r="CWU20" s="345"/>
      <c r="CWV20" s="346"/>
      <c r="CWW20" s="343" t="s">
        <v>42</v>
      </c>
      <c r="CWX20" s="344"/>
      <c r="CWY20" s="345">
        <v>0</v>
      </c>
      <c r="CWZ20" s="346"/>
      <c r="CXA20" s="372" t="s">
        <v>34</v>
      </c>
      <c r="CXB20" s="373"/>
      <c r="CXC20" s="374">
        <v>9015</v>
      </c>
      <c r="CXD20" s="375"/>
      <c r="CXE20" s="372" t="s">
        <v>34</v>
      </c>
      <c r="CXF20" s="373"/>
      <c r="CXG20" s="374">
        <v>7510</v>
      </c>
      <c r="CXH20" s="375"/>
      <c r="CXI20" s="372" t="s">
        <v>45</v>
      </c>
      <c r="CXJ20" s="373"/>
      <c r="CXK20" s="374">
        <v>0</v>
      </c>
      <c r="CXL20" s="375"/>
      <c r="CXM20" s="372" t="s">
        <v>37</v>
      </c>
      <c r="CXN20" s="373"/>
      <c r="CXO20" s="374">
        <v>0</v>
      </c>
      <c r="CXP20" s="375"/>
      <c r="CXQ20" s="372" t="s">
        <v>42</v>
      </c>
      <c r="CXR20" s="373"/>
      <c r="CXS20" s="374">
        <v>0</v>
      </c>
      <c r="CXT20" s="375"/>
      <c r="CXU20" s="26" t="s">
        <v>45</v>
      </c>
      <c r="CXW20" s="26">
        <v>0</v>
      </c>
      <c r="CXY20" s="26" t="s">
        <v>45</v>
      </c>
      <c r="CYA20" s="26">
        <v>0</v>
      </c>
      <c r="CYC20" s="26" t="s">
        <v>42</v>
      </c>
      <c r="CYE20" s="26">
        <v>0</v>
      </c>
      <c r="CYG20" s="26" t="s">
        <v>8</v>
      </c>
      <c r="CYJ20" s="26" t="s">
        <v>31</v>
      </c>
      <c r="CYK20" s="26" t="s">
        <v>8</v>
      </c>
      <c r="CYN20" s="26" t="s">
        <v>31</v>
      </c>
      <c r="CYO20" s="26" t="s">
        <v>8</v>
      </c>
      <c r="CYR20" s="26" t="s">
        <v>31</v>
      </c>
      <c r="CYS20" s="26" t="s">
        <v>8</v>
      </c>
      <c r="CYV20" s="26" t="s">
        <v>31</v>
      </c>
      <c r="CYW20" s="26" t="s">
        <v>8</v>
      </c>
      <c r="CYZ20" s="26" t="s">
        <v>31</v>
      </c>
      <c r="CZA20" s="26" t="s">
        <v>8</v>
      </c>
      <c r="CZD20" s="26" t="s">
        <v>31</v>
      </c>
      <c r="CZE20" s="26" t="s">
        <v>8</v>
      </c>
      <c r="CZH20" s="26" t="s">
        <v>31</v>
      </c>
      <c r="CZI20" s="26" t="s">
        <v>8</v>
      </c>
      <c r="CZL20" s="26" t="s">
        <v>31</v>
      </c>
      <c r="CZM20" s="26" t="s">
        <v>8</v>
      </c>
      <c r="CZP20" s="26" t="s">
        <v>31</v>
      </c>
      <c r="CZQ20" s="26" t="s">
        <v>8</v>
      </c>
      <c r="CZT20" s="26" t="s">
        <v>31</v>
      </c>
      <c r="CZU20" s="26" t="s">
        <v>8</v>
      </c>
      <c r="CZX20" s="26" t="s">
        <v>31</v>
      </c>
      <c r="CZY20" s="26" t="s">
        <v>8</v>
      </c>
      <c r="DAB20" s="26" t="s">
        <v>31</v>
      </c>
      <c r="DAC20" s="26" t="s">
        <v>8</v>
      </c>
      <c r="DAF20" s="26" t="s">
        <v>31</v>
      </c>
      <c r="DAG20" s="26" t="s">
        <v>8</v>
      </c>
      <c r="DAJ20" s="26" t="s">
        <v>31</v>
      </c>
      <c r="DAK20" s="26" t="s">
        <v>8</v>
      </c>
      <c r="DAN20" s="26" t="s">
        <v>31</v>
      </c>
      <c r="DAO20" s="26" t="s">
        <v>8</v>
      </c>
      <c r="DAR20" s="26" t="s">
        <v>31</v>
      </c>
      <c r="DAS20" s="26" t="s">
        <v>8</v>
      </c>
      <c r="DAV20" s="26" t="s">
        <v>31</v>
      </c>
      <c r="DAW20" s="26" t="s">
        <v>8</v>
      </c>
      <c r="DAZ20" s="26" t="s">
        <v>31</v>
      </c>
      <c r="DBA20" s="26" t="s">
        <v>8</v>
      </c>
      <c r="DBD20" s="26" t="s">
        <v>31</v>
      </c>
      <c r="DBE20" s="26" t="s">
        <v>8</v>
      </c>
      <c r="DBH20" s="26" t="s">
        <v>31</v>
      </c>
      <c r="DBI20" s="26" t="s">
        <v>8</v>
      </c>
      <c r="DBL20" s="26" t="s">
        <v>31</v>
      </c>
      <c r="DBM20" s="26" t="s">
        <v>8</v>
      </c>
      <c r="DBP20" s="26" t="s">
        <v>31</v>
      </c>
      <c r="DBQ20" s="26" t="s">
        <v>8</v>
      </c>
      <c r="DBT20" s="26" t="s">
        <v>31</v>
      </c>
      <c r="DBU20" s="26" t="s">
        <v>8</v>
      </c>
      <c r="DBX20" s="26" t="s">
        <v>31</v>
      </c>
      <c r="DBY20" s="26" t="s">
        <v>8</v>
      </c>
      <c r="DCB20" s="26" t="s">
        <v>31</v>
      </c>
      <c r="DCC20" s="26" t="s">
        <v>8</v>
      </c>
      <c r="DCF20" s="26" t="s">
        <v>31</v>
      </c>
      <c r="DCG20" s="26" t="s">
        <v>8</v>
      </c>
      <c r="DCJ20" s="26" t="s">
        <v>31</v>
      </c>
      <c r="DCK20" s="26" t="s">
        <v>8</v>
      </c>
      <c r="DCN20" s="26" t="s">
        <v>31</v>
      </c>
      <c r="DCO20" s="26" t="s">
        <v>8</v>
      </c>
      <c r="DCR20" s="26" t="s">
        <v>31</v>
      </c>
      <c r="DCS20" s="26" t="s">
        <v>8</v>
      </c>
      <c r="DCV20" s="26" t="s">
        <v>31</v>
      </c>
      <c r="DCW20" s="26" t="s">
        <v>8</v>
      </c>
      <c r="DCZ20" s="26" t="s">
        <v>31</v>
      </c>
      <c r="DDA20" s="26" t="s">
        <v>8</v>
      </c>
      <c r="DDD20" s="26" t="s">
        <v>31</v>
      </c>
      <c r="DDE20" s="26" t="s">
        <v>9</v>
      </c>
      <c r="DDH20" s="26">
        <v>0</v>
      </c>
      <c r="DDI20" s="26" t="s">
        <v>9</v>
      </c>
      <c r="DDL20" s="26">
        <v>0</v>
      </c>
      <c r="DDM20" s="26" t="s">
        <v>9</v>
      </c>
      <c r="DDP20" s="26">
        <v>0</v>
      </c>
      <c r="DDQ20" s="26" t="s">
        <v>10</v>
      </c>
      <c r="DDT20" s="26">
        <v>0</v>
      </c>
    </row>
    <row r="21" spans="1:2828" ht="15.6" x14ac:dyDescent="0.3">
      <c r="A21" s="133" t="s">
        <v>285</v>
      </c>
      <c r="B21" s="65"/>
      <c r="C21" s="66"/>
      <c r="D21" s="256" t="s">
        <v>31</v>
      </c>
      <c r="E21" s="257"/>
      <c r="F21" s="133" t="s">
        <v>285</v>
      </c>
      <c r="G21" s="65"/>
      <c r="H21" s="66"/>
      <c r="I21" s="256" t="s">
        <v>31</v>
      </c>
      <c r="J21" s="257"/>
      <c r="K21" s="133" t="s">
        <v>285</v>
      </c>
      <c r="L21" s="65"/>
      <c r="M21" s="66"/>
      <c r="N21" s="256" t="s">
        <v>31</v>
      </c>
      <c r="O21" s="257"/>
      <c r="P21" s="133" t="s">
        <v>285</v>
      </c>
      <c r="Q21" s="65"/>
      <c r="R21" s="66"/>
      <c r="S21" s="256" t="s">
        <v>31</v>
      </c>
      <c r="T21" s="257"/>
      <c r="U21" s="133" t="s">
        <v>285</v>
      </c>
      <c r="V21" s="65"/>
      <c r="W21" s="66"/>
      <c r="X21" s="256" t="s">
        <v>31</v>
      </c>
      <c r="Y21" s="257"/>
      <c r="Z21" s="133" t="s">
        <v>285</v>
      </c>
      <c r="AA21" s="65"/>
      <c r="AB21" s="66"/>
      <c r="AC21" s="256" t="s">
        <v>31</v>
      </c>
      <c r="AD21" s="257"/>
      <c r="AE21" s="133" t="s">
        <v>285</v>
      </c>
      <c r="AF21" s="65"/>
      <c r="AG21" s="66"/>
      <c r="AH21" s="256" t="s">
        <v>31</v>
      </c>
      <c r="AI21" s="257"/>
      <c r="AJ21" s="133" t="s">
        <v>285</v>
      </c>
      <c r="AK21" s="65"/>
      <c r="AL21" s="66"/>
      <c r="AM21" s="256" t="s">
        <v>31</v>
      </c>
      <c r="AN21" s="257"/>
      <c r="AO21" s="133" t="s">
        <v>285</v>
      </c>
      <c r="AP21" s="65"/>
      <c r="AQ21" s="66"/>
      <c r="AR21" s="256" t="s">
        <v>31</v>
      </c>
      <c r="AS21" s="257"/>
      <c r="AT21" s="133" t="s">
        <v>285</v>
      </c>
      <c r="AU21" s="65"/>
      <c r="AV21" s="66"/>
      <c r="AW21" s="256" t="s">
        <v>31</v>
      </c>
      <c r="AX21" s="257"/>
      <c r="AY21" s="133" t="s">
        <v>285</v>
      </c>
      <c r="AZ21" s="65"/>
      <c r="BA21" s="66"/>
      <c r="BB21" s="256" t="s">
        <v>31</v>
      </c>
      <c r="BC21" s="257"/>
      <c r="BD21" s="133" t="s">
        <v>285</v>
      </c>
      <c r="BE21" s="65"/>
      <c r="BF21" s="66"/>
      <c r="BG21" s="256" t="s">
        <v>31</v>
      </c>
      <c r="BH21" s="257"/>
      <c r="BI21" s="133" t="s">
        <v>285</v>
      </c>
      <c r="BJ21" s="65"/>
      <c r="BK21" s="66"/>
      <c r="BL21" s="256" t="s">
        <v>31</v>
      </c>
      <c r="BM21" s="257"/>
      <c r="BN21" s="133" t="s">
        <v>285</v>
      </c>
      <c r="BO21" s="65"/>
      <c r="BP21" s="66"/>
      <c r="BQ21" s="256" t="s">
        <v>31</v>
      </c>
      <c r="BR21" s="257"/>
      <c r="BS21" s="133" t="s">
        <v>285</v>
      </c>
      <c r="BT21" s="65"/>
      <c r="BU21" s="66"/>
      <c r="BV21" s="256" t="s">
        <v>31</v>
      </c>
      <c r="BW21" s="257"/>
      <c r="BX21" s="133" t="s">
        <v>285</v>
      </c>
      <c r="BY21" s="65"/>
      <c r="BZ21" s="66"/>
      <c r="CA21" s="256" t="s">
        <v>31</v>
      </c>
      <c r="CB21" s="257"/>
      <c r="CC21" s="133" t="s">
        <v>285</v>
      </c>
      <c r="CD21" s="65"/>
      <c r="CE21" s="66"/>
      <c r="CF21" s="256" t="s">
        <v>31</v>
      </c>
      <c r="CG21" s="257"/>
      <c r="CH21" s="133" t="s">
        <v>285</v>
      </c>
      <c r="CI21" s="65"/>
      <c r="CJ21" s="66"/>
      <c r="CK21" s="256" t="s">
        <v>31</v>
      </c>
      <c r="CL21" s="257"/>
      <c r="CM21" s="133" t="s">
        <v>285</v>
      </c>
      <c r="CN21" s="65"/>
      <c r="CO21" s="66"/>
      <c r="CP21" s="256" t="s">
        <v>31</v>
      </c>
      <c r="CQ21" s="257"/>
      <c r="CR21" s="133" t="s">
        <v>285</v>
      </c>
      <c r="CS21" s="65"/>
      <c r="CT21" s="66"/>
      <c r="CU21" s="256" t="s">
        <v>31</v>
      </c>
      <c r="CV21" s="257"/>
      <c r="CW21" s="133" t="s">
        <v>285</v>
      </c>
      <c r="CX21" s="65"/>
      <c r="CY21" s="66"/>
      <c r="CZ21" s="256" t="s">
        <v>31</v>
      </c>
      <c r="DA21" s="257"/>
      <c r="DB21" s="133" t="s">
        <v>285</v>
      </c>
      <c r="DC21" s="65"/>
      <c r="DD21" s="66"/>
      <c r="DE21" s="256" t="s">
        <v>31</v>
      </c>
      <c r="DF21" s="257"/>
      <c r="DG21" s="133" t="s">
        <v>285</v>
      </c>
      <c r="DH21" s="65"/>
      <c r="DI21" s="66"/>
      <c r="DJ21" s="256" t="s">
        <v>31</v>
      </c>
      <c r="DK21" s="257"/>
      <c r="DL21" s="133" t="s">
        <v>285</v>
      </c>
      <c r="DM21" s="65"/>
      <c r="DN21" s="66"/>
      <c r="DO21" s="256" t="s">
        <v>31</v>
      </c>
      <c r="DP21" s="257"/>
      <c r="DQ21" s="133" t="s">
        <v>285</v>
      </c>
      <c r="DR21" s="65"/>
      <c r="DS21" s="66"/>
      <c r="DT21" s="256" t="s">
        <v>31</v>
      </c>
      <c r="DU21" s="257"/>
      <c r="DV21" s="133" t="s">
        <v>285</v>
      </c>
      <c r="DW21" s="65"/>
      <c r="DX21" s="66"/>
      <c r="DY21" s="256" t="s">
        <v>31</v>
      </c>
      <c r="DZ21" s="257"/>
      <c r="EA21" s="133" t="s">
        <v>285</v>
      </c>
      <c r="EB21" s="65"/>
      <c r="EC21" s="66"/>
      <c r="ED21" s="256" t="s">
        <v>31</v>
      </c>
      <c r="EE21" s="257"/>
      <c r="EF21" s="133" t="s">
        <v>285</v>
      </c>
      <c r="EG21" s="65"/>
      <c r="EH21" s="66"/>
      <c r="EI21" s="256" t="s">
        <v>31</v>
      </c>
      <c r="EJ21" s="257"/>
      <c r="EK21" s="133" t="s">
        <v>285</v>
      </c>
      <c r="EL21" s="65"/>
      <c r="EM21" s="66"/>
      <c r="EN21" s="256" t="s">
        <v>31</v>
      </c>
      <c r="EO21" s="257"/>
      <c r="EP21" s="133" t="s">
        <v>285</v>
      </c>
      <c r="EQ21" s="65"/>
      <c r="ER21" s="66"/>
      <c r="ES21" s="256" t="s">
        <v>31</v>
      </c>
      <c r="ET21" s="257"/>
      <c r="EU21" s="133" t="s">
        <v>285</v>
      </c>
      <c r="EV21" s="65"/>
      <c r="EW21" s="66"/>
      <c r="EX21" s="256" t="s">
        <v>31</v>
      </c>
      <c r="EY21" s="257"/>
      <c r="EZ21" s="133" t="s">
        <v>285</v>
      </c>
      <c r="FA21" s="65"/>
      <c r="FB21" s="66"/>
      <c r="FC21" s="256" t="s">
        <v>31</v>
      </c>
      <c r="FD21" s="257"/>
      <c r="FE21" s="133" t="s">
        <v>285</v>
      </c>
      <c r="FF21" s="65"/>
      <c r="FG21" s="66"/>
      <c r="FH21" s="256" t="s">
        <v>31</v>
      </c>
      <c r="FI21" s="257"/>
      <c r="FJ21" s="133" t="s">
        <v>285</v>
      </c>
      <c r="FK21" s="65"/>
      <c r="FL21" s="66"/>
      <c r="FM21" s="256" t="s">
        <v>31</v>
      </c>
      <c r="FN21" s="257"/>
      <c r="FO21" s="133" t="s">
        <v>285</v>
      </c>
      <c r="FP21" s="65"/>
      <c r="FQ21" s="66"/>
      <c r="FR21" s="256" t="s">
        <v>31</v>
      </c>
      <c r="FS21" s="257"/>
      <c r="FT21" s="133" t="s">
        <v>285</v>
      </c>
      <c r="FU21" s="65"/>
      <c r="FV21" s="66"/>
      <c r="FW21" s="256" t="s">
        <v>31</v>
      </c>
      <c r="FX21" s="257"/>
      <c r="FY21" s="133" t="s">
        <v>285</v>
      </c>
      <c r="FZ21" s="65"/>
      <c r="GA21" s="66"/>
      <c r="GB21" s="256" t="s">
        <v>31</v>
      </c>
      <c r="GC21" s="257"/>
      <c r="GD21" s="133" t="s">
        <v>285</v>
      </c>
      <c r="GE21" s="65"/>
      <c r="GF21" s="66"/>
      <c r="GG21" s="256" t="s">
        <v>31</v>
      </c>
      <c r="GH21" s="257"/>
      <c r="GI21" s="133" t="s">
        <v>285</v>
      </c>
      <c r="GJ21" s="65"/>
      <c r="GK21" s="66"/>
      <c r="GL21" s="256" t="s">
        <v>31</v>
      </c>
      <c r="GM21" s="257"/>
      <c r="GN21" s="133" t="s">
        <v>285</v>
      </c>
      <c r="GO21" s="65"/>
      <c r="GP21" s="66"/>
      <c r="GQ21" s="256" t="s">
        <v>31</v>
      </c>
      <c r="GR21" s="257"/>
      <c r="GS21" s="133" t="s">
        <v>285</v>
      </c>
      <c r="GT21" s="65"/>
      <c r="GU21" s="66"/>
      <c r="GV21" s="256" t="s">
        <v>31</v>
      </c>
      <c r="GW21" s="257"/>
      <c r="GX21" s="133" t="s">
        <v>285</v>
      </c>
      <c r="GY21" s="65"/>
      <c r="GZ21" s="66"/>
      <c r="HA21" s="256" t="s">
        <v>31</v>
      </c>
      <c r="HB21" s="257"/>
      <c r="HC21" s="133" t="s">
        <v>285</v>
      </c>
      <c r="HD21" s="65"/>
      <c r="HE21" s="66"/>
      <c r="HF21" s="256" t="s">
        <v>31</v>
      </c>
      <c r="HG21" s="257"/>
      <c r="HH21" s="133" t="s">
        <v>285</v>
      </c>
      <c r="HI21" s="65"/>
      <c r="HJ21" s="66"/>
      <c r="HK21" s="256" t="s">
        <v>31</v>
      </c>
      <c r="HL21" s="257"/>
      <c r="HM21" s="133" t="s">
        <v>285</v>
      </c>
      <c r="HN21" s="65"/>
      <c r="HO21" s="66"/>
      <c r="HP21" s="256" t="s">
        <v>31</v>
      </c>
      <c r="HQ21" s="257"/>
      <c r="HR21" s="133" t="s">
        <v>285</v>
      </c>
      <c r="HS21" s="65"/>
      <c r="HT21" s="66"/>
      <c r="HU21" s="256" t="s">
        <v>31</v>
      </c>
      <c r="HV21" s="257"/>
      <c r="HW21" s="133" t="s">
        <v>285</v>
      </c>
      <c r="HX21" s="65"/>
      <c r="HY21" s="66"/>
      <c r="HZ21" s="256" t="s">
        <v>31</v>
      </c>
      <c r="IA21" s="257"/>
      <c r="IB21" s="133" t="s">
        <v>285</v>
      </c>
      <c r="IC21" s="65"/>
      <c r="ID21" s="66"/>
      <c r="IE21" s="256" t="s">
        <v>31</v>
      </c>
      <c r="IF21" s="257"/>
      <c r="IG21" s="133" t="s">
        <v>285</v>
      </c>
      <c r="IH21" s="65"/>
      <c r="II21" s="66"/>
      <c r="IJ21" s="256" t="s">
        <v>31</v>
      </c>
      <c r="IK21" s="257"/>
      <c r="IL21" s="133" t="s">
        <v>285</v>
      </c>
      <c r="IM21" s="65"/>
      <c r="IN21" s="66"/>
      <c r="IO21" s="256" t="s">
        <v>31</v>
      </c>
      <c r="IP21" s="257"/>
      <c r="IQ21" s="133" t="s">
        <v>285</v>
      </c>
      <c r="IR21" s="65"/>
      <c r="IS21" s="66"/>
      <c r="IT21" s="256" t="s">
        <v>31</v>
      </c>
      <c r="IU21" s="257"/>
      <c r="IV21" s="133" t="s">
        <v>285</v>
      </c>
      <c r="IW21" s="65"/>
      <c r="IX21" s="66"/>
      <c r="IY21" s="256" t="s">
        <v>31</v>
      </c>
      <c r="IZ21" s="257"/>
      <c r="JA21" s="133" t="s">
        <v>285</v>
      </c>
      <c r="JB21" s="65"/>
      <c r="JC21" s="66"/>
      <c r="JD21" s="256" t="s">
        <v>31</v>
      </c>
      <c r="JE21" s="257"/>
      <c r="JF21" s="133" t="s">
        <v>285</v>
      </c>
      <c r="JG21" s="65"/>
      <c r="JH21" s="66"/>
      <c r="JI21" s="256" t="s">
        <v>31</v>
      </c>
      <c r="JJ21" s="257"/>
      <c r="JK21" s="133" t="s">
        <v>285</v>
      </c>
      <c r="JL21" s="65"/>
      <c r="JM21" s="66"/>
      <c r="JN21" s="256" t="s">
        <v>52</v>
      </c>
      <c r="JO21" s="257"/>
      <c r="JP21" s="133" t="s">
        <v>285</v>
      </c>
      <c r="JQ21" s="65"/>
      <c r="JR21" s="66"/>
      <c r="JS21" s="256" t="s">
        <v>31</v>
      </c>
      <c r="JT21" s="257"/>
      <c r="JU21" s="133" t="s">
        <v>285</v>
      </c>
      <c r="JV21" s="65"/>
      <c r="JW21" s="66"/>
      <c r="JX21" s="256" t="s">
        <v>31</v>
      </c>
      <c r="JY21" s="257"/>
      <c r="JZ21" s="133" t="s">
        <v>285</v>
      </c>
      <c r="KA21" s="65"/>
      <c r="KB21" s="66"/>
      <c r="KC21" s="256" t="s">
        <v>31</v>
      </c>
      <c r="KD21" s="257"/>
      <c r="KE21" s="133" t="s">
        <v>285</v>
      </c>
      <c r="KF21" s="65"/>
      <c r="KG21" s="66"/>
      <c r="KH21" s="256" t="s">
        <v>31</v>
      </c>
      <c r="KI21" s="257"/>
      <c r="KJ21" s="133" t="s">
        <v>285</v>
      </c>
      <c r="KK21" s="65"/>
      <c r="KL21" s="66"/>
      <c r="KM21" s="256" t="s">
        <v>31</v>
      </c>
      <c r="KN21" s="257"/>
      <c r="KO21" s="133" t="s">
        <v>285</v>
      </c>
      <c r="KP21" s="65"/>
      <c r="KQ21" s="66"/>
      <c r="KR21" s="256" t="s">
        <v>31</v>
      </c>
      <c r="KS21" s="257"/>
      <c r="KT21" s="133" t="s">
        <v>285</v>
      </c>
      <c r="KU21" s="65"/>
      <c r="KV21" s="66"/>
      <c r="KW21" s="256" t="s">
        <v>31</v>
      </c>
      <c r="KX21" s="257"/>
      <c r="KY21" s="133" t="s">
        <v>285</v>
      </c>
      <c r="KZ21" s="65"/>
      <c r="LA21" s="66"/>
      <c r="LB21" s="256" t="s">
        <v>31</v>
      </c>
      <c r="LC21" s="257"/>
      <c r="LD21" s="133" t="s">
        <v>285</v>
      </c>
      <c r="LE21" s="65"/>
      <c r="LF21" s="66"/>
      <c r="LG21" s="256" t="s">
        <v>31</v>
      </c>
      <c r="LH21" s="257"/>
      <c r="LI21" s="133" t="s">
        <v>285</v>
      </c>
      <c r="LJ21" s="65"/>
      <c r="LK21" s="66"/>
      <c r="LL21" s="256" t="s">
        <v>31</v>
      </c>
      <c r="LM21" s="257"/>
      <c r="LN21" s="133" t="s">
        <v>285</v>
      </c>
      <c r="LO21" s="65"/>
      <c r="LP21" s="66"/>
      <c r="LQ21" s="256" t="s">
        <v>31</v>
      </c>
      <c r="LR21" s="257"/>
      <c r="LS21" s="133" t="s">
        <v>285</v>
      </c>
      <c r="LT21" s="65"/>
      <c r="LU21" s="66"/>
      <c r="LV21" s="256" t="s">
        <v>31</v>
      </c>
      <c r="LW21" s="257"/>
      <c r="LX21" s="133" t="s">
        <v>285</v>
      </c>
      <c r="LY21" s="65"/>
      <c r="LZ21" s="66"/>
      <c r="MA21" s="256" t="s">
        <v>31</v>
      </c>
      <c r="MB21" s="257"/>
      <c r="MC21" s="133" t="s">
        <v>285</v>
      </c>
      <c r="MD21" s="65"/>
      <c r="ME21" s="66"/>
      <c r="MF21" s="256" t="s">
        <v>31</v>
      </c>
      <c r="MG21" s="257"/>
      <c r="MH21" s="133" t="s">
        <v>285</v>
      </c>
      <c r="MI21" s="65"/>
      <c r="MJ21" s="66"/>
      <c r="MK21" s="256" t="s">
        <v>31</v>
      </c>
      <c r="ML21" s="257"/>
      <c r="MM21" s="133" t="s">
        <v>285</v>
      </c>
      <c r="MN21" s="65"/>
      <c r="MO21" s="66"/>
      <c r="MP21" s="256" t="s">
        <v>31</v>
      </c>
      <c r="MQ21" s="257"/>
      <c r="MR21" s="133" t="s">
        <v>285</v>
      </c>
      <c r="MS21" s="65"/>
      <c r="MT21" s="66"/>
      <c r="MU21" s="256" t="s">
        <v>31</v>
      </c>
      <c r="MV21" s="257"/>
      <c r="MW21" s="133" t="s">
        <v>285</v>
      </c>
      <c r="MX21" s="65"/>
      <c r="MY21" s="66"/>
      <c r="MZ21" s="256" t="s">
        <v>31</v>
      </c>
      <c r="NA21" s="257"/>
      <c r="NB21" s="133" t="s">
        <v>285</v>
      </c>
      <c r="NC21" s="65"/>
      <c r="ND21" s="66"/>
      <c r="NE21" s="256" t="s">
        <v>31</v>
      </c>
      <c r="NF21" s="257"/>
      <c r="NG21" s="133" t="s">
        <v>285</v>
      </c>
      <c r="NH21" s="65"/>
      <c r="NI21" s="66"/>
      <c r="NJ21" s="256" t="s">
        <v>31</v>
      </c>
      <c r="NK21" s="257"/>
      <c r="NL21" s="133" t="s">
        <v>285</v>
      </c>
      <c r="NM21" s="65"/>
      <c r="NN21" s="66"/>
      <c r="NO21" s="256" t="s">
        <v>31</v>
      </c>
      <c r="NP21" s="257"/>
      <c r="NQ21" s="133" t="s">
        <v>285</v>
      </c>
      <c r="NR21" s="65"/>
      <c r="NS21" s="66"/>
      <c r="NT21" s="256" t="s">
        <v>31</v>
      </c>
      <c r="NU21" s="257"/>
      <c r="NV21" s="133" t="s">
        <v>285</v>
      </c>
      <c r="NW21" s="65"/>
      <c r="NX21" s="66"/>
      <c r="NY21" s="256" t="s">
        <v>31</v>
      </c>
      <c r="NZ21" s="257"/>
      <c r="OA21" s="133" t="s">
        <v>285</v>
      </c>
      <c r="OB21" s="65"/>
      <c r="OC21" s="66"/>
      <c r="OD21" s="256" t="s">
        <v>31</v>
      </c>
      <c r="OE21" s="257"/>
      <c r="OF21" s="133" t="s">
        <v>285</v>
      </c>
      <c r="OG21" s="65"/>
      <c r="OH21" s="66"/>
      <c r="OI21" s="256" t="s">
        <v>31</v>
      </c>
      <c r="OJ21" s="257"/>
      <c r="OK21" s="133" t="s">
        <v>285</v>
      </c>
      <c r="OL21" s="65"/>
      <c r="OM21" s="66"/>
      <c r="ON21" s="256" t="s">
        <v>31</v>
      </c>
      <c r="OO21" s="257"/>
      <c r="OP21" s="133" t="s">
        <v>285</v>
      </c>
      <c r="OQ21" s="65"/>
      <c r="OR21" s="66"/>
      <c r="OS21" s="256" t="s">
        <v>31</v>
      </c>
      <c r="OT21" s="257"/>
      <c r="OU21" s="133" t="s">
        <v>285</v>
      </c>
      <c r="OV21" s="65"/>
      <c r="OW21" s="66"/>
      <c r="OX21" s="256" t="s">
        <v>31</v>
      </c>
      <c r="OY21" s="257"/>
      <c r="OZ21" s="133" t="s">
        <v>285</v>
      </c>
      <c r="PA21" s="65"/>
      <c r="PB21" s="66"/>
      <c r="PC21" s="256" t="s">
        <v>31</v>
      </c>
      <c r="PD21" s="257"/>
      <c r="PE21" s="133" t="s">
        <v>285</v>
      </c>
      <c r="PF21" s="65"/>
      <c r="PG21" s="66"/>
      <c r="PH21" s="256" t="s">
        <v>31</v>
      </c>
      <c r="PI21" s="257"/>
      <c r="PJ21" s="133" t="s">
        <v>285</v>
      </c>
      <c r="PK21" s="65"/>
      <c r="PL21" s="66"/>
      <c r="PM21" s="256" t="s">
        <v>31</v>
      </c>
      <c r="PN21" s="257"/>
      <c r="PO21" s="133" t="s">
        <v>285</v>
      </c>
      <c r="PP21" s="65"/>
      <c r="PQ21" s="66"/>
      <c r="PR21" s="256" t="s">
        <v>31</v>
      </c>
      <c r="PS21" s="257"/>
      <c r="PT21" s="133" t="s">
        <v>285</v>
      </c>
      <c r="PU21" s="65"/>
      <c r="PV21" s="66"/>
      <c r="PW21" s="256" t="s">
        <v>31</v>
      </c>
      <c r="PX21" s="257"/>
      <c r="PY21" s="133" t="s">
        <v>285</v>
      </c>
      <c r="PZ21" s="65"/>
      <c r="QA21" s="66"/>
      <c r="QB21" s="256" t="s">
        <v>31</v>
      </c>
      <c r="QC21" s="257"/>
      <c r="QD21" s="133" t="s">
        <v>285</v>
      </c>
      <c r="QE21" s="65"/>
      <c r="QF21" s="66"/>
      <c r="QG21" s="256" t="s">
        <v>31</v>
      </c>
      <c r="QH21" s="257"/>
      <c r="QI21" s="133" t="s">
        <v>285</v>
      </c>
      <c r="QJ21" s="65"/>
      <c r="QK21" s="66"/>
      <c r="QL21" s="256" t="s">
        <v>31</v>
      </c>
      <c r="QM21" s="257"/>
      <c r="QN21" s="133" t="s">
        <v>285</v>
      </c>
      <c r="QO21" s="65"/>
      <c r="QP21" s="66"/>
      <c r="QQ21" s="256" t="s">
        <v>31</v>
      </c>
      <c r="QR21" s="257"/>
      <c r="QS21" s="133" t="s">
        <v>285</v>
      </c>
      <c r="QT21" s="65"/>
      <c r="QU21" s="66"/>
      <c r="QV21" s="256" t="s">
        <v>31</v>
      </c>
      <c r="QW21" s="257"/>
      <c r="QX21" s="133" t="s">
        <v>285</v>
      </c>
      <c r="QY21" s="65"/>
      <c r="QZ21" s="66"/>
      <c r="RA21" s="256" t="s">
        <v>31</v>
      </c>
      <c r="RB21" s="257"/>
      <c r="RC21" s="133" t="s">
        <v>285</v>
      </c>
      <c r="RD21" s="65"/>
      <c r="RE21" s="66"/>
      <c r="RF21" s="256" t="s">
        <v>31</v>
      </c>
      <c r="RG21" s="257"/>
      <c r="RH21" s="133" t="s">
        <v>285</v>
      </c>
      <c r="RI21" s="65"/>
      <c r="RJ21" s="66"/>
      <c r="RK21" s="256" t="s">
        <v>31</v>
      </c>
      <c r="RL21" s="257"/>
      <c r="RM21" s="133" t="s">
        <v>285</v>
      </c>
      <c r="RN21" s="65"/>
      <c r="RO21" s="66"/>
      <c r="RP21" s="256" t="s">
        <v>31</v>
      </c>
      <c r="RQ21" s="257"/>
      <c r="RR21" s="133" t="s">
        <v>285</v>
      </c>
      <c r="RS21" s="65"/>
      <c r="RT21" s="66"/>
      <c r="RU21" s="256" t="s">
        <v>31</v>
      </c>
      <c r="RV21" s="257"/>
      <c r="RW21" s="133" t="s">
        <v>285</v>
      </c>
      <c r="RX21" s="65"/>
      <c r="RY21" s="66"/>
      <c r="RZ21" s="256" t="s">
        <v>31</v>
      </c>
      <c r="SA21" s="257"/>
      <c r="SB21" s="133" t="s">
        <v>285</v>
      </c>
      <c r="SC21" s="65"/>
      <c r="SD21" s="66"/>
      <c r="SE21" s="256" t="s">
        <v>31</v>
      </c>
      <c r="SF21" s="257"/>
      <c r="SG21" s="133" t="s">
        <v>285</v>
      </c>
      <c r="SH21" s="65"/>
      <c r="SI21" s="66"/>
      <c r="SJ21" s="256" t="s">
        <v>31</v>
      </c>
      <c r="SK21" s="257"/>
      <c r="SL21" s="133" t="s">
        <v>285</v>
      </c>
      <c r="SM21" s="65"/>
      <c r="SN21" s="66"/>
      <c r="SO21" s="256" t="s">
        <v>31</v>
      </c>
      <c r="SP21" s="257"/>
      <c r="SQ21" s="133" t="s">
        <v>285</v>
      </c>
      <c r="SR21" s="65"/>
      <c r="SS21" s="66"/>
      <c r="ST21" s="256" t="s">
        <v>31</v>
      </c>
      <c r="SU21" s="257"/>
      <c r="SV21" s="133" t="s">
        <v>285</v>
      </c>
      <c r="SW21" s="65"/>
      <c r="SX21" s="66"/>
      <c r="SY21" s="256" t="s">
        <v>31</v>
      </c>
      <c r="SZ21" s="257"/>
      <c r="TA21" s="133" t="s">
        <v>285</v>
      </c>
      <c r="TB21" s="65"/>
      <c r="TC21" s="66"/>
      <c r="TD21" s="256" t="s">
        <v>31</v>
      </c>
      <c r="TE21" s="257"/>
      <c r="TF21" s="133" t="s">
        <v>285</v>
      </c>
      <c r="TG21" s="65"/>
      <c r="TH21" s="66"/>
      <c r="TI21" s="256" t="s">
        <v>31</v>
      </c>
      <c r="TJ21" s="257"/>
      <c r="TK21" s="133" t="s">
        <v>285</v>
      </c>
      <c r="TL21" s="65"/>
      <c r="TM21" s="66"/>
      <c r="TN21" s="256" t="s">
        <v>31</v>
      </c>
      <c r="TO21" s="257"/>
      <c r="TP21" s="133" t="s">
        <v>285</v>
      </c>
      <c r="TQ21" s="65"/>
      <c r="TR21" s="66"/>
      <c r="TS21" s="256" t="s">
        <v>31</v>
      </c>
      <c r="TT21" s="257"/>
      <c r="TU21" s="133" t="s">
        <v>285</v>
      </c>
      <c r="TV21" s="65"/>
      <c r="TW21" s="66"/>
      <c r="TX21" s="256" t="s">
        <v>31</v>
      </c>
      <c r="TY21" s="257"/>
      <c r="TZ21" s="133" t="s">
        <v>285</v>
      </c>
      <c r="UA21" s="65"/>
      <c r="UB21" s="66"/>
      <c r="UC21" s="256" t="s">
        <v>31</v>
      </c>
      <c r="UD21" s="257"/>
      <c r="UE21" s="133" t="s">
        <v>285</v>
      </c>
      <c r="UF21" s="65"/>
      <c r="UG21" s="66"/>
      <c r="UH21" s="256" t="s">
        <v>31</v>
      </c>
      <c r="UI21" s="257"/>
      <c r="UJ21" s="133" t="s">
        <v>285</v>
      </c>
      <c r="UK21" s="65"/>
      <c r="UL21" s="66"/>
      <c r="UM21" s="256" t="s">
        <v>31</v>
      </c>
      <c r="UN21" s="257"/>
      <c r="UO21" s="133" t="s">
        <v>285</v>
      </c>
      <c r="UP21" s="65"/>
      <c r="UQ21" s="66"/>
      <c r="UR21" s="256" t="s">
        <v>31</v>
      </c>
      <c r="US21" s="257"/>
      <c r="UT21" s="133" t="s">
        <v>285</v>
      </c>
      <c r="UU21" s="65"/>
      <c r="UV21" s="66"/>
      <c r="UW21" s="256" t="s">
        <v>31</v>
      </c>
      <c r="UX21" s="257"/>
      <c r="UY21" s="133" t="s">
        <v>285</v>
      </c>
      <c r="UZ21" s="65"/>
      <c r="VA21" s="66"/>
      <c r="VB21" s="256" t="s">
        <v>31</v>
      </c>
      <c r="VC21" s="257"/>
      <c r="VD21" s="133" t="s">
        <v>285</v>
      </c>
      <c r="VE21" s="65"/>
      <c r="VF21" s="66"/>
      <c r="VG21" s="256" t="s">
        <v>31</v>
      </c>
      <c r="VH21" s="257"/>
      <c r="VI21" s="133" t="s">
        <v>285</v>
      </c>
      <c r="VJ21" s="65"/>
      <c r="VK21" s="66"/>
      <c r="VL21" s="256" t="s">
        <v>31</v>
      </c>
      <c r="VM21" s="257"/>
      <c r="VN21" s="133" t="s">
        <v>285</v>
      </c>
      <c r="VO21" s="65"/>
      <c r="VP21" s="66"/>
      <c r="VQ21" s="256" t="s">
        <v>31</v>
      </c>
      <c r="VR21" s="257"/>
      <c r="VS21" s="133" t="s">
        <v>285</v>
      </c>
      <c r="VT21" s="65"/>
      <c r="VU21" s="66"/>
      <c r="VV21" s="256" t="s">
        <v>31</v>
      </c>
      <c r="VW21" s="257"/>
      <c r="VX21" s="133" t="s">
        <v>285</v>
      </c>
      <c r="VY21" s="65"/>
      <c r="VZ21" s="66"/>
      <c r="WA21" s="256" t="s">
        <v>31</v>
      </c>
      <c r="WB21" s="257"/>
      <c r="WC21" s="133" t="s">
        <v>285</v>
      </c>
      <c r="WD21" s="65"/>
      <c r="WE21" s="66"/>
      <c r="WF21" s="256" t="s">
        <v>31</v>
      </c>
      <c r="WG21" s="257"/>
      <c r="WH21" s="133" t="s">
        <v>285</v>
      </c>
      <c r="WI21" s="65"/>
      <c r="WJ21" s="66"/>
      <c r="WK21" s="256" t="s">
        <v>31</v>
      </c>
      <c r="WL21" s="257"/>
      <c r="WM21" s="133" t="s">
        <v>285</v>
      </c>
      <c r="WN21" s="65"/>
      <c r="WO21" s="66"/>
      <c r="WP21" s="256" t="s">
        <v>31</v>
      </c>
      <c r="WQ21" s="257"/>
      <c r="WR21" s="133" t="s">
        <v>285</v>
      </c>
      <c r="WS21" s="65"/>
      <c r="WT21" s="66"/>
      <c r="WU21" s="256" t="s">
        <v>31</v>
      </c>
      <c r="WV21" s="257"/>
      <c r="WW21" s="133" t="s">
        <v>285</v>
      </c>
      <c r="WX21" s="65"/>
      <c r="WY21" s="66"/>
      <c r="WZ21" s="256" t="s">
        <v>31</v>
      </c>
      <c r="XA21" s="257"/>
      <c r="XB21" s="133" t="s">
        <v>285</v>
      </c>
      <c r="XC21" s="65"/>
      <c r="XD21" s="66"/>
      <c r="XE21" s="256" t="s">
        <v>31</v>
      </c>
      <c r="XF21" s="257"/>
      <c r="XG21" s="133" t="s">
        <v>285</v>
      </c>
      <c r="XH21" s="65"/>
      <c r="XI21" s="66"/>
      <c r="XJ21" s="256" t="s">
        <v>31</v>
      </c>
      <c r="XK21" s="257"/>
      <c r="XL21" s="133" t="s">
        <v>285</v>
      </c>
      <c r="XM21" s="65"/>
      <c r="XN21" s="66"/>
      <c r="XO21" s="256" t="s">
        <v>31</v>
      </c>
      <c r="XP21" s="257"/>
      <c r="XQ21" s="133" t="s">
        <v>285</v>
      </c>
      <c r="XR21" s="65"/>
      <c r="XS21" s="66"/>
      <c r="XT21" s="256" t="s">
        <v>52</v>
      </c>
      <c r="XU21" s="257"/>
      <c r="XV21" s="133" t="s">
        <v>285</v>
      </c>
      <c r="XW21" s="65"/>
      <c r="XX21" s="66"/>
      <c r="XY21" s="256" t="s">
        <v>31</v>
      </c>
      <c r="XZ21" s="257"/>
      <c r="YA21" s="133" t="s">
        <v>285</v>
      </c>
      <c r="YB21" s="65"/>
      <c r="YC21" s="66"/>
      <c r="YD21" s="256" t="s">
        <v>31</v>
      </c>
      <c r="YE21" s="257"/>
      <c r="YF21" s="133" t="s">
        <v>285</v>
      </c>
      <c r="YG21" s="65"/>
      <c r="YH21" s="66"/>
      <c r="YI21" s="256" t="s">
        <v>31</v>
      </c>
      <c r="YJ21" s="257"/>
      <c r="YK21" s="133" t="s">
        <v>285</v>
      </c>
      <c r="YL21" s="65"/>
      <c r="YM21" s="66"/>
      <c r="YN21" s="256" t="s">
        <v>31</v>
      </c>
      <c r="YO21" s="257"/>
      <c r="YP21" s="133" t="s">
        <v>285</v>
      </c>
      <c r="YQ21" s="65"/>
      <c r="YR21" s="66"/>
      <c r="YS21" s="256" t="s">
        <v>31</v>
      </c>
      <c r="YT21" s="257"/>
      <c r="YU21" s="133" t="s">
        <v>285</v>
      </c>
      <c r="YV21" s="65"/>
      <c r="YW21" s="66"/>
      <c r="YX21" s="256" t="s">
        <v>31</v>
      </c>
      <c r="YY21" s="257"/>
      <c r="YZ21" s="133" t="s">
        <v>285</v>
      </c>
      <c r="ZA21" s="65"/>
      <c r="ZB21" s="66"/>
      <c r="ZC21" s="256" t="s">
        <v>31</v>
      </c>
      <c r="ZD21" s="257"/>
      <c r="ZE21" s="133" t="s">
        <v>285</v>
      </c>
      <c r="ZF21" s="65"/>
      <c r="ZG21" s="66"/>
      <c r="ZH21" s="256" t="s">
        <v>31</v>
      </c>
      <c r="ZI21" s="257"/>
      <c r="ZJ21" s="133" t="s">
        <v>285</v>
      </c>
      <c r="ZK21" s="65"/>
      <c r="ZL21" s="66"/>
      <c r="ZM21" s="256" t="s">
        <v>31</v>
      </c>
      <c r="ZN21" s="257"/>
      <c r="ZO21" s="133" t="s">
        <v>285</v>
      </c>
      <c r="ZP21" s="65"/>
      <c r="ZQ21" s="66"/>
      <c r="ZR21" s="256" t="s">
        <v>31</v>
      </c>
      <c r="ZS21" s="257"/>
      <c r="ZT21" s="133" t="s">
        <v>285</v>
      </c>
      <c r="ZU21" s="65"/>
      <c r="ZV21" s="66"/>
      <c r="ZW21" s="256" t="s">
        <v>31</v>
      </c>
      <c r="ZX21" s="257"/>
      <c r="ZY21" s="133" t="s">
        <v>285</v>
      </c>
      <c r="ZZ21" s="65"/>
      <c r="AAA21" s="66"/>
      <c r="AAB21" s="256" t="s">
        <v>31</v>
      </c>
      <c r="AAC21" s="257"/>
      <c r="AAD21" s="133" t="s">
        <v>285</v>
      </c>
      <c r="AAE21" s="65"/>
      <c r="AAF21" s="66"/>
      <c r="AAG21" s="256" t="s">
        <v>31</v>
      </c>
      <c r="AAH21" s="257"/>
      <c r="AAI21" s="133" t="s">
        <v>285</v>
      </c>
      <c r="AAJ21" s="65"/>
      <c r="AAK21" s="66"/>
      <c r="AAL21" s="256" t="s">
        <v>31</v>
      </c>
      <c r="AAM21" s="257"/>
      <c r="AAN21" s="133" t="s">
        <v>285</v>
      </c>
      <c r="AAO21" s="65"/>
      <c r="AAP21" s="66"/>
      <c r="AAQ21" s="256" t="s">
        <v>31</v>
      </c>
      <c r="AAR21" s="257"/>
      <c r="AAS21" s="133" t="s">
        <v>285</v>
      </c>
      <c r="AAT21" s="65"/>
      <c r="AAU21" s="66"/>
      <c r="AAV21" s="256" t="s">
        <v>31</v>
      </c>
      <c r="AAW21" s="257"/>
      <c r="AAX21" s="133" t="s">
        <v>285</v>
      </c>
      <c r="AAY21" s="65"/>
      <c r="AAZ21" s="66"/>
      <c r="ABA21" s="256" t="s">
        <v>31</v>
      </c>
      <c r="ABB21" s="257"/>
      <c r="ABC21" s="133" t="s">
        <v>285</v>
      </c>
      <c r="ABD21" s="65"/>
      <c r="ABE21" s="66"/>
      <c r="ABF21" s="256" t="s">
        <v>31</v>
      </c>
      <c r="ABG21" s="257"/>
      <c r="ABH21" s="133" t="s">
        <v>285</v>
      </c>
      <c r="ABI21" s="65"/>
      <c r="ABJ21" s="66"/>
      <c r="ABK21" s="256" t="s">
        <v>31</v>
      </c>
      <c r="ABL21" s="257"/>
      <c r="ABM21" s="133" t="s">
        <v>285</v>
      </c>
      <c r="ABN21" s="65"/>
      <c r="ABO21" s="66"/>
      <c r="ABP21" s="256" t="s">
        <v>31</v>
      </c>
      <c r="ABQ21" s="257"/>
      <c r="ABR21" s="133" t="s">
        <v>285</v>
      </c>
      <c r="ABS21" s="65"/>
      <c r="ABT21" s="66"/>
      <c r="ABU21" s="256" t="s">
        <v>31</v>
      </c>
      <c r="ABV21" s="257"/>
      <c r="ABW21" s="133" t="s">
        <v>285</v>
      </c>
      <c r="ABX21" s="65"/>
      <c r="ABY21" s="66"/>
      <c r="ABZ21" s="256" t="s">
        <v>31</v>
      </c>
      <c r="ACA21" s="257"/>
      <c r="ACB21" s="133" t="s">
        <v>285</v>
      </c>
      <c r="ACC21" s="65"/>
      <c r="ACD21" s="66"/>
      <c r="ACE21" s="256" t="s">
        <v>31</v>
      </c>
      <c r="ACF21" s="257"/>
      <c r="ACG21" s="133" t="s">
        <v>285</v>
      </c>
      <c r="ACH21" s="65"/>
      <c r="ACI21" s="66"/>
      <c r="ACJ21" s="256" t="s">
        <v>31</v>
      </c>
      <c r="ACK21" s="257"/>
      <c r="ACL21" s="133" t="s">
        <v>285</v>
      </c>
      <c r="ACM21" s="65"/>
      <c r="ACN21" s="66"/>
      <c r="ACO21" s="256" t="s">
        <v>31</v>
      </c>
      <c r="ACP21" s="257"/>
      <c r="ACQ21" s="133" t="s">
        <v>285</v>
      </c>
      <c r="ACR21" s="65"/>
      <c r="ACS21" s="66"/>
      <c r="ACT21" s="256" t="s">
        <v>31</v>
      </c>
      <c r="ACU21" s="257"/>
      <c r="ACV21" s="133" t="s">
        <v>285</v>
      </c>
      <c r="ACW21" s="65"/>
      <c r="ACX21" s="66"/>
      <c r="ACY21" s="256" t="s">
        <v>31</v>
      </c>
      <c r="ACZ21" s="257"/>
      <c r="ADA21" s="133" t="s">
        <v>285</v>
      </c>
      <c r="ADB21" s="65"/>
      <c r="ADC21" s="66"/>
      <c r="ADD21" s="256" t="s">
        <v>31</v>
      </c>
      <c r="ADE21" s="257"/>
      <c r="ADF21" s="133" t="s">
        <v>285</v>
      </c>
      <c r="ADG21" s="65"/>
      <c r="ADH21" s="66"/>
      <c r="ADI21" s="256" t="s">
        <v>31</v>
      </c>
      <c r="ADJ21" s="257"/>
      <c r="ADK21" s="133" t="s">
        <v>285</v>
      </c>
      <c r="ADL21" s="65"/>
      <c r="ADM21" s="66"/>
      <c r="ADN21" s="256" t="s">
        <v>31</v>
      </c>
      <c r="ADO21" s="257"/>
      <c r="ADP21" s="133" t="s">
        <v>285</v>
      </c>
      <c r="ADQ21" s="65"/>
      <c r="ADR21" s="66"/>
      <c r="ADS21" s="256" t="s">
        <v>31</v>
      </c>
      <c r="ADT21" s="257"/>
      <c r="ADU21" s="133" t="s">
        <v>285</v>
      </c>
      <c r="ADV21" s="65"/>
      <c r="ADW21" s="66"/>
      <c r="ADX21" s="256" t="s">
        <v>31</v>
      </c>
      <c r="ADY21" s="257"/>
      <c r="ADZ21" s="133" t="s">
        <v>285</v>
      </c>
      <c r="AEA21" s="65"/>
      <c r="AEB21" s="66"/>
      <c r="AEC21" s="256" t="s">
        <v>31</v>
      </c>
      <c r="AED21" s="257"/>
      <c r="AEE21" s="133" t="s">
        <v>285</v>
      </c>
      <c r="AEF21" s="65"/>
      <c r="AEG21" s="66"/>
      <c r="AEH21" s="256" t="s">
        <v>31</v>
      </c>
      <c r="AEI21" s="257"/>
      <c r="AEJ21" s="133" t="s">
        <v>285</v>
      </c>
      <c r="AEK21" s="65"/>
      <c r="AEL21" s="66"/>
      <c r="AEM21" s="256" t="s">
        <v>31</v>
      </c>
      <c r="AEN21" s="257"/>
      <c r="AEO21" s="133" t="s">
        <v>285</v>
      </c>
      <c r="AEP21" s="65"/>
      <c r="AEQ21" s="66"/>
      <c r="AER21" s="256" t="s">
        <v>52</v>
      </c>
      <c r="AES21" s="257"/>
      <c r="AET21" s="133" t="s">
        <v>285</v>
      </c>
      <c r="AEU21" s="65"/>
      <c r="AEV21" s="66"/>
      <c r="AEW21" s="256" t="s">
        <v>31</v>
      </c>
      <c r="AEX21" s="257"/>
      <c r="AEY21" s="133" t="s">
        <v>285</v>
      </c>
      <c r="AEZ21" s="65"/>
      <c r="AFA21" s="66"/>
      <c r="AFB21" s="256" t="s">
        <v>31</v>
      </c>
      <c r="AFC21" s="257"/>
      <c r="AFD21" s="133" t="s">
        <v>285</v>
      </c>
      <c r="AFE21" s="65"/>
      <c r="AFF21" s="66"/>
      <c r="AFG21" s="256" t="s">
        <v>31</v>
      </c>
      <c r="AFH21" s="257"/>
      <c r="AFI21" s="133" t="s">
        <v>285</v>
      </c>
      <c r="AFJ21" s="65"/>
      <c r="AFK21" s="66"/>
      <c r="AFL21" s="256" t="s">
        <v>31</v>
      </c>
      <c r="AFM21" s="257"/>
      <c r="AFN21" s="133" t="s">
        <v>285</v>
      </c>
      <c r="AFO21" s="65"/>
      <c r="AFP21" s="66"/>
      <c r="AFQ21" s="256" t="s">
        <v>31</v>
      </c>
      <c r="AFR21" s="257"/>
      <c r="AFS21" s="133" t="s">
        <v>285</v>
      </c>
      <c r="AFT21" s="65"/>
      <c r="AFU21" s="66"/>
      <c r="AFV21" s="256" t="s">
        <v>31</v>
      </c>
      <c r="AFW21" s="257"/>
      <c r="AFX21" s="133" t="s">
        <v>285</v>
      </c>
      <c r="AFY21" s="65"/>
      <c r="AFZ21" s="66"/>
      <c r="AGA21" s="256" t="s">
        <v>31</v>
      </c>
      <c r="AGB21" s="257"/>
      <c r="AGC21" s="133" t="s">
        <v>285</v>
      </c>
      <c r="AGD21" s="65"/>
      <c r="AGE21" s="66"/>
      <c r="AGF21" s="256" t="s">
        <v>31</v>
      </c>
      <c r="AGG21" s="257"/>
      <c r="AGH21" s="133" t="s">
        <v>285</v>
      </c>
      <c r="AGI21" s="65"/>
      <c r="AGJ21" s="66"/>
      <c r="AGK21" s="256" t="s">
        <v>31</v>
      </c>
      <c r="AGL21" s="257"/>
      <c r="AGM21" s="133" t="s">
        <v>285</v>
      </c>
      <c r="AGN21" s="65"/>
      <c r="AGO21" s="66"/>
      <c r="AGP21" s="256" t="s">
        <v>31</v>
      </c>
      <c r="AGQ21" s="257"/>
      <c r="AGR21" s="133" t="s">
        <v>285</v>
      </c>
      <c r="AGS21" s="65"/>
      <c r="AGT21" s="66"/>
      <c r="AGU21" s="256" t="s">
        <v>31</v>
      </c>
      <c r="AGV21" s="257"/>
      <c r="AGW21" s="133" t="s">
        <v>285</v>
      </c>
      <c r="AGX21" s="65"/>
      <c r="AGY21" s="66"/>
      <c r="AGZ21" s="256" t="s">
        <v>31</v>
      </c>
      <c r="AHA21" s="257"/>
      <c r="AHB21" s="133" t="s">
        <v>285</v>
      </c>
      <c r="AHC21" s="65"/>
      <c r="AHD21" s="66"/>
      <c r="AHE21" s="256" t="s">
        <v>31</v>
      </c>
      <c r="AHF21" s="257"/>
      <c r="AHG21" s="133" t="s">
        <v>285</v>
      </c>
      <c r="AHH21" s="65"/>
      <c r="AHI21" s="66"/>
      <c r="AHJ21" s="256" t="s">
        <v>31</v>
      </c>
      <c r="AHK21" s="257"/>
      <c r="AHL21" s="133" t="s">
        <v>285</v>
      </c>
      <c r="AHM21" s="65"/>
      <c r="AHN21" s="66"/>
      <c r="AHO21" s="256" t="s">
        <v>31</v>
      </c>
      <c r="AHP21" s="257"/>
      <c r="AHQ21" s="133" t="s">
        <v>285</v>
      </c>
      <c r="AHR21" s="65"/>
      <c r="AHS21" s="66"/>
      <c r="AHT21" s="256" t="s">
        <v>31</v>
      </c>
      <c r="AHU21" s="257"/>
      <c r="AHV21" s="133" t="s">
        <v>285</v>
      </c>
      <c r="AHW21" s="65"/>
      <c r="AHX21" s="66"/>
      <c r="AHY21" s="256" t="s">
        <v>31</v>
      </c>
      <c r="AHZ21" s="257"/>
      <c r="AIA21" s="133" t="s">
        <v>285</v>
      </c>
      <c r="AIB21" s="65"/>
      <c r="AIC21" s="66"/>
      <c r="AID21" s="256" t="s">
        <v>31</v>
      </c>
      <c r="AIE21" s="257"/>
      <c r="AIF21" s="133" t="s">
        <v>285</v>
      </c>
      <c r="AIG21" s="65"/>
      <c r="AIH21" s="66"/>
      <c r="AII21" s="256" t="s">
        <v>31</v>
      </c>
      <c r="AIJ21" s="257"/>
      <c r="AIK21" s="133" t="s">
        <v>285</v>
      </c>
      <c r="AIL21" s="65"/>
      <c r="AIM21" s="66"/>
      <c r="AIN21" s="256" t="s">
        <v>31</v>
      </c>
      <c r="AIO21" s="257"/>
      <c r="AIP21" s="133" t="s">
        <v>285</v>
      </c>
      <c r="AIQ21" s="65"/>
      <c r="AIR21" s="66"/>
      <c r="AIS21" s="256" t="s">
        <v>31</v>
      </c>
      <c r="AIT21" s="257"/>
      <c r="AIU21" s="133" t="s">
        <v>285</v>
      </c>
      <c r="AIV21" s="65"/>
      <c r="AIW21" s="66"/>
      <c r="AIX21" s="256" t="s">
        <v>31</v>
      </c>
      <c r="AIY21" s="257"/>
      <c r="AIZ21" s="133" t="s">
        <v>285</v>
      </c>
      <c r="AJA21" s="65"/>
      <c r="AJB21" s="66"/>
      <c r="AJC21" s="256" t="s">
        <v>31</v>
      </c>
      <c r="AJD21" s="257"/>
      <c r="AJE21" s="133" t="s">
        <v>285</v>
      </c>
      <c r="AJF21" s="65"/>
      <c r="AJG21" s="66"/>
      <c r="AJH21" s="256" t="s">
        <v>31</v>
      </c>
      <c r="AJI21" s="257"/>
      <c r="AJJ21" s="133" t="s">
        <v>285</v>
      </c>
      <c r="AJK21" s="65"/>
      <c r="AJL21" s="66"/>
      <c r="AJM21" s="256" t="s">
        <v>31</v>
      </c>
      <c r="AJN21" s="257"/>
      <c r="AJO21" s="133" t="s">
        <v>285</v>
      </c>
      <c r="AJP21" s="65"/>
      <c r="AJQ21" s="66"/>
      <c r="AJR21" s="256" t="s">
        <v>31</v>
      </c>
      <c r="AJS21" s="257"/>
      <c r="AJT21" s="133" t="s">
        <v>285</v>
      </c>
      <c r="AJU21" s="65"/>
      <c r="AJV21" s="66"/>
      <c r="AJW21" s="256" t="s">
        <v>31</v>
      </c>
      <c r="AJX21" s="257"/>
      <c r="AJY21" s="133" t="s">
        <v>285</v>
      </c>
      <c r="AJZ21" s="65"/>
      <c r="AKA21" s="66"/>
      <c r="AKB21" s="256" t="s">
        <v>31</v>
      </c>
      <c r="AKC21" s="257"/>
      <c r="AKD21" s="133" t="s">
        <v>285</v>
      </c>
      <c r="AKE21" s="65"/>
      <c r="AKF21" s="66"/>
      <c r="AKG21" s="256" t="s">
        <v>31</v>
      </c>
      <c r="AKH21" s="257"/>
      <c r="AKI21" s="133" t="s">
        <v>285</v>
      </c>
      <c r="AKJ21" s="65"/>
      <c r="AKK21" s="66"/>
      <c r="AKL21" s="256" t="s">
        <v>31</v>
      </c>
      <c r="AKM21" s="257"/>
      <c r="AKN21" s="133" t="s">
        <v>285</v>
      </c>
      <c r="AKO21" s="65"/>
      <c r="AKP21" s="66"/>
      <c r="AKQ21" s="256" t="s">
        <v>31</v>
      </c>
      <c r="AKR21" s="257"/>
      <c r="AKS21" s="133" t="s">
        <v>285</v>
      </c>
      <c r="AKT21" s="65"/>
      <c r="AKU21" s="66"/>
      <c r="AKV21" s="256" t="s">
        <v>31</v>
      </c>
      <c r="AKW21" s="257"/>
      <c r="AKX21" s="133" t="s">
        <v>285</v>
      </c>
      <c r="AKY21" s="65"/>
      <c r="AKZ21" s="66"/>
      <c r="ALA21" s="256" t="s">
        <v>31</v>
      </c>
      <c r="ALB21" s="257"/>
      <c r="ALC21" s="133" t="s">
        <v>285</v>
      </c>
      <c r="ALD21" s="65"/>
      <c r="ALE21" s="66"/>
      <c r="ALF21" s="256" t="s">
        <v>31</v>
      </c>
      <c r="ALG21" s="257"/>
      <c r="ALH21" s="133" t="s">
        <v>285</v>
      </c>
      <c r="ALI21" s="65"/>
      <c r="ALJ21" s="66"/>
      <c r="ALK21" s="256" t="s">
        <v>31</v>
      </c>
      <c r="ALL21" s="257"/>
      <c r="ALM21" s="133" t="s">
        <v>285</v>
      </c>
      <c r="ALN21" s="65"/>
      <c r="ALO21" s="66"/>
      <c r="ALP21" s="256" t="s">
        <v>31</v>
      </c>
      <c r="ALQ21" s="257"/>
      <c r="ALR21" s="133" t="s">
        <v>285</v>
      </c>
      <c r="ALS21" s="65"/>
      <c r="ALT21" s="66"/>
      <c r="ALU21" s="256" t="s">
        <v>31</v>
      </c>
      <c r="ALV21" s="257"/>
      <c r="ALW21" s="133" t="s">
        <v>285</v>
      </c>
      <c r="ALX21" s="65"/>
      <c r="ALY21" s="66"/>
      <c r="ALZ21" s="256" t="s">
        <v>31</v>
      </c>
      <c r="AMA21" s="257"/>
      <c r="AMB21" s="133" t="s">
        <v>285</v>
      </c>
      <c r="AMC21" s="65"/>
      <c r="AMD21" s="66"/>
      <c r="AME21" s="256" t="s">
        <v>31</v>
      </c>
      <c r="AMF21" s="257"/>
      <c r="AMG21" s="133" t="s">
        <v>285</v>
      </c>
      <c r="AMH21" s="65"/>
      <c r="AMI21" s="66"/>
      <c r="AMJ21" s="256" t="s">
        <v>31</v>
      </c>
      <c r="AMK21" s="257"/>
      <c r="AML21" s="133" t="s">
        <v>285</v>
      </c>
      <c r="AMM21" s="65"/>
      <c r="AMN21" s="66"/>
      <c r="AMO21" s="256" t="s">
        <v>31</v>
      </c>
      <c r="AMP21" s="257"/>
      <c r="AMQ21" s="133" t="s">
        <v>285</v>
      </c>
      <c r="AMR21" s="65"/>
      <c r="AMS21" s="66"/>
      <c r="AMT21" s="256" t="s">
        <v>31</v>
      </c>
      <c r="AMU21" s="257"/>
      <c r="AMV21" s="133" t="s">
        <v>285</v>
      </c>
      <c r="AMW21" s="65"/>
      <c r="AMX21" s="66"/>
      <c r="AMY21" s="256" t="s">
        <v>31</v>
      </c>
      <c r="AMZ21" s="257"/>
      <c r="ANA21" s="133" t="s">
        <v>285</v>
      </c>
      <c r="ANB21" s="65"/>
      <c r="ANC21" s="66"/>
      <c r="AND21" s="256" t="s">
        <v>31</v>
      </c>
      <c r="ANE21" s="257"/>
      <c r="ANF21" s="133" t="s">
        <v>285</v>
      </c>
      <c r="ANG21" s="65"/>
      <c r="ANH21" s="66"/>
      <c r="ANI21" s="256" t="s">
        <v>31</v>
      </c>
      <c r="ANJ21" s="257"/>
      <c r="ANK21" s="133" t="s">
        <v>285</v>
      </c>
      <c r="ANL21" s="65"/>
      <c r="ANM21" s="66"/>
      <c r="ANN21" s="256" t="s">
        <v>31</v>
      </c>
      <c r="ANO21" s="257"/>
      <c r="ANP21" s="133" t="s">
        <v>285</v>
      </c>
      <c r="ANQ21" s="65"/>
      <c r="ANR21" s="66"/>
      <c r="ANS21" s="256" t="s">
        <v>31</v>
      </c>
      <c r="ANT21" s="257"/>
      <c r="ANU21" s="133" t="s">
        <v>285</v>
      </c>
      <c r="ANV21" s="65"/>
      <c r="ANW21" s="66"/>
      <c r="ANX21" s="256" t="s">
        <v>31</v>
      </c>
      <c r="ANY21" s="257"/>
      <c r="ANZ21" s="133" t="s">
        <v>285</v>
      </c>
      <c r="AOA21" s="65"/>
      <c r="AOB21" s="66"/>
      <c r="AOC21" s="256" t="s">
        <v>31</v>
      </c>
      <c r="AOD21" s="257"/>
      <c r="AOE21" s="133" t="s">
        <v>285</v>
      </c>
      <c r="AOF21" s="65"/>
      <c r="AOG21" s="66"/>
      <c r="AOH21" s="256" t="s">
        <v>31</v>
      </c>
      <c r="AOI21" s="257"/>
      <c r="AOJ21" s="133" t="s">
        <v>285</v>
      </c>
      <c r="AOK21" s="65"/>
      <c r="AOL21" s="66"/>
      <c r="AOM21" s="256" t="s">
        <v>31</v>
      </c>
      <c r="AON21" s="257"/>
      <c r="AOO21" s="133" t="s">
        <v>285</v>
      </c>
      <c r="AOP21" s="65"/>
      <c r="AOQ21" s="66"/>
      <c r="AOR21" s="256" t="s">
        <v>31</v>
      </c>
      <c r="AOS21" s="257"/>
      <c r="AOT21" s="133" t="s">
        <v>285</v>
      </c>
      <c r="AOU21" s="65"/>
      <c r="AOV21" s="66"/>
      <c r="AOW21" s="256" t="s">
        <v>31</v>
      </c>
      <c r="AOX21" s="257"/>
      <c r="AOY21" s="133" t="s">
        <v>285</v>
      </c>
      <c r="AOZ21" s="65"/>
      <c r="APA21" s="66"/>
      <c r="APB21" s="256" t="s">
        <v>31</v>
      </c>
      <c r="APC21" s="257"/>
      <c r="APD21" s="133" t="s">
        <v>285</v>
      </c>
      <c r="APE21" s="65"/>
      <c r="APF21" s="66"/>
      <c r="APG21" s="256" t="s">
        <v>31</v>
      </c>
      <c r="APH21" s="257"/>
      <c r="API21" s="133" t="s">
        <v>285</v>
      </c>
      <c r="APJ21" s="65"/>
      <c r="APK21" s="66"/>
      <c r="APL21" s="256" t="s">
        <v>31</v>
      </c>
      <c r="APM21" s="257"/>
      <c r="APN21" s="133" t="s">
        <v>285</v>
      </c>
      <c r="APO21" s="65"/>
      <c r="APP21" s="66"/>
      <c r="APQ21" s="256" t="s">
        <v>31</v>
      </c>
      <c r="APR21" s="257"/>
      <c r="APS21" s="133" t="s">
        <v>285</v>
      </c>
      <c r="APT21" s="65"/>
      <c r="APU21" s="66"/>
      <c r="APV21" s="256" t="s">
        <v>31</v>
      </c>
      <c r="APW21" s="257"/>
      <c r="APX21" s="133" t="s">
        <v>285</v>
      </c>
      <c r="APY21" s="65"/>
      <c r="APZ21" s="66"/>
      <c r="AQA21" s="256" t="s">
        <v>31</v>
      </c>
      <c r="AQB21" s="257"/>
      <c r="AQC21" s="133" t="s">
        <v>285</v>
      </c>
      <c r="AQD21" s="65"/>
      <c r="AQE21" s="66"/>
      <c r="AQF21" s="256" t="s">
        <v>31</v>
      </c>
      <c r="AQG21" s="257"/>
      <c r="AQH21" s="133" t="s">
        <v>285</v>
      </c>
      <c r="AQI21" s="65"/>
      <c r="AQJ21" s="66"/>
      <c r="AQK21" s="256" t="s">
        <v>31</v>
      </c>
      <c r="AQL21" s="257"/>
      <c r="AQM21" s="133" t="s">
        <v>285</v>
      </c>
      <c r="AQN21" s="65"/>
      <c r="AQO21" s="66"/>
      <c r="AQP21" s="256" t="s">
        <v>31</v>
      </c>
      <c r="AQQ21" s="257"/>
      <c r="AQR21" s="133" t="s">
        <v>285</v>
      </c>
      <c r="AQS21" s="65"/>
      <c r="AQT21" s="66"/>
      <c r="AQU21" s="256" t="s">
        <v>31</v>
      </c>
      <c r="AQV21" s="257"/>
      <c r="AQW21" s="133" t="s">
        <v>285</v>
      </c>
      <c r="AQX21" s="65"/>
      <c r="AQY21" s="66"/>
      <c r="AQZ21" s="256" t="s">
        <v>31</v>
      </c>
      <c r="ARA21" s="257"/>
      <c r="ARB21" s="133" t="s">
        <v>285</v>
      </c>
      <c r="ARC21" s="65"/>
      <c r="ARD21" s="66"/>
      <c r="ARE21" s="256" t="s">
        <v>31</v>
      </c>
      <c r="ARF21" s="257"/>
      <c r="ARG21" s="133" t="s">
        <v>285</v>
      </c>
      <c r="ARH21" s="65"/>
      <c r="ARI21" s="66"/>
      <c r="ARJ21" s="256" t="s">
        <v>31</v>
      </c>
      <c r="ARK21" s="257"/>
      <c r="ARL21" s="133" t="s">
        <v>285</v>
      </c>
      <c r="ARM21" s="65"/>
      <c r="ARN21" s="66"/>
      <c r="ARO21" s="256" t="s">
        <v>31</v>
      </c>
      <c r="ARP21" s="257"/>
      <c r="ARQ21" s="133" t="s">
        <v>285</v>
      </c>
      <c r="ARR21" s="65"/>
      <c r="ARS21" s="66"/>
      <c r="ART21" s="256" t="s">
        <v>31</v>
      </c>
      <c r="ARU21" s="257"/>
      <c r="ARV21" s="133" t="s">
        <v>285</v>
      </c>
      <c r="ARW21" s="65"/>
      <c r="ARX21" s="66"/>
      <c r="ARY21" s="256" t="s">
        <v>31</v>
      </c>
      <c r="ARZ21" s="257"/>
      <c r="ASA21" s="133" t="s">
        <v>285</v>
      </c>
      <c r="ASB21" s="65"/>
      <c r="ASC21" s="66"/>
      <c r="ASD21" s="256" t="s">
        <v>31</v>
      </c>
      <c r="ASE21" s="257"/>
      <c r="ASF21" s="133" t="s">
        <v>285</v>
      </c>
      <c r="ASG21" s="65"/>
      <c r="ASH21" s="66"/>
      <c r="ASI21" s="256" t="s">
        <v>31</v>
      </c>
      <c r="ASJ21" s="257"/>
      <c r="ASK21" s="133" t="s">
        <v>285</v>
      </c>
      <c r="ASL21" s="65"/>
      <c r="ASM21" s="66"/>
      <c r="ASN21" s="256" t="s">
        <v>31</v>
      </c>
      <c r="ASO21" s="257"/>
      <c r="ASP21" s="133" t="s">
        <v>285</v>
      </c>
      <c r="ASQ21" s="65"/>
      <c r="ASR21" s="66"/>
      <c r="ASS21" s="256" t="s">
        <v>31</v>
      </c>
      <c r="AST21" s="257"/>
      <c r="ASU21" s="133" t="s">
        <v>285</v>
      </c>
      <c r="ASV21" s="65"/>
      <c r="ASW21" s="66"/>
      <c r="ASX21" s="256" t="s">
        <v>31</v>
      </c>
      <c r="ASY21" s="257"/>
      <c r="ASZ21" s="133" t="s">
        <v>285</v>
      </c>
      <c r="ATA21" s="65"/>
      <c r="ATB21" s="66"/>
      <c r="ATC21" s="256" t="s">
        <v>31</v>
      </c>
      <c r="ATD21" s="257"/>
      <c r="ATE21" s="133" t="s">
        <v>285</v>
      </c>
      <c r="ATF21" s="65"/>
      <c r="ATG21" s="66"/>
      <c r="ATH21" s="256" t="s">
        <v>31</v>
      </c>
      <c r="ATI21" s="257"/>
      <c r="ATJ21" s="64" t="s">
        <v>90</v>
      </c>
      <c r="ATK21" s="65"/>
      <c r="ATL21" s="66"/>
      <c r="ATM21" s="256" t="s">
        <v>31</v>
      </c>
      <c r="ATN21" s="257"/>
      <c r="ATO21" s="64" t="s">
        <v>90</v>
      </c>
      <c r="ATP21" s="65"/>
      <c r="ATQ21" s="66"/>
      <c r="ATR21" s="256" t="s">
        <v>31</v>
      </c>
      <c r="ATS21" s="257"/>
      <c r="ATT21" s="64" t="s">
        <v>90</v>
      </c>
      <c r="ATU21" s="65"/>
      <c r="ATV21" s="66"/>
      <c r="ATW21" s="256" t="s">
        <v>31</v>
      </c>
      <c r="ATX21" s="257"/>
      <c r="ATY21" s="64" t="s">
        <v>90</v>
      </c>
      <c r="ATZ21" s="65"/>
      <c r="AUA21" s="66"/>
      <c r="AUB21" s="256" t="s">
        <v>31</v>
      </c>
      <c r="AUC21" s="257"/>
      <c r="AUD21" s="64" t="s">
        <v>90</v>
      </c>
      <c r="AUE21" s="65"/>
      <c r="AUF21" s="66"/>
      <c r="AUG21" s="256" t="s">
        <v>31</v>
      </c>
      <c r="AUH21" s="257"/>
      <c r="AUI21" s="64" t="s">
        <v>90</v>
      </c>
      <c r="AUJ21" s="65"/>
      <c r="AUK21" s="66"/>
      <c r="AUL21" s="256" t="s">
        <v>31</v>
      </c>
      <c r="AUM21" s="257"/>
      <c r="AUN21" s="64" t="s">
        <v>90</v>
      </c>
      <c r="AUO21" s="65"/>
      <c r="AUP21" s="66"/>
      <c r="AUQ21" s="256" t="s">
        <v>31</v>
      </c>
      <c r="AUR21" s="257"/>
      <c r="AUS21" s="64" t="s">
        <v>90</v>
      </c>
      <c r="AUT21" s="65"/>
      <c r="AUU21" s="66"/>
      <c r="AUV21" s="256" t="s">
        <v>31</v>
      </c>
      <c r="AUW21" s="257"/>
      <c r="AUX21" s="64" t="s">
        <v>90</v>
      </c>
      <c r="AUY21" s="65"/>
      <c r="AUZ21" s="66"/>
      <c r="AVA21" s="256" t="s">
        <v>52</v>
      </c>
      <c r="AVB21" s="257"/>
      <c r="AVC21" s="64" t="s">
        <v>90</v>
      </c>
      <c r="AVD21" s="65"/>
      <c r="AVE21" s="66"/>
      <c r="AVF21" s="256" t="s">
        <v>31</v>
      </c>
      <c r="AVG21" s="257"/>
      <c r="AVH21" s="64" t="s">
        <v>90</v>
      </c>
      <c r="AVI21" s="65"/>
      <c r="AVJ21" s="66"/>
      <c r="AVK21" s="256" t="s">
        <v>31</v>
      </c>
      <c r="AVL21" s="257"/>
      <c r="AVM21" s="64" t="s">
        <v>90</v>
      </c>
      <c r="AVN21" s="65"/>
      <c r="AVO21" s="66"/>
      <c r="AVP21" s="256" t="s">
        <v>31</v>
      </c>
      <c r="AVQ21" s="257"/>
      <c r="AVR21" s="64" t="s">
        <v>90</v>
      </c>
      <c r="AVS21" s="65"/>
      <c r="AVT21" s="66"/>
      <c r="AVU21" s="256" t="s">
        <v>31</v>
      </c>
      <c r="AVV21" s="257"/>
      <c r="AVW21" s="64" t="s">
        <v>90</v>
      </c>
      <c r="AVX21" s="65"/>
      <c r="AVY21" s="66"/>
      <c r="AVZ21" s="256" t="s">
        <v>31</v>
      </c>
      <c r="AWA21" s="257"/>
      <c r="AWB21" s="64" t="s">
        <v>90</v>
      </c>
      <c r="AWC21" s="65"/>
      <c r="AWD21" s="66"/>
      <c r="AWE21" s="256" t="s">
        <v>31</v>
      </c>
      <c r="AWF21" s="257"/>
      <c r="AWG21" s="64" t="s">
        <v>90</v>
      </c>
      <c r="AWH21" s="65"/>
      <c r="AWI21" s="66"/>
      <c r="AWJ21" s="256" t="s">
        <v>31</v>
      </c>
      <c r="AWK21" s="257"/>
      <c r="AWL21" s="64" t="s">
        <v>90</v>
      </c>
      <c r="AWM21" s="65"/>
      <c r="AWN21" s="66"/>
      <c r="AWO21" s="256" t="s">
        <v>31</v>
      </c>
      <c r="AWP21" s="257"/>
      <c r="AWQ21" s="64" t="s">
        <v>90</v>
      </c>
      <c r="AWR21" s="65"/>
      <c r="AWS21" s="66"/>
      <c r="AWT21" s="256" t="s">
        <v>31</v>
      </c>
      <c r="AWU21" s="257"/>
      <c r="AWV21" s="64" t="s">
        <v>90</v>
      </c>
      <c r="AWW21" s="65"/>
      <c r="AWX21" s="66"/>
      <c r="AWY21" s="256" t="s">
        <v>31</v>
      </c>
      <c r="AWZ21" s="257"/>
      <c r="AXA21" s="64" t="s">
        <v>90</v>
      </c>
      <c r="AXB21" s="65"/>
      <c r="AXC21" s="66"/>
      <c r="AXD21" s="256" t="s">
        <v>31</v>
      </c>
      <c r="AXE21" s="257"/>
      <c r="AXF21" s="64" t="s">
        <v>90</v>
      </c>
      <c r="AXG21" s="65"/>
      <c r="AXH21" s="66"/>
      <c r="AXI21" s="256" t="s">
        <v>31</v>
      </c>
      <c r="AXJ21" s="257"/>
      <c r="AXK21" s="64" t="s">
        <v>90</v>
      </c>
      <c r="AXL21" s="65"/>
      <c r="AXM21" s="66"/>
      <c r="AXN21" s="256" t="s">
        <v>31</v>
      </c>
      <c r="AXO21" s="257"/>
      <c r="AXP21" s="64" t="s">
        <v>90</v>
      </c>
      <c r="AXQ21" s="65"/>
      <c r="AXR21" s="66"/>
      <c r="AXS21" s="256" t="s">
        <v>31</v>
      </c>
      <c r="AXT21" s="257"/>
      <c r="AXU21" s="64" t="s">
        <v>90</v>
      </c>
      <c r="AXV21" s="65"/>
      <c r="AXW21" s="66"/>
      <c r="AXX21" s="256" t="s">
        <v>31</v>
      </c>
      <c r="AXY21" s="257"/>
      <c r="AXZ21" s="64" t="s">
        <v>90</v>
      </c>
      <c r="AYA21" s="65"/>
      <c r="AYB21" s="66"/>
      <c r="AYC21" s="256" t="s">
        <v>31</v>
      </c>
      <c r="AYD21" s="257"/>
      <c r="AYE21" s="64" t="s">
        <v>90</v>
      </c>
      <c r="AYF21" s="65"/>
      <c r="AYG21" s="66"/>
      <c r="AYH21" s="256" t="s">
        <v>31</v>
      </c>
      <c r="AYI21" s="257"/>
      <c r="AYJ21" s="64" t="s">
        <v>90</v>
      </c>
      <c r="AYK21" s="65"/>
      <c r="AYL21" s="66"/>
      <c r="AYM21" s="256" t="s">
        <v>31</v>
      </c>
      <c r="AYN21" s="257"/>
      <c r="AYO21" s="64" t="s">
        <v>90</v>
      </c>
      <c r="AYP21" s="65"/>
      <c r="AYQ21" s="66"/>
      <c r="AYR21" s="256" t="s">
        <v>31</v>
      </c>
      <c r="AYS21" s="257"/>
      <c r="AYT21" s="64" t="s">
        <v>90</v>
      </c>
      <c r="AYU21" s="65"/>
      <c r="AYV21" s="66"/>
      <c r="AYW21" s="256" t="s">
        <v>31</v>
      </c>
      <c r="AYX21" s="257"/>
      <c r="AYY21" s="64" t="s">
        <v>90</v>
      </c>
      <c r="AYZ21" s="65"/>
      <c r="AZA21" s="66"/>
      <c r="AZB21" s="256" t="s">
        <v>31</v>
      </c>
      <c r="AZC21" s="257"/>
      <c r="AZD21" s="64" t="s">
        <v>90</v>
      </c>
      <c r="AZE21" s="65"/>
      <c r="AZF21" s="66"/>
      <c r="AZG21" s="256" t="s">
        <v>31</v>
      </c>
      <c r="AZH21" s="257"/>
      <c r="AZI21" s="64" t="s">
        <v>90</v>
      </c>
      <c r="AZJ21" s="65"/>
      <c r="AZK21" s="66"/>
      <c r="AZL21" s="256" t="s">
        <v>31</v>
      </c>
      <c r="AZM21" s="257"/>
      <c r="AZN21" s="64" t="s">
        <v>90</v>
      </c>
      <c r="AZO21" s="65"/>
      <c r="AZP21" s="66"/>
      <c r="AZQ21" s="256" t="s">
        <v>31</v>
      </c>
      <c r="AZR21" s="257"/>
      <c r="AZS21" s="64" t="s">
        <v>90</v>
      </c>
      <c r="AZT21" s="65"/>
      <c r="AZU21" s="66"/>
      <c r="AZV21" s="256" t="s">
        <v>31</v>
      </c>
      <c r="AZW21" s="257"/>
      <c r="AZX21" s="64" t="s">
        <v>90</v>
      </c>
      <c r="AZY21" s="65"/>
      <c r="AZZ21" s="66"/>
      <c r="BAA21" s="256" t="s">
        <v>31</v>
      </c>
      <c r="BAB21" s="257"/>
      <c r="BAC21" s="64" t="s">
        <v>90</v>
      </c>
      <c r="BAD21" s="65"/>
      <c r="BAE21" s="66"/>
      <c r="BAF21" s="256" t="s">
        <v>31</v>
      </c>
      <c r="BAG21" s="257"/>
      <c r="BAH21" s="64" t="s">
        <v>90</v>
      </c>
      <c r="BAI21" s="65"/>
      <c r="BAJ21" s="66"/>
      <c r="BAK21" s="256" t="s">
        <v>31</v>
      </c>
      <c r="BAL21" s="257"/>
      <c r="BAM21" s="64" t="s">
        <v>90</v>
      </c>
      <c r="BAN21" s="65"/>
      <c r="BAO21" s="66"/>
      <c r="BAP21" s="256" t="s">
        <v>31</v>
      </c>
      <c r="BAQ21" s="257"/>
      <c r="BAR21" s="64" t="s">
        <v>90</v>
      </c>
      <c r="BAS21" s="65"/>
      <c r="BAT21" s="66"/>
      <c r="BAU21" s="256" t="s">
        <v>31</v>
      </c>
      <c r="BAV21" s="257"/>
      <c r="BAW21" s="64" t="s">
        <v>90</v>
      </c>
      <c r="BAX21" s="65"/>
      <c r="BAY21" s="66"/>
      <c r="BAZ21" s="256" t="s">
        <v>31</v>
      </c>
      <c r="BBA21" s="257"/>
      <c r="BBB21" s="64" t="s">
        <v>90</v>
      </c>
      <c r="BBC21" s="65"/>
      <c r="BBD21" s="66"/>
      <c r="BBE21" s="256" t="s">
        <v>31</v>
      </c>
      <c r="BBF21" s="257"/>
      <c r="BBG21" s="64" t="s">
        <v>90</v>
      </c>
      <c r="BBH21" s="65"/>
      <c r="BBI21" s="66"/>
      <c r="BBJ21" s="256" t="s">
        <v>31</v>
      </c>
      <c r="BBK21" s="257"/>
      <c r="BBL21" s="64" t="s">
        <v>90</v>
      </c>
      <c r="BBM21" s="65"/>
      <c r="BBN21" s="66"/>
      <c r="BBO21" s="256" t="s">
        <v>31</v>
      </c>
      <c r="BBP21" s="257"/>
      <c r="BBQ21" s="64" t="s">
        <v>90</v>
      </c>
      <c r="BBR21" s="65"/>
      <c r="BBS21" s="66"/>
      <c r="BBT21" s="256" t="s">
        <v>31</v>
      </c>
      <c r="BBU21" s="257"/>
      <c r="BBV21" s="64" t="s">
        <v>90</v>
      </c>
      <c r="BBW21" s="65"/>
      <c r="BBX21" s="66"/>
      <c r="BBY21" s="256" t="s">
        <v>31</v>
      </c>
      <c r="BBZ21" s="257"/>
      <c r="BCA21" s="64" t="s">
        <v>90</v>
      </c>
      <c r="BCB21" s="65"/>
      <c r="BCC21" s="66"/>
      <c r="BCD21" s="256" t="s">
        <v>31</v>
      </c>
      <c r="BCE21" s="257"/>
      <c r="BCF21" s="64" t="s">
        <v>90</v>
      </c>
      <c r="BCG21" s="65"/>
      <c r="BCH21" s="66"/>
      <c r="BCI21" s="256" t="s">
        <v>31</v>
      </c>
      <c r="BCJ21" s="257"/>
      <c r="BCK21" s="64" t="s">
        <v>90</v>
      </c>
      <c r="BCL21" s="65"/>
      <c r="BCM21" s="66"/>
      <c r="BCN21" s="256" t="s">
        <v>31</v>
      </c>
      <c r="BCO21" s="257"/>
      <c r="BCP21" s="64" t="s">
        <v>90</v>
      </c>
      <c r="BCQ21" s="65"/>
      <c r="BCR21" s="66"/>
      <c r="BCS21" s="256" t="s">
        <v>31</v>
      </c>
      <c r="BCT21" s="257"/>
      <c r="BCU21" s="64" t="s">
        <v>90</v>
      </c>
      <c r="BCV21" s="65"/>
      <c r="BCW21" s="66"/>
      <c r="BCX21" s="256" t="s">
        <v>31</v>
      </c>
      <c r="BCY21" s="257"/>
      <c r="BCZ21" s="64" t="s">
        <v>90</v>
      </c>
      <c r="BDA21" s="65"/>
      <c r="BDB21" s="66"/>
      <c r="BDC21" s="256" t="s">
        <v>31</v>
      </c>
      <c r="BDD21" s="257"/>
      <c r="BDE21" s="64" t="s">
        <v>90</v>
      </c>
      <c r="BDF21" s="65"/>
      <c r="BDG21" s="66"/>
      <c r="BDH21" s="256" t="s">
        <v>31</v>
      </c>
      <c r="BDI21" s="257"/>
      <c r="BDJ21" s="64" t="s">
        <v>90</v>
      </c>
      <c r="BDK21" s="65"/>
      <c r="BDL21" s="66"/>
      <c r="BDM21" s="256" t="s">
        <v>31</v>
      </c>
      <c r="BDN21" s="257"/>
      <c r="BDO21" s="64" t="s">
        <v>90</v>
      </c>
      <c r="BDP21" s="65"/>
      <c r="BDQ21" s="66"/>
      <c r="BDR21" s="256" t="s">
        <v>31</v>
      </c>
      <c r="BDS21" s="257"/>
      <c r="BDT21" s="64" t="s">
        <v>90</v>
      </c>
      <c r="BDU21" s="65"/>
      <c r="BDV21" s="66"/>
      <c r="BDW21" s="256" t="s">
        <v>31</v>
      </c>
      <c r="BDX21" s="257"/>
      <c r="BDY21" s="64" t="s">
        <v>90</v>
      </c>
      <c r="BDZ21" s="65"/>
      <c r="BEA21" s="66"/>
      <c r="BEB21" s="256" t="s">
        <v>31</v>
      </c>
      <c r="BEC21" s="257"/>
      <c r="BED21" s="64" t="s">
        <v>90</v>
      </c>
      <c r="BEE21" s="65"/>
      <c r="BEF21" s="66"/>
      <c r="BEG21" s="256" t="s">
        <v>31</v>
      </c>
      <c r="BEH21" s="257"/>
      <c r="BEI21" s="64" t="s">
        <v>90</v>
      </c>
      <c r="BEJ21" s="65"/>
      <c r="BEK21" s="66"/>
      <c r="BEL21" s="256" t="s">
        <v>31</v>
      </c>
      <c r="BEM21" s="257"/>
      <c r="BEN21" s="64" t="s">
        <v>90</v>
      </c>
      <c r="BEO21" s="65"/>
      <c r="BEP21" s="66"/>
      <c r="BEQ21" s="256" t="s">
        <v>31</v>
      </c>
      <c r="BER21" s="257"/>
      <c r="BES21" s="64" t="s">
        <v>90</v>
      </c>
      <c r="BET21" s="65"/>
      <c r="BEU21" s="66"/>
      <c r="BEV21" s="256" t="s">
        <v>31</v>
      </c>
      <c r="BEW21" s="257"/>
      <c r="BEX21" s="64" t="s">
        <v>90</v>
      </c>
      <c r="BEY21" s="65"/>
      <c r="BEZ21" s="66"/>
      <c r="BFA21" s="256" t="s">
        <v>31</v>
      </c>
      <c r="BFB21" s="257"/>
      <c r="BFC21" s="64" t="s">
        <v>90</v>
      </c>
      <c r="BFD21" s="65"/>
      <c r="BFE21" s="66"/>
      <c r="BFF21" s="256" t="s">
        <v>31</v>
      </c>
      <c r="BFG21" s="257"/>
      <c r="BFH21" s="64" t="s">
        <v>90</v>
      </c>
      <c r="BFI21" s="65"/>
      <c r="BFJ21" s="66"/>
      <c r="BFK21" s="256" t="s">
        <v>31</v>
      </c>
      <c r="BFL21" s="257"/>
      <c r="BFM21" s="64" t="s">
        <v>90</v>
      </c>
      <c r="BFN21" s="65"/>
      <c r="BFO21" s="66"/>
      <c r="BFP21" s="256" t="s">
        <v>31</v>
      </c>
      <c r="BFQ21" s="257"/>
      <c r="BFR21" s="64" t="s">
        <v>90</v>
      </c>
      <c r="BFS21" s="65"/>
      <c r="BFT21" s="66"/>
      <c r="BFU21" s="256" t="s">
        <v>31</v>
      </c>
      <c r="BFV21" s="257"/>
      <c r="BFW21" s="64" t="s">
        <v>90</v>
      </c>
      <c r="BFX21" s="65"/>
      <c r="BFY21" s="66"/>
      <c r="BFZ21" s="256" t="s">
        <v>31</v>
      </c>
      <c r="BGA21" s="257"/>
      <c r="BGB21" s="64" t="s">
        <v>90</v>
      </c>
      <c r="BGC21" s="65"/>
      <c r="BGD21" s="66"/>
      <c r="BGE21" s="274" t="s">
        <v>31</v>
      </c>
      <c r="BGF21" s="275"/>
      <c r="BGG21" s="64" t="s">
        <v>90</v>
      </c>
      <c r="BGH21" s="65"/>
      <c r="BGI21" s="66"/>
      <c r="BGJ21" s="274" t="s">
        <v>31</v>
      </c>
      <c r="BGK21" s="275"/>
      <c r="BGL21" s="64" t="s">
        <v>90</v>
      </c>
      <c r="BGM21" s="65"/>
      <c r="BGN21" s="66"/>
      <c r="BGO21" s="274" t="s">
        <v>31</v>
      </c>
      <c r="BGP21" s="275"/>
      <c r="BGQ21" s="64" t="s">
        <v>90</v>
      </c>
      <c r="BGR21" s="65"/>
      <c r="BGS21" s="66"/>
      <c r="BGT21" s="274" t="s">
        <v>31</v>
      </c>
      <c r="BGU21" s="275"/>
      <c r="BGV21" s="64" t="s">
        <v>90</v>
      </c>
      <c r="BGW21" s="65"/>
      <c r="BGX21" s="66"/>
      <c r="BGY21" s="274" t="s">
        <v>31</v>
      </c>
      <c r="BGZ21" s="275"/>
      <c r="BHA21" s="64" t="s">
        <v>90</v>
      </c>
      <c r="BHB21" s="65"/>
      <c r="BHC21" s="66"/>
      <c r="BHD21" s="274" t="s">
        <v>31</v>
      </c>
      <c r="BHE21" s="275"/>
      <c r="BHF21" s="64" t="s">
        <v>90</v>
      </c>
      <c r="BHG21" s="65"/>
      <c r="BHH21" s="66"/>
      <c r="BHI21" s="274" t="s">
        <v>31</v>
      </c>
      <c r="BHJ21" s="275"/>
      <c r="BHK21" s="64" t="s">
        <v>90</v>
      </c>
      <c r="BHL21" s="65"/>
      <c r="BHM21" s="66"/>
      <c r="BHN21" s="274" t="s">
        <v>31</v>
      </c>
      <c r="BHO21" s="275"/>
      <c r="BHP21" s="64" t="s">
        <v>90</v>
      </c>
      <c r="BHQ21" s="65"/>
      <c r="BHR21" s="66"/>
      <c r="BHS21" s="274" t="s">
        <v>31</v>
      </c>
      <c r="BHT21" s="275"/>
      <c r="BHU21" s="64" t="s">
        <v>90</v>
      </c>
      <c r="BHV21" s="65"/>
      <c r="BHW21" s="66"/>
      <c r="BHX21" s="274" t="s">
        <v>31</v>
      </c>
      <c r="BHY21" s="275"/>
      <c r="BHZ21" s="64" t="s">
        <v>90</v>
      </c>
      <c r="BIA21" s="65"/>
      <c r="BIB21" s="66"/>
      <c r="BIC21" s="274" t="s">
        <v>31</v>
      </c>
      <c r="BID21" s="275"/>
      <c r="BIE21" s="64" t="s">
        <v>90</v>
      </c>
      <c r="BIF21" s="65"/>
      <c r="BIG21" s="66"/>
      <c r="BIH21" s="274" t="s">
        <v>31</v>
      </c>
      <c r="BII21" s="275"/>
      <c r="BIJ21" s="64" t="s">
        <v>90</v>
      </c>
      <c r="BIK21" s="65"/>
      <c r="BIL21" s="66"/>
      <c r="BIM21" s="274" t="s">
        <v>31</v>
      </c>
      <c r="BIN21" s="275"/>
      <c r="BIO21" s="64" t="s">
        <v>90</v>
      </c>
      <c r="BIP21" s="65"/>
      <c r="BIQ21" s="66"/>
      <c r="BIR21" s="274" t="s">
        <v>31</v>
      </c>
      <c r="BIS21" s="275"/>
      <c r="BIT21" s="64" t="s">
        <v>90</v>
      </c>
      <c r="BIU21" s="65"/>
      <c r="BIV21" s="66"/>
      <c r="BIW21" s="274" t="s">
        <v>31</v>
      </c>
      <c r="BIX21" s="275"/>
      <c r="BIY21" s="64" t="s">
        <v>90</v>
      </c>
      <c r="BIZ21" s="65"/>
      <c r="BJA21" s="66"/>
      <c r="BJB21" s="274" t="s">
        <v>31</v>
      </c>
      <c r="BJC21" s="275"/>
      <c r="BJD21" s="64" t="s">
        <v>90</v>
      </c>
      <c r="BJE21" s="65"/>
      <c r="BJF21" s="66"/>
      <c r="BJG21" s="274" t="s">
        <v>31</v>
      </c>
      <c r="BJH21" s="275"/>
      <c r="BJI21" s="64" t="s">
        <v>90</v>
      </c>
      <c r="BJJ21" s="65"/>
      <c r="BJK21" s="66"/>
      <c r="BJL21" s="274" t="s">
        <v>31</v>
      </c>
      <c r="BJM21" s="275"/>
      <c r="BJN21" s="64" t="s">
        <v>90</v>
      </c>
      <c r="BJO21" s="65"/>
      <c r="BJP21" s="66"/>
      <c r="BJQ21" s="274" t="s">
        <v>31</v>
      </c>
      <c r="BJR21" s="275"/>
      <c r="BJS21" s="64" t="s">
        <v>90</v>
      </c>
      <c r="BJT21" s="65"/>
      <c r="BJU21" s="66"/>
      <c r="BJV21" s="274" t="s">
        <v>31</v>
      </c>
      <c r="BJW21" s="275"/>
      <c r="BJX21" s="64" t="s">
        <v>90</v>
      </c>
      <c r="BJY21" s="65"/>
      <c r="BJZ21" s="66"/>
      <c r="BKA21" s="274" t="s">
        <v>31</v>
      </c>
      <c r="BKB21" s="275"/>
      <c r="BKC21" s="64" t="s">
        <v>90</v>
      </c>
      <c r="BKD21" s="65"/>
      <c r="BKE21" s="66"/>
      <c r="BKF21" s="274" t="s">
        <v>31</v>
      </c>
      <c r="BKG21" s="275"/>
      <c r="BKH21" s="64" t="s">
        <v>90</v>
      </c>
      <c r="BKI21" s="65"/>
      <c r="BKJ21" s="66"/>
      <c r="BKK21" s="274" t="s">
        <v>31</v>
      </c>
      <c r="BKL21" s="275"/>
      <c r="BKM21" s="64" t="s">
        <v>90</v>
      </c>
      <c r="BKN21" s="65"/>
      <c r="BKO21" s="66"/>
      <c r="BKP21" s="274" t="s">
        <v>31</v>
      </c>
      <c r="BKQ21" s="275"/>
      <c r="BKR21" s="64" t="s">
        <v>90</v>
      </c>
      <c r="BKS21" s="65"/>
      <c r="BKT21" s="66"/>
      <c r="BKU21" s="274" t="s">
        <v>31</v>
      </c>
      <c r="BKV21" s="275"/>
      <c r="BKW21" s="64" t="s">
        <v>90</v>
      </c>
      <c r="BKX21" s="65"/>
      <c r="BKY21" s="66"/>
      <c r="BKZ21" s="274" t="s">
        <v>31</v>
      </c>
      <c r="BLA21" s="275"/>
      <c r="BLB21" s="64" t="s">
        <v>90</v>
      </c>
      <c r="BLC21" s="65"/>
      <c r="BLD21" s="66"/>
      <c r="BLE21" s="274" t="s">
        <v>31</v>
      </c>
      <c r="BLF21" s="275"/>
      <c r="BLG21" s="64" t="s">
        <v>90</v>
      </c>
      <c r="BLH21" s="65"/>
      <c r="BLI21" s="66"/>
      <c r="BLJ21" s="274" t="s">
        <v>31</v>
      </c>
      <c r="BLK21" s="275"/>
      <c r="BLL21" s="64" t="s">
        <v>90</v>
      </c>
      <c r="BLM21" s="65"/>
      <c r="BLN21" s="66"/>
      <c r="BLO21" s="274" t="s">
        <v>31</v>
      </c>
      <c r="BLP21" s="275"/>
      <c r="BLQ21" s="64" t="s">
        <v>90</v>
      </c>
      <c r="BLR21" s="65"/>
      <c r="BLS21" s="66"/>
      <c r="BLT21" s="274" t="s">
        <v>31</v>
      </c>
      <c r="BLU21" s="275"/>
      <c r="BLV21" s="64" t="s">
        <v>90</v>
      </c>
      <c r="BLW21" s="65"/>
      <c r="BLX21" s="66"/>
      <c r="BLY21" s="274" t="s">
        <v>31</v>
      </c>
      <c r="BLZ21" s="275"/>
      <c r="BMA21" s="64" t="s">
        <v>90</v>
      </c>
      <c r="BMB21" s="65"/>
      <c r="BMC21" s="66"/>
      <c r="BMD21" s="274" t="s">
        <v>31</v>
      </c>
      <c r="BME21" s="275"/>
      <c r="BMF21" s="64" t="s">
        <v>90</v>
      </c>
      <c r="BMG21" s="65"/>
      <c r="BMH21" s="66"/>
      <c r="BMI21" s="274" t="s">
        <v>31</v>
      </c>
      <c r="BMJ21" s="275"/>
      <c r="BMK21" s="64" t="s">
        <v>90</v>
      </c>
      <c r="BML21" s="65"/>
      <c r="BMM21" s="66"/>
      <c r="BMN21" s="274" t="s">
        <v>31</v>
      </c>
      <c r="BMO21" s="275"/>
      <c r="BMP21" s="64" t="s">
        <v>90</v>
      </c>
      <c r="BMQ21" s="65"/>
      <c r="BMR21" s="66"/>
      <c r="BMS21" s="274" t="s">
        <v>31</v>
      </c>
      <c r="BMT21" s="275"/>
      <c r="BMU21" s="64" t="s">
        <v>90</v>
      </c>
      <c r="BMV21" s="65"/>
      <c r="BMW21" s="66"/>
      <c r="BMX21" s="274" t="s">
        <v>31</v>
      </c>
      <c r="BMY21" s="275"/>
      <c r="BMZ21" s="64" t="s">
        <v>90</v>
      </c>
      <c r="BNA21" s="65"/>
      <c r="BNB21" s="66"/>
      <c r="BNC21" s="274" t="s">
        <v>31</v>
      </c>
      <c r="BND21" s="275"/>
      <c r="BNE21" s="64" t="s">
        <v>90</v>
      </c>
      <c r="BNF21" s="65"/>
      <c r="BNG21" s="66"/>
      <c r="BNH21" s="274" t="s">
        <v>31</v>
      </c>
      <c r="BNI21" s="275"/>
      <c r="BNJ21" s="64" t="s">
        <v>90</v>
      </c>
      <c r="BNK21" s="65"/>
      <c r="BNL21" s="66"/>
      <c r="BNM21" s="274" t="s">
        <v>31</v>
      </c>
      <c r="BNN21" s="275"/>
      <c r="BNO21" s="64" t="s">
        <v>90</v>
      </c>
      <c r="BNP21" s="65"/>
      <c r="BNQ21" s="66"/>
      <c r="BNR21" s="274" t="s">
        <v>31</v>
      </c>
      <c r="BNS21" s="275"/>
      <c r="BNT21" s="64" t="s">
        <v>90</v>
      </c>
      <c r="BNU21" s="65"/>
      <c r="BNV21" s="66"/>
      <c r="BNW21" s="274" t="s">
        <v>31</v>
      </c>
      <c r="BNX21" s="275"/>
      <c r="BNY21" s="64" t="s">
        <v>90</v>
      </c>
      <c r="BNZ21" s="65"/>
      <c r="BOA21" s="66"/>
      <c r="BOB21" s="274" t="s">
        <v>31</v>
      </c>
      <c r="BOC21" s="275"/>
      <c r="BOD21" s="64" t="s">
        <v>90</v>
      </c>
      <c r="BOE21" s="65"/>
      <c r="BOF21" s="66"/>
      <c r="BOG21" s="274" t="s">
        <v>31</v>
      </c>
      <c r="BOH21" s="275"/>
      <c r="BOI21" s="64" t="s">
        <v>90</v>
      </c>
      <c r="BOJ21" s="65"/>
      <c r="BOK21" s="66"/>
      <c r="BOL21" s="274" t="s">
        <v>31</v>
      </c>
      <c r="BOM21" s="275"/>
      <c r="BON21" s="64" t="s">
        <v>90</v>
      </c>
      <c r="BOO21" s="65"/>
      <c r="BOP21" s="66"/>
      <c r="BOQ21" s="274" t="s">
        <v>31</v>
      </c>
      <c r="BOR21" s="275"/>
      <c r="BOS21" s="64" t="s">
        <v>90</v>
      </c>
      <c r="BOT21" s="65"/>
      <c r="BOU21" s="66"/>
      <c r="BOV21" s="274" t="s">
        <v>31</v>
      </c>
      <c r="BOW21" s="275"/>
      <c r="BOX21" s="64" t="s">
        <v>90</v>
      </c>
      <c r="BOY21" s="65"/>
      <c r="BOZ21" s="66"/>
      <c r="BPA21" s="274" t="s">
        <v>31</v>
      </c>
      <c r="BPB21" s="275"/>
      <c r="BPC21" s="64" t="s">
        <v>90</v>
      </c>
      <c r="BPD21" s="65"/>
      <c r="BPE21" s="66"/>
      <c r="BPF21" s="274" t="s">
        <v>31</v>
      </c>
      <c r="BPG21" s="275"/>
      <c r="BPH21" s="64" t="s">
        <v>90</v>
      </c>
      <c r="BPI21" s="65"/>
      <c r="BPJ21" s="66"/>
      <c r="BPK21" s="274" t="s">
        <v>31</v>
      </c>
      <c r="BPL21" s="275"/>
      <c r="BPM21" s="64" t="s">
        <v>90</v>
      </c>
      <c r="BPN21" s="65"/>
      <c r="BPO21" s="66"/>
      <c r="BPP21" s="274" t="s">
        <v>31</v>
      </c>
      <c r="BPQ21" s="275"/>
      <c r="BPR21" s="64" t="s">
        <v>90</v>
      </c>
      <c r="BPS21" s="65"/>
      <c r="BPT21" s="66"/>
      <c r="BPU21" s="274" t="s">
        <v>31</v>
      </c>
      <c r="BPV21" s="275"/>
      <c r="BPW21" s="64" t="s">
        <v>90</v>
      </c>
      <c r="BPX21" s="65"/>
      <c r="BPY21" s="66"/>
      <c r="BPZ21" s="274" t="s">
        <v>31</v>
      </c>
      <c r="BQA21" s="275"/>
      <c r="BQB21" s="64" t="s">
        <v>90</v>
      </c>
      <c r="BQC21" s="65"/>
      <c r="BQD21" s="66"/>
      <c r="BQE21" s="274" t="s">
        <v>31</v>
      </c>
      <c r="BQF21" s="275"/>
      <c r="BQG21" s="64" t="s">
        <v>90</v>
      </c>
      <c r="BQH21" s="65"/>
      <c r="BQI21" s="66"/>
      <c r="BQJ21" s="274" t="s">
        <v>31</v>
      </c>
      <c r="BQK21" s="275"/>
      <c r="BQL21" s="64" t="s">
        <v>90</v>
      </c>
      <c r="BQM21" s="65"/>
      <c r="BQN21" s="66"/>
      <c r="BQO21" s="274" t="s">
        <v>31</v>
      </c>
      <c r="BQP21" s="275"/>
      <c r="BQQ21" s="64" t="s">
        <v>90</v>
      </c>
      <c r="BQR21" s="65"/>
      <c r="BQS21" s="66"/>
      <c r="BQT21" s="274" t="s">
        <v>31</v>
      </c>
      <c r="BQU21" s="275"/>
      <c r="BQV21" s="64" t="s">
        <v>90</v>
      </c>
      <c r="BQW21" s="65"/>
      <c r="BQX21" s="66"/>
      <c r="BQY21" s="274" t="s">
        <v>31</v>
      </c>
      <c r="BQZ21" s="275"/>
      <c r="BRA21" s="64" t="s">
        <v>90</v>
      </c>
      <c r="BRB21" s="65"/>
      <c r="BRC21" s="66"/>
      <c r="BRD21" s="274" t="s">
        <v>61</v>
      </c>
      <c r="BRE21" s="275"/>
      <c r="BRF21" s="64" t="s">
        <v>90</v>
      </c>
      <c r="BRG21" s="65"/>
      <c r="BRH21" s="66"/>
      <c r="BRI21" s="274" t="s">
        <v>31</v>
      </c>
      <c r="BRJ21" s="275"/>
      <c r="BRK21" s="64" t="s">
        <v>90</v>
      </c>
      <c r="BRL21" s="65"/>
      <c r="BRM21" s="66"/>
      <c r="BRN21" s="274" t="s">
        <v>31</v>
      </c>
      <c r="BRO21" s="275"/>
      <c r="BRP21" s="64" t="s">
        <v>90</v>
      </c>
      <c r="BRQ21" s="65"/>
      <c r="BRR21" s="66"/>
      <c r="BRS21" s="274" t="s">
        <v>61</v>
      </c>
      <c r="BRT21" s="275"/>
      <c r="BRU21" s="64" t="s">
        <v>90</v>
      </c>
      <c r="BRV21" s="65"/>
      <c r="BRW21" s="66"/>
      <c r="BRX21" s="274" t="s">
        <v>61</v>
      </c>
      <c r="BRY21" s="275"/>
      <c r="BRZ21" s="64" t="s">
        <v>90</v>
      </c>
      <c r="BSA21" s="65"/>
      <c r="BSB21" s="66"/>
      <c r="BSC21" s="274" t="s">
        <v>61</v>
      </c>
      <c r="BSD21" s="275"/>
      <c r="BSE21" s="64" t="s">
        <v>90</v>
      </c>
      <c r="BSF21" s="65"/>
      <c r="BSG21" s="66"/>
      <c r="BSH21" s="274" t="s">
        <v>61</v>
      </c>
      <c r="BSI21" s="275"/>
      <c r="BSJ21" s="64" t="s">
        <v>90</v>
      </c>
      <c r="BSK21" s="65"/>
      <c r="BSL21" s="66"/>
      <c r="BSM21" s="274" t="s">
        <v>61</v>
      </c>
      <c r="BSN21" s="275"/>
      <c r="BSO21" s="64" t="s">
        <v>90</v>
      </c>
      <c r="BSP21" s="65"/>
      <c r="BSQ21" s="66"/>
      <c r="BSR21" s="274" t="s">
        <v>31</v>
      </c>
      <c r="BSS21" s="275"/>
      <c r="BST21" s="64" t="s">
        <v>90</v>
      </c>
      <c r="BSU21" s="65"/>
      <c r="BSV21" s="66"/>
      <c r="BSW21" s="274" t="s">
        <v>31</v>
      </c>
      <c r="BSX21" s="275"/>
      <c r="BSY21" s="64" t="s">
        <v>90</v>
      </c>
      <c r="BSZ21" s="65"/>
      <c r="BTA21" s="66"/>
      <c r="BTB21" s="274" t="s">
        <v>61</v>
      </c>
      <c r="BTC21" s="275"/>
      <c r="BTD21" s="64" t="s">
        <v>90</v>
      </c>
      <c r="BTE21" s="65"/>
      <c r="BTF21" s="66"/>
      <c r="BTG21" s="274" t="s">
        <v>61</v>
      </c>
      <c r="BTH21" s="275"/>
      <c r="BTI21" s="64" t="s">
        <v>90</v>
      </c>
      <c r="BTJ21" s="65"/>
      <c r="BTK21" s="66"/>
      <c r="BTL21" s="274" t="s">
        <v>61</v>
      </c>
      <c r="BTM21" s="275"/>
      <c r="BTN21" s="64" t="s">
        <v>90</v>
      </c>
      <c r="BTO21" s="65"/>
      <c r="BTP21" s="66"/>
      <c r="BTQ21" s="274" t="s">
        <v>61</v>
      </c>
      <c r="BTR21" s="275"/>
      <c r="BTS21" s="64" t="s">
        <v>90</v>
      </c>
      <c r="BTT21" s="65"/>
      <c r="BTU21" s="66"/>
      <c r="BTV21" s="274" t="s">
        <v>61</v>
      </c>
      <c r="BTW21" s="275"/>
      <c r="BTX21" s="64" t="s">
        <v>90</v>
      </c>
      <c r="BTY21" s="65"/>
      <c r="BTZ21" s="66"/>
      <c r="BUA21" s="274" t="s">
        <v>31</v>
      </c>
      <c r="BUB21" s="275"/>
      <c r="BUC21" s="64" t="s">
        <v>90</v>
      </c>
      <c r="BUD21" s="65"/>
      <c r="BUE21" s="66"/>
      <c r="BUF21" s="274" t="s">
        <v>31</v>
      </c>
      <c r="BUG21" s="275"/>
      <c r="BUH21" s="64" t="s">
        <v>90</v>
      </c>
      <c r="BUI21" s="65"/>
      <c r="BUJ21" s="66"/>
      <c r="BUK21" s="274" t="s">
        <v>31</v>
      </c>
      <c r="BUL21" s="275"/>
      <c r="BUM21" s="64" t="s">
        <v>90</v>
      </c>
      <c r="BUN21" s="65"/>
      <c r="BUO21" s="66"/>
      <c r="BUP21" s="274" t="s">
        <v>31</v>
      </c>
      <c r="BUQ21" s="275"/>
      <c r="BUR21" s="64" t="s">
        <v>90</v>
      </c>
      <c r="BUS21" s="65"/>
      <c r="BUT21" s="66"/>
      <c r="BUU21" s="274" t="s">
        <v>61</v>
      </c>
      <c r="BUV21" s="275"/>
      <c r="BUW21" s="64" t="s">
        <v>90</v>
      </c>
      <c r="BUX21" s="65"/>
      <c r="BUY21" s="66"/>
      <c r="BUZ21" s="274" t="s">
        <v>61</v>
      </c>
      <c r="BVA21" s="275"/>
      <c r="BVB21" s="64" t="s">
        <v>90</v>
      </c>
      <c r="BVC21" s="65"/>
      <c r="BVD21" s="66"/>
      <c r="BVE21" s="274" t="s">
        <v>61</v>
      </c>
      <c r="BVF21" s="275"/>
      <c r="BVG21" s="64" t="s">
        <v>90</v>
      </c>
      <c r="BVH21" s="65"/>
      <c r="BVI21" s="66"/>
      <c r="BVJ21" s="274" t="s">
        <v>41</v>
      </c>
      <c r="BVK21" s="275"/>
      <c r="BVL21" s="64" t="s">
        <v>90</v>
      </c>
      <c r="BVM21" s="65"/>
      <c r="BVN21" s="66"/>
      <c r="BVO21" s="274" t="s">
        <v>61</v>
      </c>
      <c r="BVP21" s="275"/>
      <c r="BVQ21" s="64" t="s">
        <v>90</v>
      </c>
      <c r="BVR21" s="65"/>
      <c r="BVS21" s="66"/>
      <c r="BVT21" s="274" t="s">
        <v>61</v>
      </c>
      <c r="BVU21" s="275"/>
      <c r="BVV21" s="64" t="s">
        <v>90</v>
      </c>
      <c r="BVW21" s="65"/>
      <c r="BVX21" s="66"/>
      <c r="BVY21" s="274" t="s">
        <v>31</v>
      </c>
      <c r="BVZ21" s="275"/>
      <c r="BWA21" s="64" t="s">
        <v>90</v>
      </c>
      <c r="BWB21" s="65"/>
      <c r="BWC21" s="66"/>
      <c r="BWD21" s="274" t="s">
        <v>31</v>
      </c>
      <c r="BWE21" s="275"/>
      <c r="BWF21" s="64" t="s">
        <v>90</v>
      </c>
      <c r="BWG21" s="65"/>
      <c r="BWH21" s="66"/>
      <c r="BWI21" s="274" t="s">
        <v>61</v>
      </c>
      <c r="BWJ21" s="275"/>
      <c r="BWK21" s="64" t="s">
        <v>90</v>
      </c>
      <c r="BWL21" s="65"/>
      <c r="BWM21" s="66"/>
      <c r="BWN21" s="274" t="s">
        <v>61</v>
      </c>
      <c r="BWO21" s="275"/>
      <c r="BWP21" s="64" t="s">
        <v>90</v>
      </c>
      <c r="BWQ21" s="65"/>
      <c r="BWR21" s="66"/>
      <c r="BWS21" s="274" t="s">
        <v>61</v>
      </c>
      <c r="BWT21" s="275"/>
      <c r="BWU21" s="64" t="s">
        <v>90</v>
      </c>
      <c r="BWV21" s="65"/>
      <c r="BWW21" s="66"/>
      <c r="BWX21" s="274" t="s">
        <v>61</v>
      </c>
      <c r="BWY21" s="275"/>
      <c r="BWZ21" s="64" t="s">
        <v>90</v>
      </c>
      <c r="BXA21" s="65"/>
      <c r="BXB21" s="66"/>
      <c r="BXC21" s="274" t="s">
        <v>31</v>
      </c>
      <c r="BXD21" s="275"/>
      <c r="BXE21" s="64" t="s">
        <v>90</v>
      </c>
      <c r="BXF21" s="65"/>
      <c r="BXG21" s="66"/>
      <c r="BXH21" s="274" t="s">
        <v>31</v>
      </c>
      <c r="BXI21" s="275"/>
      <c r="BXJ21" s="64" t="s">
        <v>90</v>
      </c>
      <c r="BXK21" s="65"/>
      <c r="BXL21" s="66"/>
      <c r="BXM21" s="274" t="s">
        <v>31</v>
      </c>
      <c r="BXN21" s="275"/>
      <c r="BXO21" s="64" t="s">
        <v>90</v>
      </c>
      <c r="BXP21" s="65"/>
      <c r="BXQ21" s="66"/>
      <c r="BXR21" s="274" t="s">
        <v>61</v>
      </c>
      <c r="BXS21" s="275"/>
      <c r="BXT21" s="64" t="s">
        <v>90</v>
      </c>
      <c r="BXU21" s="65"/>
      <c r="BXV21" s="66"/>
      <c r="BXW21" s="274" t="s">
        <v>41</v>
      </c>
      <c r="BXX21" s="275"/>
      <c r="BXY21" s="64" t="s">
        <v>90</v>
      </c>
      <c r="BXZ21" s="65"/>
      <c r="BYA21" s="66"/>
      <c r="BYB21" s="274" t="s">
        <v>61</v>
      </c>
      <c r="BYC21" s="275"/>
      <c r="BYD21" s="64" t="s">
        <v>90</v>
      </c>
      <c r="BYE21" s="65"/>
      <c r="BYF21" s="66"/>
      <c r="BYG21" s="274" t="s">
        <v>61</v>
      </c>
      <c r="BYH21" s="275"/>
      <c r="BYI21" s="64" t="s">
        <v>90</v>
      </c>
      <c r="BYJ21" s="65"/>
      <c r="BYK21" s="66"/>
      <c r="BYL21" s="274" t="s">
        <v>61</v>
      </c>
      <c r="BYM21" s="275"/>
      <c r="BYN21" s="64" t="s">
        <v>90</v>
      </c>
      <c r="BYO21" s="65"/>
      <c r="BYP21" s="66"/>
      <c r="BYQ21" s="274" t="s">
        <v>61</v>
      </c>
      <c r="BYR21" s="275"/>
      <c r="BYS21" s="64" t="s">
        <v>90</v>
      </c>
      <c r="BYT21" s="65"/>
      <c r="BYU21" s="66"/>
      <c r="BYV21" s="274" t="s">
        <v>61</v>
      </c>
      <c r="BYW21" s="275"/>
      <c r="BYX21" s="64" t="s">
        <v>90</v>
      </c>
      <c r="BYY21" s="65"/>
      <c r="BYZ21" s="66"/>
      <c r="BZA21" s="274" t="s">
        <v>31</v>
      </c>
      <c r="BZB21" s="275"/>
      <c r="BZC21" s="64" t="s">
        <v>90</v>
      </c>
      <c r="BZD21" s="65"/>
      <c r="BZE21" s="66"/>
      <c r="BZF21" s="274" t="s">
        <v>31</v>
      </c>
      <c r="BZG21" s="275"/>
      <c r="BZH21" s="64" t="s">
        <v>90</v>
      </c>
      <c r="BZI21" s="65"/>
      <c r="BZJ21" s="66"/>
      <c r="BZK21" s="274" t="s">
        <v>61</v>
      </c>
      <c r="BZL21" s="275"/>
      <c r="BZM21" s="64" t="s">
        <v>90</v>
      </c>
      <c r="BZN21" s="65"/>
      <c r="BZO21" s="66"/>
      <c r="BZP21" s="274" t="s">
        <v>61</v>
      </c>
      <c r="BZQ21" s="275"/>
      <c r="BZR21" s="64" t="s">
        <v>90</v>
      </c>
      <c r="BZS21" s="65"/>
      <c r="BZT21" s="66"/>
      <c r="BZU21" s="274" t="s">
        <v>61</v>
      </c>
      <c r="BZV21" s="275"/>
      <c r="BZW21" s="64" t="s">
        <v>90</v>
      </c>
      <c r="BZX21" s="65"/>
      <c r="BZY21" s="66"/>
      <c r="BZZ21" s="274" t="s">
        <v>61</v>
      </c>
      <c r="CAA21" s="275"/>
      <c r="CAB21" s="64" t="s">
        <v>90</v>
      </c>
      <c r="CAC21" s="65"/>
      <c r="CAD21" s="66"/>
      <c r="CAE21" s="274" t="s">
        <v>61</v>
      </c>
      <c r="CAF21" s="275"/>
      <c r="CAG21" s="64" t="s">
        <v>90</v>
      </c>
      <c r="CAH21" s="65"/>
      <c r="CAI21" s="66"/>
      <c r="CAJ21" s="274" t="s">
        <v>61</v>
      </c>
      <c r="CAK21" s="275"/>
      <c r="CAL21" s="64" t="s">
        <v>90</v>
      </c>
      <c r="CAM21" s="65"/>
      <c r="CAN21" s="66"/>
      <c r="CAO21" s="274" t="s">
        <v>61</v>
      </c>
      <c r="CAP21" s="275"/>
      <c r="CAQ21" s="64" t="s">
        <v>90</v>
      </c>
      <c r="CAR21" s="65"/>
      <c r="CAS21" s="66"/>
      <c r="CAT21" s="274" t="s">
        <v>61</v>
      </c>
      <c r="CAU21" s="275"/>
      <c r="CAV21" s="64" t="s">
        <v>90</v>
      </c>
      <c r="CAW21" s="65"/>
      <c r="CAX21" s="66"/>
      <c r="CAY21" s="274" t="s">
        <v>61</v>
      </c>
      <c r="CAZ21" s="275"/>
      <c r="CBA21" s="64" t="s">
        <v>90</v>
      </c>
      <c r="CBB21" s="65"/>
      <c r="CBC21" s="66"/>
      <c r="CBD21" s="274" t="s">
        <v>61</v>
      </c>
      <c r="CBE21" s="275"/>
      <c r="CBF21" s="64" t="s">
        <v>90</v>
      </c>
      <c r="CBG21" s="65"/>
      <c r="CBH21" s="66"/>
      <c r="CBI21" s="274" t="s">
        <v>61</v>
      </c>
      <c r="CBJ21" s="275"/>
      <c r="CBK21" s="64" t="s">
        <v>90</v>
      </c>
      <c r="CBL21" s="65"/>
      <c r="CBM21" s="66"/>
      <c r="CBN21" s="274" t="s">
        <v>31</v>
      </c>
      <c r="CBO21" s="275"/>
      <c r="CBP21" s="64" t="s">
        <v>90</v>
      </c>
      <c r="CBQ21" s="65"/>
      <c r="CBR21" s="66"/>
      <c r="CBS21" s="274" t="s">
        <v>31</v>
      </c>
      <c r="CBT21" s="275"/>
      <c r="CBU21" s="64" t="s">
        <v>90</v>
      </c>
      <c r="CBV21" s="65"/>
      <c r="CBW21" s="66"/>
      <c r="CBX21" s="274" t="s">
        <v>61</v>
      </c>
      <c r="CBY21" s="275"/>
      <c r="CBZ21" s="64" t="s">
        <v>90</v>
      </c>
      <c r="CCA21" s="65"/>
      <c r="CCB21" s="66"/>
      <c r="CCC21" s="274" t="s">
        <v>61</v>
      </c>
      <c r="CCD21" s="275"/>
      <c r="CCE21" s="64" t="s">
        <v>90</v>
      </c>
      <c r="CCF21" s="65"/>
      <c r="CCG21" s="66"/>
      <c r="CCH21" s="274" t="s">
        <v>61</v>
      </c>
      <c r="CCI21" s="275"/>
      <c r="CCJ21" s="64" t="s">
        <v>90</v>
      </c>
      <c r="CCK21" s="65"/>
      <c r="CCL21" s="66"/>
      <c r="CCM21" s="274" t="s">
        <v>31</v>
      </c>
      <c r="CCN21" s="275"/>
      <c r="CCO21" s="64" t="s">
        <v>90</v>
      </c>
      <c r="CCP21" s="65"/>
      <c r="CCQ21" s="66"/>
      <c r="CCR21" s="274" t="s">
        <v>31</v>
      </c>
      <c r="CCS21" s="275"/>
      <c r="CCT21" s="64" t="s">
        <v>90</v>
      </c>
      <c r="CCU21" s="65"/>
      <c r="CCV21" s="66"/>
      <c r="CCW21" s="274" t="s">
        <v>31</v>
      </c>
      <c r="CCX21" s="275"/>
      <c r="CCY21" s="64" t="s">
        <v>90</v>
      </c>
      <c r="CCZ21" s="65"/>
      <c r="CDA21" s="66"/>
      <c r="CDB21" s="274" t="s">
        <v>61</v>
      </c>
      <c r="CDC21" s="275"/>
      <c r="CDD21" s="64" t="s">
        <v>90</v>
      </c>
      <c r="CDE21" s="65"/>
      <c r="CDF21" s="66"/>
      <c r="CDG21" s="274" t="s">
        <v>61</v>
      </c>
      <c r="CDH21" s="275"/>
      <c r="CDI21" s="64" t="s">
        <v>90</v>
      </c>
      <c r="CDJ21" s="65"/>
      <c r="CDK21" s="66"/>
      <c r="CDL21" s="274" t="s">
        <v>61</v>
      </c>
      <c r="CDM21" s="275"/>
      <c r="CDN21" s="64" t="s">
        <v>90</v>
      </c>
      <c r="CDO21" s="65"/>
      <c r="CDP21" s="66"/>
      <c r="CDQ21" s="274" t="s">
        <v>61</v>
      </c>
      <c r="CDR21" s="275"/>
      <c r="CDS21" s="64" t="s">
        <v>90</v>
      </c>
      <c r="CDT21" s="65"/>
      <c r="CDU21" s="66"/>
      <c r="CDV21" s="274" t="s">
        <v>31</v>
      </c>
      <c r="CDW21" s="275"/>
      <c r="CDX21" s="64" t="s">
        <v>90</v>
      </c>
      <c r="CDY21" s="65"/>
      <c r="CDZ21" s="66"/>
      <c r="CEA21" s="274" t="s">
        <v>31</v>
      </c>
      <c r="CEB21" s="275"/>
      <c r="CEC21" s="64" t="s">
        <v>90</v>
      </c>
      <c r="CED21" s="65"/>
      <c r="CEE21" s="66"/>
      <c r="CEF21" s="274" t="s">
        <v>61</v>
      </c>
      <c r="CEG21" s="275"/>
      <c r="CEH21" s="64" t="s">
        <v>90</v>
      </c>
      <c r="CEI21" s="65"/>
      <c r="CEJ21" s="66"/>
      <c r="CEK21" s="274" t="s">
        <v>61</v>
      </c>
      <c r="CEL21" s="275"/>
      <c r="CEM21" s="64" t="s">
        <v>90</v>
      </c>
      <c r="CEN21" s="65"/>
      <c r="CEO21" s="66"/>
      <c r="CEP21" s="274" t="s">
        <v>41</v>
      </c>
      <c r="CEQ21" s="275"/>
      <c r="CER21" s="64" t="s">
        <v>90</v>
      </c>
      <c r="CES21" s="65"/>
      <c r="CET21" s="66"/>
      <c r="CEU21" s="274" t="s">
        <v>61</v>
      </c>
      <c r="CEV21" s="275"/>
      <c r="CEW21" s="64" t="s">
        <v>90</v>
      </c>
      <c r="CEX21" s="65"/>
      <c r="CEY21" s="66"/>
      <c r="CEZ21" s="274" t="s">
        <v>61</v>
      </c>
      <c r="CFA21" s="275"/>
      <c r="CFB21" s="64" t="s">
        <v>90</v>
      </c>
      <c r="CFC21" s="65"/>
      <c r="CFD21" s="66"/>
      <c r="CFE21" s="274" t="s">
        <v>61</v>
      </c>
      <c r="CFF21" s="275"/>
      <c r="CFG21" s="64" t="s">
        <v>90</v>
      </c>
      <c r="CFH21" s="65"/>
      <c r="CFI21" s="66"/>
      <c r="CFJ21" s="274" t="s">
        <v>61</v>
      </c>
      <c r="CFK21" s="275"/>
      <c r="CFL21" s="64" t="s">
        <v>90</v>
      </c>
      <c r="CFM21" s="65"/>
      <c r="CFN21" s="66"/>
      <c r="CFO21" s="274" t="s">
        <v>31</v>
      </c>
      <c r="CFP21" s="275"/>
      <c r="CFQ21" s="64" t="s">
        <v>90</v>
      </c>
      <c r="CFR21" s="65"/>
      <c r="CFS21" s="66"/>
      <c r="CFT21" s="274" t="s">
        <v>61</v>
      </c>
      <c r="CFU21" s="275"/>
      <c r="CFV21" s="64" t="s">
        <v>90</v>
      </c>
      <c r="CFW21" s="65"/>
      <c r="CFX21" s="66"/>
      <c r="CFY21" s="274" t="s">
        <v>61</v>
      </c>
      <c r="CFZ21" s="275"/>
      <c r="CGA21" s="64" t="s">
        <v>90</v>
      </c>
      <c r="CGB21" s="65"/>
      <c r="CGC21" s="66"/>
      <c r="CGD21" s="274" t="s">
        <v>61</v>
      </c>
      <c r="CGE21" s="275"/>
      <c r="CGF21" s="64" t="s">
        <v>90</v>
      </c>
      <c r="CGG21" s="65"/>
      <c r="CGH21" s="66"/>
      <c r="CGI21" s="274" t="s">
        <v>31</v>
      </c>
      <c r="CGJ21" s="275"/>
      <c r="CGK21" s="64" t="s">
        <v>90</v>
      </c>
      <c r="CGL21" s="65"/>
      <c r="CGM21" s="66"/>
      <c r="CGN21" s="274" t="s">
        <v>31</v>
      </c>
      <c r="CGO21" s="275"/>
      <c r="CGP21" s="64" t="s">
        <v>90</v>
      </c>
      <c r="CGQ21" s="65"/>
      <c r="CGR21" s="66"/>
      <c r="CGS21" s="274" t="s">
        <v>31</v>
      </c>
      <c r="CGT21" s="275"/>
      <c r="CGU21" s="64" t="s">
        <v>90</v>
      </c>
      <c r="CGV21" s="65"/>
      <c r="CGW21" s="66"/>
      <c r="CGX21" s="274" t="s">
        <v>61</v>
      </c>
      <c r="CGY21" s="275"/>
      <c r="CGZ21" s="64" t="s">
        <v>90</v>
      </c>
      <c r="CHA21" s="65"/>
      <c r="CHB21" s="66"/>
      <c r="CHC21" s="274" t="s">
        <v>61</v>
      </c>
      <c r="CHD21" s="275"/>
      <c r="CHE21" s="64" t="s">
        <v>90</v>
      </c>
      <c r="CHF21" s="65"/>
      <c r="CHG21" s="66"/>
      <c r="CHH21" s="274" t="s">
        <v>61</v>
      </c>
      <c r="CHI21" s="275"/>
      <c r="CHJ21" s="64" t="s">
        <v>90</v>
      </c>
      <c r="CHK21" s="65"/>
      <c r="CHL21" s="66"/>
      <c r="CHM21" s="274" t="s">
        <v>61</v>
      </c>
      <c r="CHN21" s="275"/>
      <c r="CHO21" s="64" t="s">
        <v>90</v>
      </c>
      <c r="CHP21" s="65"/>
      <c r="CHQ21" s="66"/>
      <c r="CHR21" s="274" t="s">
        <v>31</v>
      </c>
      <c r="CHS21" s="275"/>
      <c r="CHT21" s="64" t="s">
        <v>90</v>
      </c>
      <c r="CHU21" s="65"/>
      <c r="CHV21" s="66"/>
      <c r="CHW21" s="274" t="s">
        <v>31</v>
      </c>
      <c r="CHX21" s="275"/>
      <c r="CHY21" s="64" t="s">
        <v>90</v>
      </c>
      <c r="CHZ21" s="65"/>
      <c r="CIA21" s="66"/>
      <c r="CIB21" s="274" t="s">
        <v>61</v>
      </c>
      <c r="CIC21" s="275"/>
      <c r="CID21" s="64" t="s">
        <v>90</v>
      </c>
      <c r="CIE21" s="65"/>
      <c r="CIF21" s="66"/>
      <c r="CIG21" s="274" t="s">
        <v>61</v>
      </c>
      <c r="CIH21" s="275"/>
      <c r="CII21" s="64" t="s">
        <v>90</v>
      </c>
      <c r="CIJ21" s="65"/>
      <c r="CIK21" s="66"/>
      <c r="CIL21" s="274" t="s">
        <v>61</v>
      </c>
      <c r="CIM21" s="275"/>
      <c r="CIN21" s="64" t="s">
        <v>90</v>
      </c>
      <c r="CIO21" s="65"/>
      <c r="CIP21" s="66"/>
      <c r="CIQ21" s="274" t="s">
        <v>61</v>
      </c>
      <c r="CIR21" s="275"/>
      <c r="CIS21" s="64" t="s">
        <v>90</v>
      </c>
      <c r="CIT21" s="65"/>
      <c r="CIU21" s="66"/>
      <c r="CIV21" s="274" t="s">
        <v>61</v>
      </c>
      <c r="CIW21" s="275"/>
      <c r="CIX21" s="64" t="s">
        <v>90</v>
      </c>
      <c r="CIY21" s="65"/>
      <c r="CIZ21" s="66"/>
      <c r="CJA21" s="274" t="s">
        <v>31</v>
      </c>
      <c r="CJB21" s="275"/>
      <c r="CJC21" s="64" t="s">
        <v>90</v>
      </c>
      <c r="CJD21" s="65"/>
      <c r="CJE21" s="66"/>
      <c r="CJF21" s="274" t="s">
        <v>61</v>
      </c>
      <c r="CJG21" s="275"/>
      <c r="CJH21" s="64" t="s">
        <v>90</v>
      </c>
      <c r="CJI21" s="65"/>
      <c r="CJJ21" s="66"/>
      <c r="CJK21" s="274" t="s">
        <v>61</v>
      </c>
      <c r="CJL21" s="275"/>
      <c r="CJM21" s="64" t="s">
        <v>90</v>
      </c>
      <c r="CJN21" s="65"/>
      <c r="CJO21" s="66"/>
      <c r="CJP21" s="274" t="s">
        <v>31</v>
      </c>
      <c r="CJQ21" s="275"/>
      <c r="CJR21" s="64" t="s">
        <v>90</v>
      </c>
      <c r="CJS21" s="65"/>
      <c r="CJT21" s="66"/>
      <c r="CJU21" s="274" t="s">
        <v>31</v>
      </c>
      <c r="CJV21" s="275"/>
      <c r="CJW21" s="64" t="s">
        <v>90</v>
      </c>
      <c r="CJX21" s="65"/>
      <c r="CJY21" s="66"/>
      <c r="CJZ21" s="274" t="s">
        <v>61</v>
      </c>
      <c r="CKA21" s="275"/>
      <c r="CKB21" s="64" t="s">
        <v>90</v>
      </c>
      <c r="CKC21" s="65"/>
      <c r="CKD21" s="66"/>
      <c r="CKE21" s="274" t="s">
        <v>116</v>
      </c>
      <c r="CKF21" s="275"/>
      <c r="CKG21" s="64" t="s">
        <v>90</v>
      </c>
      <c r="CKH21" s="65"/>
      <c r="CKI21" s="66"/>
      <c r="CKJ21" s="274" t="s">
        <v>123</v>
      </c>
      <c r="CKK21" s="275"/>
      <c r="CKL21" s="64" t="s">
        <v>90</v>
      </c>
      <c r="CKM21" s="65"/>
      <c r="CKN21" s="66"/>
      <c r="CKO21" s="274" t="s">
        <v>61</v>
      </c>
      <c r="CKP21" s="275"/>
      <c r="CKQ21" s="64" t="s">
        <v>90</v>
      </c>
      <c r="CKR21" s="65"/>
      <c r="CKS21" s="66"/>
      <c r="CKT21" s="274" t="s">
        <v>116</v>
      </c>
      <c r="CKU21" s="275"/>
      <c r="CKV21" s="64" t="s">
        <v>90</v>
      </c>
      <c r="CKW21" s="65"/>
      <c r="CKX21" s="66"/>
      <c r="CKY21" s="274" t="s">
        <v>31</v>
      </c>
      <c r="CKZ21" s="275"/>
      <c r="CLA21" s="64" t="s">
        <v>90</v>
      </c>
      <c r="CLB21" s="65"/>
      <c r="CLC21" s="66"/>
      <c r="CLD21" s="274" t="s">
        <v>31</v>
      </c>
      <c r="CLE21" s="275"/>
      <c r="CLF21" s="64" t="s">
        <v>90</v>
      </c>
      <c r="CLG21" s="65"/>
      <c r="CLH21" s="66"/>
      <c r="CLI21" s="274" t="s">
        <v>61</v>
      </c>
      <c r="CLJ21" s="275"/>
      <c r="CLK21" s="64" t="s">
        <v>90</v>
      </c>
      <c r="CLL21" s="65"/>
      <c r="CLM21" s="66"/>
      <c r="CLN21" s="274" t="s">
        <v>61</v>
      </c>
      <c r="CLO21" s="275"/>
      <c r="CLP21" s="64" t="s">
        <v>90</v>
      </c>
      <c r="CLQ21" s="65"/>
      <c r="CLR21" s="66"/>
      <c r="CLS21" s="274" t="s">
        <v>61</v>
      </c>
      <c r="CLT21" s="275"/>
      <c r="CLU21" s="64" t="s">
        <v>90</v>
      </c>
      <c r="CLV21" s="65"/>
      <c r="CLW21" s="66"/>
      <c r="CLX21" s="274" t="s">
        <v>61</v>
      </c>
      <c r="CLY21" s="275"/>
      <c r="CLZ21" s="64" t="s">
        <v>90</v>
      </c>
      <c r="CMA21" s="65"/>
      <c r="CMB21" s="66"/>
      <c r="CMC21" s="274" t="s">
        <v>61</v>
      </c>
      <c r="CMD21" s="275"/>
      <c r="CME21" s="64" t="s">
        <v>90</v>
      </c>
      <c r="CMF21" s="65"/>
      <c r="CMG21" s="66"/>
      <c r="CMH21" s="274" t="s">
        <v>31</v>
      </c>
      <c r="CMI21" s="275"/>
      <c r="CMJ21" s="64" t="s">
        <v>90</v>
      </c>
      <c r="CMK21" s="65"/>
      <c r="CML21" s="66"/>
      <c r="CMM21" s="274" t="s">
        <v>31</v>
      </c>
      <c r="CMN21" s="275"/>
      <c r="CMO21" s="64" t="s">
        <v>90</v>
      </c>
      <c r="CMP21" s="65"/>
      <c r="CMQ21" s="66"/>
      <c r="CMR21" s="274" t="s">
        <v>31</v>
      </c>
      <c r="CMS21" s="275"/>
      <c r="CMT21" s="64" t="s">
        <v>90</v>
      </c>
      <c r="CMU21" s="65"/>
      <c r="CMV21" s="66"/>
      <c r="CMW21" s="274" t="s">
        <v>61</v>
      </c>
      <c r="CMX21" s="275"/>
      <c r="CMY21" s="64" t="s">
        <v>90</v>
      </c>
      <c r="CMZ21" s="65"/>
      <c r="CNA21" s="66"/>
      <c r="CNB21" s="274" t="s">
        <v>61</v>
      </c>
      <c r="CNC21" s="275"/>
      <c r="CND21" s="64" t="s">
        <v>90</v>
      </c>
      <c r="CNE21" s="65"/>
      <c r="CNF21" s="66"/>
      <c r="CNG21" s="274" t="s">
        <v>61</v>
      </c>
      <c r="CNH21" s="275"/>
      <c r="CNI21" s="64" t="s">
        <v>90</v>
      </c>
      <c r="CNJ21" s="65"/>
      <c r="CNK21" s="66"/>
      <c r="CNL21" s="274" t="s">
        <v>31</v>
      </c>
      <c r="CNM21" s="275"/>
      <c r="CNN21" s="64" t="s">
        <v>90</v>
      </c>
      <c r="CNO21" s="65"/>
      <c r="CNP21" s="66"/>
      <c r="CNQ21" s="274" t="s">
        <v>31</v>
      </c>
      <c r="CNR21" s="275"/>
      <c r="CNS21" s="64" t="s">
        <v>90</v>
      </c>
      <c r="CNT21" s="65"/>
      <c r="CNU21" s="66"/>
      <c r="CNV21" s="274" t="s">
        <v>31</v>
      </c>
      <c r="CNW21" s="275"/>
      <c r="CNX21" s="64" t="s">
        <v>90</v>
      </c>
      <c r="CNY21" s="65"/>
      <c r="CNZ21" s="66"/>
      <c r="COA21" s="274" t="s">
        <v>31</v>
      </c>
      <c r="COB21" s="275"/>
      <c r="COC21" s="64" t="s">
        <v>90</v>
      </c>
      <c r="COD21" s="65"/>
      <c r="COE21" s="66"/>
      <c r="COF21" s="274" t="s">
        <v>31</v>
      </c>
      <c r="COG21" s="275"/>
      <c r="COH21" s="64" t="s">
        <v>90</v>
      </c>
      <c r="COI21" s="65"/>
      <c r="COJ21" s="66"/>
      <c r="COK21" s="274" t="s">
        <v>41</v>
      </c>
      <c r="COL21" s="275"/>
      <c r="COM21" s="64" t="s">
        <v>90</v>
      </c>
      <c r="CON21" s="65"/>
      <c r="COO21" s="66"/>
      <c r="COP21" s="274" t="s">
        <v>31</v>
      </c>
      <c r="COQ21" s="275"/>
      <c r="COR21" s="64" t="s">
        <v>90</v>
      </c>
      <c r="COS21" s="65"/>
      <c r="COT21" s="66"/>
      <c r="COU21" s="274" t="s">
        <v>41</v>
      </c>
      <c r="COV21" s="275"/>
      <c r="COW21" s="64" t="s">
        <v>90</v>
      </c>
      <c r="COX21" s="65"/>
      <c r="COY21" s="66"/>
      <c r="COZ21" s="274" t="s">
        <v>31</v>
      </c>
      <c r="CPA21" s="275"/>
      <c r="CPB21" s="64" t="s">
        <v>90</v>
      </c>
      <c r="CPC21" s="65"/>
      <c r="CPD21" s="66"/>
      <c r="CPE21" s="274" t="s">
        <v>31</v>
      </c>
      <c r="CPF21" s="275"/>
      <c r="CPG21" s="64" t="s">
        <v>90</v>
      </c>
      <c r="CPH21" s="65"/>
      <c r="CPI21" s="66"/>
      <c r="CPJ21" s="274" t="s">
        <v>31</v>
      </c>
      <c r="CPK21" s="275"/>
      <c r="CPL21" s="64" t="s">
        <v>90</v>
      </c>
      <c r="CPM21" s="65"/>
      <c r="CPN21" s="66"/>
      <c r="CPO21" s="274" t="s">
        <v>31</v>
      </c>
      <c r="CPP21" s="275"/>
      <c r="CPQ21" s="64" t="s">
        <v>90</v>
      </c>
      <c r="CPR21" s="65"/>
      <c r="CPS21" s="66"/>
      <c r="CPT21" s="274" t="s">
        <v>31</v>
      </c>
      <c r="CPU21" s="275"/>
      <c r="CPV21" s="64" t="s">
        <v>90</v>
      </c>
      <c r="CPW21" s="65"/>
      <c r="CPX21" s="66"/>
      <c r="CPY21" s="274" t="s">
        <v>31</v>
      </c>
      <c r="CPZ21" s="275"/>
      <c r="CQA21" s="64" t="s">
        <v>90</v>
      </c>
      <c r="CQB21" s="65"/>
      <c r="CQC21" s="66"/>
      <c r="CQD21" s="274" t="s">
        <v>31</v>
      </c>
      <c r="CQE21" s="275"/>
      <c r="CQF21" s="64" t="s">
        <v>90</v>
      </c>
      <c r="CQG21" s="65"/>
      <c r="CQH21" s="66"/>
      <c r="CQI21" s="274" t="s">
        <v>31</v>
      </c>
      <c r="CQJ21" s="275"/>
      <c r="CQK21" s="64" t="s">
        <v>90</v>
      </c>
      <c r="CQL21" s="65"/>
      <c r="CQM21" s="66"/>
      <c r="CQN21" s="274" t="s">
        <v>31</v>
      </c>
      <c r="CQO21" s="275"/>
      <c r="CQP21" s="64" t="s">
        <v>90</v>
      </c>
      <c r="CQQ21" s="65"/>
      <c r="CQR21" s="66"/>
      <c r="CQS21" s="274" t="s">
        <v>31</v>
      </c>
      <c r="CQT21" s="275"/>
      <c r="CQU21" s="64" t="s">
        <v>90</v>
      </c>
      <c r="CQV21" s="65"/>
      <c r="CQW21" s="66"/>
      <c r="CQX21" s="274" t="s">
        <v>31</v>
      </c>
      <c r="CQY21" s="275"/>
      <c r="CQZ21" s="64" t="s">
        <v>90</v>
      </c>
      <c r="CRA21" s="65"/>
      <c r="CRB21" s="66"/>
      <c r="CRC21" s="274" t="s">
        <v>31</v>
      </c>
      <c r="CRD21" s="275"/>
      <c r="CRE21" s="51" t="s">
        <v>7</v>
      </c>
      <c r="CRF21" s="52"/>
      <c r="CRG21" s="53"/>
      <c r="CRH21" s="282" t="s">
        <v>31</v>
      </c>
      <c r="CRI21" s="283"/>
      <c r="CRJ21" s="51" t="s">
        <v>7</v>
      </c>
      <c r="CRK21" s="52"/>
      <c r="CRL21" s="53"/>
      <c r="CRM21" s="282" t="s">
        <v>31</v>
      </c>
      <c r="CRN21" s="283"/>
      <c r="CRO21" s="51" t="s">
        <v>7</v>
      </c>
      <c r="CRP21" s="52"/>
      <c r="CRQ21" s="53"/>
      <c r="CRR21" s="282" t="s">
        <v>31</v>
      </c>
      <c r="CRS21" s="283"/>
      <c r="CRT21" s="51" t="s">
        <v>7</v>
      </c>
      <c r="CRU21" s="52"/>
      <c r="CRV21" s="53"/>
      <c r="CRW21" s="282" t="s">
        <v>31</v>
      </c>
      <c r="CRX21" s="283"/>
      <c r="CRY21" s="9" t="s">
        <v>7</v>
      </c>
      <c r="CRZ21" s="7"/>
      <c r="CSA21" s="6"/>
      <c r="CSB21" s="16" t="s">
        <v>31</v>
      </c>
      <c r="CSC21" s="9" t="s">
        <v>7</v>
      </c>
      <c r="CSD21" s="7"/>
      <c r="CSE21" s="6"/>
      <c r="CSF21" s="16" t="s">
        <v>61</v>
      </c>
      <c r="CSG21" s="9" t="s">
        <v>7</v>
      </c>
      <c r="CSH21" s="7"/>
      <c r="CSI21" s="6"/>
      <c r="CSJ21" s="16" t="s">
        <v>31</v>
      </c>
      <c r="CSK21" s="9" t="s">
        <v>7</v>
      </c>
      <c r="CSL21" s="7"/>
      <c r="CSM21" s="6"/>
      <c r="CSN21" s="16" t="s">
        <v>31</v>
      </c>
      <c r="CSO21" s="9" t="s">
        <v>7</v>
      </c>
      <c r="CSP21" s="7"/>
      <c r="CSQ21" s="6"/>
      <c r="CSR21" s="16" t="s">
        <v>31</v>
      </c>
      <c r="CSS21" s="9" t="s">
        <v>7</v>
      </c>
      <c r="CST21" s="7"/>
      <c r="CSU21" s="6"/>
      <c r="CSV21" s="16" t="s">
        <v>61</v>
      </c>
      <c r="CSW21" s="9" t="s">
        <v>7</v>
      </c>
      <c r="CSX21" s="7"/>
      <c r="CSY21" s="6"/>
      <c r="CSZ21" s="16" t="s">
        <v>31</v>
      </c>
      <c r="CTA21" s="9" t="s">
        <v>7</v>
      </c>
      <c r="CTB21" s="7"/>
      <c r="CTC21" s="6"/>
      <c r="CTD21" s="16" t="s">
        <v>31</v>
      </c>
      <c r="CTE21" s="9" t="s">
        <v>7</v>
      </c>
      <c r="CTF21" s="7"/>
      <c r="CTG21" s="6"/>
      <c r="CTH21" s="16" t="s">
        <v>31</v>
      </c>
      <c r="CTI21" s="9" t="s">
        <v>7</v>
      </c>
      <c r="CTJ21" s="7"/>
      <c r="CTK21" s="6"/>
      <c r="CTL21" s="16" t="s">
        <v>61</v>
      </c>
      <c r="CTM21" s="9" t="s">
        <v>7</v>
      </c>
      <c r="CTN21" s="7"/>
      <c r="CTO21" s="6"/>
      <c r="CTP21" s="16" t="s">
        <v>31</v>
      </c>
      <c r="CTQ21" s="9" t="s">
        <v>7</v>
      </c>
      <c r="CTR21" s="7"/>
      <c r="CTS21" s="6"/>
      <c r="CTT21" s="16" t="s">
        <v>31</v>
      </c>
      <c r="CTU21" s="9" t="s">
        <v>7</v>
      </c>
      <c r="CTV21" s="7"/>
      <c r="CTW21" s="6"/>
      <c r="CTX21" s="16" t="s">
        <v>31</v>
      </c>
      <c r="CTY21" s="9" t="s">
        <v>7</v>
      </c>
      <c r="CTZ21" s="7"/>
      <c r="CUA21" s="6"/>
      <c r="CUB21" s="16" t="s">
        <v>31</v>
      </c>
      <c r="CUC21" s="9" t="s">
        <v>7</v>
      </c>
      <c r="CUD21" s="7"/>
      <c r="CUE21" s="6"/>
      <c r="CUF21" s="16" t="s">
        <v>61</v>
      </c>
      <c r="CUG21" s="9" t="s">
        <v>7</v>
      </c>
      <c r="CUH21" s="7"/>
      <c r="CUI21" s="6"/>
      <c r="CUJ21" s="16" t="s">
        <v>31</v>
      </c>
      <c r="CUK21" s="9" t="s">
        <v>7</v>
      </c>
      <c r="CUL21" s="7"/>
      <c r="CUM21" s="6"/>
      <c r="CUN21" s="16" t="s">
        <v>31</v>
      </c>
      <c r="CUO21" s="9" t="s">
        <v>7</v>
      </c>
      <c r="CUP21" s="7"/>
      <c r="CUQ21" s="6"/>
      <c r="CUR21" s="16" t="s">
        <v>31</v>
      </c>
      <c r="CUS21" s="9" t="s">
        <v>7</v>
      </c>
      <c r="CUT21" s="7"/>
      <c r="CUU21" s="6"/>
      <c r="CUV21" s="16" t="s">
        <v>31</v>
      </c>
      <c r="CUW21" s="9" t="s">
        <v>7</v>
      </c>
      <c r="CUX21" s="7"/>
      <c r="CUY21" s="6"/>
      <c r="CUZ21" s="16" t="s">
        <v>31</v>
      </c>
      <c r="CVA21" s="9" t="s">
        <v>7</v>
      </c>
      <c r="CVB21" s="7"/>
      <c r="CVC21" s="6"/>
      <c r="CVD21" s="16" t="s">
        <v>31</v>
      </c>
      <c r="CVE21" s="9" t="s">
        <v>7</v>
      </c>
      <c r="CVF21" s="7"/>
      <c r="CVG21" s="6"/>
      <c r="CVH21" s="16"/>
      <c r="CVI21" s="9" t="s">
        <v>7</v>
      </c>
      <c r="CVJ21" s="7"/>
      <c r="CVK21" s="6"/>
      <c r="CVL21" s="16" t="s">
        <v>31</v>
      </c>
      <c r="CVM21" s="9" t="s">
        <v>7</v>
      </c>
      <c r="CVN21" s="7"/>
      <c r="CVO21" s="6"/>
      <c r="CVP21" s="16" t="s">
        <v>31</v>
      </c>
      <c r="CVQ21" s="9" t="s">
        <v>7</v>
      </c>
      <c r="CVR21" s="7"/>
      <c r="CVS21" s="6"/>
      <c r="CVT21" s="16" t="s">
        <v>31</v>
      </c>
      <c r="CVU21" s="9" t="s">
        <v>7</v>
      </c>
      <c r="CVV21" s="7"/>
      <c r="CVW21" s="6"/>
      <c r="CVX21" s="16"/>
      <c r="CVY21" s="9" t="s">
        <v>7</v>
      </c>
      <c r="CVZ21" s="7"/>
      <c r="CWA21" s="6"/>
      <c r="CWB21" s="16" t="s">
        <v>61</v>
      </c>
      <c r="CWC21" s="9" t="s">
        <v>7</v>
      </c>
      <c r="CWD21" s="7"/>
      <c r="CWE21" s="6"/>
      <c r="CWF21" s="16" t="s">
        <v>31</v>
      </c>
      <c r="CWG21" s="9" t="s">
        <v>7</v>
      </c>
      <c r="CWH21" s="7"/>
      <c r="CWI21" s="6"/>
      <c r="CWJ21" s="16" t="s">
        <v>31</v>
      </c>
      <c r="CWK21" s="9" t="s">
        <v>7</v>
      </c>
      <c r="CWL21" s="7"/>
      <c r="CWM21" s="6"/>
      <c r="CWN21" s="16" t="s">
        <v>31</v>
      </c>
      <c r="CWO21" s="9" t="s">
        <v>7</v>
      </c>
      <c r="CWP21" s="7"/>
      <c r="CWQ21" s="6"/>
      <c r="CWR21" s="16" t="s">
        <v>31</v>
      </c>
      <c r="CWS21" s="9" t="s">
        <v>7</v>
      </c>
      <c r="CWT21" s="7"/>
      <c r="CWU21" s="6"/>
      <c r="CWV21" s="16"/>
      <c r="CWW21" s="9" t="s">
        <v>7</v>
      </c>
      <c r="CWX21" s="7"/>
      <c r="CWY21" s="6"/>
      <c r="CWZ21" s="16" t="s">
        <v>31</v>
      </c>
      <c r="CXA21" s="39" t="s">
        <v>7</v>
      </c>
      <c r="CXB21" s="40"/>
      <c r="CXC21" s="41"/>
      <c r="CXD21" s="42" t="s">
        <v>31</v>
      </c>
      <c r="CXE21" s="39" t="s">
        <v>7</v>
      </c>
      <c r="CXF21" s="40"/>
      <c r="CXG21" s="41"/>
      <c r="CXH21" s="42" t="s">
        <v>31</v>
      </c>
      <c r="CXI21" s="39" t="s">
        <v>7</v>
      </c>
      <c r="CXJ21" s="40"/>
      <c r="CXK21" s="41"/>
      <c r="CXL21" s="42" t="s">
        <v>31</v>
      </c>
      <c r="CXM21" s="39" t="s">
        <v>7</v>
      </c>
      <c r="CXN21" s="40"/>
      <c r="CXO21" s="41"/>
      <c r="CXP21" s="42" t="s">
        <v>31</v>
      </c>
      <c r="CXQ21" s="39" t="s">
        <v>7</v>
      </c>
      <c r="CXR21" s="40"/>
      <c r="CXS21" s="41"/>
      <c r="CXT21" s="42" t="s">
        <v>31</v>
      </c>
      <c r="CXU21" s="26" t="s">
        <v>7</v>
      </c>
      <c r="CXX21" s="26" t="s">
        <v>31</v>
      </c>
      <c r="CXY21" s="26" t="s">
        <v>7</v>
      </c>
      <c r="CYB21" s="26" t="s">
        <v>31</v>
      </c>
      <c r="CYC21" s="26" t="s">
        <v>7</v>
      </c>
      <c r="CYF21" s="26" t="s">
        <v>31</v>
      </c>
      <c r="CYG21" s="26" t="s">
        <v>9</v>
      </c>
      <c r="CYJ21" s="26">
        <v>0</v>
      </c>
      <c r="CYK21" s="26" t="s">
        <v>9</v>
      </c>
      <c r="CYN21" s="26">
        <v>0</v>
      </c>
      <c r="CYO21" s="26" t="s">
        <v>9</v>
      </c>
      <c r="CYR21" s="26">
        <v>0</v>
      </c>
      <c r="CYS21" s="26" t="s">
        <v>9</v>
      </c>
      <c r="CYV21" s="26">
        <v>0</v>
      </c>
      <c r="CYW21" s="26" t="s">
        <v>9</v>
      </c>
      <c r="CYZ21" s="26">
        <v>0</v>
      </c>
      <c r="CZA21" s="26" t="s">
        <v>9</v>
      </c>
      <c r="CZD21" s="26">
        <v>0</v>
      </c>
      <c r="CZE21" s="26" t="s">
        <v>9</v>
      </c>
      <c r="CZH21" s="26">
        <v>0</v>
      </c>
      <c r="CZI21" s="26" t="s">
        <v>9</v>
      </c>
      <c r="CZL21" s="26">
        <v>0</v>
      </c>
      <c r="CZM21" s="26" t="s">
        <v>9</v>
      </c>
      <c r="CZP21" s="26">
        <v>0</v>
      </c>
      <c r="CZQ21" s="26" t="s">
        <v>9</v>
      </c>
      <c r="CZT21" s="26">
        <v>0</v>
      </c>
      <c r="CZU21" s="26" t="s">
        <v>9</v>
      </c>
      <c r="CZX21" s="26">
        <v>0</v>
      </c>
      <c r="CZY21" s="26" t="s">
        <v>9</v>
      </c>
      <c r="DAB21" s="26">
        <v>0</v>
      </c>
      <c r="DAC21" s="26" t="s">
        <v>9</v>
      </c>
      <c r="DAF21" s="26">
        <v>0</v>
      </c>
      <c r="DAG21" s="26" t="s">
        <v>9</v>
      </c>
      <c r="DAJ21" s="26">
        <v>0</v>
      </c>
      <c r="DAK21" s="26" t="s">
        <v>9</v>
      </c>
      <c r="DAN21" s="26">
        <v>0</v>
      </c>
      <c r="DAO21" s="26" t="s">
        <v>9</v>
      </c>
      <c r="DAR21" s="26">
        <v>0</v>
      </c>
      <c r="DAS21" s="26" t="s">
        <v>9</v>
      </c>
      <c r="DAV21" s="26">
        <v>0</v>
      </c>
      <c r="DAW21" s="26" t="s">
        <v>9</v>
      </c>
      <c r="DAZ21" s="26">
        <v>0</v>
      </c>
      <c r="DBA21" s="26" t="s">
        <v>9</v>
      </c>
      <c r="DBD21" s="26">
        <v>0</v>
      </c>
      <c r="DBE21" s="26" t="s">
        <v>9</v>
      </c>
      <c r="DBH21" s="26">
        <v>0</v>
      </c>
      <c r="DBI21" s="26" t="s">
        <v>9</v>
      </c>
      <c r="DBL21" s="26">
        <v>0</v>
      </c>
      <c r="DBM21" s="26" t="s">
        <v>9</v>
      </c>
      <c r="DBP21" s="26">
        <v>0</v>
      </c>
      <c r="DBQ21" s="26" t="s">
        <v>9</v>
      </c>
      <c r="DBT21" s="26">
        <v>0</v>
      </c>
      <c r="DBU21" s="26" t="s">
        <v>9</v>
      </c>
      <c r="DBX21" s="26">
        <v>0</v>
      </c>
      <c r="DBY21" s="26" t="s">
        <v>9</v>
      </c>
      <c r="DCB21" s="26">
        <v>0</v>
      </c>
      <c r="DCC21" s="26" t="s">
        <v>9</v>
      </c>
      <c r="DCF21" s="26">
        <v>0</v>
      </c>
      <c r="DCG21" s="26" t="s">
        <v>9</v>
      </c>
      <c r="DCJ21" s="26">
        <v>0</v>
      </c>
      <c r="DCK21" s="26" t="s">
        <v>9</v>
      </c>
      <c r="DCN21" s="26">
        <v>0</v>
      </c>
      <c r="DCO21" s="26" t="s">
        <v>9</v>
      </c>
      <c r="DCR21" s="26">
        <v>0</v>
      </c>
      <c r="DCS21" s="26" t="s">
        <v>9</v>
      </c>
      <c r="DCV21" s="26">
        <v>0</v>
      </c>
      <c r="DCW21" s="26" t="s">
        <v>9</v>
      </c>
      <c r="DCZ21" s="26">
        <v>0</v>
      </c>
      <c r="DDA21" s="26" t="s">
        <v>9</v>
      </c>
      <c r="DDD21" s="26">
        <v>0</v>
      </c>
      <c r="DDE21" s="26" t="s">
        <v>10</v>
      </c>
      <c r="DDH21" s="26" t="s">
        <v>40</v>
      </c>
      <c r="DDI21" s="26" t="s">
        <v>10</v>
      </c>
      <c r="DDL21" s="26" t="s">
        <v>40</v>
      </c>
      <c r="DDM21" s="26" t="s">
        <v>10</v>
      </c>
      <c r="DDP21" s="26" t="s">
        <v>40</v>
      </c>
      <c r="DDQ21" s="26" t="s">
        <v>11</v>
      </c>
      <c r="DDT21" s="26" t="s">
        <v>31</v>
      </c>
    </row>
    <row r="22" spans="1:2828" ht="15.6" x14ac:dyDescent="0.3">
      <c r="A22" s="67" t="s">
        <v>89</v>
      </c>
      <c r="B22" s="68"/>
      <c r="C22" s="69"/>
      <c r="D22" s="250" t="s">
        <v>52</v>
      </c>
      <c r="E22" s="251"/>
      <c r="F22" s="67" t="s">
        <v>89</v>
      </c>
      <c r="G22" s="68"/>
      <c r="H22" s="69"/>
      <c r="I22" s="250" t="s">
        <v>52</v>
      </c>
      <c r="J22" s="251"/>
      <c r="K22" s="67" t="s">
        <v>89</v>
      </c>
      <c r="L22" s="68"/>
      <c r="M22" s="69"/>
      <c r="N22" s="250" t="s">
        <v>52</v>
      </c>
      <c r="O22" s="251"/>
      <c r="P22" s="67" t="s">
        <v>89</v>
      </c>
      <c r="Q22" s="68"/>
      <c r="R22" s="69"/>
      <c r="S22" s="250" t="s">
        <v>52</v>
      </c>
      <c r="T22" s="251"/>
      <c r="U22" s="67" t="s">
        <v>89</v>
      </c>
      <c r="V22" s="68"/>
      <c r="W22" s="69"/>
      <c r="X22" s="250" t="s">
        <v>52</v>
      </c>
      <c r="Y22" s="251"/>
      <c r="Z22" s="67" t="s">
        <v>89</v>
      </c>
      <c r="AA22" s="68"/>
      <c r="AB22" s="69"/>
      <c r="AC22" s="250" t="s">
        <v>52</v>
      </c>
      <c r="AD22" s="251"/>
      <c r="AE22" s="67" t="s">
        <v>89</v>
      </c>
      <c r="AF22" s="68"/>
      <c r="AG22" s="69"/>
      <c r="AH22" s="250" t="s">
        <v>52</v>
      </c>
      <c r="AI22" s="251"/>
      <c r="AJ22" s="67" t="s">
        <v>89</v>
      </c>
      <c r="AK22" s="68"/>
      <c r="AL22" s="69"/>
      <c r="AM22" s="250" t="s">
        <v>52</v>
      </c>
      <c r="AN22" s="251"/>
      <c r="AO22" s="67" t="s">
        <v>89</v>
      </c>
      <c r="AP22" s="68"/>
      <c r="AQ22" s="69"/>
      <c r="AR22" s="250" t="s">
        <v>52</v>
      </c>
      <c r="AS22" s="251"/>
      <c r="AT22" s="67" t="s">
        <v>89</v>
      </c>
      <c r="AU22" s="68"/>
      <c r="AV22" s="69"/>
      <c r="AW22" s="250" t="s">
        <v>52</v>
      </c>
      <c r="AX22" s="251"/>
      <c r="AY22" s="67" t="s">
        <v>89</v>
      </c>
      <c r="AZ22" s="68"/>
      <c r="BA22" s="69"/>
      <c r="BB22" s="250" t="s">
        <v>52</v>
      </c>
      <c r="BC22" s="251"/>
      <c r="BD22" s="67" t="s">
        <v>89</v>
      </c>
      <c r="BE22" s="68"/>
      <c r="BF22" s="69"/>
      <c r="BG22" s="250" t="s">
        <v>52</v>
      </c>
      <c r="BH22" s="251"/>
      <c r="BI22" s="67" t="s">
        <v>89</v>
      </c>
      <c r="BJ22" s="68"/>
      <c r="BK22" s="69"/>
      <c r="BL22" s="250" t="s">
        <v>52</v>
      </c>
      <c r="BM22" s="251"/>
      <c r="BN22" s="67" t="s">
        <v>89</v>
      </c>
      <c r="BO22" s="68"/>
      <c r="BP22" s="69"/>
      <c r="BQ22" s="250" t="s">
        <v>52</v>
      </c>
      <c r="BR22" s="251"/>
      <c r="BS22" s="67" t="s">
        <v>89</v>
      </c>
      <c r="BT22" s="68"/>
      <c r="BU22" s="69"/>
      <c r="BV22" s="250" t="s">
        <v>52</v>
      </c>
      <c r="BW22" s="251"/>
      <c r="BX22" s="67" t="s">
        <v>89</v>
      </c>
      <c r="BY22" s="68"/>
      <c r="BZ22" s="69"/>
      <c r="CA22" s="250" t="s">
        <v>52</v>
      </c>
      <c r="CB22" s="251"/>
      <c r="CC22" s="67" t="s">
        <v>89</v>
      </c>
      <c r="CD22" s="68"/>
      <c r="CE22" s="69"/>
      <c r="CF22" s="250" t="s">
        <v>52</v>
      </c>
      <c r="CG22" s="251"/>
      <c r="CH22" s="67" t="s">
        <v>89</v>
      </c>
      <c r="CI22" s="68"/>
      <c r="CJ22" s="69"/>
      <c r="CK22" s="250" t="s">
        <v>52</v>
      </c>
      <c r="CL22" s="251"/>
      <c r="CM22" s="67" t="s">
        <v>89</v>
      </c>
      <c r="CN22" s="68"/>
      <c r="CO22" s="69"/>
      <c r="CP22" s="250" t="s">
        <v>52</v>
      </c>
      <c r="CQ22" s="251"/>
      <c r="CR22" s="67" t="s">
        <v>89</v>
      </c>
      <c r="CS22" s="68"/>
      <c r="CT22" s="69"/>
      <c r="CU22" s="250" t="s">
        <v>52</v>
      </c>
      <c r="CV22" s="251"/>
      <c r="CW22" s="67" t="s">
        <v>89</v>
      </c>
      <c r="CX22" s="68"/>
      <c r="CY22" s="69"/>
      <c r="CZ22" s="250" t="s">
        <v>52</v>
      </c>
      <c r="DA22" s="251"/>
      <c r="DB22" s="67" t="s">
        <v>89</v>
      </c>
      <c r="DC22" s="68"/>
      <c r="DD22" s="69"/>
      <c r="DE22" s="250" t="s">
        <v>52</v>
      </c>
      <c r="DF22" s="251"/>
      <c r="DG22" s="67" t="s">
        <v>89</v>
      </c>
      <c r="DH22" s="68"/>
      <c r="DI22" s="69"/>
      <c r="DJ22" s="250" t="s">
        <v>52</v>
      </c>
      <c r="DK22" s="251"/>
      <c r="DL22" s="67" t="s">
        <v>89</v>
      </c>
      <c r="DM22" s="68"/>
      <c r="DN22" s="69"/>
      <c r="DO22" s="250" t="s">
        <v>52</v>
      </c>
      <c r="DP22" s="251"/>
      <c r="DQ22" s="67" t="s">
        <v>89</v>
      </c>
      <c r="DR22" s="68"/>
      <c r="DS22" s="69"/>
      <c r="DT22" s="250" t="s">
        <v>52</v>
      </c>
      <c r="DU22" s="251"/>
      <c r="DV22" s="67" t="s">
        <v>89</v>
      </c>
      <c r="DW22" s="68"/>
      <c r="DX22" s="69"/>
      <c r="DY22" s="250" t="s">
        <v>31</v>
      </c>
      <c r="DZ22" s="251"/>
      <c r="EA22" s="67" t="s">
        <v>89</v>
      </c>
      <c r="EB22" s="68"/>
      <c r="EC22" s="69"/>
      <c r="ED22" s="250" t="s">
        <v>52</v>
      </c>
      <c r="EE22" s="251"/>
      <c r="EF22" s="67" t="s">
        <v>89</v>
      </c>
      <c r="EG22" s="68"/>
      <c r="EH22" s="69"/>
      <c r="EI22" s="250" t="s">
        <v>52</v>
      </c>
      <c r="EJ22" s="251"/>
      <c r="EK22" s="67" t="s">
        <v>89</v>
      </c>
      <c r="EL22" s="68"/>
      <c r="EM22" s="69"/>
      <c r="EN22" s="250" t="s">
        <v>52</v>
      </c>
      <c r="EO22" s="251"/>
      <c r="EP22" s="67" t="s">
        <v>89</v>
      </c>
      <c r="EQ22" s="68"/>
      <c r="ER22" s="69"/>
      <c r="ES22" s="250" t="s">
        <v>52</v>
      </c>
      <c r="ET22" s="251"/>
      <c r="EU22" s="67" t="s">
        <v>89</v>
      </c>
      <c r="EV22" s="68"/>
      <c r="EW22" s="69"/>
      <c r="EX22" s="250" t="s">
        <v>52</v>
      </c>
      <c r="EY22" s="251"/>
      <c r="EZ22" s="67" t="s">
        <v>89</v>
      </c>
      <c r="FA22" s="68"/>
      <c r="FB22" s="69"/>
      <c r="FC22" s="250" t="s">
        <v>52</v>
      </c>
      <c r="FD22" s="251"/>
      <c r="FE22" s="67" t="s">
        <v>89</v>
      </c>
      <c r="FF22" s="68"/>
      <c r="FG22" s="69"/>
      <c r="FH22" s="250" t="s">
        <v>52</v>
      </c>
      <c r="FI22" s="251"/>
      <c r="FJ22" s="67" t="s">
        <v>89</v>
      </c>
      <c r="FK22" s="68"/>
      <c r="FL22" s="69"/>
      <c r="FM22" s="250" t="s">
        <v>52</v>
      </c>
      <c r="FN22" s="251"/>
      <c r="FO22" s="67" t="s">
        <v>89</v>
      </c>
      <c r="FP22" s="68"/>
      <c r="FQ22" s="69"/>
      <c r="FR22" s="250" t="s">
        <v>52</v>
      </c>
      <c r="FS22" s="251"/>
      <c r="FT22" s="67" t="s">
        <v>89</v>
      </c>
      <c r="FU22" s="68"/>
      <c r="FV22" s="69"/>
      <c r="FW22" s="250" t="s">
        <v>52</v>
      </c>
      <c r="FX22" s="251"/>
      <c r="FY22" s="67" t="s">
        <v>89</v>
      </c>
      <c r="FZ22" s="68"/>
      <c r="GA22" s="69"/>
      <c r="GB22" s="250" t="s">
        <v>52</v>
      </c>
      <c r="GC22" s="251"/>
      <c r="GD22" s="67" t="s">
        <v>89</v>
      </c>
      <c r="GE22" s="68"/>
      <c r="GF22" s="69"/>
      <c r="GG22" s="250" t="s">
        <v>52</v>
      </c>
      <c r="GH22" s="251"/>
      <c r="GI22" s="67" t="s">
        <v>89</v>
      </c>
      <c r="GJ22" s="68"/>
      <c r="GK22" s="69"/>
      <c r="GL22" s="250" t="s">
        <v>52</v>
      </c>
      <c r="GM22" s="251"/>
      <c r="GN22" s="67" t="s">
        <v>89</v>
      </c>
      <c r="GO22" s="68"/>
      <c r="GP22" s="69"/>
      <c r="GQ22" s="250" t="s">
        <v>52</v>
      </c>
      <c r="GR22" s="251"/>
      <c r="GS22" s="67" t="s">
        <v>89</v>
      </c>
      <c r="GT22" s="68"/>
      <c r="GU22" s="69"/>
      <c r="GV22" s="250" t="s">
        <v>31</v>
      </c>
      <c r="GW22" s="251"/>
      <c r="GX22" s="67" t="s">
        <v>89</v>
      </c>
      <c r="GY22" s="68"/>
      <c r="GZ22" s="69"/>
      <c r="HA22" s="250" t="s">
        <v>52</v>
      </c>
      <c r="HB22" s="251"/>
      <c r="HC22" s="67" t="s">
        <v>89</v>
      </c>
      <c r="HD22" s="68"/>
      <c r="HE22" s="69"/>
      <c r="HF22" s="250" t="s">
        <v>52</v>
      </c>
      <c r="HG22" s="251"/>
      <c r="HH22" s="67" t="s">
        <v>89</v>
      </c>
      <c r="HI22" s="68"/>
      <c r="HJ22" s="69"/>
      <c r="HK22" s="250" t="s">
        <v>52</v>
      </c>
      <c r="HL22" s="251"/>
      <c r="HM22" s="67" t="s">
        <v>89</v>
      </c>
      <c r="HN22" s="68"/>
      <c r="HO22" s="69"/>
      <c r="HP22" s="250" t="s">
        <v>52</v>
      </c>
      <c r="HQ22" s="251"/>
      <c r="HR22" s="67" t="s">
        <v>89</v>
      </c>
      <c r="HS22" s="68"/>
      <c r="HT22" s="69"/>
      <c r="HU22" s="250" t="s">
        <v>52</v>
      </c>
      <c r="HV22" s="251"/>
      <c r="HW22" s="67" t="s">
        <v>89</v>
      </c>
      <c r="HX22" s="68"/>
      <c r="HY22" s="69"/>
      <c r="HZ22" s="250" t="s">
        <v>52</v>
      </c>
      <c r="IA22" s="251"/>
      <c r="IB22" s="67" t="s">
        <v>89</v>
      </c>
      <c r="IC22" s="68"/>
      <c r="ID22" s="69"/>
      <c r="IE22" s="250" t="s">
        <v>52</v>
      </c>
      <c r="IF22" s="251"/>
      <c r="IG22" s="67" t="s">
        <v>89</v>
      </c>
      <c r="IH22" s="68"/>
      <c r="II22" s="69"/>
      <c r="IJ22" s="250" t="s">
        <v>52</v>
      </c>
      <c r="IK22" s="251"/>
      <c r="IL22" s="67" t="s">
        <v>89</v>
      </c>
      <c r="IM22" s="68"/>
      <c r="IN22" s="69"/>
      <c r="IO22" s="250" t="s">
        <v>52</v>
      </c>
      <c r="IP22" s="251"/>
      <c r="IQ22" s="67" t="s">
        <v>89</v>
      </c>
      <c r="IR22" s="68"/>
      <c r="IS22" s="69"/>
      <c r="IT22" s="250" t="s">
        <v>52</v>
      </c>
      <c r="IU22" s="251"/>
      <c r="IV22" s="67" t="s">
        <v>89</v>
      </c>
      <c r="IW22" s="68"/>
      <c r="IX22" s="69"/>
      <c r="IY22" s="250" t="s">
        <v>52</v>
      </c>
      <c r="IZ22" s="251"/>
      <c r="JA22" s="67" t="s">
        <v>89</v>
      </c>
      <c r="JB22" s="68"/>
      <c r="JC22" s="69"/>
      <c r="JD22" s="250" t="s">
        <v>52</v>
      </c>
      <c r="JE22" s="251"/>
      <c r="JF22" s="67" t="s">
        <v>89</v>
      </c>
      <c r="JG22" s="68"/>
      <c r="JH22" s="69"/>
      <c r="JI22" s="250" t="s">
        <v>52</v>
      </c>
      <c r="JJ22" s="251"/>
      <c r="JK22" s="67" t="s">
        <v>89</v>
      </c>
      <c r="JL22" s="68"/>
      <c r="JM22" s="69"/>
      <c r="JN22" s="250" t="s">
        <v>52</v>
      </c>
      <c r="JO22" s="251"/>
      <c r="JP22" s="67" t="s">
        <v>89</v>
      </c>
      <c r="JQ22" s="68"/>
      <c r="JR22" s="69"/>
      <c r="JS22" s="250" t="s">
        <v>52</v>
      </c>
      <c r="JT22" s="251"/>
      <c r="JU22" s="67" t="s">
        <v>89</v>
      </c>
      <c r="JV22" s="68"/>
      <c r="JW22" s="69"/>
      <c r="JX22" s="250" t="s">
        <v>52</v>
      </c>
      <c r="JY22" s="251"/>
      <c r="JZ22" s="67" t="s">
        <v>89</v>
      </c>
      <c r="KA22" s="68"/>
      <c r="KB22" s="69"/>
      <c r="KC22" s="250" t="s">
        <v>52</v>
      </c>
      <c r="KD22" s="251"/>
      <c r="KE22" s="67" t="s">
        <v>89</v>
      </c>
      <c r="KF22" s="68"/>
      <c r="KG22" s="69"/>
      <c r="KH22" s="250" t="s">
        <v>52</v>
      </c>
      <c r="KI22" s="251"/>
      <c r="KJ22" s="67" t="s">
        <v>89</v>
      </c>
      <c r="KK22" s="68"/>
      <c r="KL22" s="69"/>
      <c r="KM22" s="250" t="s">
        <v>52</v>
      </c>
      <c r="KN22" s="251"/>
      <c r="KO22" s="67" t="s">
        <v>89</v>
      </c>
      <c r="KP22" s="68"/>
      <c r="KQ22" s="69"/>
      <c r="KR22" s="250" t="s">
        <v>52</v>
      </c>
      <c r="KS22" s="251"/>
      <c r="KT22" s="67" t="s">
        <v>89</v>
      </c>
      <c r="KU22" s="68"/>
      <c r="KV22" s="69"/>
      <c r="KW22" s="250" t="s">
        <v>31</v>
      </c>
      <c r="KX22" s="251"/>
      <c r="KY22" s="67" t="s">
        <v>89</v>
      </c>
      <c r="KZ22" s="68"/>
      <c r="LA22" s="69"/>
      <c r="LB22" s="250" t="s">
        <v>52</v>
      </c>
      <c r="LC22" s="251"/>
      <c r="LD22" s="67" t="s">
        <v>89</v>
      </c>
      <c r="LE22" s="68"/>
      <c r="LF22" s="69"/>
      <c r="LG22" s="250" t="s">
        <v>31</v>
      </c>
      <c r="LH22" s="251"/>
      <c r="LI22" s="67" t="s">
        <v>89</v>
      </c>
      <c r="LJ22" s="68"/>
      <c r="LK22" s="69"/>
      <c r="LL22" s="250" t="s">
        <v>52</v>
      </c>
      <c r="LM22" s="251"/>
      <c r="LN22" s="67" t="s">
        <v>89</v>
      </c>
      <c r="LO22" s="68"/>
      <c r="LP22" s="69"/>
      <c r="LQ22" s="250" t="s">
        <v>52</v>
      </c>
      <c r="LR22" s="251"/>
      <c r="LS22" s="67" t="s">
        <v>89</v>
      </c>
      <c r="LT22" s="68"/>
      <c r="LU22" s="69"/>
      <c r="LV22" s="250" t="s">
        <v>52</v>
      </c>
      <c r="LW22" s="251"/>
      <c r="LX22" s="67" t="s">
        <v>89</v>
      </c>
      <c r="LY22" s="68"/>
      <c r="LZ22" s="69"/>
      <c r="MA22" s="250" t="s">
        <v>52</v>
      </c>
      <c r="MB22" s="251"/>
      <c r="MC22" s="67" t="s">
        <v>89</v>
      </c>
      <c r="MD22" s="68"/>
      <c r="ME22" s="69"/>
      <c r="MF22" s="250" t="s">
        <v>31</v>
      </c>
      <c r="MG22" s="251"/>
      <c r="MH22" s="67" t="s">
        <v>89</v>
      </c>
      <c r="MI22" s="68"/>
      <c r="MJ22" s="69"/>
      <c r="MK22" s="250" t="s">
        <v>52</v>
      </c>
      <c r="ML22" s="251"/>
      <c r="MM22" s="67" t="s">
        <v>89</v>
      </c>
      <c r="MN22" s="68"/>
      <c r="MO22" s="69"/>
      <c r="MP22" s="250" t="s">
        <v>52</v>
      </c>
      <c r="MQ22" s="251"/>
      <c r="MR22" s="67" t="s">
        <v>89</v>
      </c>
      <c r="MS22" s="68"/>
      <c r="MT22" s="69"/>
      <c r="MU22" s="250" t="s">
        <v>52</v>
      </c>
      <c r="MV22" s="251"/>
      <c r="MW22" s="67" t="s">
        <v>89</v>
      </c>
      <c r="MX22" s="68"/>
      <c r="MY22" s="69"/>
      <c r="MZ22" s="250" t="s">
        <v>52</v>
      </c>
      <c r="NA22" s="251"/>
      <c r="NB22" s="67" t="s">
        <v>89</v>
      </c>
      <c r="NC22" s="68"/>
      <c r="ND22" s="69"/>
      <c r="NE22" s="250" t="s">
        <v>52</v>
      </c>
      <c r="NF22" s="251"/>
      <c r="NG22" s="67" t="s">
        <v>89</v>
      </c>
      <c r="NH22" s="68"/>
      <c r="NI22" s="69"/>
      <c r="NJ22" s="250" t="s">
        <v>52</v>
      </c>
      <c r="NK22" s="251"/>
      <c r="NL22" s="67" t="s">
        <v>89</v>
      </c>
      <c r="NM22" s="68"/>
      <c r="NN22" s="69"/>
      <c r="NO22" s="250" t="s">
        <v>52</v>
      </c>
      <c r="NP22" s="251"/>
      <c r="NQ22" s="67" t="s">
        <v>89</v>
      </c>
      <c r="NR22" s="68"/>
      <c r="NS22" s="69"/>
      <c r="NT22" s="250" t="s">
        <v>52</v>
      </c>
      <c r="NU22" s="251"/>
      <c r="NV22" s="67" t="s">
        <v>89</v>
      </c>
      <c r="NW22" s="68"/>
      <c r="NX22" s="69"/>
      <c r="NY22" s="250" t="s">
        <v>52</v>
      </c>
      <c r="NZ22" s="251"/>
      <c r="OA22" s="67" t="s">
        <v>89</v>
      </c>
      <c r="OB22" s="68"/>
      <c r="OC22" s="69"/>
      <c r="OD22" s="250" t="s">
        <v>52</v>
      </c>
      <c r="OE22" s="251"/>
      <c r="OF22" s="67" t="s">
        <v>89</v>
      </c>
      <c r="OG22" s="68"/>
      <c r="OH22" s="69"/>
      <c r="OI22" s="250" t="s">
        <v>52</v>
      </c>
      <c r="OJ22" s="251"/>
      <c r="OK22" s="67" t="s">
        <v>89</v>
      </c>
      <c r="OL22" s="68"/>
      <c r="OM22" s="69"/>
      <c r="ON22" s="250" t="s">
        <v>52</v>
      </c>
      <c r="OO22" s="251"/>
      <c r="OP22" s="67" t="s">
        <v>89</v>
      </c>
      <c r="OQ22" s="68"/>
      <c r="OR22" s="69"/>
      <c r="OS22" s="250" t="s">
        <v>52</v>
      </c>
      <c r="OT22" s="251"/>
      <c r="OU22" s="67" t="s">
        <v>89</v>
      </c>
      <c r="OV22" s="68"/>
      <c r="OW22" s="69"/>
      <c r="OX22" s="250" t="s">
        <v>52</v>
      </c>
      <c r="OY22" s="251"/>
      <c r="OZ22" s="67" t="s">
        <v>89</v>
      </c>
      <c r="PA22" s="68"/>
      <c r="PB22" s="69"/>
      <c r="PC22" s="250" t="s">
        <v>52</v>
      </c>
      <c r="PD22" s="251"/>
      <c r="PE22" s="67" t="s">
        <v>89</v>
      </c>
      <c r="PF22" s="68"/>
      <c r="PG22" s="69"/>
      <c r="PH22" s="250" t="s">
        <v>52</v>
      </c>
      <c r="PI22" s="251"/>
      <c r="PJ22" s="67" t="s">
        <v>89</v>
      </c>
      <c r="PK22" s="68"/>
      <c r="PL22" s="69"/>
      <c r="PM22" s="250" t="s">
        <v>52</v>
      </c>
      <c r="PN22" s="251"/>
      <c r="PO22" s="67" t="s">
        <v>89</v>
      </c>
      <c r="PP22" s="68"/>
      <c r="PQ22" s="69"/>
      <c r="PR22" s="250" t="s">
        <v>52</v>
      </c>
      <c r="PS22" s="251"/>
      <c r="PT22" s="67" t="s">
        <v>89</v>
      </c>
      <c r="PU22" s="68"/>
      <c r="PV22" s="69"/>
      <c r="PW22" s="250" t="s">
        <v>52</v>
      </c>
      <c r="PX22" s="251"/>
      <c r="PY22" s="67" t="s">
        <v>89</v>
      </c>
      <c r="PZ22" s="68"/>
      <c r="QA22" s="69"/>
      <c r="QB22" s="250" t="s">
        <v>52</v>
      </c>
      <c r="QC22" s="251"/>
      <c r="QD22" s="67" t="s">
        <v>89</v>
      </c>
      <c r="QE22" s="68"/>
      <c r="QF22" s="69"/>
      <c r="QG22" s="250" t="s">
        <v>52</v>
      </c>
      <c r="QH22" s="251"/>
      <c r="QI22" s="67" t="s">
        <v>89</v>
      </c>
      <c r="QJ22" s="68"/>
      <c r="QK22" s="69"/>
      <c r="QL22" s="250" t="s">
        <v>31</v>
      </c>
      <c r="QM22" s="251"/>
      <c r="QN22" s="67" t="s">
        <v>89</v>
      </c>
      <c r="QO22" s="68"/>
      <c r="QP22" s="69"/>
      <c r="QQ22" s="250" t="s">
        <v>31</v>
      </c>
      <c r="QR22" s="251"/>
      <c r="QS22" s="67" t="s">
        <v>89</v>
      </c>
      <c r="QT22" s="68"/>
      <c r="QU22" s="69"/>
      <c r="QV22" s="250" t="s">
        <v>52</v>
      </c>
      <c r="QW22" s="251"/>
      <c r="QX22" s="67" t="s">
        <v>89</v>
      </c>
      <c r="QY22" s="68"/>
      <c r="QZ22" s="69"/>
      <c r="RA22" s="250" t="s">
        <v>52</v>
      </c>
      <c r="RB22" s="251"/>
      <c r="RC22" s="67" t="s">
        <v>89</v>
      </c>
      <c r="RD22" s="68"/>
      <c r="RE22" s="69"/>
      <c r="RF22" s="250" t="s">
        <v>52</v>
      </c>
      <c r="RG22" s="251"/>
      <c r="RH22" s="67" t="s">
        <v>89</v>
      </c>
      <c r="RI22" s="68"/>
      <c r="RJ22" s="69"/>
      <c r="RK22" s="250" t="s">
        <v>52</v>
      </c>
      <c r="RL22" s="251"/>
      <c r="RM22" s="67" t="s">
        <v>89</v>
      </c>
      <c r="RN22" s="68"/>
      <c r="RO22" s="69"/>
      <c r="RP22" s="250" t="s">
        <v>52</v>
      </c>
      <c r="RQ22" s="251"/>
      <c r="RR22" s="67" t="s">
        <v>89</v>
      </c>
      <c r="RS22" s="68"/>
      <c r="RT22" s="69"/>
      <c r="RU22" s="250" t="s">
        <v>52</v>
      </c>
      <c r="RV22" s="251"/>
      <c r="RW22" s="67" t="s">
        <v>89</v>
      </c>
      <c r="RX22" s="68"/>
      <c r="RY22" s="69"/>
      <c r="RZ22" s="250" t="s">
        <v>52</v>
      </c>
      <c r="SA22" s="251"/>
      <c r="SB22" s="67" t="s">
        <v>89</v>
      </c>
      <c r="SC22" s="68"/>
      <c r="SD22" s="69"/>
      <c r="SE22" s="250" t="s">
        <v>52</v>
      </c>
      <c r="SF22" s="251"/>
      <c r="SG22" s="67" t="s">
        <v>89</v>
      </c>
      <c r="SH22" s="68"/>
      <c r="SI22" s="69"/>
      <c r="SJ22" s="250" t="s">
        <v>52</v>
      </c>
      <c r="SK22" s="251"/>
      <c r="SL22" s="67" t="s">
        <v>89</v>
      </c>
      <c r="SM22" s="68"/>
      <c r="SN22" s="69"/>
      <c r="SO22" s="250" t="s">
        <v>52</v>
      </c>
      <c r="SP22" s="251"/>
      <c r="SQ22" s="67" t="s">
        <v>89</v>
      </c>
      <c r="SR22" s="68"/>
      <c r="SS22" s="69"/>
      <c r="ST22" s="250" t="s">
        <v>52</v>
      </c>
      <c r="SU22" s="251"/>
      <c r="SV22" s="67" t="s">
        <v>89</v>
      </c>
      <c r="SW22" s="68"/>
      <c r="SX22" s="69"/>
      <c r="SY22" s="250" t="s">
        <v>52</v>
      </c>
      <c r="SZ22" s="251"/>
      <c r="TA22" s="67" t="s">
        <v>89</v>
      </c>
      <c r="TB22" s="68"/>
      <c r="TC22" s="69"/>
      <c r="TD22" s="250" t="s">
        <v>52</v>
      </c>
      <c r="TE22" s="251"/>
      <c r="TF22" s="67" t="s">
        <v>89</v>
      </c>
      <c r="TG22" s="68"/>
      <c r="TH22" s="69"/>
      <c r="TI22" s="250" t="s">
        <v>52</v>
      </c>
      <c r="TJ22" s="251"/>
      <c r="TK22" s="67" t="s">
        <v>89</v>
      </c>
      <c r="TL22" s="68"/>
      <c r="TM22" s="69"/>
      <c r="TN22" s="250" t="s">
        <v>52</v>
      </c>
      <c r="TO22" s="251"/>
      <c r="TP22" s="67" t="s">
        <v>89</v>
      </c>
      <c r="TQ22" s="68"/>
      <c r="TR22" s="69"/>
      <c r="TS22" s="250" t="s">
        <v>52</v>
      </c>
      <c r="TT22" s="251"/>
      <c r="TU22" s="67" t="s">
        <v>89</v>
      </c>
      <c r="TV22" s="68"/>
      <c r="TW22" s="69"/>
      <c r="TX22" s="250" t="s">
        <v>52</v>
      </c>
      <c r="TY22" s="251"/>
      <c r="TZ22" s="67" t="s">
        <v>89</v>
      </c>
      <c r="UA22" s="68"/>
      <c r="UB22" s="69"/>
      <c r="UC22" s="250" t="s">
        <v>52</v>
      </c>
      <c r="UD22" s="251"/>
      <c r="UE22" s="67" t="s">
        <v>89</v>
      </c>
      <c r="UF22" s="68"/>
      <c r="UG22" s="69"/>
      <c r="UH22" s="250" t="s">
        <v>52</v>
      </c>
      <c r="UI22" s="251"/>
      <c r="UJ22" s="67" t="s">
        <v>89</v>
      </c>
      <c r="UK22" s="68"/>
      <c r="UL22" s="69"/>
      <c r="UM22" s="250" t="s">
        <v>52</v>
      </c>
      <c r="UN22" s="251"/>
      <c r="UO22" s="67" t="s">
        <v>89</v>
      </c>
      <c r="UP22" s="68"/>
      <c r="UQ22" s="69"/>
      <c r="UR22" s="250" t="s">
        <v>52</v>
      </c>
      <c r="US22" s="251"/>
      <c r="UT22" s="67" t="s">
        <v>89</v>
      </c>
      <c r="UU22" s="68"/>
      <c r="UV22" s="69"/>
      <c r="UW22" s="250" t="s">
        <v>52</v>
      </c>
      <c r="UX22" s="251"/>
      <c r="UY22" s="67" t="s">
        <v>89</v>
      </c>
      <c r="UZ22" s="68"/>
      <c r="VA22" s="69"/>
      <c r="VB22" s="250" t="s">
        <v>52</v>
      </c>
      <c r="VC22" s="251"/>
      <c r="VD22" s="67" t="s">
        <v>89</v>
      </c>
      <c r="VE22" s="68"/>
      <c r="VF22" s="69"/>
      <c r="VG22" s="250" t="s">
        <v>52</v>
      </c>
      <c r="VH22" s="251"/>
      <c r="VI22" s="67" t="s">
        <v>89</v>
      </c>
      <c r="VJ22" s="68"/>
      <c r="VK22" s="69"/>
      <c r="VL22" s="250" t="s">
        <v>52</v>
      </c>
      <c r="VM22" s="251"/>
      <c r="VN22" s="67" t="s">
        <v>89</v>
      </c>
      <c r="VO22" s="68"/>
      <c r="VP22" s="69"/>
      <c r="VQ22" s="250" t="s">
        <v>52</v>
      </c>
      <c r="VR22" s="251"/>
      <c r="VS22" s="67" t="s">
        <v>89</v>
      </c>
      <c r="VT22" s="68"/>
      <c r="VU22" s="69"/>
      <c r="VV22" s="250" t="s">
        <v>52</v>
      </c>
      <c r="VW22" s="251"/>
      <c r="VX22" s="67" t="s">
        <v>89</v>
      </c>
      <c r="VY22" s="68"/>
      <c r="VZ22" s="69"/>
      <c r="WA22" s="250" t="s">
        <v>52</v>
      </c>
      <c r="WB22" s="251"/>
      <c r="WC22" s="67" t="s">
        <v>89</v>
      </c>
      <c r="WD22" s="68"/>
      <c r="WE22" s="69"/>
      <c r="WF22" s="250" t="s">
        <v>52</v>
      </c>
      <c r="WG22" s="251"/>
      <c r="WH22" s="67" t="s">
        <v>89</v>
      </c>
      <c r="WI22" s="68"/>
      <c r="WJ22" s="69"/>
      <c r="WK22" s="250" t="s">
        <v>52</v>
      </c>
      <c r="WL22" s="251"/>
      <c r="WM22" s="67" t="s">
        <v>89</v>
      </c>
      <c r="WN22" s="68"/>
      <c r="WO22" s="69"/>
      <c r="WP22" s="250" t="s">
        <v>52</v>
      </c>
      <c r="WQ22" s="251"/>
      <c r="WR22" s="67" t="s">
        <v>89</v>
      </c>
      <c r="WS22" s="68"/>
      <c r="WT22" s="69"/>
      <c r="WU22" s="250" t="s">
        <v>52</v>
      </c>
      <c r="WV22" s="251"/>
      <c r="WW22" s="67" t="s">
        <v>89</v>
      </c>
      <c r="WX22" s="68"/>
      <c r="WY22" s="69"/>
      <c r="WZ22" s="250" t="s">
        <v>52</v>
      </c>
      <c r="XA22" s="251"/>
      <c r="XB22" s="67" t="s">
        <v>89</v>
      </c>
      <c r="XC22" s="68"/>
      <c r="XD22" s="69"/>
      <c r="XE22" s="250" t="s">
        <v>52</v>
      </c>
      <c r="XF22" s="251"/>
      <c r="XG22" s="67" t="s">
        <v>89</v>
      </c>
      <c r="XH22" s="68"/>
      <c r="XI22" s="69"/>
      <c r="XJ22" s="250" t="s">
        <v>52</v>
      </c>
      <c r="XK22" s="251"/>
      <c r="XL22" s="67" t="s">
        <v>89</v>
      </c>
      <c r="XM22" s="68"/>
      <c r="XN22" s="69"/>
      <c r="XO22" s="250" t="s">
        <v>52</v>
      </c>
      <c r="XP22" s="251"/>
      <c r="XQ22" s="67" t="s">
        <v>89</v>
      </c>
      <c r="XR22" s="68"/>
      <c r="XS22" s="69"/>
      <c r="XT22" s="250" t="s">
        <v>52</v>
      </c>
      <c r="XU22" s="251"/>
      <c r="XV22" s="67" t="s">
        <v>89</v>
      </c>
      <c r="XW22" s="68"/>
      <c r="XX22" s="69"/>
      <c r="XY22" s="250" t="s">
        <v>52</v>
      </c>
      <c r="XZ22" s="251"/>
      <c r="YA22" s="67" t="s">
        <v>89</v>
      </c>
      <c r="YB22" s="68"/>
      <c r="YC22" s="69"/>
      <c r="YD22" s="250" t="s">
        <v>52</v>
      </c>
      <c r="YE22" s="251"/>
      <c r="YF22" s="67" t="s">
        <v>89</v>
      </c>
      <c r="YG22" s="68"/>
      <c r="YH22" s="69"/>
      <c r="YI22" s="250" t="s">
        <v>52</v>
      </c>
      <c r="YJ22" s="251"/>
      <c r="YK22" s="67" t="s">
        <v>89</v>
      </c>
      <c r="YL22" s="68"/>
      <c r="YM22" s="69"/>
      <c r="YN22" s="250" t="s">
        <v>52</v>
      </c>
      <c r="YO22" s="251"/>
      <c r="YP22" s="67" t="s">
        <v>89</v>
      </c>
      <c r="YQ22" s="68"/>
      <c r="YR22" s="69"/>
      <c r="YS22" s="250" t="s">
        <v>52</v>
      </c>
      <c r="YT22" s="251"/>
      <c r="YU22" s="67" t="s">
        <v>89</v>
      </c>
      <c r="YV22" s="68"/>
      <c r="YW22" s="69"/>
      <c r="YX22" s="250" t="s">
        <v>52</v>
      </c>
      <c r="YY22" s="251"/>
      <c r="YZ22" s="67" t="s">
        <v>89</v>
      </c>
      <c r="ZA22" s="68"/>
      <c r="ZB22" s="69"/>
      <c r="ZC22" s="250" t="s">
        <v>52</v>
      </c>
      <c r="ZD22" s="251"/>
      <c r="ZE22" s="67" t="s">
        <v>89</v>
      </c>
      <c r="ZF22" s="68"/>
      <c r="ZG22" s="69"/>
      <c r="ZH22" s="250" t="s">
        <v>52</v>
      </c>
      <c r="ZI22" s="251"/>
      <c r="ZJ22" s="67" t="s">
        <v>89</v>
      </c>
      <c r="ZK22" s="68"/>
      <c r="ZL22" s="69"/>
      <c r="ZM22" s="250" t="s">
        <v>31</v>
      </c>
      <c r="ZN22" s="251"/>
      <c r="ZO22" s="67" t="s">
        <v>89</v>
      </c>
      <c r="ZP22" s="68"/>
      <c r="ZQ22" s="69"/>
      <c r="ZR22" s="250" t="s">
        <v>52</v>
      </c>
      <c r="ZS22" s="251"/>
      <c r="ZT22" s="67" t="s">
        <v>89</v>
      </c>
      <c r="ZU22" s="68"/>
      <c r="ZV22" s="69"/>
      <c r="ZW22" s="250" t="s">
        <v>52</v>
      </c>
      <c r="ZX22" s="251"/>
      <c r="ZY22" s="67" t="s">
        <v>89</v>
      </c>
      <c r="ZZ22" s="68"/>
      <c r="AAA22" s="69"/>
      <c r="AAB22" s="250" t="s">
        <v>52</v>
      </c>
      <c r="AAC22" s="251"/>
      <c r="AAD22" s="67" t="s">
        <v>89</v>
      </c>
      <c r="AAE22" s="68"/>
      <c r="AAF22" s="69"/>
      <c r="AAG22" s="250" t="s">
        <v>52</v>
      </c>
      <c r="AAH22" s="251"/>
      <c r="AAI22" s="67" t="s">
        <v>89</v>
      </c>
      <c r="AAJ22" s="68"/>
      <c r="AAK22" s="69"/>
      <c r="AAL22" s="250" t="s">
        <v>52</v>
      </c>
      <c r="AAM22" s="251"/>
      <c r="AAN22" s="67" t="s">
        <v>89</v>
      </c>
      <c r="AAO22" s="68"/>
      <c r="AAP22" s="69"/>
      <c r="AAQ22" s="250" t="s">
        <v>52</v>
      </c>
      <c r="AAR22" s="251"/>
      <c r="AAS22" s="67" t="s">
        <v>89</v>
      </c>
      <c r="AAT22" s="68"/>
      <c r="AAU22" s="69"/>
      <c r="AAV22" s="250" t="s">
        <v>52</v>
      </c>
      <c r="AAW22" s="251"/>
      <c r="AAX22" s="67" t="s">
        <v>89</v>
      </c>
      <c r="AAY22" s="68"/>
      <c r="AAZ22" s="69"/>
      <c r="ABA22" s="250" t="s">
        <v>52</v>
      </c>
      <c r="ABB22" s="251"/>
      <c r="ABC22" s="67" t="s">
        <v>89</v>
      </c>
      <c r="ABD22" s="68"/>
      <c r="ABE22" s="69"/>
      <c r="ABF22" s="250" t="s">
        <v>52</v>
      </c>
      <c r="ABG22" s="251"/>
      <c r="ABH22" s="67" t="s">
        <v>89</v>
      </c>
      <c r="ABI22" s="68"/>
      <c r="ABJ22" s="69"/>
      <c r="ABK22" s="250" t="s">
        <v>52</v>
      </c>
      <c r="ABL22" s="251"/>
      <c r="ABM22" s="67" t="s">
        <v>89</v>
      </c>
      <c r="ABN22" s="68"/>
      <c r="ABO22" s="69"/>
      <c r="ABP22" s="250" t="s">
        <v>52</v>
      </c>
      <c r="ABQ22" s="251"/>
      <c r="ABR22" s="67" t="s">
        <v>89</v>
      </c>
      <c r="ABS22" s="68"/>
      <c r="ABT22" s="69"/>
      <c r="ABU22" s="250" t="s">
        <v>52</v>
      </c>
      <c r="ABV22" s="251"/>
      <c r="ABW22" s="67" t="s">
        <v>89</v>
      </c>
      <c r="ABX22" s="68"/>
      <c r="ABY22" s="69"/>
      <c r="ABZ22" s="250" t="s">
        <v>52</v>
      </c>
      <c r="ACA22" s="251"/>
      <c r="ACB22" s="67" t="s">
        <v>89</v>
      </c>
      <c r="ACC22" s="68"/>
      <c r="ACD22" s="69"/>
      <c r="ACE22" s="250" t="s">
        <v>52</v>
      </c>
      <c r="ACF22" s="251"/>
      <c r="ACG22" s="67" t="s">
        <v>89</v>
      </c>
      <c r="ACH22" s="68"/>
      <c r="ACI22" s="69"/>
      <c r="ACJ22" s="250" t="s">
        <v>52</v>
      </c>
      <c r="ACK22" s="251"/>
      <c r="ACL22" s="67" t="s">
        <v>89</v>
      </c>
      <c r="ACM22" s="68"/>
      <c r="ACN22" s="69"/>
      <c r="ACO22" s="250" t="s">
        <v>52</v>
      </c>
      <c r="ACP22" s="251"/>
      <c r="ACQ22" s="67" t="s">
        <v>89</v>
      </c>
      <c r="ACR22" s="68"/>
      <c r="ACS22" s="69"/>
      <c r="ACT22" s="250" t="s">
        <v>52</v>
      </c>
      <c r="ACU22" s="251"/>
      <c r="ACV22" s="67" t="s">
        <v>89</v>
      </c>
      <c r="ACW22" s="68"/>
      <c r="ACX22" s="69"/>
      <c r="ACY22" s="250" t="s">
        <v>52</v>
      </c>
      <c r="ACZ22" s="251"/>
      <c r="ADA22" s="67" t="s">
        <v>89</v>
      </c>
      <c r="ADB22" s="68"/>
      <c r="ADC22" s="69"/>
      <c r="ADD22" s="250" t="s">
        <v>52</v>
      </c>
      <c r="ADE22" s="251"/>
      <c r="ADF22" s="67" t="s">
        <v>89</v>
      </c>
      <c r="ADG22" s="68"/>
      <c r="ADH22" s="69"/>
      <c r="ADI22" s="250" t="s">
        <v>52</v>
      </c>
      <c r="ADJ22" s="251"/>
      <c r="ADK22" s="67" t="s">
        <v>89</v>
      </c>
      <c r="ADL22" s="68"/>
      <c r="ADM22" s="69"/>
      <c r="ADN22" s="250" t="s">
        <v>52</v>
      </c>
      <c r="ADO22" s="251"/>
      <c r="ADP22" s="67" t="s">
        <v>89</v>
      </c>
      <c r="ADQ22" s="68"/>
      <c r="ADR22" s="69"/>
      <c r="ADS22" s="250" t="s">
        <v>52</v>
      </c>
      <c r="ADT22" s="251"/>
      <c r="ADU22" s="67" t="s">
        <v>89</v>
      </c>
      <c r="ADV22" s="68"/>
      <c r="ADW22" s="69"/>
      <c r="ADX22" s="250" t="s">
        <v>52</v>
      </c>
      <c r="ADY22" s="251"/>
      <c r="ADZ22" s="67" t="s">
        <v>89</v>
      </c>
      <c r="AEA22" s="68"/>
      <c r="AEB22" s="69"/>
      <c r="AEC22" s="250" t="s">
        <v>52</v>
      </c>
      <c r="AED22" s="251"/>
      <c r="AEE22" s="67" t="s">
        <v>89</v>
      </c>
      <c r="AEF22" s="68"/>
      <c r="AEG22" s="69"/>
      <c r="AEH22" s="250" t="s">
        <v>52</v>
      </c>
      <c r="AEI22" s="251"/>
      <c r="AEJ22" s="67" t="s">
        <v>89</v>
      </c>
      <c r="AEK22" s="68"/>
      <c r="AEL22" s="69"/>
      <c r="AEM22" s="250" t="s">
        <v>52</v>
      </c>
      <c r="AEN22" s="251"/>
      <c r="AEO22" s="67" t="s">
        <v>89</v>
      </c>
      <c r="AEP22" s="68"/>
      <c r="AEQ22" s="69"/>
      <c r="AER22" s="250" t="s">
        <v>52</v>
      </c>
      <c r="AES22" s="251"/>
      <c r="AET22" s="67" t="s">
        <v>89</v>
      </c>
      <c r="AEU22" s="68"/>
      <c r="AEV22" s="69"/>
      <c r="AEW22" s="250" t="s">
        <v>52</v>
      </c>
      <c r="AEX22" s="251"/>
      <c r="AEY22" s="67" t="s">
        <v>89</v>
      </c>
      <c r="AEZ22" s="68"/>
      <c r="AFA22" s="69"/>
      <c r="AFB22" s="250" t="s">
        <v>52</v>
      </c>
      <c r="AFC22" s="251"/>
      <c r="AFD22" s="67" t="s">
        <v>89</v>
      </c>
      <c r="AFE22" s="68"/>
      <c r="AFF22" s="69"/>
      <c r="AFG22" s="250" t="s">
        <v>52</v>
      </c>
      <c r="AFH22" s="251"/>
      <c r="AFI22" s="67" t="s">
        <v>89</v>
      </c>
      <c r="AFJ22" s="68"/>
      <c r="AFK22" s="69"/>
      <c r="AFL22" s="250" t="s">
        <v>52</v>
      </c>
      <c r="AFM22" s="251"/>
      <c r="AFN22" s="67" t="s">
        <v>89</v>
      </c>
      <c r="AFO22" s="68"/>
      <c r="AFP22" s="69"/>
      <c r="AFQ22" s="250" t="s">
        <v>52</v>
      </c>
      <c r="AFR22" s="251"/>
      <c r="AFS22" s="67" t="s">
        <v>89</v>
      </c>
      <c r="AFT22" s="68"/>
      <c r="AFU22" s="69"/>
      <c r="AFV22" s="250" t="s">
        <v>52</v>
      </c>
      <c r="AFW22" s="251"/>
      <c r="AFX22" s="67" t="s">
        <v>89</v>
      </c>
      <c r="AFY22" s="68"/>
      <c r="AFZ22" s="69"/>
      <c r="AGA22" s="250" t="s">
        <v>52</v>
      </c>
      <c r="AGB22" s="251"/>
      <c r="AGC22" s="67" t="s">
        <v>89</v>
      </c>
      <c r="AGD22" s="68"/>
      <c r="AGE22" s="69"/>
      <c r="AGF22" s="250" t="s">
        <v>52</v>
      </c>
      <c r="AGG22" s="251"/>
      <c r="AGH22" s="67" t="s">
        <v>89</v>
      </c>
      <c r="AGI22" s="68"/>
      <c r="AGJ22" s="69"/>
      <c r="AGK22" s="250" t="s">
        <v>52</v>
      </c>
      <c r="AGL22" s="251"/>
      <c r="AGM22" s="67" t="s">
        <v>89</v>
      </c>
      <c r="AGN22" s="68"/>
      <c r="AGO22" s="69"/>
      <c r="AGP22" s="250" t="s">
        <v>52</v>
      </c>
      <c r="AGQ22" s="251"/>
      <c r="AGR22" s="67" t="s">
        <v>89</v>
      </c>
      <c r="AGS22" s="68"/>
      <c r="AGT22" s="69"/>
      <c r="AGU22" s="250" t="s">
        <v>52</v>
      </c>
      <c r="AGV22" s="251"/>
      <c r="AGW22" s="67" t="s">
        <v>89</v>
      </c>
      <c r="AGX22" s="68"/>
      <c r="AGY22" s="69"/>
      <c r="AGZ22" s="250" t="s">
        <v>52</v>
      </c>
      <c r="AHA22" s="251"/>
      <c r="AHB22" s="67" t="s">
        <v>89</v>
      </c>
      <c r="AHC22" s="68"/>
      <c r="AHD22" s="69"/>
      <c r="AHE22" s="250" t="s">
        <v>52</v>
      </c>
      <c r="AHF22" s="251"/>
      <c r="AHG22" s="67" t="s">
        <v>89</v>
      </c>
      <c r="AHH22" s="68"/>
      <c r="AHI22" s="69"/>
      <c r="AHJ22" s="250" t="s">
        <v>52</v>
      </c>
      <c r="AHK22" s="251"/>
      <c r="AHL22" s="67" t="s">
        <v>89</v>
      </c>
      <c r="AHM22" s="68"/>
      <c r="AHN22" s="69"/>
      <c r="AHO22" s="250" t="s">
        <v>52</v>
      </c>
      <c r="AHP22" s="251"/>
      <c r="AHQ22" s="67" t="s">
        <v>89</v>
      </c>
      <c r="AHR22" s="68"/>
      <c r="AHS22" s="69"/>
      <c r="AHT22" s="250" t="s">
        <v>52</v>
      </c>
      <c r="AHU22" s="251"/>
      <c r="AHV22" s="67" t="s">
        <v>89</v>
      </c>
      <c r="AHW22" s="68"/>
      <c r="AHX22" s="69"/>
      <c r="AHY22" s="250" t="s">
        <v>52</v>
      </c>
      <c r="AHZ22" s="251"/>
      <c r="AIA22" s="67" t="s">
        <v>89</v>
      </c>
      <c r="AIB22" s="68"/>
      <c r="AIC22" s="69"/>
      <c r="AID22" s="250" t="s">
        <v>52</v>
      </c>
      <c r="AIE22" s="251"/>
      <c r="AIF22" s="67" t="s">
        <v>89</v>
      </c>
      <c r="AIG22" s="68"/>
      <c r="AIH22" s="69"/>
      <c r="AII22" s="250" t="s">
        <v>52</v>
      </c>
      <c r="AIJ22" s="251"/>
      <c r="AIK22" s="67" t="s">
        <v>89</v>
      </c>
      <c r="AIL22" s="68"/>
      <c r="AIM22" s="69"/>
      <c r="AIN22" s="250" t="s">
        <v>52</v>
      </c>
      <c r="AIO22" s="251"/>
      <c r="AIP22" s="67" t="s">
        <v>89</v>
      </c>
      <c r="AIQ22" s="68"/>
      <c r="AIR22" s="69"/>
      <c r="AIS22" s="250" t="s">
        <v>52</v>
      </c>
      <c r="AIT22" s="251"/>
      <c r="AIU22" s="67" t="s">
        <v>89</v>
      </c>
      <c r="AIV22" s="68"/>
      <c r="AIW22" s="69"/>
      <c r="AIX22" s="250" t="s">
        <v>52</v>
      </c>
      <c r="AIY22" s="251"/>
      <c r="AIZ22" s="67" t="s">
        <v>89</v>
      </c>
      <c r="AJA22" s="68"/>
      <c r="AJB22" s="69"/>
      <c r="AJC22" s="250" t="s">
        <v>52</v>
      </c>
      <c r="AJD22" s="251"/>
      <c r="AJE22" s="67" t="s">
        <v>89</v>
      </c>
      <c r="AJF22" s="68"/>
      <c r="AJG22" s="69"/>
      <c r="AJH22" s="250" t="s">
        <v>52</v>
      </c>
      <c r="AJI22" s="251"/>
      <c r="AJJ22" s="67" t="s">
        <v>89</v>
      </c>
      <c r="AJK22" s="68"/>
      <c r="AJL22" s="69"/>
      <c r="AJM22" s="250" t="s">
        <v>52</v>
      </c>
      <c r="AJN22" s="251"/>
      <c r="AJO22" s="67" t="s">
        <v>89</v>
      </c>
      <c r="AJP22" s="68"/>
      <c r="AJQ22" s="69"/>
      <c r="AJR22" s="250" t="s">
        <v>52</v>
      </c>
      <c r="AJS22" s="251"/>
      <c r="AJT22" s="67" t="s">
        <v>89</v>
      </c>
      <c r="AJU22" s="68"/>
      <c r="AJV22" s="69"/>
      <c r="AJW22" s="250" t="s">
        <v>52</v>
      </c>
      <c r="AJX22" s="251"/>
      <c r="AJY22" s="67" t="s">
        <v>89</v>
      </c>
      <c r="AJZ22" s="68"/>
      <c r="AKA22" s="69"/>
      <c r="AKB22" s="250" t="s">
        <v>52</v>
      </c>
      <c r="AKC22" s="251"/>
      <c r="AKD22" s="67" t="s">
        <v>89</v>
      </c>
      <c r="AKE22" s="68"/>
      <c r="AKF22" s="69"/>
      <c r="AKG22" s="250" t="s">
        <v>52</v>
      </c>
      <c r="AKH22" s="251"/>
      <c r="AKI22" s="67" t="s">
        <v>89</v>
      </c>
      <c r="AKJ22" s="68"/>
      <c r="AKK22" s="69"/>
      <c r="AKL22" s="250" t="s">
        <v>52</v>
      </c>
      <c r="AKM22" s="251"/>
      <c r="AKN22" s="67" t="s">
        <v>89</v>
      </c>
      <c r="AKO22" s="68"/>
      <c r="AKP22" s="69"/>
      <c r="AKQ22" s="250" t="s">
        <v>52</v>
      </c>
      <c r="AKR22" s="251"/>
      <c r="AKS22" s="67" t="s">
        <v>89</v>
      </c>
      <c r="AKT22" s="68"/>
      <c r="AKU22" s="69"/>
      <c r="AKV22" s="250" t="s">
        <v>52</v>
      </c>
      <c r="AKW22" s="251"/>
      <c r="AKX22" s="67" t="s">
        <v>89</v>
      </c>
      <c r="AKY22" s="68"/>
      <c r="AKZ22" s="69"/>
      <c r="ALA22" s="250" t="s">
        <v>52</v>
      </c>
      <c r="ALB22" s="251"/>
      <c r="ALC22" s="67" t="s">
        <v>89</v>
      </c>
      <c r="ALD22" s="68"/>
      <c r="ALE22" s="69"/>
      <c r="ALF22" s="250" t="s">
        <v>52</v>
      </c>
      <c r="ALG22" s="251"/>
      <c r="ALH22" s="67" t="s">
        <v>89</v>
      </c>
      <c r="ALI22" s="68"/>
      <c r="ALJ22" s="69"/>
      <c r="ALK22" s="250" t="s">
        <v>52</v>
      </c>
      <c r="ALL22" s="251"/>
      <c r="ALM22" s="67" t="s">
        <v>89</v>
      </c>
      <c r="ALN22" s="68"/>
      <c r="ALO22" s="69"/>
      <c r="ALP22" s="250" t="s">
        <v>52</v>
      </c>
      <c r="ALQ22" s="251"/>
      <c r="ALR22" s="67" t="s">
        <v>89</v>
      </c>
      <c r="ALS22" s="68"/>
      <c r="ALT22" s="69"/>
      <c r="ALU22" s="250" t="s">
        <v>52</v>
      </c>
      <c r="ALV22" s="251"/>
      <c r="ALW22" s="67" t="s">
        <v>89</v>
      </c>
      <c r="ALX22" s="68"/>
      <c r="ALY22" s="69"/>
      <c r="ALZ22" s="250" t="s">
        <v>52</v>
      </c>
      <c r="AMA22" s="251"/>
      <c r="AMB22" s="67" t="s">
        <v>89</v>
      </c>
      <c r="AMC22" s="68"/>
      <c r="AMD22" s="69"/>
      <c r="AME22" s="250" t="s">
        <v>52</v>
      </c>
      <c r="AMF22" s="251"/>
      <c r="AMG22" s="67" t="s">
        <v>89</v>
      </c>
      <c r="AMH22" s="68"/>
      <c r="AMI22" s="69"/>
      <c r="AMJ22" s="250" t="s">
        <v>52</v>
      </c>
      <c r="AMK22" s="251"/>
      <c r="AML22" s="67" t="s">
        <v>89</v>
      </c>
      <c r="AMM22" s="68"/>
      <c r="AMN22" s="69"/>
      <c r="AMO22" s="250" t="s">
        <v>52</v>
      </c>
      <c r="AMP22" s="251"/>
      <c r="AMQ22" s="67" t="s">
        <v>89</v>
      </c>
      <c r="AMR22" s="68"/>
      <c r="AMS22" s="69"/>
      <c r="AMT22" s="250" t="s">
        <v>52</v>
      </c>
      <c r="AMU22" s="251"/>
      <c r="AMV22" s="67" t="s">
        <v>89</v>
      </c>
      <c r="AMW22" s="68"/>
      <c r="AMX22" s="69"/>
      <c r="AMY22" s="250" t="s">
        <v>52</v>
      </c>
      <c r="AMZ22" s="251"/>
      <c r="ANA22" s="67" t="s">
        <v>89</v>
      </c>
      <c r="ANB22" s="68"/>
      <c r="ANC22" s="69"/>
      <c r="AND22" s="250" t="s">
        <v>52</v>
      </c>
      <c r="ANE22" s="251"/>
      <c r="ANF22" s="67" t="s">
        <v>89</v>
      </c>
      <c r="ANG22" s="68"/>
      <c r="ANH22" s="69"/>
      <c r="ANI22" s="250" t="s">
        <v>52</v>
      </c>
      <c r="ANJ22" s="251"/>
      <c r="ANK22" s="67" t="s">
        <v>89</v>
      </c>
      <c r="ANL22" s="68"/>
      <c r="ANM22" s="69"/>
      <c r="ANN22" s="250" t="s">
        <v>52</v>
      </c>
      <c r="ANO22" s="251"/>
      <c r="ANP22" s="67" t="s">
        <v>89</v>
      </c>
      <c r="ANQ22" s="68"/>
      <c r="ANR22" s="69"/>
      <c r="ANS22" s="250" t="s">
        <v>52</v>
      </c>
      <c r="ANT22" s="251"/>
      <c r="ANU22" s="67" t="s">
        <v>89</v>
      </c>
      <c r="ANV22" s="68"/>
      <c r="ANW22" s="69"/>
      <c r="ANX22" s="250" t="s">
        <v>52</v>
      </c>
      <c r="ANY22" s="251"/>
      <c r="ANZ22" s="67" t="s">
        <v>89</v>
      </c>
      <c r="AOA22" s="68"/>
      <c r="AOB22" s="69"/>
      <c r="AOC22" s="250" t="s">
        <v>52</v>
      </c>
      <c r="AOD22" s="251"/>
      <c r="AOE22" s="67" t="s">
        <v>89</v>
      </c>
      <c r="AOF22" s="68"/>
      <c r="AOG22" s="69"/>
      <c r="AOH22" s="250" t="s">
        <v>52</v>
      </c>
      <c r="AOI22" s="251"/>
      <c r="AOJ22" s="67" t="s">
        <v>89</v>
      </c>
      <c r="AOK22" s="68"/>
      <c r="AOL22" s="69"/>
      <c r="AOM22" s="250" t="s">
        <v>52</v>
      </c>
      <c r="AON22" s="251"/>
      <c r="AOO22" s="67" t="s">
        <v>89</v>
      </c>
      <c r="AOP22" s="68"/>
      <c r="AOQ22" s="69"/>
      <c r="AOR22" s="250" t="s">
        <v>52</v>
      </c>
      <c r="AOS22" s="251"/>
      <c r="AOT22" s="67" t="s">
        <v>89</v>
      </c>
      <c r="AOU22" s="68"/>
      <c r="AOV22" s="69"/>
      <c r="AOW22" s="250" t="s">
        <v>52</v>
      </c>
      <c r="AOX22" s="251"/>
      <c r="AOY22" s="67" t="s">
        <v>89</v>
      </c>
      <c r="AOZ22" s="68"/>
      <c r="APA22" s="69"/>
      <c r="APB22" s="250" t="s">
        <v>52</v>
      </c>
      <c r="APC22" s="251"/>
      <c r="APD22" s="67" t="s">
        <v>89</v>
      </c>
      <c r="APE22" s="68"/>
      <c r="APF22" s="69"/>
      <c r="APG22" s="250" t="s">
        <v>52</v>
      </c>
      <c r="APH22" s="251"/>
      <c r="API22" s="67" t="s">
        <v>89</v>
      </c>
      <c r="APJ22" s="68"/>
      <c r="APK22" s="69"/>
      <c r="APL22" s="250" t="s">
        <v>52</v>
      </c>
      <c r="APM22" s="251"/>
      <c r="APN22" s="67" t="s">
        <v>89</v>
      </c>
      <c r="APO22" s="68"/>
      <c r="APP22" s="69"/>
      <c r="APQ22" s="250" t="s">
        <v>52</v>
      </c>
      <c r="APR22" s="251"/>
      <c r="APS22" s="67" t="s">
        <v>89</v>
      </c>
      <c r="APT22" s="68"/>
      <c r="APU22" s="69"/>
      <c r="APV22" s="250" t="s">
        <v>52</v>
      </c>
      <c r="APW22" s="251"/>
      <c r="APX22" s="67" t="s">
        <v>89</v>
      </c>
      <c r="APY22" s="68"/>
      <c r="APZ22" s="69"/>
      <c r="AQA22" s="250" t="s">
        <v>52</v>
      </c>
      <c r="AQB22" s="251"/>
      <c r="AQC22" s="67" t="s">
        <v>89</v>
      </c>
      <c r="AQD22" s="68"/>
      <c r="AQE22" s="69"/>
      <c r="AQF22" s="250" t="s">
        <v>52</v>
      </c>
      <c r="AQG22" s="251"/>
      <c r="AQH22" s="67" t="s">
        <v>89</v>
      </c>
      <c r="AQI22" s="68"/>
      <c r="AQJ22" s="69"/>
      <c r="AQK22" s="250" t="s">
        <v>52</v>
      </c>
      <c r="AQL22" s="251"/>
      <c r="AQM22" s="67" t="s">
        <v>89</v>
      </c>
      <c r="AQN22" s="68"/>
      <c r="AQO22" s="69"/>
      <c r="AQP22" s="250" t="s">
        <v>52</v>
      </c>
      <c r="AQQ22" s="251"/>
      <c r="AQR22" s="67" t="s">
        <v>89</v>
      </c>
      <c r="AQS22" s="68"/>
      <c r="AQT22" s="69"/>
      <c r="AQU22" s="250" t="s">
        <v>52</v>
      </c>
      <c r="AQV22" s="251"/>
      <c r="AQW22" s="67" t="s">
        <v>89</v>
      </c>
      <c r="AQX22" s="68"/>
      <c r="AQY22" s="69"/>
      <c r="AQZ22" s="250" t="s">
        <v>52</v>
      </c>
      <c r="ARA22" s="251"/>
      <c r="ARB22" s="67" t="s">
        <v>89</v>
      </c>
      <c r="ARC22" s="68"/>
      <c r="ARD22" s="69"/>
      <c r="ARE22" s="250" t="s">
        <v>52</v>
      </c>
      <c r="ARF22" s="251"/>
      <c r="ARG22" s="67" t="s">
        <v>89</v>
      </c>
      <c r="ARH22" s="68"/>
      <c r="ARI22" s="69"/>
      <c r="ARJ22" s="250" t="s">
        <v>52</v>
      </c>
      <c r="ARK22" s="251"/>
      <c r="ARL22" s="67" t="s">
        <v>89</v>
      </c>
      <c r="ARM22" s="68"/>
      <c r="ARN22" s="69"/>
      <c r="ARO22" s="250" t="s">
        <v>52</v>
      </c>
      <c r="ARP22" s="251"/>
      <c r="ARQ22" s="67" t="s">
        <v>89</v>
      </c>
      <c r="ARR22" s="68"/>
      <c r="ARS22" s="69"/>
      <c r="ART22" s="250" t="s">
        <v>52</v>
      </c>
      <c r="ARU22" s="251"/>
      <c r="ARV22" s="67" t="s">
        <v>89</v>
      </c>
      <c r="ARW22" s="68"/>
      <c r="ARX22" s="69"/>
      <c r="ARY22" s="250" t="s">
        <v>52</v>
      </c>
      <c r="ARZ22" s="251"/>
      <c r="ASA22" s="67" t="s">
        <v>89</v>
      </c>
      <c r="ASB22" s="68"/>
      <c r="ASC22" s="69"/>
      <c r="ASD22" s="250" t="s">
        <v>52</v>
      </c>
      <c r="ASE22" s="251"/>
      <c r="ASF22" s="67" t="s">
        <v>89</v>
      </c>
      <c r="ASG22" s="68"/>
      <c r="ASH22" s="69"/>
      <c r="ASI22" s="250" t="s">
        <v>52</v>
      </c>
      <c r="ASJ22" s="251"/>
      <c r="ASK22" s="67" t="s">
        <v>89</v>
      </c>
      <c r="ASL22" s="68"/>
      <c r="ASM22" s="69"/>
      <c r="ASN22" s="250" t="s">
        <v>52</v>
      </c>
      <c r="ASO22" s="251"/>
      <c r="ASP22" s="67" t="s">
        <v>89</v>
      </c>
      <c r="ASQ22" s="68"/>
      <c r="ASR22" s="69"/>
      <c r="ASS22" s="250" t="s">
        <v>52</v>
      </c>
      <c r="AST22" s="251"/>
      <c r="ASU22" s="67" t="s">
        <v>89</v>
      </c>
      <c r="ASV22" s="68"/>
      <c r="ASW22" s="69"/>
      <c r="ASX22" s="250" t="s">
        <v>31</v>
      </c>
      <c r="ASY22" s="251"/>
      <c r="ASZ22" s="67" t="s">
        <v>89</v>
      </c>
      <c r="ATA22" s="68"/>
      <c r="ATB22" s="69"/>
      <c r="ATC22" s="250" t="s">
        <v>52</v>
      </c>
      <c r="ATD22" s="251"/>
      <c r="ATE22" s="67" t="s">
        <v>89</v>
      </c>
      <c r="ATF22" s="68"/>
      <c r="ATG22" s="69"/>
      <c r="ATH22" s="250" t="s">
        <v>52</v>
      </c>
      <c r="ATI22" s="251"/>
      <c r="ATJ22" s="67" t="s">
        <v>89</v>
      </c>
      <c r="ATK22" s="68"/>
      <c r="ATL22" s="69"/>
      <c r="ATM22" s="250" t="s">
        <v>52</v>
      </c>
      <c r="ATN22" s="251"/>
      <c r="ATO22" s="67" t="s">
        <v>89</v>
      </c>
      <c r="ATP22" s="68"/>
      <c r="ATQ22" s="69"/>
      <c r="ATR22" s="250" t="s">
        <v>52</v>
      </c>
      <c r="ATS22" s="251"/>
      <c r="ATT22" s="67" t="s">
        <v>89</v>
      </c>
      <c r="ATU22" s="68"/>
      <c r="ATV22" s="69"/>
      <c r="ATW22" s="250" t="s">
        <v>31</v>
      </c>
      <c r="ATX22" s="251"/>
      <c r="ATY22" s="67" t="s">
        <v>89</v>
      </c>
      <c r="ATZ22" s="68"/>
      <c r="AUA22" s="69"/>
      <c r="AUB22" s="250" t="s">
        <v>31</v>
      </c>
      <c r="AUC22" s="251"/>
      <c r="AUD22" s="67" t="s">
        <v>89</v>
      </c>
      <c r="AUE22" s="68"/>
      <c r="AUF22" s="69"/>
      <c r="AUG22" s="250" t="s">
        <v>31</v>
      </c>
      <c r="AUH22" s="251"/>
      <c r="AUI22" s="67" t="s">
        <v>89</v>
      </c>
      <c r="AUJ22" s="68"/>
      <c r="AUK22" s="69"/>
      <c r="AUL22" s="250" t="s">
        <v>31</v>
      </c>
      <c r="AUM22" s="251"/>
      <c r="AUN22" s="67" t="s">
        <v>89</v>
      </c>
      <c r="AUO22" s="68"/>
      <c r="AUP22" s="69"/>
      <c r="AUQ22" s="250" t="s">
        <v>52</v>
      </c>
      <c r="AUR22" s="251"/>
      <c r="AUS22" s="67" t="s">
        <v>89</v>
      </c>
      <c r="AUT22" s="68"/>
      <c r="AUU22" s="69"/>
      <c r="AUV22" s="250" t="s">
        <v>52</v>
      </c>
      <c r="AUW22" s="251"/>
      <c r="AUX22" s="67" t="s">
        <v>89</v>
      </c>
      <c r="AUY22" s="68"/>
      <c r="AUZ22" s="69"/>
      <c r="AVA22" s="250" t="s">
        <v>52</v>
      </c>
      <c r="AVB22" s="251"/>
      <c r="AVC22" s="67" t="s">
        <v>89</v>
      </c>
      <c r="AVD22" s="68"/>
      <c r="AVE22" s="69"/>
      <c r="AVF22" s="250" t="s">
        <v>52</v>
      </c>
      <c r="AVG22" s="251"/>
      <c r="AVH22" s="67" t="s">
        <v>89</v>
      </c>
      <c r="AVI22" s="68"/>
      <c r="AVJ22" s="69"/>
      <c r="AVK22" s="250" t="s">
        <v>31</v>
      </c>
      <c r="AVL22" s="251"/>
      <c r="AVM22" s="67" t="s">
        <v>89</v>
      </c>
      <c r="AVN22" s="68"/>
      <c r="AVO22" s="69"/>
      <c r="AVP22" s="250" t="s">
        <v>52</v>
      </c>
      <c r="AVQ22" s="251"/>
      <c r="AVR22" s="67" t="s">
        <v>89</v>
      </c>
      <c r="AVS22" s="68"/>
      <c r="AVT22" s="69"/>
      <c r="AVU22" s="250" t="s">
        <v>31</v>
      </c>
      <c r="AVV22" s="251"/>
      <c r="AVW22" s="67" t="s">
        <v>89</v>
      </c>
      <c r="AVX22" s="68"/>
      <c r="AVY22" s="69"/>
      <c r="AVZ22" s="250" t="s">
        <v>52</v>
      </c>
      <c r="AWA22" s="251"/>
      <c r="AWB22" s="67" t="s">
        <v>89</v>
      </c>
      <c r="AWC22" s="68"/>
      <c r="AWD22" s="69"/>
      <c r="AWE22" s="250" t="s">
        <v>52</v>
      </c>
      <c r="AWF22" s="251"/>
      <c r="AWG22" s="67" t="s">
        <v>89</v>
      </c>
      <c r="AWH22" s="68"/>
      <c r="AWI22" s="69"/>
      <c r="AWJ22" s="250" t="s">
        <v>31</v>
      </c>
      <c r="AWK22" s="251"/>
      <c r="AWL22" s="67" t="s">
        <v>89</v>
      </c>
      <c r="AWM22" s="68"/>
      <c r="AWN22" s="69"/>
      <c r="AWO22" s="250" t="s">
        <v>31</v>
      </c>
      <c r="AWP22" s="251"/>
      <c r="AWQ22" s="67" t="s">
        <v>89</v>
      </c>
      <c r="AWR22" s="68"/>
      <c r="AWS22" s="69"/>
      <c r="AWT22" s="250" t="s">
        <v>31</v>
      </c>
      <c r="AWU22" s="251"/>
      <c r="AWV22" s="67" t="s">
        <v>89</v>
      </c>
      <c r="AWW22" s="68"/>
      <c r="AWX22" s="69"/>
      <c r="AWY22" s="250" t="s">
        <v>31</v>
      </c>
      <c r="AWZ22" s="251"/>
      <c r="AXA22" s="67" t="s">
        <v>89</v>
      </c>
      <c r="AXB22" s="68"/>
      <c r="AXC22" s="69"/>
      <c r="AXD22" s="250" t="s">
        <v>31</v>
      </c>
      <c r="AXE22" s="251"/>
      <c r="AXF22" s="67" t="s">
        <v>89</v>
      </c>
      <c r="AXG22" s="68"/>
      <c r="AXH22" s="69"/>
      <c r="AXI22" s="250" t="s">
        <v>52</v>
      </c>
      <c r="AXJ22" s="251"/>
      <c r="AXK22" s="67" t="s">
        <v>89</v>
      </c>
      <c r="AXL22" s="68"/>
      <c r="AXM22" s="69"/>
      <c r="AXN22" s="250" t="s">
        <v>52</v>
      </c>
      <c r="AXO22" s="251"/>
      <c r="AXP22" s="67" t="s">
        <v>89</v>
      </c>
      <c r="AXQ22" s="68"/>
      <c r="AXR22" s="69"/>
      <c r="AXS22" s="250" t="s">
        <v>52</v>
      </c>
      <c r="AXT22" s="251"/>
      <c r="AXU22" s="67" t="s">
        <v>89</v>
      </c>
      <c r="AXV22" s="68"/>
      <c r="AXW22" s="69"/>
      <c r="AXX22" s="250" t="s">
        <v>31</v>
      </c>
      <c r="AXY22" s="251"/>
      <c r="AXZ22" s="67" t="s">
        <v>89</v>
      </c>
      <c r="AYA22" s="68"/>
      <c r="AYB22" s="69"/>
      <c r="AYC22" s="250" t="s">
        <v>31</v>
      </c>
      <c r="AYD22" s="251"/>
      <c r="AYE22" s="67" t="s">
        <v>89</v>
      </c>
      <c r="AYF22" s="68"/>
      <c r="AYG22" s="69"/>
      <c r="AYH22" s="250" t="s">
        <v>31</v>
      </c>
      <c r="AYI22" s="251"/>
      <c r="AYJ22" s="67" t="s">
        <v>89</v>
      </c>
      <c r="AYK22" s="68"/>
      <c r="AYL22" s="69"/>
      <c r="AYM22" s="250" t="s">
        <v>31</v>
      </c>
      <c r="AYN22" s="251"/>
      <c r="AYO22" s="67" t="s">
        <v>89</v>
      </c>
      <c r="AYP22" s="68"/>
      <c r="AYQ22" s="69"/>
      <c r="AYR22" s="250" t="s">
        <v>31</v>
      </c>
      <c r="AYS22" s="251"/>
      <c r="AYT22" s="67" t="s">
        <v>89</v>
      </c>
      <c r="AYU22" s="68"/>
      <c r="AYV22" s="69"/>
      <c r="AYW22" s="250" t="s">
        <v>52</v>
      </c>
      <c r="AYX22" s="251"/>
      <c r="AYY22" s="67" t="s">
        <v>89</v>
      </c>
      <c r="AYZ22" s="68"/>
      <c r="AZA22" s="69"/>
      <c r="AZB22" s="250" t="s">
        <v>31</v>
      </c>
      <c r="AZC22" s="251"/>
      <c r="AZD22" s="67" t="s">
        <v>89</v>
      </c>
      <c r="AZE22" s="68"/>
      <c r="AZF22" s="69"/>
      <c r="AZG22" s="250" t="s">
        <v>31</v>
      </c>
      <c r="AZH22" s="251"/>
      <c r="AZI22" s="67" t="s">
        <v>89</v>
      </c>
      <c r="AZJ22" s="68"/>
      <c r="AZK22" s="69"/>
      <c r="AZL22" s="250" t="s">
        <v>31</v>
      </c>
      <c r="AZM22" s="251"/>
      <c r="AZN22" s="67" t="s">
        <v>89</v>
      </c>
      <c r="AZO22" s="68"/>
      <c r="AZP22" s="69"/>
      <c r="AZQ22" s="250" t="s">
        <v>52</v>
      </c>
      <c r="AZR22" s="251"/>
      <c r="AZS22" s="67" t="s">
        <v>89</v>
      </c>
      <c r="AZT22" s="68"/>
      <c r="AZU22" s="69"/>
      <c r="AZV22" s="250" t="s">
        <v>52</v>
      </c>
      <c r="AZW22" s="251"/>
      <c r="AZX22" s="67" t="s">
        <v>89</v>
      </c>
      <c r="AZY22" s="68"/>
      <c r="AZZ22" s="69"/>
      <c r="BAA22" s="250" t="s">
        <v>52</v>
      </c>
      <c r="BAB22" s="251"/>
      <c r="BAC22" s="67" t="s">
        <v>89</v>
      </c>
      <c r="BAD22" s="68"/>
      <c r="BAE22" s="69"/>
      <c r="BAF22" s="250" t="s">
        <v>52</v>
      </c>
      <c r="BAG22" s="251"/>
      <c r="BAH22" s="67" t="s">
        <v>89</v>
      </c>
      <c r="BAI22" s="68"/>
      <c r="BAJ22" s="69"/>
      <c r="BAK22" s="250" t="s">
        <v>31</v>
      </c>
      <c r="BAL22" s="251"/>
      <c r="BAM22" s="67" t="s">
        <v>89</v>
      </c>
      <c r="BAN22" s="68"/>
      <c r="BAO22" s="69"/>
      <c r="BAP22" s="250" t="s">
        <v>52</v>
      </c>
      <c r="BAQ22" s="251"/>
      <c r="BAR22" s="67" t="s">
        <v>89</v>
      </c>
      <c r="BAS22" s="68"/>
      <c r="BAT22" s="69"/>
      <c r="BAU22" s="250" t="s">
        <v>52</v>
      </c>
      <c r="BAV22" s="251"/>
      <c r="BAW22" s="67" t="s">
        <v>89</v>
      </c>
      <c r="BAX22" s="68"/>
      <c r="BAY22" s="69"/>
      <c r="BAZ22" s="250" t="s">
        <v>52</v>
      </c>
      <c r="BBA22" s="251"/>
      <c r="BBB22" s="67" t="s">
        <v>89</v>
      </c>
      <c r="BBC22" s="68"/>
      <c r="BBD22" s="69"/>
      <c r="BBE22" s="250" t="s">
        <v>52</v>
      </c>
      <c r="BBF22" s="251"/>
      <c r="BBG22" s="67" t="s">
        <v>89</v>
      </c>
      <c r="BBH22" s="68"/>
      <c r="BBI22" s="69"/>
      <c r="BBJ22" s="250" t="s">
        <v>52</v>
      </c>
      <c r="BBK22" s="251"/>
      <c r="BBL22" s="67" t="s">
        <v>89</v>
      </c>
      <c r="BBM22" s="68"/>
      <c r="BBN22" s="69"/>
      <c r="BBO22" s="250" t="s">
        <v>52</v>
      </c>
      <c r="BBP22" s="251"/>
      <c r="BBQ22" s="67" t="s">
        <v>89</v>
      </c>
      <c r="BBR22" s="68"/>
      <c r="BBS22" s="69"/>
      <c r="BBT22" s="250" t="s">
        <v>52</v>
      </c>
      <c r="BBU22" s="251"/>
      <c r="BBV22" s="67" t="s">
        <v>89</v>
      </c>
      <c r="BBW22" s="68"/>
      <c r="BBX22" s="69"/>
      <c r="BBY22" s="250" t="s">
        <v>52</v>
      </c>
      <c r="BBZ22" s="251"/>
      <c r="BCA22" s="67" t="s">
        <v>89</v>
      </c>
      <c r="BCB22" s="68"/>
      <c r="BCC22" s="69"/>
      <c r="BCD22" s="250" t="s">
        <v>31</v>
      </c>
      <c r="BCE22" s="251"/>
      <c r="BCF22" s="67" t="s">
        <v>89</v>
      </c>
      <c r="BCG22" s="68"/>
      <c r="BCH22" s="69"/>
      <c r="BCI22" s="250" t="s">
        <v>52</v>
      </c>
      <c r="BCJ22" s="251"/>
      <c r="BCK22" s="67" t="s">
        <v>89</v>
      </c>
      <c r="BCL22" s="68"/>
      <c r="BCM22" s="69"/>
      <c r="BCN22" s="250" t="s">
        <v>52</v>
      </c>
      <c r="BCO22" s="251"/>
      <c r="BCP22" s="67" t="s">
        <v>89</v>
      </c>
      <c r="BCQ22" s="68"/>
      <c r="BCR22" s="69"/>
      <c r="BCS22" s="250" t="s">
        <v>52</v>
      </c>
      <c r="BCT22" s="251"/>
      <c r="BCU22" s="67" t="s">
        <v>89</v>
      </c>
      <c r="BCV22" s="68"/>
      <c r="BCW22" s="69"/>
      <c r="BCX22" s="250" t="s">
        <v>52</v>
      </c>
      <c r="BCY22" s="251"/>
      <c r="BCZ22" s="67" t="s">
        <v>89</v>
      </c>
      <c r="BDA22" s="68"/>
      <c r="BDB22" s="69"/>
      <c r="BDC22" s="250" t="s">
        <v>31</v>
      </c>
      <c r="BDD22" s="251"/>
      <c r="BDE22" s="67" t="s">
        <v>89</v>
      </c>
      <c r="BDF22" s="68"/>
      <c r="BDG22" s="69"/>
      <c r="BDH22" s="250" t="s">
        <v>31</v>
      </c>
      <c r="BDI22" s="251"/>
      <c r="BDJ22" s="67" t="s">
        <v>89</v>
      </c>
      <c r="BDK22" s="68"/>
      <c r="BDL22" s="69"/>
      <c r="BDM22" s="250" t="s">
        <v>31</v>
      </c>
      <c r="BDN22" s="251"/>
      <c r="BDO22" s="67" t="s">
        <v>89</v>
      </c>
      <c r="BDP22" s="68"/>
      <c r="BDQ22" s="69"/>
      <c r="BDR22" s="250" t="s">
        <v>31</v>
      </c>
      <c r="BDS22" s="251"/>
      <c r="BDT22" s="67" t="s">
        <v>89</v>
      </c>
      <c r="BDU22" s="68"/>
      <c r="BDV22" s="69"/>
      <c r="BDW22" s="250" t="s">
        <v>31</v>
      </c>
      <c r="BDX22" s="251"/>
      <c r="BDY22" s="67" t="s">
        <v>89</v>
      </c>
      <c r="BDZ22" s="68"/>
      <c r="BEA22" s="69"/>
      <c r="BEB22" s="250" t="s">
        <v>31</v>
      </c>
      <c r="BEC22" s="251"/>
      <c r="BED22" s="67" t="s">
        <v>89</v>
      </c>
      <c r="BEE22" s="68"/>
      <c r="BEF22" s="69"/>
      <c r="BEG22" s="250" t="s">
        <v>31</v>
      </c>
      <c r="BEH22" s="251"/>
      <c r="BEI22" s="67" t="s">
        <v>89</v>
      </c>
      <c r="BEJ22" s="68"/>
      <c r="BEK22" s="69"/>
      <c r="BEL22" s="250" t="s">
        <v>31</v>
      </c>
      <c r="BEM22" s="251"/>
      <c r="BEN22" s="67" t="s">
        <v>89</v>
      </c>
      <c r="BEO22" s="68"/>
      <c r="BEP22" s="69"/>
      <c r="BEQ22" s="250" t="s">
        <v>31</v>
      </c>
      <c r="BER22" s="251"/>
      <c r="BES22" s="67" t="s">
        <v>89</v>
      </c>
      <c r="BET22" s="68"/>
      <c r="BEU22" s="69"/>
      <c r="BEV22" s="250" t="s">
        <v>31</v>
      </c>
      <c r="BEW22" s="251"/>
      <c r="BEX22" s="67" t="s">
        <v>89</v>
      </c>
      <c r="BEY22" s="68"/>
      <c r="BEZ22" s="69"/>
      <c r="BFA22" s="250" t="s">
        <v>31</v>
      </c>
      <c r="BFB22" s="251"/>
      <c r="BFC22" s="67" t="s">
        <v>89</v>
      </c>
      <c r="BFD22" s="68"/>
      <c r="BFE22" s="69"/>
      <c r="BFF22" s="250" t="s">
        <v>31</v>
      </c>
      <c r="BFG22" s="251"/>
      <c r="BFH22" s="67" t="s">
        <v>89</v>
      </c>
      <c r="BFI22" s="68"/>
      <c r="BFJ22" s="69"/>
      <c r="BFK22" s="250" t="s">
        <v>31</v>
      </c>
      <c r="BFL22" s="251"/>
      <c r="BFM22" s="67" t="s">
        <v>89</v>
      </c>
      <c r="BFN22" s="68"/>
      <c r="BFO22" s="69"/>
      <c r="BFP22" s="250" t="s">
        <v>31</v>
      </c>
      <c r="BFQ22" s="251"/>
      <c r="BFR22" s="67" t="s">
        <v>89</v>
      </c>
      <c r="BFS22" s="68"/>
      <c r="BFT22" s="69"/>
      <c r="BFU22" s="250" t="s">
        <v>31</v>
      </c>
      <c r="BFV22" s="251"/>
      <c r="BFW22" s="67" t="s">
        <v>89</v>
      </c>
      <c r="BFX22" s="68"/>
      <c r="BFY22" s="69"/>
      <c r="BFZ22" s="250" t="s">
        <v>31</v>
      </c>
      <c r="BGA22" s="251"/>
      <c r="BGB22" s="67" t="s">
        <v>89</v>
      </c>
      <c r="BGC22" s="68"/>
      <c r="BGD22" s="69"/>
      <c r="BGE22" s="273" t="s">
        <v>52</v>
      </c>
      <c r="BGF22" s="249"/>
      <c r="BGG22" s="67" t="s">
        <v>89</v>
      </c>
      <c r="BGH22" s="68"/>
      <c r="BGI22" s="69"/>
      <c r="BGJ22" s="273" t="s">
        <v>31</v>
      </c>
      <c r="BGK22" s="249"/>
      <c r="BGL22" s="67" t="s">
        <v>89</v>
      </c>
      <c r="BGM22" s="68"/>
      <c r="BGN22" s="69"/>
      <c r="BGO22" s="273" t="s">
        <v>31</v>
      </c>
      <c r="BGP22" s="249"/>
      <c r="BGQ22" s="67" t="s">
        <v>89</v>
      </c>
      <c r="BGR22" s="68"/>
      <c r="BGS22" s="69"/>
      <c r="BGT22" s="273" t="s">
        <v>31</v>
      </c>
      <c r="BGU22" s="249"/>
      <c r="BGV22" s="67" t="s">
        <v>89</v>
      </c>
      <c r="BGW22" s="68"/>
      <c r="BGX22" s="69"/>
      <c r="BGY22" s="273" t="s">
        <v>31</v>
      </c>
      <c r="BGZ22" s="249"/>
      <c r="BHA22" s="67" t="s">
        <v>89</v>
      </c>
      <c r="BHB22" s="68"/>
      <c r="BHC22" s="69"/>
      <c r="BHD22" s="273" t="s">
        <v>31</v>
      </c>
      <c r="BHE22" s="249"/>
      <c r="BHF22" s="67" t="s">
        <v>89</v>
      </c>
      <c r="BHG22" s="68"/>
      <c r="BHH22" s="69"/>
      <c r="BHI22" s="273" t="s">
        <v>52</v>
      </c>
      <c r="BHJ22" s="249"/>
      <c r="BHK22" s="67" t="s">
        <v>89</v>
      </c>
      <c r="BHL22" s="68"/>
      <c r="BHM22" s="69"/>
      <c r="BHN22" s="273" t="s">
        <v>31</v>
      </c>
      <c r="BHO22" s="249"/>
      <c r="BHP22" s="67" t="s">
        <v>89</v>
      </c>
      <c r="BHQ22" s="68"/>
      <c r="BHR22" s="69"/>
      <c r="BHS22" s="273" t="s">
        <v>31</v>
      </c>
      <c r="BHT22" s="249"/>
      <c r="BHU22" s="67" t="s">
        <v>89</v>
      </c>
      <c r="BHV22" s="68"/>
      <c r="BHW22" s="69"/>
      <c r="BHX22" s="273" t="s">
        <v>52</v>
      </c>
      <c r="BHY22" s="249"/>
      <c r="BHZ22" s="67" t="s">
        <v>89</v>
      </c>
      <c r="BIA22" s="68"/>
      <c r="BIB22" s="69"/>
      <c r="BIC22" s="273" t="s">
        <v>31</v>
      </c>
      <c r="BID22" s="249"/>
      <c r="BIE22" s="67" t="s">
        <v>89</v>
      </c>
      <c r="BIF22" s="68"/>
      <c r="BIG22" s="69"/>
      <c r="BIH22" s="273" t="s">
        <v>31</v>
      </c>
      <c r="BII22" s="249"/>
      <c r="BIJ22" s="67" t="s">
        <v>89</v>
      </c>
      <c r="BIK22" s="68"/>
      <c r="BIL22" s="69"/>
      <c r="BIM22" s="273" t="s">
        <v>31</v>
      </c>
      <c r="BIN22" s="249"/>
      <c r="BIO22" s="67" t="s">
        <v>89</v>
      </c>
      <c r="BIP22" s="68"/>
      <c r="BIQ22" s="69"/>
      <c r="BIR22" s="273" t="s">
        <v>31</v>
      </c>
      <c r="BIS22" s="249"/>
      <c r="BIT22" s="67" t="s">
        <v>89</v>
      </c>
      <c r="BIU22" s="68"/>
      <c r="BIV22" s="69"/>
      <c r="BIW22" s="273" t="s">
        <v>31</v>
      </c>
      <c r="BIX22" s="249"/>
      <c r="BIY22" s="67" t="s">
        <v>89</v>
      </c>
      <c r="BIZ22" s="68"/>
      <c r="BJA22" s="69"/>
      <c r="BJB22" s="273" t="s">
        <v>31</v>
      </c>
      <c r="BJC22" s="249"/>
      <c r="BJD22" s="67" t="s">
        <v>89</v>
      </c>
      <c r="BJE22" s="68"/>
      <c r="BJF22" s="69"/>
      <c r="BJG22" s="273" t="s">
        <v>31</v>
      </c>
      <c r="BJH22" s="249"/>
      <c r="BJI22" s="67" t="s">
        <v>89</v>
      </c>
      <c r="BJJ22" s="68"/>
      <c r="BJK22" s="69"/>
      <c r="BJL22" s="273" t="s">
        <v>31</v>
      </c>
      <c r="BJM22" s="249"/>
      <c r="BJN22" s="67" t="s">
        <v>89</v>
      </c>
      <c r="BJO22" s="68"/>
      <c r="BJP22" s="69"/>
      <c r="BJQ22" s="273" t="s">
        <v>31</v>
      </c>
      <c r="BJR22" s="249"/>
      <c r="BJS22" s="67" t="s">
        <v>89</v>
      </c>
      <c r="BJT22" s="68"/>
      <c r="BJU22" s="69"/>
      <c r="BJV22" s="273" t="s">
        <v>31</v>
      </c>
      <c r="BJW22" s="249"/>
      <c r="BJX22" s="67" t="s">
        <v>89</v>
      </c>
      <c r="BJY22" s="68"/>
      <c r="BJZ22" s="69"/>
      <c r="BKA22" s="273" t="s">
        <v>31</v>
      </c>
      <c r="BKB22" s="249"/>
      <c r="BKC22" s="67" t="s">
        <v>89</v>
      </c>
      <c r="BKD22" s="68"/>
      <c r="BKE22" s="69"/>
      <c r="BKF22" s="273" t="s">
        <v>31</v>
      </c>
      <c r="BKG22" s="249"/>
      <c r="BKH22" s="67" t="s">
        <v>89</v>
      </c>
      <c r="BKI22" s="68"/>
      <c r="BKJ22" s="69"/>
      <c r="BKK22" s="273" t="s">
        <v>31</v>
      </c>
      <c r="BKL22" s="249"/>
      <c r="BKM22" s="67" t="s">
        <v>89</v>
      </c>
      <c r="BKN22" s="68"/>
      <c r="BKO22" s="69"/>
      <c r="BKP22" s="273" t="s">
        <v>31</v>
      </c>
      <c r="BKQ22" s="249"/>
      <c r="BKR22" s="67" t="s">
        <v>89</v>
      </c>
      <c r="BKS22" s="68"/>
      <c r="BKT22" s="69"/>
      <c r="BKU22" s="273" t="s">
        <v>31</v>
      </c>
      <c r="BKV22" s="249"/>
      <c r="BKW22" s="67" t="s">
        <v>89</v>
      </c>
      <c r="BKX22" s="68"/>
      <c r="BKY22" s="69"/>
      <c r="BKZ22" s="273" t="s">
        <v>31</v>
      </c>
      <c r="BLA22" s="249"/>
      <c r="BLB22" s="67" t="s">
        <v>89</v>
      </c>
      <c r="BLC22" s="68"/>
      <c r="BLD22" s="69"/>
      <c r="BLE22" s="273" t="s">
        <v>31</v>
      </c>
      <c r="BLF22" s="249"/>
      <c r="BLG22" s="67" t="s">
        <v>89</v>
      </c>
      <c r="BLH22" s="68"/>
      <c r="BLI22" s="69"/>
      <c r="BLJ22" s="273" t="s">
        <v>31</v>
      </c>
      <c r="BLK22" s="249"/>
      <c r="BLL22" s="67" t="s">
        <v>89</v>
      </c>
      <c r="BLM22" s="68"/>
      <c r="BLN22" s="69"/>
      <c r="BLO22" s="273" t="s">
        <v>31</v>
      </c>
      <c r="BLP22" s="249"/>
      <c r="BLQ22" s="67" t="s">
        <v>89</v>
      </c>
      <c r="BLR22" s="68"/>
      <c r="BLS22" s="69"/>
      <c r="BLT22" s="273" t="s">
        <v>31</v>
      </c>
      <c r="BLU22" s="249"/>
      <c r="BLV22" s="67" t="s">
        <v>89</v>
      </c>
      <c r="BLW22" s="68"/>
      <c r="BLX22" s="69"/>
      <c r="BLY22" s="273" t="s">
        <v>31</v>
      </c>
      <c r="BLZ22" s="249"/>
      <c r="BMA22" s="67" t="s">
        <v>89</v>
      </c>
      <c r="BMB22" s="68"/>
      <c r="BMC22" s="69"/>
      <c r="BMD22" s="273" t="s">
        <v>31</v>
      </c>
      <c r="BME22" s="249"/>
      <c r="BMF22" s="67" t="s">
        <v>89</v>
      </c>
      <c r="BMG22" s="68"/>
      <c r="BMH22" s="69"/>
      <c r="BMI22" s="273" t="s">
        <v>31</v>
      </c>
      <c r="BMJ22" s="249"/>
      <c r="BMK22" s="67" t="s">
        <v>89</v>
      </c>
      <c r="BML22" s="68"/>
      <c r="BMM22" s="69"/>
      <c r="BMN22" s="273" t="s">
        <v>31</v>
      </c>
      <c r="BMO22" s="249"/>
      <c r="BMP22" s="67" t="s">
        <v>89</v>
      </c>
      <c r="BMQ22" s="68"/>
      <c r="BMR22" s="69"/>
      <c r="BMS22" s="273" t="s">
        <v>31</v>
      </c>
      <c r="BMT22" s="249"/>
      <c r="BMU22" s="67" t="s">
        <v>89</v>
      </c>
      <c r="BMV22" s="68"/>
      <c r="BMW22" s="69"/>
      <c r="BMX22" s="273" t="s">
        <v>52</v>
      </c>
      <c r="BMY22" s="249"/>
      <c r="BMZ22" s="67" t="s">
        <v>89</v>
      </c>
      <c r="BNA22" s="68"/>
      <c r="BNB22" s="69"/>
      <c r="BNC22" s="273" t="s">
        <v>31</v>
      </c>
      <c r="BND22" s="249"/>
      <c r="BNE22" s="67" t="s">
        <v>89</v>
      </c>
      <c r="BNF22" s="68"/>
      <c r="BNG22" s="69"/>
      <c r="BNH22" s="273" t="s">
        <v>31</v>
      </c>
      <c r="BNI22" s="249"/>
      <c r="BNJ22" s="67" t="s">
        <v>89</v>
      </c>
      <c r="BNK22" s="68"/>
      <c r="BNL22" s="69"/>
      <c r="BNM22" s="273" t="s">
        <v>31</v>
      </c>
      <c r="BNN22" s="249"/>
      <c r="BNO22" s="67" t="s">
        <v>89</v>
      </c>
      <c r="BNP22" s="68"/>
      <c r="BNQ22" s="69"/>
      <c r="BNR22" s="273" t="s">
        <v>31</v>
      </c>
      <c r="BNS22" s="249"/>
      <c r="BNT22" s="67" t="s">
        <v>89</v>
      </c>
      <c r="BNU22" s="68"/>
      <c r="BNV22" s="69"/>
      <c r="BNW22" s="273" t="s">
        <v>31</v>
      </c>
      <c r="BNX22" s="249"/>
      <c r="BNY22" s="67" t="s">
        <v>89</v>
      </c>
      <c r="BNZ22" s="68"/>
      <c r="BOA22" s="69"/>
      <c r="BOB22" s="273" t="s">
        <v>31</v>
      </c>
      <c r="BOC22" s="249"/>
      <c r="BOD22" s="67" t="s">
        <v>89</v>
      </c>
      <c r="BOE22" s="68"/>
      <c r="BOF22" s="69"/>
      <c r="BOG22" s="273" t="s">
        <v>31</v>
      </c>
      <c r="BOH22" s="249"/>
      <c r="BOI22" s="67" t="s">
        <v>89</v>
      </c>
      <c r="BOJ22" s="68"/>
      <c r="BOK22" s="69"/>
      <c r="BOL22" s="273" t="s">
        <v>31</v>
      </c>
      <c r="BOM22" s="249"/>
      <c r="BON22" s="67" t="s">
        <v>89</v>
      </c>
      <c r="BOO22" s="68"/>
      <c r="BOP22" s="69"/>
      <c r="BOQ22" s="273" t="s">
        <v>31</v>
      </c>
      <c r="BOR22" s="249"/>
      <c r="BOS22" s="67" t="s">
        <v>89</v>
      </c>
      <c r="BOT22" s="68"/>
      <c r="BOU22" s="69"/>
      <c r="BOV22" s="273" t="s">
        <v>31</v>
      </c>
      <c r="BOW22" s="249"/>
      <c r="BOX22" s="67" t="s">
        <v>89</v>
      </c>
      <c r="BOY22" s="68"/>
      <c r="BOZ22" s="69"/>
      <c r="BPA22" s="273" t="s">
        <v>31</v>
      </c>
      <c r="BPB22" s="249"/>
      <c r="BPC22" s="67" t="s">
        <v>89</v>
      </c>
      <c r="BPD22" s="68"/>
      <c r="BPE22" s="69"/>
      <c r="BPF22" s="273" t="s">
        <v>31</v>
      </c>
      <c r="BPG22" s="249"/>
      <c r="BPH22" s="67" t="s">
        <v>89</v>
      </c>
      <c r="BPI22" s="68"/>
      <c r="BPJ22" s="69"/>
      <c r="BPK22" s="273" t="s">
        <v>31</v>
      </c>
      <c r="BPL22" s="249"/>
      <c r="BPM22" s="67" t="s">
        <v>89</v>
      </c>
      <c r="BPN22" s="68"/>
      <c r="BPO22" s="69"/>
      <c r="BPP22" s="273" t="s">
        <v>31</v>
      </c>
      <c r="BPQ22" s="249"/>
      <c r="BPR22" s="67" t="s">
        <v>89</v>
      </c>
      <c r="BPS22" s="68"/>
      <c r="BPT22" s="69"/>
      <c r="BPU22" s="273" t="s">
        <v>31</v>
      </c>
      <c r="BPV22" s="249"/>
      <c r="BPW22" s="67" t="s">
        <v>89</v>
      </c>
      <c r="BPX22" s="68"/>
      <c r="BPY22" s="69"/>
      <c r="BPZ22" s="273" t="s">
        <v>52</v>
      </c>
      <c r="BQA22" s="249"/>
      <c r="BQB22" s="67" t="s">
        <v>89</v>
      </c>
      <c r="BQC22" s="68"/>
      <c r="BQD22" s="69"/>
      <c r="BQE22" s="273" t="s">
        <v>31</v>
      </c>
      <c r="BQF22" s="249"/>
      <c r="BQG22" s="67" t="s">
        <v>89</v>
      </c>
      <c r="BQH22" s="68"/>
      <c r="BQI22" s="69"/>
      <c r="BQJ22" s="273" t="s">
        <v>31</v>
      </c>
      <c r="BQK22" s="249"/>
      <c r="BQL22" s="67" t="s">
        <v>89</v>
      </c>
      <c r="BQM22" s="68"/>
      <c r="BQN22" s="69"/>
      <c r="BQO22" s="273" t="s">
        <v>31</v>
      </c>
      <c r="BQP22" s="249"/>
      <c r="BQQ22" s="67" t="s">
        <v>89</v>
      </c>
      <c r="BQR22" s="68"/>
      <c r="BQS22" s="69"/>
      <c r="BQT22" s="273" t="s">
        <v>31</v>
      </c>
      <c r="BQU22" s="249"/>
      <c r="BQV22" s="67" t="s">
        <v>89</v>
      </c>
      <c r="BQW22" s="68"/>
      <c r="BQX22" s="69"/>
      <c r="BQY22" s="273" t="s">
        <v>31</v>
      </c>
      <c r="BQZ22" s="249"/>
      <c r="BRA22" s="67" t="s">
        <v>89</v>
      </c>
      <c r="BRB22" s="68"/>
      <c r="BRC22" s="69"/>
      <c r="BRD22" s="273" t="s">
        <v>61</v>
      </c>
      <c r="BRE22" s="249"/>
      <c r="BRF22" s="67" t="s">
        <v>89</v>
      </c>
      <c r="BRG22" s="68"/>
      <c r="BRH22" s="69"/>
      <c r="BRI22" s="273" t="s">
        <v>31</v>
      </c>
      <c r="BRJ22" s="249"/>
      <c r="BRK22" s="67" t="s">
        <v>89</v>
      </c>
      <c r="BRL22" s="68"/>
      <c r="BRM22" s="69"/>
      <c r="BRN22" s="273" t="s">
        <v>31</v>
      </c>
      <c r="BRO22" s="249"/>
      <c r="BRP22" s="67" t="s">
        <v>89</v>
      </c>
      <c r="BRQ22" s="68"/>
      <c r="BRR22" s="69"/>
      <c r="BRS22" s="273" t="s">
        <v>61</v>
      </c>
      <c r="BRT22" s="249"/>
      <c r="BRU22" s="67" t="s">
        <v>89</v>
      </c>
      <c r="BRV22" s="68"/>
      <c r="BRW22" s="69"/>
      <c r="BRX22" s="273" t="s">
        <v>61</v>
      </c>
      <c r="BRY22" s="249"/>
      <c r="BRZ22" s="67" t="s">
        <v>89</v>
      </c>
      <c r="BSA22" s="68"/>
      <c r="BSB22" s="69"/>
      <c r="BSC22" s="273" t="s">
        <v>61</v>
      </c>
      <c r="BSD22" s="249"/>
      <c r="BSE22" s="67" t="s">
        <v>89</v>
      </c>
      <c r="BSF22" s="68"/>
      <c r="BSG22" s="69"/>
      <c r="BSH22" s="273" t="s">
        <v>61</v>
      </c>
      <c r="BSI22" s="249"/>
      <c r="BSJ22" s="67" t="s">
        <v>89</v>
      </c>
      <c r="BSK22" s="68"/>
      <c r="BSL22" s="69"/>
      <c r="BSM22" s="273" t="s">
        <v>61</v>
      </c>
      <c r="BSN22" s="249"/>
      <c r="BSO22" s="67" t="s">
        <v>89</v>
      </c>
      <c r="BSP22" s="68"/>
      <c r="BSQ22" s="69"/>
      <c r="BSR22" s="273" t="s">
        <v>31</v>
      </c>
      <c r="BSS22" s="249"/>
      <c r="BST22" s="67" t="s">
        <v>89</v>
      </c>
      <c r="BSU22" s="68"/>
      <c r="BSV22" s="69"/>
      <c r="BSW22" s="273" t="s">
        <v>31</v>
      </c>
      <c r="BSX22" s="249"/>
      <c r="BSY22" s="67" t="s">
        <v>89</v>
      </c>
      <c r="BSZ22" s="68"/>
      <c r="BTA22" s="69"/>
      <c r="BTB22" s="273" t="s">
        <v>61</v>
      </c>
      <c r="BTC22" s="249"/>
      <c r="BTD22" s="67" t="s">
        <v>89</v>
      </c>
      <c r="BTE22" s="68"/>
      <c r="BTF22" s="69"/>
      <c r="BTG22" s="273" t="s">
        <v>61</v>
      </c>
      <c r="BTH22" s="249"/>
      <c r="BTI22" s="67" t="s">
        <v>89</v>
      </c>
      <c r="BTJ22" s="68"/>
      <c r="BTK22" s="69"/>
      <c r="BTL22" s="273" t="s">
        <v>61</v>
      </c>
      <c r="BTM22" s="249"/>
      <c r="BTN22" s="67" t="s">
        <v>89</v>
      </c>
      <c r="BTO22" s="68"/>
      <c r="BTP22" s="69"/>
      <c r="BTQ22" s="273" t="s">
        <v>61</v>
      </c>
      <c r="BTR22" s="249"/>
      <c r="BTS22" s="67" t="s">
        <v>89</v>
      </c>
      <c r="BTT22" s="68"/>
      <c r="BTU22" s="69"/>
      <c r="BTV22" s="273" t="s">
        <v>61</v>
      </c>
      <c r="BTW22" s="249"/>
      <c r="BTX22" s="67" t="s">
        <v>89</v>
      </c>
      <c r="BTY22" s="68"/>
      <c r="BTZ22" s="69"/>
      <c r="BUA22" s="273" t="s">
        <v>31</v>
      </c>
      <c r="BUB22" s="249"/>
      <c r="BUC22" s="67" t="s">
        <v>89</v>
      </c>
      <c r="BUD22" s="68"/>
      <c r="BUE22" s="69"/>
      <c r="BUF22" s="273" t="s">
        <v>31</v>
      </c>
      <c r="BUG22" s="249"/>
      <c r="BUH22" s="67" t="s">
        <v>89</v>
      </c>
      <c r="BUI22" s="68"/>
      <c r="BUJ22" s="69"/>
      <c r="BUK22" s="273" t="s">
        <v>31</v>
      </c>
      <c r="BUL22" s="249"/>
      <c r="BUM22" s="67" t="s">
        <v>89</v>
      </c>
      <c r="BUN22" s="68"/>
      <c r="BUO22" s="69"/>
      <c r="BUP22" s="273" t="s">
        <v>31</v>
      </c>
      <c r="BUQ22" s="249"/>
      <c r="BUR22" s="67" t="s">
        <v>89</v>
      </c>
      <c r="BUS22" s="68"/>
      <c r="BUT22" s="69"/>
      <c r="BUU22" s="273" t="s">
        <v>61</v>
      </c>
      <c r="BUV22" s="249"/>
      <c r="BUW22" s="67" t="s">
        <v>89</v>
      </c>
      <c r="BUX22" s="68"/>
      <c r="BUY22" s="69"/>
      <c r="BUZ22" s="273" t="s">
        <v>61</v>
      </c>
      <c r="BVA22" s="249"/>
      <c r="BVB22" s="67" t="s">
        <v>89</v>
      </c>
      <c r="BVC22" s="68"/>
      <c r="BVD22" s="69"/>
      <c r="BVE22" s="273" t="s">
        <v>61</v>
      </c>
      <c r="BVF22" s="249"/>
      <c r="BVG22" s="67" t="s">
        <v>89</v>
      </c>
      <c r="BVH22" s="68"/>
      <c r="BVI22" s="69"/>
      <c r="BVJ22" s="273" t="s">
        <v>41</v>
      </c>
      <c r="BVK22" s="249"/>
      <c r="BVL22" s="67" t="s">
        <v>89</v>
      </c>
      <c r="BVM22" s="68"/>
      <c r="BVN22" s="69"/>
      <c r="BVO22" s="273" t="s">
        <v>61</v>
      </c>
      <c r="BVP22" s="249"/>
      <c r="BVQ22" s="67" t="s">
        <v>89</v>
      </c>
      <c r="BVR22" s="68"/>
      <c r="BVS22" s="69"/>
      <c r="BVT22" s="273" t="s">
        <v>61</v>
      </c>
      <c r="BVU22" s="249"/>
      <c r="BVV22" s="67" t="s">
        <v>89</v>
      </c>
      <c r="BVW22" s="68"/>
      <c r="BVX22" s="69"/>
      <c r="BVY22" s="273" t="s">
        <v>31</v>
      </c>
      <c r="BVZ22" s="249"/>
      <c r="BWA22" s="67" t="s">
        <v>89</v>
      </c>
      <c r="BWB22" s="68"/>
      <c r="BWC22" s="69"/>
      <c r="BWD22" s="273" t="s">
        <v>31</v>
      </c>
      <c r="BWE22" s="249"/>
      <c r="BWF22" s="67" t="s">
        <v>89</v>
      </c>
      <c r="BWG22" s="68"/>
      <c r="BWH22" s="69"/>
      <c r="BWI22" s="273" t="s">
        <v>61</v>
      </c>
      <c r="BWJ22" s="249"/>
      <c r="BWK22" s="67" t="s">
        <v>89</v>
      </c>
      <c r="BWL22" s="68"/>
      <c r="BWM22" s="69"/>
      <c r="BWN22" s="273" t="s">
        <v>61</v>
      </c>
      <c r="BWO22" s="249"/>
      <c r="BWP22" s="67" t="s">
        <v>89</v>
      </c>
      <c r="BWQ22" s="68"/>
      <c r="BWR22" s="69"/>
      <c r="BWS22" s="273" t="s">
        <v>61</v>
      </c>
      <c r="BWT22" s="249"/>
      <c r="BWU22" s="67" t="s">
        <v>89</v>
      </c>
      <c r="BWV22" s="68"/>
      <c r="BWW22" s="69"/>
      <c r="BWX22" s="273" t="s">
        <v>61</v>
      </c>
      <c r="BWY22" s="249"/>
      <c r="BWZ22" s="67" t="s">
        <v>89</v>
      </c>
      <c r="BXA22" s="68"/>
      <c r="BXB22" s="69"/>
      <c r="BXC22" s="273" t="s">
        <v>31</v>
      </c>
      <c r="BXD22" s="249"/>
      <c r="BXE22" s="67" t="s">
        <v>89</v>
      </c>
      <c r="BXF22" s="68"/>
      <c r="BXG22" s="69"/>
      <c r="BXH22" s="273" t="s">
        <v>31</v>
      </c>
      <c r="BXI22" s="249"/>
      <c r="BXJ22" s="67" t="s">
        <v>89</v>
      </c>
      <c r="BXK22" s="68"/>
      <c r="BXL22" s="69"/>
      <c r="BXM22" s="273" t="s">
        <v>31</v>
      </c>
      <c r="BXN22" s="249"/>
      <c r="BXO22" s="67" t="s">
        <v>89</v>
      </c>
      <c r="BXP22" s="68"/>
      <c r="BXQ22" s="69"/>
      <c r="BXR22" s="273" t="s">
        <v>61</v>
      </c>
      <c r="BXS22" s="249"/>
      <c r="BXT22" s="67" t="s">
        <v>89</v>
      </c>
      <c r="BXU22" s="68"/>
      <c r="BXV22" s="69"/>
      <c r="BXW22" s="273" t="s">
        <v>41</v>
      </c>
      <c r="BXX22" s="249"/>
      <c r="BXY22" s="67" t="s">
        <v>89</v>
      </c>
      <c r="BXZ22" s="68"/>
      <c r="BYA22" s="69"/>
      <c r="BYB22" s="273" t="s">
        <v>61</v>
      </c>
      <c r="BYC22" s="249"/>
      <c r="BYD22" s="67" t="s">
        <v>89</v>
      </c>
      <c r="BYE22" s="68"/>
      <c r="BYF22" s="69"/>
      <c r="BYG22" s="273" t="s">
        <v>61</v>
      </c>
      <c r="BYH22" s="249"/>
      <c r="BYI22" s="67" t="s">
        <v>89</v>
      </c>
      <c r="BYJ22" s="68"/>
      <c r="BYK22" s="69"/>
      <c r="BYL22" s="273" t="s">
        <v>61</v>
      </c>
      <c r="BYM22" s="249"/>
      <c r="BYN22" s="67" t="s">
        <v>89</v>
      </c>
      <c r="BYO22" s="68"/>
      <c r="BYP22" s="69"/>
      <c r="BYQ22" s="273" t="s">
        <v>61</v>
      </c>
      <c r="BYR22" s="249"/>
      <c r="BYS22" s="67" t="s">
        <v>89</v>
      </c>
      <c r="BYT22" s="68"/>
      <c r="BYU22" s="69"/>
      <c r="BYV22" s="273" t="s">
        <v>61</v>
      </c>
      <c r="BYW22" s="249"/>
      <c r="BYX22" s="67" t="s">
        <v>89</v>
      </c>
      <c r="BYY22" s="68"/>
      <c r="BYZ22" s="69"/>
      <c r="BZA22" s="273" t="s">
        <v>31</v>
      </c>
      <c r="BZB22" s="249"/>
      <c r="BZC22" s="67" t="s">
        <v>89</v>
      </c>
      <c r="BZD22" s="68"/>
      <c r="BZE22" s="69"/>
      <c r="BZF22" s="273" t="s">
        <v>31</v>
      </c>
      <c r="BZG22" s="249"/>
      <c r="BZH22" s="67" t="s">
        <v>89</v>
      </c>
      <c r="BZI22" s="68"/>
      <c r="BZJ22" s="69"/>
      <c r="BZK22" s="273" t="s">
        <v>61</v>
      </c>
      <c r="BZL22" s="249"/>
      <c r="BZM22" s="67" t="s">
        <v>89</v>
      </c>
      <c r="BZN22" s="68"/>
      <c r="BZO22" s="69"/>
      <c r="BZP22" s="273" t="s">
        <v>61</v>
      </c>
      <c r="BZQ22" s="249"/>
      <c r="BZR22" s="67" t="s">
        <v>89</v>
      </c>
      <c r="BZS22" s="68"/>
      <c r="BZT22" s="69"/>
      <c r="BZU22" s="273" t="s">
        <v>61</v>
      </c>
      <c r="BZV22" s="249"/>
      <c r="BZW22" s="67" t="s">
        <v>89</v>
      </c>
      <c r="BZX22" s="68"/>
      <c r="BZY22" s="69"/>
      <c r="BZZ22" s="273" t="s">
        <v>61</v>
      </c>
      <c r="CAA22" s="249"/>
      <c r="CAB22" s="67" t="s">
        <v>89</v>
      </c>
      <c r="CAC22" s="68"/>
      <c r="CAD22" s="69"/>
      <c r="CAE22" s="273" t="s">
        <v>61</v>
      </c>
      <c r="CAF22" s="249"/>
      <c r="CAG22" s="67" t="s">
        <v>89</v>
      </c>
      <c r="CAH22" s="68"/>
      <c r="CAI22" s="69"/>
      <c r="CAJ22" s="273" t="s">
        <v>61</v>
      </c>
      <c r="CAK22" s="249"/>
      <c r="CAL22" s="67" t="s">
        <v>89</v>
      </c>
      <c r="CAM22" s="68"/>
      <c r="CAN22" s="69"/>
      <c r="CAO22" s="273" t="s">
        <v>61</v>
      </c>
      <c r="CAP22" s="249"/>
      <c r="CAQ22" s="67" t="s">
        <v>89</v>
      </c>
      <c r="CAR22" s="68"/>
      <c r="CAS22" s="69"/>
      <c r="CAT22" s="273" t="s">
        <v>61</v>
      </c>
      <c r="CAU22" s="249"/>
      <c r="CAV22" s="67" t="s">
        <v>89</v>
      </c>
      <c r="CAW22" s="68"/>
      <c r="CAX22" s="69"/>
      <c r="CAY22" s="273" t="s">
        <v>61</v>
      </c>
      <c r="CAZ22" s="249"/>
      <c r="CBA22" s="67" t="s">
        <v>89</v>
      </c>
      <c r="CBB22" s="68"/>
      <c r="CBC22" s="69"/>
      <c r="CBD22" s="273" t="s">
        <v>61</v>
      </c>
      <c r="CBE22" s="249"/>
      <c r="CBF22" s="67" t="s">
        <v>89</v>
      </c>
      <c r="CBG22" s="68"/>
      <c r="CBH22" s="69"/>
      <c r="CBI22" s="273" t="s">
        <v>61</v>
      </c>
      <c r="CBJ22" s="249"/>
      <c r="CBK22" s="67" t="s">
        <v>89</v>
      </c>
      <c r="CBL22" s="68"/>
      <c r="CBM22" s="69"/>
      <c r="CBN22" s="273" t="s">
        <v>31</v>
      </c>
      <c r="CBO22" s="249"/>
      <c r="CBP22" s="67" t="s">
        <v>89</v>
      </c>
      <c r="CBQ22" s="68"/>
      <c r="CBR22" s="69"/>
      <c r="CBS22" s="273" t="s">
        <v>31</v>
      </c>
      <c r="CBT22" s="249"/>
      <c r="CBU22" s="67" t="s">
        <v>89</v>
      </c>
      <c r="CBV22" s="68"/>
      <c r="CBW22" s="69"/>
      <c r="CBX22" s="273" t="s">
        <v>61</v>
      </c>
      <c r="CBY22" s="249"/>
      <c r="CBZ22" s="67" t="s">
        <v>89</v>
      </c>
      <c r="CCA22" s="68"/>
      <c r="CCB22" s="69"/>
      <c r="CCC22" s="273" t="s">
        <v>61</v>
      </c>
      <c r="CCD22" s="249"/>
      <c r="CCE22" s="67" t="s">
        <v>89</v>
      </c>
      <c r="CCF22" s="68"/>
      <c r="CCG22" s="69"/>
      <c r="CCH22" s="273" t="s">
        <v>61</v>
      </c>
      <c r="CCI22" s="249"/>
      <c r="CCJ22" s="67" t="s">
        <v>89</v>
      </c>
      <c r="CCK22" s="68"/>
      <c r="CCL22" s="69"/>
      <c r="CCM22" s="273" t="s">
        <v>31</v>
      </c>
      <c r="CCN22" s="249"/>
      <c r="CCO22" s="67" t="s">
        <v>89</v>
      </c>
      <c r="CCP22" s="68"/>
      <c r="CCQ22" s="69"/>
      <c r="CCR22" s="273" t="s">
        <v>31</v>
      </c>
      <c r="CCS22" s="249"/>
      <c r="CCT22" s="67" t="s">
        <v>89</v>
      </c>
      <c r="CCU22" s="68"/>
      <c r="CCV22" s="69"/>
      <c r="CCW22" s="273" t="s">
        <v>31</v>
      </c>
      <c r="CCX22" s="249"/>
      <c r="CCY22" s="67" t="s">
        <v>89</v>
      </c>
      <c r="CCZ22" s="68"/>
      <c r="CDA22" s="69"/>
      <c r="CDB22" s="273" t="s">
        <v>61</v>
      </c>
      <c r="CDC22" s="249"/>
      <c r="CDD22" s="67" t="s">
        <v>89</v>
      </c>
      <c r="CDE22" s="68"/>
      <c r="CDF22" s="69"/>
      <c r="CDG22" s="273" t="s">
        <v>61</v>
      </c>
      <c r="CDH22" s="249"/>
      <c r="CDI22" s="67" t="s">
        <v>89</v>
      </c>
      <c r="CDJ22" s="68"/>
      <c r="CDK22" s="69"/>
      <c r="CDL22" s="273" t="s">
        <v>61</v>
      </c>
      <c r="CDM22" s="249"/>
      <c r="CDN22" s="67" t="s">
        <v>89</v>
      </c>
      <c r="CDO22" s="68"/>
      <c r="CDP22" s="69"/>
      <c r="CDQ22" s="273" t="s">
        <v>61</v>
      </c>
      <c r="CDR22" s="249"/>
      <c r="CDS22" s="67" t="s">
        <v>89</v>
      </c>
      <c r="CDT22" s="68"/>
      <c r="CDU22" s="69"/>
      <c r="CDV22" s="273" t="s">
        <v>31</v>
      </c>
      <c r="CDW22" s="249"/>
      <c r="CDX22" s="67" t="s">
        <v>89</v>
      </c>
      <c r="CDY22" s="68"/>
      <c r="CDZ22" s="69"/>
      <c r="CEA22" s="273" t="s">
        <v>31</v>
      </c>
      <c r="CEB22" s="249"/>
      <c r="CEC22" s="67" t="s">
        <v>89</v>
      </c>
      <c r="CED22" s="68"/>
      <c r="CEE22" s="69"/>
      <c r="CEF22" s="273" t="s">
        <v>61</v>
      </c>
      <c r="CEG22" s="249"/>
      <c r="CEH22" s="67" t="s">
        <v>89</v>
      </c>
      <c r="CEI22" s="68"/>
      <c r="CEJ22" s="69"/>
      <c r="CEK22" s="273" t="s">
        <v>61</v>
      </c>
      <c r="CEL22" s="249"/>
      <c r="CEM22" s="67" t="s">
        <v>89</v>
      </c>
      <c r="CEN22" s="68"/>
      <c r="CEO22" s="69"/>
      <c r="CEP22" s="273" t="s">
        <v>41</v>
      </c>
      <c r="CEQ22" s="249"/>
      <c r="CER22" s="67" t="s">
        <v>89</v>
      </c>
      <c r="CES22" s="68"/>
      <c r="CET22" s="69"/>
      <c r="CEU22" s="273" t="s">
        <v>61</v>
      </c>
      <c r="CEV22" s="249"/>
      <c r="CEW22" s="67" t="s">
        <v>89</v>
      </c>
      <c r="CEX22" s="68"/>
      <c r="CEY22" s="69"/>
      <c r="CEZ22" s="273" t="s">
        <v>61</v>
      </c>
      <c r="CFA22" s="249"/>
      <c r="CFB22" s="67" t="s">
        <v>89</v>
      </c>
      <c r="CFC22" s="68"/>
      <c r="CFD22" s="69"/>
      <c r="CFE22" s="273" t="s">
        <v>61</v>
      </c>
      <c r="CFF22" s="249"/>
      <c r="CFG22" s="67" t="s">
        <v>89</v>
      </c>
      <c r="CFH22" s="68"/>
      <c r="CFI22" s="69"/>
      <c r="CFJ22" s="273" t="s">
        <v>61</v>
      </c>
      <c r="CFK22" s="249"/>
      <c r="CFL22" s="67" t="s">
        <v>89</v>
      </c>
      <c r="CFM22" s="68"/>
      <c r="CFN22" s="69"/>
      <c r="CFO22" s="273" t="s">
        <v>31</v>
      </c>
      <c r="CFP22" s="249"/>
      <c r="CFQ22" s="67" t="s">
        <v>89</v>
      </c>
      <c r="CFR22" s="68"/>
      <c r="CFS22" s="69"/>
      <c r="CFT22" s="273" t="s">
        <v>61</v>
      </c>
      <c r="CFU22" s="249"/>
      <c r="CFV22" s="67" t="s">
        <v>89</v>
      </c>
      <c r="CFW22" s="68"/>
      <c r="CFX22" s="69"/>
      <c r="CFY22" s="273" t="s">
        <v>61</v>
      </c>
      <c r="CFZ22" s="249"/>
      <c r="CGA22" s="67" t="s">
        <v>89</v>
      </c>
      <c r="CGB22" s="68"/>
      <c r="CGC22" s="69"/>
      <c r="CGD22" s="273" t="s">
        <v>61</v>
      </c>
      <c r="CGE22" s="249"/>
      <c r="CGF22" s="67" t="s">
        <v>89</v>
      </c>
      <c r="CGG22" s="68"/>
      <c r="CGH22" s="69"/>
      <c r="CGI22" s="273" t="s">
        <v>31</v>
      </c>
      <c r="CGJ22" s="249"/>
      <c r="CGK22" s="67" t="s">
        <v>89</v>
      </c>
      <c r="CGL22" s="68"/>
      <c r="CGM22" s="69"/>
      <c r="CGN22" s="273" t="s">
        <v>61</v>
      </c>
      <c r="CGO22" s="249"/>
      <c r="CGP22" s="67" t="s">
        <v>89</v>
      </c>
      <c r="CGQ22" s="68"/>
      <c r="CGR22" s="69"/>
      <c r="CGS22" s="273" t="s">
        <v>52</v>
      </c>
      <c r="CGT22" s="249"/>
      <c r="CGU22" s="67" t="s">
        <v>89</v>
      </c>
      <c r="CGV22" s="68"/>
      <c r="CGW22" s="69"/>
      <c r="CGX22" s="273" t="s">
        <v>61</v>
      </c>
      <c r="CGY22" s="249"/>
      <c r="CGZ22" s="67" t="s">
        <v>89</v>
      </c>
      <c r="CHA22" s="68"/>
      <c r="CHB22" s="69"/>
      <c r="CHC22" s="273" t="s">
        <v>61</v>
      </c>
      <c r="CHD22" s="249"/>
      <c r="CHE22" s="67" t="s">
        <v>89</v>
      </c>
      <c r="CHF22" s="68"/>
      <c r="CHG22" s="69"/>
      <c r="CHH22" s="273" t="s">
        <v>61</v>
      </c>
      <c r="CHI22" s="249"/>
      <c r="CHJ22" s="67" t="s">
        <v>89</v>
      </c>
      <c r="CHK22" s="68"/>
      <c r="CHL22" s="69"/>
      <c r="CHM22" s="273" t="s">
        <v>61</v>
      </c>
      <c r="CHN22" s="249"/>
      <c r="CHO22" s="67" t="s">
        <v>89</v>
      </c>
      <c r="CHP22" s="68"/>
      <c r="CHQ22" s="69"/>
      <c r="CHR22" s="273" t="s">
        <v>31</v>
      </c>
      <c r="CHS22" s="249"/>
      <c r="CHT22" s="67" t="s">
        <v>89</v>
      </c>
      <c r="CHU22" s="68"/>
      <c r="CHV22" s="69"/>
      <c r="CHW22" s="273" t="s">
        <v>31</v>
      </c>
      <c r="CHX22" s="249"/>
      <c r="CHY22" s="67" t="s">
        <v>89</v>
      </c>
      <c r="CHZ22" s="68"/>
      <c r="CIA22" s="69"/>
      <c r="CIB22" s="273" t="s">
        <v>61</v>
      </c>
      <c r="CIC22" s="249"/>
      <c r="CID22" s="67" t="s">
        <v>89</v>
      </c>
      <c r="CIE22" s="68"/>
      <c r="CIF22" s="69"/>
      <c r="CIG22" s="273" t="s">
        <v>116</v>
      </c>
      <c r="CIH22" s="249"/>
      <c r="CII22" s="67" t="s">
        <v>89</v>
      </c>
      <c r="CIJ22" s="68"/>
      <c r="CIK22" s="69"/>
      <c r="CIL22" s="273" t="s">
        <v>61</v>
      </c>
      <c r="CIM22" s="249"/>
      <c r="CIN22" s="67" t="s">
        <v>89</v>
      </c>
      <c r="CIO22" s="68"/>
      <c r="CIP22" s="69"/>
      <c r="CIQ22" s="273" t="s">
        <v>68</v>
      </c>
      <c r="CIR22" s="249"/>
      <c r="CIS22" s="67" t="s">
        <v>89</v>
      </c>
      <c r="CIT22" s="68"/>
      <c r="CIU22" s="69"/>
      <c r="CIV22" s="273" t="s">
        <v>61</v>
      </c>
      <c r="CIW22" s="249"/>
      <c r="CIX22" s="67" t="s">
        <v>89</v>
      </c>
      <c r="CIY22" s="68"/>
      <c r="CIZ22" s="69"/>
      <c r="CJA22" s="273" t="s">
        <v>31</v>
      </c>
      <c r="CJB22" s="249"/>
      <c r="CJC22" s="67" t="s">
        <v>89</v>
      </c>
      <c r="CJD22" s="68"/>
      <c r="CJE22" s="69"/>
      <c r="CJF22" s="273" t="s">
        <v>61</v>
      </c>
      <c r="CJG22" s="249"/>
      <c r="CJH22" s="67" t="s">
        <v>89</v>
      </c>
      <c r="CJI22" s="68"/>
      <c r="CJJ22" s="69"/>
      <c r="CJK22" s="273" t="s">
        <v>61</v>
      </c>
      <c r="CJL22" s="249"/>
      <c r="CJM22" s="67" t="s">
        <v>89</v>
      </c>
      <c r="CJN22" s="68"/>
      <c r="CJO22" s="69"/>
      <c r="CJP22" s="273" t="s">
        <v>31</v>
      </c>
      <c r="CJQ22" s="249"/>
      <c r="CJR22" s="67" t="s">
        <v>89</v>
      </c>
      <c r="CJS22" s="68"/>
      <c r="CJT22" s="69"/>
      <c r="CJU22" s="273" t="s">
        <v>31</v>
      </c>
      <c r="CJV22" s="249"/>
      <c r="CJW22" s="67" t="s">
        <v>89</v>
      </c>
      <c r="CJX22" s="68"/>
      <c r="CJY22" s="69"/>
      <c r="CJZ22" s="273" t="s">
        <v>61</v>
      </c>
      <c r="CKA22" s="249"/>
      <c r="CKB22" s="67" t="s">
        <v>89</v>
      </c>
      <c r="CKC22" s="68"/>
      <c r="CKD22" s="69"/>
      <c r="CKE22" s="273" t="s">
        <v>124</v>
      </c>
      <c r="CKF22" s="249"/>
      <c r="CKG22" s="67" t="s">
        <v>89</v>
      </c>
      <c r="CKH22" s="68"/>
      <c r="CKI22" s="69"/>
      <c r="CKJ22" s="273" t="s">
        <v>123</v>
      </c>
      <c r="CKK22" s="249"/>
      <c r="CKL22" s="67" t="s">
        <v>89</v>
      </c>
      <c r="CKM22" s="68"/>
      <c r="CKN22" s="69"/>
      <c r="CKO22" s="273" t="s">
        <v>61</v>
      </c>
      <c r="CKP22" s="249"/>
      <c r="CKQ22" s="67" t="s">
        <v>89</v>
      </c>
      <c r="CKR22" s="68"/>
      <c r="CKS22" s="69"/>
      <c r="CKT22" s="273" t="s">
        <v>116</v>
      </c>
      <c r="CKU22" s="249"/>
      <c r="CKV22" s="67" t="s">
        <v>89</v>
      </c>
      <c r="CKW22" s="68"/>
      <c r="CKX22" s="69"/>
      <c r="CKY22" s="273" t="s">
        <v>31</v>
      </c>
      <c r="CKZ22" s="249"/>
      <c r="CLA22" s="67" t="s">
        <v>89</v>
      </c>
      <c r="CLB22" s="68"/>
      <c r="CLC22" s="69"/>
      <c r="CLD22" s="273" t="s">
        <v>31</v>
      </c>
      <c r="CLE22" s="249"/>
      <c r="CLF22" s="67" t="s">
        <v>89</v>
      </c>
      <c r="CLG22" s="68"/>
      <c r="CLH22" s="69"/>
      <c r="CLI22" s="273" t="s">
        <v>61</v>
      </c>
      <c r="CLJ22" s="249"/>
      <c r="CLK22" s="67" t="s">
        <v>89</v>
      </c>
      <c r="CLL22" s="68"/>
      <c r="CLM22" s="69"/>
      <c r="CLN22" s="273" t="s">
        <v>116</v>
      </c>
      <c r="CLO22" s="249"/>
      <c r="CLP22" s="67" t="s">
        <v>89</v>
      </c>
      <c r="CLQ22" s="68"/>
      <c r="CLR22" s="69"/>
      <c r="CLS22" s="273" t="s">
        <v>61</v>
      </c>
      <c r="CLT22" s="249"/>
      <c r="CLU22" s="67" t="s">
        <v>89</v>
      </c>
      <c r="CLV22" s="68"/>
      <c r="CLW22" s="69"/>
      <c r="CLX22" s="273" t="s">
        <v>61</v>
      </c>
      <c r="CLY22" s="249"/>
      <c r="CLZ22" s="67" t="s">
        <v>89</v>
      </c>
      <c r="CMA22" s="68"/>
      <c r="CMB22" s="69"/>
      <c r="CMC22" s="273" t="s">
        <v>61</v>
      </c>
      <c r="CMD22" s="249"/>
      <c r="CME22" s="67" t="s">
        <v>89</v>
      </c>
      <c r="CMF22" s="68"/>
      <c r="CMG22" s="69"/>
      <c r="CMH22" s="273" t="s">
        <v>31</v>
      </c>
      <c r="CMI22" s="249"/>
      <c r="CMJ22" s="67" t="s">
        <v>89</v>
      </c>
      <c r="CMK22" s="68"/>
      <c r="CML22" s="69"/>
      <c r="CMM22" s="273" t="s">
        <v>31</v>
      </c>
      <c r="CMN22" s="249"/>
      <c r="CMO22" s="67" t="s">
        <v>89</v>
      </c>
      <c r="CMP22" s="68"/>
      <c r="CMQ22" s="69"/>
      <c r="CMR22" s="273" t="s">
        <v>31</v>
      </c>
      <c r="CMS22" s="249"/>
      <c r="CMT22" s="67" t="s">
        <v>89</v>
      </c>
      <c r="CMU22" s="68"/>
      <c r="CMV22" s="69"/>
      <c r="CMW22" s="273" t="s">
        <v>61</v>
      </c>
      <c r="CMX22" s="249"/>
      <c r="CMY22" s="67" t="s">
        <v>89</v>
      </c>
      <c r="CMZ22" s="68"/>
      <c r="CNA22" s="69"/>
      <c r="CNB22" s="273" t="s">
        <v>61</v>
      </c>
      <c r="CNC22" s="249"/>
      <c r="CND22" s="67" t="s">
        <v>89</v>
      </c>
      <c r="CNE22" s="68"/>
      <c r="CNF22" s="69"/>
      <c r="CNG22" s="273" t="s">
        <v>61</v>
      </c>
      <c r="CNH22" s="249"/>
      <c r="CNI22" s="67" t="s">
        <v>89</v>
      </c>
      <c r="CNJ22" s="68"/>
      <c r="CNK22" s="69"/>
      <c r="CNL22" s="273" t="s">
        <v>31</v>
      </c>
      <c r="CNM22" s="249"/>
      <c r="CNN22" s="67" t="s">
        <v>89</v>
      </c>
      <c r="CNO22" s="68"/>
      <c r="CNP22" s="69"/>
      <c r="CNQ22" s="273" t="s">
        <v>31</v>
      </c>
      <c r="CNR22" s="249"/>
      <c r="CNS22" s="67" t="s">
        <v>89</v>
      </c>
      <c r="CNT22" s="68"/>
      <c r="CNU22" s="69"/>
      <c r="CNV22" s="273" t="s">
        <v>31</v>
      </c>
      <c r="CNW22" s="249"/>
      <c r="CNX22" s="67" t="s">
        <v>89</v>
      </c>
      <c r="CNY22" s="68"/>
      <c r="CNZ22" s="69"/>
      <c r="COA22" s="273" t="s">
        <v>31</v>
      </c>
      <c r="COB22" s="249"/>
      <c r="COC22" s="67" t="s">
        <v>89</v>
      </c>
      <c r="COD22" s="68"/>
      <c r="COE22" s="69"/>
      <c r="COF22" s="273" t="s">
        <v>31</v>
      </c>
      <c r="COG22" s="249"/>
      <c r="COH22" s="67" t="s">
        <v>89</v>
      </c>
      <c r="COI22" s="68"/>
      <c r="COJ22" s="69"/>
      <c r="COK22" s="273" t="s">
        <v>41</v>
      </c>
      <c r="COL22" s="249"/>
      <c r="COM22" s="67" t="s">
        <v>89</v>
      </c>
      <c r="CON22" s="68"/>
      <c r="COO22" s="69"/>
      <c r="COP22" s="273" t="s">
        <v>31</v>
      </c>
      <c r="COQ22" s="249"/>
      <c r="COR22" s="67" t="s">
        <v>89</v>
      </c>
      <c r="COS22" s="68"/>
      <c r="COT22" s="69"/>
      <c r="COU22" s="273" t="s">
        <v>41</v>
      </c>
      <c r="COV22" s="249"/>
      <c r="COW22" s="67" t="s">
        <v>89</v>
      </c>
      <c r="COX22" s="68"/>
      <c r="COY22" s="69"/>
      <c r="COZ22" s="273" t="s">
        <v>31</v>
      </c>
      <c r="CPA22" s="249"/>
      <c r="CPB22" s="67" t="s">
        <v>89</v>
      </c>
      <c r="CPC22" s="68"/>
      <c r="CPD22" s="69"/>
      <c r="CPE22" s="273" t="s">
        <v>31</v>
      </c>
      <c r="CPF22" s="249"/>
      <c r="CPG22" s="67" t="s">
        <v>89</v>
      </c>
      <c r="CPH22" s="68"/>
      <c r="CPI22" s="69"/>
      <c r="CPJ22" s="273" t="s">
        <v>31</v>
      </c>
      <c r="CPK22" s="249"/>
      <c r="CPL22" s="67" t="s">
        <v>89</v>
      </c>
      <c r="CPM22" s="68"/>
      <c r="CPN22" s="69"/>
      <c r="CPO22" s="273" t="s">
        <v>31</v>
      </c>
      <c r="CPP22" s="249"/>
      <c r="CPQ22" s="67" t="s">
        <v>89</v>
      </c>
      <c r="CPR22" s="68"/>
      <c r="CPS22" s="69"/>
      <c r="CPT22" s="273" t="s">
        <v>31</v>
      </c>
      <c r="CPU22" s="249"/>
      <c r="CPV22" s="67" t="s">
        <v>89</v>
      </c>
      <c r="CPW22" s="68"/>
      <c r="CPX22" s="69"/>
      <c r="CPY22" s="273" t="s">
        <v>52</v>
      </c>
      <c r="CPZ22" s="249"/>
      <c r="CQA22" s="67" t="s">
        <v>89</v>
      </c>
      <c r="CQB22" s="68"/>
      <c r="CQC22" s="69"/>
      <c r="CQD22" s="273" t="s">
        <v>31</v>
      </c>
      <c r="CQE22" s="249"/>
      <c r="CQF22" s="67" t="s">
        <v>89</v>
      </c>
      <c r="CQG22" s="68"/>
      <c r="CQH22" s="69"/>
      <c r="CQI22" s="273" t="s">
        <v>31</v>
      </c>
      <c r="CQJ22" s="249"/>
      <c r="CQK22" s="67" t="s">
        <v>89</v>
      </c>
      <c r="CQL22" s="68"/>
      <c r="CQM22" s="69"/>
      <c r="CQN22" s="273" t="s">
        <v>31</v>
      </c>
      <c r="CQO22" s="249"/>
      <c r="CQP22" s="67" t="s">
        <v>89</v>
      </c>
      <c r="CQQ22" s="68"/>
      <c r="CQR22" s="69"/>
      <c r="CQS22" s="273" t="s">
        <v>31</v>
      </c>
      <c r="CQT22" s="249"/>
      <c r="CQU22" s="67" t="s">
        <v>89</v>
      </c>
      <c r="CQV22" s="68"/>
      <c r="CQW22" s="69"/>
      <c r="CQX22" s="273" t="s">
        <v>31</v>
      </c>
      <c r="CQY22" s="249"/>
      <c r="CQZ22" s="67" t="s">
        <v>89</v>
      </c>
      <c r="CRA22" s="68"/>
      <c r="CRB22" s="69"/>
      <c r="CRC22" s="273" t="s">
        <v>31</v>
      </c>
      <c r="CRD22" s="249"/>
      <c r="CRE22" s="10" t="s">
        <v>8</v>
      </c>
      <c r="CRF22" s="4"/>
      <c r="CRG22" s="5"/>
      <c r="CRH22" s="315" t="s">
        <v>31</v>
      </c>
      <c r="CRI22" s="316"/>
      <c r="CRJ22" s="10" t="s">
        <v>8</v>
      </c>
      <c r="CRK22" s="4"/>
      <c r="CRL22" s="5"/>
      <c r="CRM22" s="315" t="s">
        <v>31</v>
      </c>
      <c r="CRN22" s="316"/>
      <c r="CRO22" s="10" t="s">
        <v>8</v>
      </c>
      <c r="CRP22" s="4"/>
      <c r="CRQ22" s="5"/>
      <c r="CRR22" s="315" t="s">
        <v>31</v>
      </c>
      <c r="CRS22" s="316"/>
      <c r="CRT22" s="10" t="s">
        <v>8</v>
      </c>
      <c r="CRU22" s="4"/>
      <c r="CRV22" s="5"/>
      <c r="CRW22" s="315" t="s">
        <v>31</v>
      </c>
      <c r="CRX22" s="316"/>
      <c r="CRY22" s="10" t="s">
        <v>8</v>
      </c>
      <c r="CRZ22" s="4"/>
      <c r="CSA22" s="5"/>
      <c r="CSB22" s="17" t="s">
        <v>31</v>
      </c>
      <c r="CSC22" s="10" t="s">
        <v>8</v>
      </c>
      <c r="CSD22" s="4"/>
      <c r="CSE22" s="5"/>
      <c r="CSF22" s="17" t="s">
        <v>61</v>
      </c>
      <c r="CSG22" s="10" t="s">
        <v>8</v>
      </c>
      <c r="CSH22" s="4"/>
      <c r="CSI22" s="5"/>
      <c r="CSJ22" s="17" t="s">
        <v>31</v>
      </c>
      <c r="CSK22" s="10" t="s">
        <v>8</v>
      </c>
      <c r="CSL22" s="4"/>
      <c r="CSM22" s="5"/>
      <c r="CSN22" s="17" t="s">
        <v>31</v>
      </c>
      <c r="CSO22" s="10" t="s">
        <v>8</v>
      </c>
      <c r="CSP22" s="4"/>
      <c r="CSQ22" s="5"/>
      <c r="CSR22" s="17" t="s">
        <v>31</v>
      </c>
      <c r="CSS22" s="10" t="s">
        <v>8</v>
      </c>
      <c r="CST22" s="4"/>
      <c r="CSU22" s="5"/>
      <c r="CSV22" s="17" t="s">
        <v>61</v>
      </c>
      <c r="CSW22" s="10" t="s">
        <v>8</v>
      </c>
      <c r="CSX22" s="4"/>
      <c r="CSY22" s="5"/>
      <c r="CSZ22" s="17" t="s">
        <v>31</v>
      </c>
      <c r="CTA22" s="10" t="s">
        <v>8</v>
      </c>
      <c r="CTB22" s="4"/>
      <c r="CTC22" s="5"/>
      <c r="CTD22" s="17" t="s">
        <v>31</v>
      </c>
      <c r="CTE22" s="10" t="s">
        <v>8</v>
      </c>
      <c r="CTF22" s="4"/>
      <c r="CTG22" s="5"/>
      <c r="CTH22" s="17" t="s">
        <v>31</v>
      </c>
      <c r="CTI22" s="10" t="s">
        <v>8</v>
      </c>
      <c r="CTJ22" s="4"/>
      <c r="CTK22" s="5"/>
      <c r="CTL22" s="17" t="s">
        <v>61</v>
      </c>
      <c r="CTM22" s="10" t="s">
        <v>8</v>
      </c>
      <c r="CTN22" s="4"/>
      <c r="CTO22" s="5"/>
      <c r="CTP22" s="17" t="s">
        <v>31</v>
      </c>
      <c r="CTQ22" s="10" t="s">
        <v>8</v>
      </c>
      <c r="CTR22" s="4"/>
      <c r="CTS22" s="5"/>
      <c r="CTT22" s="17" t="s">
        <v>31</v>
      </c>
      <c r="CTU22" s="10" t="s">
        <v>8</v>
      </c>
      <c r="CTV22" s="4"/>
      <c r="CTW22" s="5"/>
      <c r="CTX22" s="17" t="s">
        <v>31</v>
      </c>
      <c r="CTY22" s="10" t="s">
        <v>8</v>
      </c>
      <c r="CTZ22" s="4"/>
      <c r="CUA22" s="5"/>
      <c r="CUB22" s="17" t="s">
        <v>31</v>
      </c>
      <c r="CUC22" s="10" t="s">
        <v>8</v>
      </c>
      <c r="CUD22" s="4"/>
      <c r="CUE22" s="5"/>
      <c r="CUF22" s="17" t="s">
        <v>61</v>
      </c>
      <c r="CUG22" s="10" t="s">
        <v>8</v>
      </c>
      <c r="CUH22" s="4"/>
      <c r="CUI22" s="5"/>
      <c r="CUJ22" s="17" t="s">
        <v>31</v>
      </c>
      <c r="CUK22" s="10" t="s">
        <v>8</v>
      </c>
      <c r="CUL22" s="4"/>
      <c r="CUM22" s="5"/>
      <c r="CUN22" s="17" t="s">
        <v>31</v>
      </c>
      <c r="CUO22" s="10" t="s">
        <v>8</v>
      </c>
      <c r="CUP22" s="4"/>
      <c r="CUQ22" s="5"/>
      <c r="CUR22" s="17" t="s">
        <v>64</v>
      </c>
      <c r="CUS22" s="10" t="s">
        <v>8</v>
      </c>
      <c r="CUT22" s="4"/>
      <c r="CUU22" s="5"/>
      <c r="CUV22" s="17" t="s">
        <v>61</v>
      </c>
      <c r="CUW22" s="10" t="s">
        <v>8</v>
      </c>
      <c r="CUX22" s="4"/>
      <c r="CUY22" s="5"/>
      <c r="CUZ22" s="17" t="s">
        <v>31</v>
      </c>
      <c r="CVA22" s="10" t="s">
        <v>8</v>
      </c>
      <c r="CVB22" s="4"/>
      <c r="CVC22" s="5"/>
      <c r="CVD22" s="17" t="s">
        <v>31</v>
      </c>
      <c r="CVE22" s="10" t="s">
        <v>8</v>
      </c>
      <c r="CVF22" s="4"/>
      <c r="CVG22" s="5"/>
      <c r="CVH22" s="17"/>
      <c r="CVI22" s="10" t="s">
        <v>8</v>
      </c>
      <c r="CVJ22" s="4"/>
      <c r="CVK22" s="5"/>
      <c r="CVL22" s="17" t="s">
        <v>31</v>
      </c>
      <c r="CVM22" s="10" t="s">
        <v>8</v>
      </c>
      <c r="CVN22" s="4"/>
      <c r="CVO22" s="5"/>
      <c r="CVP22" s="17" t="s">
        <v>31</v>
      </c>
      <c r="CVQ22" s="10" t="s">
        <v>8</v>
      </c>
      <c r="CVR22" s="4"/>
      <c r="CVS22" s="5"/>
      <c r="CVT22" s="17" t="s">
        <v>31</v>
      </c>
      <c r="CVU22" s="10" t="s">
        <v>8</v>
      </c>
      <c r="CVV22" s="4"/>
      <c r="CVW22" s="5"/>
      <c r="CVX22" s="17"/>
      <c r="CVY22" s="10" t="s">
        <v>8</v>
      </c>
      <c r="CVZ22" s="4"/>
      <c r="CWA22" s="5"/>
      <c r="CWB22" s="17" t="s">
        <v>61</v>
      </c>
      <c r="CWC22" s="10" t="s">
        <v>8</v>
      </c>
      <c r="CWD22" s="4"/>
      <c r="CWE22" s="5"/>
      <c r="CWF22" s="17" t="s">
        <v>31</v>
      </c>
      <c r="CWG22" s="10" t="s">
        <v>8</v>
      </c>
      <c r="CWH22" s="4"/>
      <c r="CWI22" s="5"/>
      <c r="CWJ22" s="17" t="s">
        <v>31</v>
      </c>
      <c r="CWK22" s="10" t="s">
        <v>8</v>
      </c>
      <c r="CWL22" s="4"/>
      <c r="CWM22" s="5"/>
      <c r="CWN22" s="17" t="s">
        <v>31</v>
      </c>
      <c r="CWO22" s="10" t="s">
        <v>8</v>
      </c>
      <c r="CWP22" s="4"/>
      <c r="CWQ22" s="5"/>
      <c r="CWR22" s="17" t="s">
        <v>31</v>
      </c>
      <c r="CWS22" s="10" t="s">
        <v>8</v>
      </c>
      <c r="CWT22" s="4"/>
      <c r="CWU22" s="5"/>
      <c r="CWV22" s="17"/>
      <c r="CWW22" s="10" t="s">
        <v>8</v>
      </c>
      <c r="CWX22" s="4"/>
      <c r="CWY22" s="5"/>
      <c r="CWZ22" s="17" t="s">
        <v>31</v>
      </c>
      <c r="CXA22" s="43" t="s">
        <v>8</v>
      </c>
      <c r="CXB22" s="44"/>
      <c r="CXC22" s="45"/>
      <c r="CXD22" s="46" t="s">
        <v>31</v>
      </c>
      <c r="CXE22" s="43" t="s">
        <v>8</v>
      </c>
      <c r="CXF22" s="44"/>
      <c r="CXG22" s="45"/>
      <c r="CXH22" s="46" t="s">
        <v>31</v>
      </c>
      <c r="CXI22" s="43" t="s">
        <v>8</v>
      </c>
      <c r="CXJ22" s="44"/>
      <c r="CXK22" s="45"/>
      <c r="CXL22" s="46" t="s">
        <v>31</v>
      </c>
      <c r="CXM22" s="43" t="s">
        <v>8</v>
      </c>
      <c r="CXN22" s="44"/>
      <c r="CXO22" s="45"/>
      <c r="CXP22" s="46" t="s">
        <v>31</v>
      </c>
      <c r="CXQ22" s="43" t="s">
        <v>8</v>
      </c>
      <c r="CXR22" s="44"/>
      <c r="CXS22" s="45"/>
      <c r="CXT22" s="46" t="s">
        <v>31</v>
      </c>
      <c r="CXU22" s="26" t="s">
        <v>8</v>
      </c>
      <c r="CXX22" s="26" t="s">
        <v>31</v>
      </c>
      <c r="CXY22" s="26" t="s">
        <v>8</v>
      </c>
      <c r="CYB22" s="26" t="s">
        <v>31</v>
      </c>
      <c r="CYC22" s="26" t="s">
        <v>8</v>
      </c>
      <c r="CYF22" s="26" t="s">
        <v>31</v>
      </c>
      <c r="CYG22" s="26" t="s">
        <v>10</v>
      </c>
      <c r="CYJ22" s="26">
        <v>2</v>
      </c>
      <c r="CYK22" s="26" t="s">
        <v>10</v>
      </c>
      <c r="CYN22" s="26">
        <v>0</v>
      </c>
      <c r="CYO22" s="26" t="s">
        <v>10</v>
      </c>
      <c r="CYR22" s="26" t="s">
        <v>51</v>
      </c>
      <c r="CYS22" s="26" t="s">
        <v>10</v>
      </c>
      <c r="CYV22" s="26">
        <v>2</v>
      </c>
      <c r="CYW22" s="26" t="s">
        <v>10</v>
      </c>
      <c r="CYZ22" s="26">
        <v>0</v>
      </c>
      <c r="CZA22" s="26" t="s">
        <v>10</v>
      </c>
      <c r="CZD22" s="26">
        <v>1</v>
      </c>
      <c r="CZE22" s="26" t="s">
        <v>10</v>
      </c>
      <c r="CZH22" s="26">
        <v>0</v>
      </c>
      <c r="CZI22" s="26" t="s">
        <v>10</v>
      </c>
      <c r="CZL22" s="26">
        <v>0</v>
      </c>
      <c r="CZM22" s="26" t="s">
        <v>10</v>
      </c>
      <c r="CZP22" s="26">
        <v>0</v>
      </c>
      <c r="CZQ22" s="26" t="s">
        <v>10</v>
      </c>
      <c r="CZT22" s="26">
        <v>0</v>
      </c>
      <c r="CZU22" s="26" t="s">
        <v>10</v>
      </c>
      <c r="CZX22" s="26">
        <v>0</v>
      </c>
      <c r="CZY22" s="26" t="s">
        <v>10</v>
      </c>
      <c r="DAB22" s="26" t="s">
        <v>40</v>
      </c>
      <c r="DAC22" s="26" t="s">
        <v>10</v>
      </c>
      <c r="DAF22" s="26" t="s">
        <v>40</v>
      </c>
      <c r="DAG22" s="26" t="s">
        <v>10</v>
      </c>
      <c r="DAJ22" s="26" t="s">
        <v>40</v>
      </c>
      <c r="DAK22" s="26" t="s">
        <v>10</v>
      </c>
      <c r="DAN22" s="26" t="s">
        <v>40</v>
      </c>
      <c r="DAO22" s="26" t="s">
        <v>10</v>
      </c>
      <c r="DAR22" s="26" t="s">
        <v>40</v>
      </c>
      <c r="DAS22" s="26" t="s">
        <v>10</v>
      </c>
      <c r="DAV22" s="26" t="s">
        <v>40</v>
      </c>
      <c r="DAW22" s="26" t="s">
        <v>10</v>
      </c>
      <c r="DAZ22" s="26" t="s">
        <v>40</v>
      </c>
      <c r="DBA22" s="26" t="s">
        <v>10</v>
      </c>
      <c r="DBD22" s="26" t="s">
        <v>40</v>
      </c>
      <c r="DBE22" s="26" t="s">
        <v>10</v>
      </c>
      <c r="DBH22" s="26" t="s">
        <v>40</v>
      </c>
      <c r="DBI22" s="26" t="s">
        <v>10</v>
      </c>
      <c r="DBL22" s="26" t="s">
        <v>40</v>
      </c>
      <c r="DBM22" s="26" t="s">
        <v>10</v>
      </c>
      <c r="DBP22" s="26" t="s">
        <v>40</v>
      </c>
      <c r="DBQ22" s="26" t="s">
        <v>10</v>
      </c>
      <c r="DBT22" s="26" t="s">
        <v>40</v>
      </c>
      <c r="DBU22" s="26" t="s">
        <v>10</v>
      </c>
      <c r="DBX22" s="26" t="s">
        <v>40</v>
      </c>
      <c r="DBY22" s="26" t="s">
        <v>10</v>
      </c>
      <c r="DCB22" s="26" t="s">
        <v>40</v>
      </c>
      <c r="DCC22" s="26" t="s">
        <v>10</v>
      </c>
      <c r="DCF22" s="26" t="s">
        <v>40</v>
      </c>
      <c r="DCG22" s="26" t="s">
        <v>10</v>
      </c>
      <c r="DCJ22" s="26" t="s">
        <v>40</v>
      </c>
      <c r="DCK22" s="26" t="s">
        <v>10</v>
      </c>
      <c r="DCN22" s="26" t="s">
        <v>40</v>
      </c>
      <c r="DCO22" s="26" t="s">
        <v>10</v>
      </c>
      <c r="DCR22" s="26">
        <v>0</v>
      </c>
      <c r="DCS22" s="26" t="s">
        <v>10</v>
      </c>
      <c r="DCV22" s="26">
        <v>0</v>
      </c>
      <c r="DCW22" s="26" t="s">
        <v>10</v>
      </c>
      <c r="DCZ22" s="26" t="s">
        <v>40</v>
      </c>
      <c r="DDA22" s="26" t="s">
        <v>10</v>
      </c>
      <c r="DDD22" s="26" t="s">
        <v>40</v>
      </c>
      <c r="DDE22" s="26" t="s">
        <v>11</v>
      </c>
      <c r="DDH22" s="26" t="s">
        <v>31</v>
      </c>
      <c r="DDI22" s="26" t="s">
        <v>11</v>
      </c>
      <c r="DDL22" s="26" t="s">
        <v>31</v>
      </c>
      <c r="DDM22" s="26" t="s">
        <v>11</v>
      </c>
      <c r="DDP22" s="26" t="s">
        <v>31</v>
      </c>
      <c r="DDQ22" s="26" t="s">
        <v>12</v>
      </c>
      <c r="DDT22" s="26" t="s">
        <v>31</v>
      </c>
    </row>
    <row r="23" spans="1:2828" ht="15.6" x14ac:dyDescent="0.3">
      <c r="A23" s="67" t="s">
        <v>88</v>
      </c>
      <c r="B23" s="68"/>
      <c r="C23" s="69"/>
      <c r="D23" s="250" t="s">
        <v>31</v>
      </c>
      <c r="E23" s="251"/>
      <c r="F23" s="67" t="s">
        <v>88</v>
      </c>
      <c r="G23" s="68"/>
      <c r="H23" s="69"/>
      <c r="I23" s="250" t="s">
        <v>31</v>
      </c>
      <c r="J23" s="251"/>
      <c r="K23" s="67" t="s">
        <v>88</v>
      </c>
      <c r="L23" s="68"/>
      <c r="M23" s="69"/>
      <c r="N23" s="250" t="s">
        <v>31</v>
      </c>
      <c r="O23" s="251"/>
      <c r="P23" s="67" t="s">
        <v>88</v>
      </c>
      <c r="Q23" s="68"/>
      <c r="R23" s="69"/>
      <c r="S23" s="250" t="s">
        <v>31</v>
      </c>
      <c r="T23" s="251"/>
      <c r="U23" s="67" t="s">
        <v>88</v>
      </c>
      <c r="V23" s="68"/>
      <c r="W23" s="69"/>
      <c r="X23" s="250" t="s">
        <v>52</v>
      </c>
      <c r="Y23" s="251"/>
      <c r="Z23" s="67" t="s">
        <v>88</v>
      </c>
      <c r="AA23" s="68"/>
      <c r="AB23" s="69"/>
      <c r="AC23" s="250" t="s">
        <v>31</v>
      </c>
      <c r="AD23" s="251"/>
      <c r="AE23" s="67" t="s">
        <v>88</v>
      </c>
      <c r="AF23" s="68"/>
      <c r="AG23" s="69"/>
      <c r="AH23" s="250" t="s">
        <v>31</v>
      </c>
      <c r="AI23" s="251"/>
      <c r="AJ23" s="67" t="s">
        <v>88</v>
      </c>
      <c r="AK23" s="68"/>
      <c r="AL23" s="69"/>
      <c r="AM23" s="250" t="s">
        <v>52</v>
      </c>
      <c r="AN23" s="251"/>
      <c r="AO23" s="67" t="s">
        <v>88</v>
      </c>
      <c r="AP23" s="68"/>
      <c r="AQ23" s="69"/>
      <c r="AR23" s="250" t="s">
        <v>31</v>
      </c>
      <c r="AS23" s="251"/>
      <c r="AT23" s="67" t="s">
        <v>88</v>
      </c>
      <c r="AU23" s="68"/>
      <c r="AV23" s="69"/>
      <c r="AW23" s="250" t="s">
        <v>31</v>
      </c>
      <c r="AX23" s="251"/>
      <c r="AY23" s="67" t="s">
        <v>88</v>
      </c>
      <c r="AZ23" s="68"/>
      <c r="BA23" s="69"/>
      <c r="BB23" s="250" t="s">
        <v>31</v>
      </c>
      <c r="BC23" s="251"/>
      <c r="BD23" s="67" t="s">
        <v>88</v>
      </c>
      <c r="BE23" s="68"/>
      <c r="BF23" s="69"/>
      <c r="BG23" s="250" t="s">
        <v>31</v>
      </c>
      <c r="BH23" s="251"/>
      <c r="BI23" s="67" t="s">
        <v>88</v>
      </c>
      <c r="BJ23" s="68"/>
      <c r="BK23" s="69"/>
      <c r="BL23" s="250" t="s">
        <v>52</v>
      </c>
      <c r="BM23" s="251"/>
      <c r="BN23" s="67" t="s">
        <v>88</v>
      </c>
      <c r="BO23" s="68"/>
      <c r="BP23" s="69"/>
      <c r="BQ23" s="250" t="s">
        <v>52</v>
      </c>
      <c r="BR23" s="251"/>
      <c r="BS23" s="67" t="s">
        <v>88</v>
      </c>
      <c r="BT23" s="68"/>
      <c r="BU23" s="69"/>
      <c r="BV23" s="250" t="s">
        <v>31</v>
      </c>
      <c r="BW23" s="251"/>
      <c r="BX23" s="67" t="s">
        <v>88</v>
      </c>
      <c r="BY23" s="68"/>
      <c r="BZ23" s="69"/>
      <c r="CA23" s="250" t="s">
        <v>31</v>
      </c>
      <c r="CB23" s="251"/>
      <c r="CC23" s="67" t="s">
        <v>88</v>
      </c>
      <c r="CD23" s="68"/>
      <c r="CE23" s="69"/>
      <c r="CF23" s="250" t="s">
        <v>31</v>
      </c>
      <c r="CG23" s="251"/>
      <c r="CH23" s="67" t="s">
        <v>88</v>
      </c>
      <c r="CI23" s="68"/>
      <c r="CJ23" s="69"/>
      <c r="CK23" s="250" t="s">
        <v>31</v>
      </c>
      <c r="CL23" s="251"/>
      <c r="CM23" s="67" t="s">
        <v>88</v>
      </c>
      <c r="CN23" s="68"/>
      <c r="CO23" s="69"/>
      <c r="CP23" s="250" t="s">
        <v>31</v>
      </c>
      <c r="CQ23" s="251"/>
      <c r="CR23" s="67" t="s">
        <v>88</v>
      </c>
      <c r="CS23" s="68"/>
      <c r="CT23" s="69"/>
      <c r="CU23" s="250" t="s">
        <v>31</v>
      </c>
      <c r="CV23" s="251"/>
      <c r="CW23" s="67" t="s">
        <v>88</v>
      </c>
      <c r="CX23" s="68"/>
      <c r="CY23" s="69"/>
      <c r="CZ23" s="250" t="s">
        <v>52</v>
      </c>
      <c r="DA23" s="251"/>
      <c r="DB23" s="67" t="s">
        <v>88</v>
      </c>
      <c r="DC23" s="68"/>
      <c r="DD23" s="69"/>
      <c r="DE23" s="250" t="s">
        <v>31</v>
      </c>
      <c r="DF23" s="251"/>
      <c r="DG23" s="67" t="s">
        <v>88</v>
      </c>
      <c r="DH23" s="68"/>
      <c r="DI23" s="69"/>
      <c r="DJ23" s="250" t="s">
        <v>31</v>
      </c>
      <c r="DK23" s="251"/>
      <c r="DL23" s="67" t="s">
        <v>88</v>
      </c>
      <c r="DM23" s="68"/>
      <c r="DN23" s="69"/>
      <c r="DO23" s="250" t="s">
        <v>52</v>
      </c>
      <c r="DP23" s="251"/>
      <c r="DQ23" s="67" t="s">
        <v>88</v>
      </c>
      <c r="DR23" s="68"/>
      <c r="DS23" s="69"/>
      <c r="DT23" s="250" t="s">
        <v>31</v>
      </c>
      <c r="DU23" s="251"/>
      <c r="DV23" s="67" t="s">
        <v>88</v>
      </c>
      <c r="DW23" s="68"/>
      <c r="DX23" s="69"/>
      <c r="DY23" s="250" t="s">
        <v>31</v>
      </c>
      <c r="DZ23" s="251"/>
      <c r="EA23" s="67" t="s">
        <v>88</v>
      </c>
      <c r="EB23" s="68"/>
      <c r="EC23" s="69"/>
      <c r="ED23" s="250" t="s">
        <v>31</v>
      </c>
      <c r="EE23" s="251"/>
      <c r="EF23" s="67" t="s">
        <v>88</v>
      </c>
      <c r="EG23" s="68"/>
      <c r="EH23" s="69"/>
      <c r="EI23" s="250" t="s">
        <v>52</v>
      </c>
      <c r="EJ23" s="251"/>
      <c r="EK23" s="67" t="s">
        <v>88</v>
      </c>
      <c r="EL23" s="68"/>
      <c r="EM23" s="69"/>
      <c r="EN23" s="250" t="s">
        <v>31</v>
      </c>
      <c r="EO23" s="251"/>
      <c r="EP23" s="67" t="s">
        <v>88</v>
      </c>
      <c r="EQ23" s="68"/>
      <c r="ER23" s="69"/>
      <c r="ES23" s="250" t="s">
        <v>31</v>
      </c>
      <c r="ET23" s="251"/>
      <c r="EU23" s="67" t="s">
        <v>88</v>
      </c>
      <c r="EV23" s="68"/>
      <c r="EW23" s="69"/>
      <c r="EX23" s="250" t="s">
        <v>31</v>
      </c>
      <c r="EY23" s="251"/>
      <c r="EZ23" s="67" t="s">
        <v>88</v>
      </c>
      <c r="FA23" s="68"/>
      <c r="FB23" s="69"/>
      <c r="FC23" s="250" t="s">
        <v>31</v>
      </c>
      <c r="FD23" s="251"/>
      <c r="FE23" s="67" t="s">
        <v>88</v>
      </c>
      <c r="FF23" s="68"/>
      <c r="FG23" s="69"/>
      <c r="FH23" s="250" t="s">
        <v>31</v>
      </c>
      <c r="FI23" s="251"/>
      <c r="FJ23" s="67" t="s">
        <v>88</v>
      </c>
      <c r="FK23" s="68"/>
      <c r="FL23" s="69"/>
      <c r="FM23" s="250" t="s">
        <v>31</v>
      </c>
      <c r="FN23" s="251"/>
      <c r="FO23" s="67" t="s">
        <v>88</v>
      </c>
      <c r="FP23" s="68"/>
      <c r="FQ23" s="69"/>
      <c r="FR23" s="250" t="s">
        <v>52</v>
      </c>
      <c r="FS23" s="251"/>
      <c r="FT23" s="67" t="s">
        <v>88</v>
      </c>
      <c r="FU23" s="68"/>
      <c r="FV23" s="69"/>
      <c r="FW23" s="250" t="s">
        <v>31</v>
      </c>
      <c r="FX23" s="251"/>
      <c r="FY23" s="67" t="s">
        <v>88</v>
      </c>
      <c r="FZ23" s="68"/>
      <c r="GA23" s="69"/>
      <c r="GB23" s="250" t="s">
        <v>31</v>
      </c>
      <c r="GC23" s="251"/>
      <c r="GD23" s="67" t="s">
        <v>88</v>
      </c>
      <c r="GE23" s="68"/>
      <c r="GF23" s="69"/>
      <c r="GG23" s="250" t="s">
        <v>52</v>
      </c>
      <c r="GH23" s="251"/>
      <c r="GI23" s="67" t="s">
        <v>88</v>
      </c>
      <c r="GJ23" s="68"/>
      <c r="GK23" s="69"/>
      <c r="GL23" s="250" t="s">
        <v>31</v>
      </c>
      <c r="GM23" s="251"/>
      <c r="GN23" s="67" t="s">
        <v>88</v>
      </c>
      <c r="GO23" s="68"/>
      <c r="GP23" s="69"/>
      <c r="GQ23" s="250" t="s">
        <v>31</v>
      </c>
      <c r="GR23" s="251"/>
      <c r="GS23" s="67" t="s">
        <v>88</v>
      </c>
      <c r="GT23" s="68"/>
      <c r="GU23" s="69"/>
      <c r="GV23" s="250" t="s">
        <v>31</v>
      </c>
      <c r="GW23" s="251"/>
      <c r="GX23" s="67" t="s">
        <v>88</v>
      </c>
      <c r="GY23" s="68"/>
      <c r="GZ23" s="69"/>
      <c r="HA23" s="250" t="s">
        <v>52</v>
      </c>
      <c r="HB23" s="251"/>
      <c r="HC23" s="67" t="s">
        <v>88</v>
      </c>
      <c r="HD23" s="68"/>
      <c r="HE23" s="69"/>
      <c r="HF23" s="250" t="s">
        <v>52</v>
      </c>
      <c r="HG23" s="251"/>
      <c r="HH23" s="67" t="s">
        <v>88</v>
      </c>
      <c r="HI23" s="68"/>
      <c r="HJ23" s="69"/>
      <c r="HK23" s="250" t="s">
        <v>52</v>
      </c>
      <c r="HL23" s="251"/>
      <c r="HM23" s="67" t="s">
        <v>88</v>
      </c>
      <c r="HN23" s="68"/>
      <c r="HO23" s="69"/>
      <c r="HP23" s="250" t="s">
        <v>31</v>
      </c>
      <c r="HQ23" s="251"/>
      <c r="HR23" s="67" t="s">
        <v>88</v>
      </c>
      <c r="HS23" s="68"/>
      <c r="HT23" s="69"/>
      <c r="HU23" s="250" t="s">
        <v>31</v>
      </c>
      <c r="HV23" s="251"/>
      <c r="HW23" s="67" t="s">
        <v>88</v>
      </c>
      <c r="HX23" s="68"/>
      <c r="HY23" s="69"/>
      <c r="HZ23" s="250" t="s">
        <v>31</v>
      </c>
      <c r="IA23" s="251"/>
      <c r="IB23" s="67" t="s">
        <v>88</v>
      </c>
      <c r="IC23" s="68"/>
      <c r="ID23" s="69"/>
      <c r="IE23" s="250" t="s">
        <v>31</v>
      </c>
      <c r="IF23" s="251"/>
      <c r="IG23" s="67" t="s">
        <v>88</v>
      </c>
      <c r="IH23" s="68"/>
      <c r="II23" s="69"/>
      <c r="IJ23" s="250" t="s">
        <v>31</v>
      </c>
      <c r="IK23" s="251"/>
      <c r="IL23" s="67" t="s">
        <v>88</v>
      </c>
      <c r="IM23" s="68"/>
      <c r="IN23" s="69"/>
      <c r="IO23" s="250" t="s">
        <v>31</v>
      </c>
      <c r="IP23" s="251"/>
      <c r="IQ23" s="67" t="s">
        <v>88</v>
      </c>
      <c r="IR23" s="68"/>
      <c r="IS23" s="69"/>
      <c r="IT23" s="250" t="s">
        <v>31</v>
      </c>
      <c r="IU23" s="251"/>
      <c r="IV23" s="67" t="s">
        <v>88</v>
      </c>
      <c r="IW23" s="68"/>
      <c r="IX23" s="69"/>
      <c r="IY23" s="250" t="s">
        <v>52</v>
      </c>
      <c r="IZ23" s="251"/>
      <c r="JA23" s="67" t="s">
        <v>88</v>
      </c>
      <c r="JB23" s="68"/>
      <c r="JC23" s="69"/>
      <c r="JD23" s="250" t="s">
        <v>52</v>
      </c>
      <c r="JE23" s="251"/>
      <c r="JF23" s="67" t="s">
        <v>88</v>
      </c>
      <c r="JG23" s="68"/>
      <c r="JH23" s="69"/>
      <c r="JI23" s="250" t="s">
        <v>31</v>
      </c>
      <c r="JJ23" s="251"/>
      <c r="JK23" s="67" t="s">
        <v>88</v>
      </c>
      <c r="JL23" s="68"/>
      <c r="JM23" s="69"/>
      <c r="JN23" s="250" t="s">
        <v>52</v>
      </c>
      <c r="JO23" s="251"/>
      <c r="JP23" s="67" t="s">
        <v>88</v>
      </c>
      <c r="JQ23" s="68"/>
      <c r="JR23" s="69"/>
      <c r="JS23" s="250" t="s">
        <v>31</v>
      </c>
      <c r="JT23" s="251"/>
      <c r="JU23" s="67" t="s">
        <v>88</v>
      </c>
      <c r="JV23" s="68"/>
      <c r="JW23" s="69"/>
      <c r="JX23" s="250" t="s">
        <v>31</v>
      </c>
      <c r="JY23" s="251"/>
      <c r="JZ23" s="67" t="s">
        <v>88</v>
      </c>
      <c r="KA23" s="68"/>
      <c r="KB23" s="69"/>
      <c r="KC23" s="250" t="s">
        <v>31</v>
      </c>
      <c r="KD23" s="251"/>
      <c r="KE23" s="67" t="s">
        <v>88</v>
      </c>
      <c r="KF23" s="68"/>
      <c r="KG23" s="69"/>
      <c r="KH23" s="250" t="s">
        <v>31</v>
      </c>
      <c r="KI23" s="251"/>
      <c r="KJ23" s="67" t="s">
        <v>88</v>
      </c>
      <c r="KK23" s="68"/>
      <c r="KL23" s="69"/>
      <c r="KM23" s="250" t="s">
        <v>31</v>
      </c>
      <c r="KN23" s="251"/>
      <c r="KO23" s="67" t="s">
        <v>88</v>
      </c>
      <c r="KP23" s="68"/>
      <c r="KQ23" s="69"/>
      <c r="KR23" s="250" t="s">
        <v>31</v>
      </c>
      <c r="KS23" s="251"/>
      <c r="KT23" s="67" t="s">
        <v>88</v>
      </c>
      <c r="KU23" s="68"/>
      <c r="KV23" s="69"/>
      <c r="KW23" s="250" t="s">
        <v>31</v>
      </c>
      <c r="KX23" s="251"/>
      <c r="KY23" s="67" t="s">
        <v>88</v>
      </c>
      <c r="KZ23" s="68"/>
      <c r="LA23" s="69"/>
      <c r="LB23" s="250" t="s">
        <v>31</v>
      </c>
      <c r="LC23" s="251"/>
      <c r="LD23" s="67" t="s">
        <v>88</v>
      </c>
      <c r="LE23" s="68"/>
      <c r="LF23" s="69"/>
      <c r="LG23" s="250" t="s">
        <v>52</v>
      </c>
      <c r="LH23" s="251"/>
      <c r="LI23" s="67" t="s">
        <v>88</v>
      </c>
      <c r="LJ23" s="68"/>
      <c r="LK23" s="69"/>
      <c r="LL23" s="250" t="s">
        <v>31</v>
      </c>
      <c r="LM23" s="251"/>
      <c r="LN23" s="67" t="s">
        <v>88</v>
      </c>
      <c r="LO23" s="68"/>
      <c r="LP23" s="69"/>
      <c r="LQ23" s="250" t="s">
        <v>31</v>
      </c>
      <c r="LR23" s="251"/>
      <c r="LS23" s="67" t="s">
        <v>88</v>
      </c>
      <c r="LT23" s="68"/>
      <c r="LU23" s="69"/>
      <c r="LV23" s="250" t="s">
        <v>31</v>
      </c>
      <c r="LW23" s="251"/>
      <c r="LX23" s="67" t="s">
        <v>88</v>
      </c>
      <c r="LY23" s="68"/>
      <c r="LZ23" s="69"/>
      <c r="MA23" s="250" t="s">
        <v>31</v>
      </c>
      <c r="MB23" s="251"/>
      <c r="MC23" s="67" t="s">
        <v>88</v>
      </c>
      <c r="MD23" s="68"/>
      <c r="ME23" s="69"/>
      <c r="MF23" s="250" t="s">
        <v>31</v>
      </c>
      <c r="MG23" s="251"/>
      <c r="MH23" s="67" t="s">
        <v>88</v>
      </c>
      <c r="MI23" s="68"/>
      <c r="MJ23" s="69"/>
      <c r="MK23" s="250" t="s">
        <v>52</v>
      </c>
      <c r="ML23" s="251"/>
      <c r="MM23" s="67" t="s">
        <v>88</v>
      </c>
      <c r="MN23" s="68"/>
      <c r="MO23" s="69"/>
      <c r="MP23" s="250" t="s">
        <v>52</v>
      </c>
      <c r="MQ23" s="251"/>
      <c r="MR23" s="67" t="s">
        <v>88</v>
      </c>
      <c r="MS23" s="68"/>
      <c r="MT23" s="69"/>
      <c r="MU23" s="250" t="s">
        <v>52</v>
      </c>
      <c r="MV23" s="251"/>
      <c r="MW23" s="67" t="s">
        <v>88</v>
      </c>
      <c r="MX23" s="68"/>
      <c r="MY23" s="69"/>
      <c r="MZ23" s="250" t="s">
        <v>52</v>
      </c>
      <c r="NA23" s="251"/>
      <c r="NB23" s="67" t="s">
        <v>88</v>
      </c>
      <c r="NC23" s="68"/>
      <c r="ND23" s="69"/>
      <c r="NE23" s="250" t="s">
        <v>31</v>
      </c>
      <c r="NF23" s="251"/>
      <c r="NG23" s="67" t="s">
        <v>88</v>
      </c>
      <c r="NH23" s="68"/>
      <c r="NI23" s="69"/>
      <c r="NJ23" s="250" t="s">
        <v>31</v>
      </c>
      <c r="NK23" s="251"/>
      <c r="NL23" s="67" t="s">
        <v>88</v>
      </c>
      <c r="NM23" s="68"/>
      <c r="NN23" s="69"/>
      <c r="NO23" s="250" t="s">
        <v>31</v>
      </c>
      <c r="NP23" s="251"/>
      <c r="NQ23" s="67" t="s">
        <v>88</v>
      </c>
      <c r="NR23" s="68"/>
      <c r="NS23" s="69"/>
      <c r="NT23" s="250" t="s">
        <v>31</v>
      </c>
      <c r="NU23" s="251"/>
      <c r="NV23" s="67" t="s">
        <v>88</v>
      </c>
      <c r="NW23" s="68"/>
      <c r="NX23" s="69"/>
      <c r="NY23" s="250" t="s">
        <v>52</v>
      </c>
      <c r="NZ23" s="251"/>
      <c r="OA23" s="67" t="s">
        <v>88</v>
      </c>
      <c r="OB23" s="68"/>
      <c r="OC23" s="69"/>
      <c r="OD23" s="250" t="s">
        <v>52</v>
      </c>
      <c r="OE23" s="251"/>
      <c r="OF23" s="67" t="s">
        <v>88</v>
      </c>
      <c r="OG23" s="68"/>
      <c r="OH23" s="69"/>
      <c r="OI23" s="250" t="s">
        <v>52</v>
      </c>
      <c r="OJ23" s="251"/>
      <c r="OK23" s="67" t="s">
        <v>88</v>
      </c>
      <c r="OL23" s="68"/>
      <c r="OM23" s="69"/>
      <c r="ON23" s="250" t="s">
        <v>52</v>
      </c>
      <c r="OO23" s="251"/>
      <c r="OP23" s="67" t="s">
        <v>88</v>
      </c>
      <c r="OQ23" s="68"/>
      <c r="OR23" s="69"/>
      <c r="OS23" s="250" t="s">
        <v>31</v>
      </c>
      <c r="OT23" s="251"/>
      <c r="OU23" s="67" t="s">
        <v>88</v>
      </c>
      <c r="OV23" s="68"/>
      <c r="OW23" s="69"/>
      <c r="OX23" s="250" t="s">
        <v>31</v>
      </c>
      <c r="OY23" s="251"/>
      <c r="OZ23" s="67" t="s">
        <v>88</v>
      </c>
      <c r="PA23" s="68"/>
      <c r="PB23" s="69"/>
      <c r="PC23" s="250" t="s">
        <v>31</v>
      </c>
      <c r="PD23" s="251"/>
      <c r="PE23" s="67" t="s">
        <v>88</v>
      </c>
      <c r="PF23" s="68"/>
      <c r="PG23" s="69"/>
      <c r="PH23" s="250" t="s">
        <v>31</v>
      </c>
      <c r="PI23" s="251"/>
      <c r="PJ23" s="67" t="s">
        <v>88</v>
      </c>
      <c r="PK23" s="68"/>
      <c r="PL23" s="69"/>
      <c r="PM23" s="250" t="s">
        <v>31</v>
      </c>
      <c r="PN23" s="251"/>
      <c r="PO23" s="67" t="s">
        <v>88</v>
      </c>
      <c r="PP23" s="68"/>
      <c r="PQ23" s="69"/>
      <c r="PR23" s="250" t="s">
        <v>31</v>
      </c>
      <c r="PS23" s="251"/>
      <c r="PT23" s="67" t="s">
        <v>88</v>
      </c>
      <c r="PU23" s="68"/>
      <c r="PV23" s="69"/>
      <c r="PW23" s="250" t="s">
        <v>31</v>
      </c>
      <c r="PX23" s="251"/>
      <c r="PY23" s="67" t="s">
        <v>88</v>
      </c>
      <c r="PZ23" s="68"/>
      <c r="QA23" s="69"/>
      <c r="QB23" s="250" t="s">
        <v>31</v>
      </c>
      <c r="QC23" s="251"/>
      <c r="QD23" s="67" t="s">
        <v>88</v>
      </c>
      <c r="QE23" s="68"/>
      <c r="QF23" s="69"/>
      <c r="QG23" s="250" t="s">
        <v>31</v>
      </c>
      <c r="QH23" s="251"/>
      <c r="QI23" s="67" t="s">
        <v>88</v>
      </c>
      <c r="QJ23" s="68"/>
      <c r="QK23" s="69"/>
      <c r="QL23" s="250" t="s">
        <v>31</v>
      </c>
      <c r="QM23" s="251"/>
      <c r="QN23" s="67" t="s">
        <v>88</v>
      </c>
      <c r="QO23" s="68"/>
      <c r="QP23" s="69"/>
      <c r="QQ23" s="250" t="s">
        <v>31</v>
      </c>
      <c r="QR23" s="251"/>
      <c r="QS23" s="67" t="s">
        <v>88</v>
      </c>
      <c r="QT23" s="68"/>
      <c r="QU23" s="69"/>
      <c r="QV23" s="250" t="s">
        <v>31</v>
      </c>
      <c r="QW23" s="251"/>
      <c r="QX23" s="67" t="s">
        <v>88</v>
      </c>
      <c r="QY23" s="68"/>
      <c r="QZ23" s="69"/>
      <c r="RA23" s="250" t="s">
        <v>52</v>
      </c>
      <c r="RB23" s="251"/>
      <c r="RC23" s="67" t="s">
        <v>88</v>
      </c>
      <c r="RD23" s="68"/>
      <c r="RE23" s="69"/>
      <c r="RF23" s="250" t="s">
        <v>52</v>
      </c>
      <c r="RG23" s="251"/>
      <c r="RH23" s="67" t="s">
        <v>88</v>
      </c>
      <c r="RI23" s="68"/>
      <c r="RJ23" s="69"/>
      <c r="RK23" s="250" t="s">
        <v>31</v>
      </c>
      <c r="RL23" s="251"/>
      <c r="RM23" s="67" t="s">
        <v>88</v>
      </c>
      <c r="RN23" s="68"/>
      <c r="RO23" s="69"/>
      <c r="RP23" s="250" t="s">
        <v>52</v>
      </c>
      <c r="RQ23" s="251"/>
      <c r="RR23" s="67" t="s">
        <v>88</v>
      </c>
      <c r="RS23" s="68"/>
      <c r="RT23" s="69"/>
      <c r="RU23" s="250" t="s">
        <v>31</v>
      </c>
      <c r="RV23" s="251"/>
      <c r="RW23" s="67" t="s">
        <v>88</v>
      </c>
      <c r="RX23" s="68"/>
      <c r="RY23" s="69"/>
      <c r="RZ23" s="250" t="s">
        <v>31</v>
      </c>
      <c r="SA23" s="251"/>
      <c r="SB23" s="67" t="s">
        <v>88</v>
      </c>
      <c r="SC23" s="68"/>
      <c r="SD23" s="69"/>
      <c r="SE23" s="250" t="s">
        <v>31</v>
      </c>
      <c r="SF23" s="251"/>
      <c r="SG23" s="67" t="s">
        <v>88</v>
      </c>
      <c r="SH23" s="68"/>
      <c r="SI23" s="69"/>
      <c r="SJ23" s="250" t="s">
        <v>31</v>
      </c>
      <c r="SK23" s="251"/>
      <c r="SL23" s="67" t="s">
        <v>88</v>
      </c>
      <c r="SM23" s="68"/>
      <c r="SN23" s="69"/>
      <c r="SO23" s="250" t="s">
        <v>31</v>
      </c>
      <c r="SP23" s="251"/>
      <c r="SQ23" s="67" t="s">
        <v>88</v>
      </c>
      <c r="SR23" s="68"/>
      <c r="SS23" s="69"/>
      <c r="ST23" s="250" t="s">
        <v>31</v>
      </c>
      <c r="SU23" s="251"/>
      <c r="SV23" s="67" t="s">
        <v>88</v>
      </c>
      <c r="SW23" s="68"/>
      <c r="SX23" s="69"/>
      <c r="SY23" s="250" t="s">
        <v>31</v>
      </c>
      <c r="SZ23" s="251"/>
      <c r="TA23" s="67" t="s">
        <v>88</v>
      </c>
      <c r="TB23" s="68"/>
      <c r="TC23" s="69"/>
      <c r="TD23" s="250" t="s">
        <v>31</v>
      </c>
      <c r="TE23" s="251"/>
      <c r="TF23" s="67" t="s">
        <v>88</v>
      </c>
      <c r="TG23" s="68"/>
      <c r="TH23" s="69"/>
      <c r="TI23" s="250" t="s">
        <v>31</v>
      </c>
      <c r="TJ23" s="251"/>
      <c r="TK23" s="67" t="s">
        <v>88</v>
      </c>
      <c r="TL23" s="68"/>
      <c r="TM23" s="69"/>
      <c r="TN23" s="250" t="s">
        <v>31</v>
      </c>
      <c r="TO23" s="251"/>
      <c r="TP23" s="67" t="s">
        <v>88</v>
      </c>
      <c r="TQ23" s="68"/>
      <c r="TR23" s="69"/>
      <c r="TS23" s="250" t="s">
        <v>31</v>
      </c>
      <c r="TT23" s="251"/>
      <c r="TU23" s="67" t="s">
        <v>88</v>
      </c>
      <c r="TV23" s="68"/>
      <c r="TW23" s="69"/>
      <c r="TX23" s="250" t="s">
        <v>52</v>
      </c>
      <c r="TY23" s="251"/>
      <c r="TZ23" s="67" t="s">
        <v>88</v>
      </c>
      <c r="UA23" s="68"/>
      <c r="UB23" s="69"/>
      <c r="UC23" s="250" t="s">
        <v>52</v>
      </c>
      <c r="UD23" s="251"/>
      <c r="UE23" s="67" t="s">
        <v>88</v>
      </c>
      <c r="UF23" s="68"/>
      <c r="UG23" s="69"/>
      <c r="UH23" s="250" t="s">
        <v>52</v>
      </c>
      <c r="UI23" s="251"/>
      <c r="UJ23" s="67" t="s">
        <v>88</v>
      </c>
      <c r="UK23" s="68"/>
      <c r="UL23" s="69"/>
      <c r="UM23" s="250" t="s">
        <v>31</v>
      </c>
      <c r="UN23" s="251"/>
      <c r="UO23" s="67" t="s">
        <v>88</v>
      </c>
      <c r="UP23" s="68"/>
      <c r="UQ23" s="69"/>
      <c r="UR23" s="250" t="s">
        <v>31</v>
      </c>
      <c r="US23" s="251"/>
      <c r="UT23" s="67" t="s">
        <v>88</v>
      </c>
      <c r="UU23" s="68"/>
      <c r="UV23" s="69"/>
      <c r="UW23" s="250" t="s">
        <v>31</v>
      </c>
      <c r="UX23" s="251"/>
      <c r="UY23" s="67" t="s">
        <v>88</v>
      </c>
      <c r="UZ23" s="68"/>
      <c r="VA23" s="69"/>
      <c r="VB23" s="250" t="s">
        <v>31</v>
      </c>
      <c r="VC23" s="251"/>
      <c r="VD23" s="67" t="s">
        <v>88</v>
      </c>
      <c r="VE23" s="68"/>
      <c r="VF23" s="69"/>
      <c r="VG23" s="250" t="s">
        <v>52</v>
      </c>
      <c r="VH23" s="251"/>
      <c r="VI23" s="67" t="s">
        <v>88</v>
      </c>
      <c r="VJ23" s="68"/>
      <c r="VK23" s="69"/>
      <c r="VL23" s="250" t="s">
        <v>52</v>
      </c>
      <c r="VM23" s="251"/>
      <c r="VN23" s="67" t="s">
        <v>88</v>
      </c>
      <c r="VO23" s="68"/>
      <c r="VP23" s="69"/>
      <c r="VQ23" s="250" t="s">
        <v>31</v>
      </c>
      <c r="VR23" s="251"/>
      <c r="VS23" s="67" t="s">
        <v>88</v>
      </c>
      <c r="VT23" s="68"/>
      <c r="VU23" s="69"/>
      <c r="VV23" s="250" t="s">
        <v>52</v>
      </c>
      <c r="VW23" s="251"/>
      <c r="VX23" s="67" t="s">
        <v>88</v>
      </c>
      <c r="VY23" s="68"/>
      <c r="VZ23" s="69"/>
      <c r="WA23" s="250" t="s">
        <v>31</v>
      </c>
      <c r="WB23" s="251"/>
      <c r="WC23" s="67" t="s">
        <v>88</v>
      </c>
      <c r="WD23" s="68"/>
      <c r="WE23" s="69"/>
      <c r="WF23" s="250" t="s">
        <v>31</v>
      </c>
      <c r="WG23" s="251"/>
      <c r="WH23" s="67" t="s">
        <v>88</v>
      </c>
      <c r="WI23" s="68"/>
      <c r="WJ23" s="69"/>
      <c r="WK23" s="250" t="s">
        <v>52</v>
      </c>
      <c r="WL23" s="251"/>
      <c r="WM23" s="67" t="s">
        <v>88</v>
      </c>
      <c r="WN23" s="68"/>
      <c r="WO23" s="69"/>
      <c r="WP23" s="250" t="s">
        <v>31</v>
      </c>
      <c r="WQ23" s="251"/>
      <c r="WR23" s="67" t="s">
        <v>88</v>
      </c>
      <c r="WS23" s="68"/>
      <c r="WT23" s="69"/>
      <c r="WU23" s="250" t="s">
        <v>31</v>
      </c>
      <c r="WV23" s="251"/>
      <c r="WW23" s="67" t="s">
        <v>88</v>
      </c>
      <c r="WX23" s="68"/>
      <c r="WY23" s="69"/>
      <c r="WZ23" s="250" t="s">
        <v>31</v>
      </c>
      <c r="XA23" s="251"/>
      <c r="XB23" s="67" t="s">
        <v>88</v>
      </c>
      <c r="XC23" s="68"/>
      <c r="XD23" s="69"/>
      <c r="XE23" s="250" t="s">
        <v>31</v>
      </c>
      <c r="XF23" s="251"/>
      <c r="XG23" s="67" t="s">
        <v>88</v>
      </c>
      <c r="XH23" s="68"/>
      <c r="XI23" s="69"/>
      <c r="XJ23" s="250" t="s">
        <v>31</v>
      </c>
      <c r="XK23" s="251"/>
      <c r="XL23" s="67" t="s">
        <v>88</v>
      </c>
      <c r="XM23" s="68"/>
      <c r="XN23" s="69"/>
      <c r="XO23" s="250" t="s">
        <v>31</v>
      </c>
      <c r="XP23" s="251"/>
      <c r="XQ23" s="67" t="s">
        <v>88</v>
      </c>
      <c r="XR23" s="68"/>
      <c r="XS23" s="69"/>
      <c r="XT23" s="250" t="s">
        <v>52</v>
      </c>
      <c r="XU23" s="251"/>
      <c r="XV23" s="67" t="s">
        <v>88</v>
      </c>
      <c r="XW23" s="68"/>
      <c r="XX23" s="69"/>
      <c r="XY23" s="250" t="s">
        <v>52</v>
      </c>
      <c r="XZ23" s="251"/>
      <c r="YA23" s="67" t="s">
        <v>88</v>
      </c>
      <c r="YB23" s="68"/>
      <c r="YC23" s="69"/>
      <c r="YD23" s="250" t="s">
        <v>31</v>
      </c>
      <c r="YE23" s="251"/>
      <c r="YF23" s="67" t="s">
        <v>88</v>
      </c>
      <c r="YG23" s="68"/>
      <c r="YH23" s="69"/>
      <c r="YI23" s="250" t="s">
        <v>31</v>
      </c>
      <c r="YJ23" s="251"/>
      <c r="YK23" s="67" t="s">
        <v>88</v>
      </c>
      <c r="YL23" s="68"/>
      <c r="YM23" s="69"/>
      <c r="YN23" s="250" t="s">
        <v>31</v>
      </c>
      <c r="YO23" s="251"/>
      <c r="YP23" s="67" t="s">
        <v>88</v>
      </c>
      <c r="YQ23" s="68"/>
      <c r="YR23" s="69"/>
      <c r="YS23" s="250" t="s">
        <v>31</v>
      </c>
      <c r="YT23" s="251"/>
      <c r="YU23" s="67" t="s">
        <v>88</v>
      </c>
      <c r="YV23" s="68"/>
      <c r="YW23" s="69"/>
      <c r="YX23" s="250" t="s">
        <v>31</v>
      </c>
      <c r="YY23" s="251"/>
      <c r="YZ23" s="67" t="s">
        <v>88</v>
      </c>
      <c r="ZA23" s="68"/>
      <c r="ZB23" s="69"/>
      <c r="ZC23" s="250" t="s">
        <v>52</v>
      </c>
      <c r="ZD23" s="251"/>
      <c r="ZE23" s="67" t="s">
        <v>88</v>
      </c>
      <c r="ZF23" s="68"/>
      <c r="ZG23" s="69"/>
      <c r="ZH23" s="250" t="s">
        <v>52</v>
      </c>
      <c r="ZI23" s="251"/>
      <c r="ZJ23" s="67" t="s">
        <v>88</v>
      </c>
      <c r="ZK23" s="68"/>
      <c r="ZL23" s="69"/>
      <c r="ZM23" s="250" t="s">
        <v>31</v>
      </c>
      <c r="ZN23" s="251"/>
      <c r="ZO23" s="67" t="s">
        <v>88</v>
      </c>
      <c r="ZP23" s="68"/>
      <c r="ZQ23" s="69"/>
      <c r="ZR23" s="250" t="s">
        <v>31</v>
      </c>
      <c r="ZS23" s="251"/>
      <c r="ZT23" s="67" t="s">
        <v>88</v>
      </c>
      <c r="ZU23" s="68"/>
      <c r="ZV23" s="69"/>
      <c r="ZW23" s="250" t="s">
        <v>31</v>
      </c>
      <c r="ZX23" s="251"/>
      <c r="ZY23" s="67" t="s">
        <v>88</v>
      </c>
      <c r="ZZ23" s="68"/>
      <c r="AAA23" s="69"/>
      <c r="AAB23" s="250" t="s">
        <v>31</v>
      </c>
      <c r="AAC23" s="251"/>
      <c r="AAD23" s="67" t="s">
        <v>88</v>
      </c>
      <c r="AAE23" s="68"/>
      <c r="AAF23" s="69"/>
      <c r="AAG23" s="250" t="s">
        <v>31</v>
      </c>
      <c r="AAH23" s="251"/>
      <c r="AAI23" s="67" t="s">
        <v>88</v>
      </c>
      <c r="AAJ23" s="68"/>
      <c r="AAK23" s="69"/>
      <c r="AAL23" s="250" t="s">
        <v>52</v>
      </c>
      <c r="AAM23" s="251"/>
      <c r="AAN23" s="67" t="s">
        <v>88</v>
      </c>
      <c r="AAO23" s="68"/>
      <c r="AAP23" s="69"/>
      <c r="AAQ23" s="250" t="s">
        <v>31</v>
      </c>
      <c r="AAR23" s="251"/>
      <c r="AAS23" s="67" t="s">
        <v>88</v>
      </c>
      <c r="AAT23" s="68"/>
      <c r="AAU23" s="69"/>
      <c r="AAV23" s="250" t="s">
        <v>31</v>
      </c>
      <c r="AAW23" s="251"/>
      <c r="AAX23" s="67" t="s">
        <v>88</v>
      </c>
      <c r="AAY23" s="68"/>
      <c r="AAZ23" s="69"/>
      <c r="ABA23" s="250" t="s">
        <v>31</v>
      </c>
      <c r="ABB23" s="251"/>
      <c r="ABC23" s="67" t="s">
        <v>88</v>
      </c>
      <c r="ABD23" s="68"/>
      <c r="ABE23" s="69"/>
      <c r="ABF23" s="250" t="s">
        <v>31</v>
      </c>
      <c r="ABG23" s="251"/>
      <c r="ABH23" s="67" t="s">
        <v>88</v>
      </c>
      <c r="ABI23" s="68"/>
      <c r="ABJ23" s="69"/>
      <c r="ABK23" s="250" t="s">
        <v>31</v>
      </c>
      <c r="ABL23" s="251"/>
      <c r="ABM23" s="67" t="s">
        <v>88</v>
      </c>
      <c r="ABN23" s="68"/>
      <c r="ABO23" s="69"/>
      <c r="ABP23" s="250" t="s">
        <v>52</v>
      </c>
      <c r="ABQ23" s="251"/>
      <c r="ABR23" s="67" t="s">
        <v>88</v>
      </c>
      <c r="ABS23" s="68"/>
      <c r="ABT23" s="69"/>
      <c r="ABU23" s="250" t="s">
        <v>52</v>
      </c>
      <c r="ABV23" s="251"/>
      <c r="ABW23" s="67" t="s">
        <v>88</v>
      </c>
      <c r="ABX23" s="68"/>
      <c r="ABY23" s="69"/>
      <c r="ABZ23" s="250" t="s">
        <v>31</v>
      </c>
      <c r="ACA23" s="251"/>
      <c r="ACB23" s="67" t="s">
        <v>88</v>
      </c>
      <c r="ACC23" s="68"/>
      <c r="ACD23" s="69"/>
      <c r="ACE23" s="250" t="s">
        <v>52</v>
      </c>
      <c r="ACF23" s="251"/>
      <c r="ACG23" s="67" t="s">
        <v>88</v>
      </c>
      <c r="ACH23" s="68"/>
      <c r="ACI23" s="69"/>
      <c r="ACJ23" s="250" t="s">
        <v>31</v>
      </c>
      <c r="ACK23" s="251"/>
      <c r="ACL23" s="67" t="s">
        <v>88</v>
      </c>
      <c r="ACM23" s="68"/>
      <c r="ACN23" s="69"/>
      <c r="ACO23" s="250" t="s">
        <v>31</v>
      </c>
      <c r="ACP23" s="251"/>
      <c r="ACQ23" s="67" t="s">
        <v>88</v>
      </c>
      <c r="ACR23" s="68"/>
      <c r="ACS23" s="69"/>
      <c r="ACT23" s="250" t="s">
        <v>31</v>
      </c>
      <c r="ACU23" s="251"/>
      <c r="ACV23" s="67" t="s">
        <v>88</v>
      </c>
      <c r="ACW23" s="68"/>
      <c r="ACX23" s="69"/>
      <c r="ACY23" s="250" t="s">
        <v>31</v>
      </c>
      <c r="ACZ23" s="251"/>
      <c r="ADA23" s="67" t="s">
        <v>88</v>
      </c>
      <c r="ADB23" s="68"/>
      <c r="ADC23" s="69"/>
      <c r="ADD23" s="250" t="s">
        <v>31</v>
      </c>
      <c r="ADE23" s="251"/>
      <c r="ADF23" s="67" t="s">
        <v>88</v>
      </c>
      <c r="ADG23" s="68"/>
      <c r="ADH23" s="69"/>
      <c r="ADI23" s="250" t="s">
        <v>52</v>
      </c>
      <c r="ADJ23" s="251"/>
      <c r="ADK23" s="67" t="s">
        <v>88</v>
      </c>
      <c r="ADL23" s="68"/>
      <c r="ADM23" s="69"/>
      <c r="ADN23" s="250" t="s">
        <v>31</v>
      </c>
      <c r="ADO23" s="251"/>
      <c r="ADP23" s="67" t="s">
        <v>88</v>
      </c>
      <c r="ADQ23" s="68"/>
      <c r="ADR23" s="69"/>
      <c r="ADS23" s="250" t="s">
        <v>31</v>
      </c>
      <c r="ADT23" s="251"/>
      <c r="ADU23" s="67" t="s">
        <v>88</v>
      </c>
      <c r="ADV23" s="68"/>
      <c r="ADW23" s="69"/>
      <c r="ADX23" s="250" t="s">
        <v>31</v>
      </c>
      <c r="ADY23" s="251"/>
      <c r="ADZ23" s="67" t="s">
        <v>88</v>
      </c>
      <c r="AEA23" s="68"/>
      <c r="AEB23" s="69"/>
      <c r="AEC23" s="250" t="s">
        <v>31</v>
      </c>
      <c r="AED23" s="251"/>
      <c r="AEE23" s="67" t="s">
        <v>88</v>
      </c>
      <c r="AEF23" s="68"/>
      <c r="AEG23" s="69"/>
      <c r="AEH23" s="250" t="s">
        <v>31</v>
      </c>
      <c r="AEI23" s="251"/>
      <c r="AEJ23" s="67" t="s">
        <v>88</v>
      </c>
      <c r="AEK23" s="68"/>
      <c r="AEL23" s="69"/>
      <c r="AEM23" s="250" t="s">
        <v>31</v>
      </c>
      <c r="AEN23" s="251"/>
      <c r="AEO23" s="67" t="s">
        <v>88</v>
      </c>
      <c r="AEP23" s="68"/>
      <c r="AEQ23" s="69"/>
      <c r="AER23" s="250" t="s">
        <v>31</v>
      </c>
      <c r="AES23" s="251"/>
      <c r="AET23" s="67" t="s">
        <v>88</v>
      </c>
      <c r="AEU23" s="68"/>
      <c r="AEV23" s="69"/>
      <c r="AEW23" s="250" t="s">
        <v>31</v>
      </c>
      <c r="AEX23" s="251"/>
      <c r="AEY23" s="67" t="s">
        <v>88</v>
      </c>
      <c r="AEZ23" s="68"/>
      <c r="AFA23" s="69"/>
      <c r="AFB23" s="250" t="s">
        <v>31</v>
      </c>
      <c r="AFC23" s="251"/>
      <c r="AFD23" s="67" t="s">
        <v>88</v>
      </c>
      <c r="AFE23" s="68"/>
      <c r="AFF23" s="69"/>
      <c r="AFG23" s="250" t="s">
        <v>31</v>
      </c>
      <c r="AFH23" s="251"/>
      <c r="AFI23" s="67" t="s">
        <v>88</v>
      </c>
      <c r="AFJ23" s="68"/>
      <c r="AFK23" s="69"/>
      <c r="AFL23" s="250" t="s">
        <v>31</v>
      </c>
      <c r="AFM23" s="251"/>
      <c r="AFN23" s="67" t="s">
        <v>88</v>
      </c>
      <c r="AFO23" s="68"/>
      <c r="AFP23" s="69"/>
      <c r="AFQ23" s="250" t="s">
        <v>31</v>
      </c>
      <c r="AFR23" s="251"/>
      <c r="AFS23" s="67" t="s">
        <v>88</v>
      </c>
      <c r="AFT23" s="68"/>
      <c r="AFU23" s="69"/>
      <c r="AFV23" s="250" t="s">
        <v>31</v>
      </c>
      <c r="AFW23" s="251"/>
      <c r="AFX23" s="67" t="s">
        <v>88</v>
      </c>
      <c r="AFY23" s="68"/>
      <c r="AFZ23" s="69"/>
      <c r="AGA23" s="250" t="s">
        <v>31</v>
      </c>
      <c r="AGB23" s="251"/>
      <c r="AGC23" s="67" t="s">
        <v>88</v>
      </c>
      <c r="AGD23" s="68"/>
      <c r="AGE23" s="69"/>
      <c r="AGF23" s="250" t="s">
        <v>31</v>
      </c>
      <c r="AGG23" s="251"/>
      <c r="AGH23" s="67" t="s">
        <v>88</v>
      </c>
      <c r="AGI23" s="68"/>
      <c r="AGJ23" s="69"/>
      <c r="AGK23" s="250" t="s">
        <v>31</v>
      </c>
      <c r="AGL23" s="251"/>
      <c r="AGM23" s="67" t="s">
        <v>88</v>
      </c>
      <c r="AGN23" s="68"/>
      <c r="AGO23" s="69"/>
      <c r="AGP23" s="250" t="s">
        <v>31</v>
      </c>
      <c r="AGQ23" s="251"/>
      <c r="AGR23" s="67" t="s">
        <v>88</v>
      </c>
      <c r="AGS23" s="68"/>
      <c r="AGT23" s="69"/>
      <c r="AGU23" s="250" t="s">
        <v>31</v>
      </c>
      <c r="AGV23" s="251"/>
      <c r="AGW23" s="67" t="s">
        <v>88</v>
      </c>
      <c r="AGX23" s="68"/>
      <c r="AGY23" s="69"/>
      <c r="AGZ23" s="250" t="s">
        <v>31</v>
      </c>
      <c r="AHA23" s="251"/>
      <c r="AHB23" s="67" t="s">
        <v>88</v>
      </c>
      <c r="AHC23" s="68"/>
      <c r="AHD23" s="69"/>
      <c r="AHE23" s="250" t="s">
        <v>31</v>
      </c>
      <c r="AHF23" s="251"/>
      <c r="AHG23" s="67" t="s">
        <v>88</v>
      </c>
      <c r="AHH23" s="68"/>
      <c r="AHI23" s="69"/>
      <c r="AHJ23" s="250" t="s">
        <v>31</v>
      </c>
      <c r="AHK23" s="251"/>
      <c r="AHL23" s="67" t="s">
        <v>88</v>
      </c>
      <c r="AHM23" s="68"/>
      <c r="AHN23" s="69"/>
      <c r="AHO23" s="250" t="s">
        <v>31</v>
      </c>
      <c r="AHP23" s="251"/>
      <c r="AHQ23" s="67" t="s">
        <v>88</v>
      </c>
      <c r="AHR23" s="68"/>
      <c r="AHS23" s="69"/>
      <c r="AHT23" s="250" t="s">
        <v>31</v>
      </c>
      <c r="AHU23" s="251"/>
      <c r="AHV23" s="67" t="s">
        <v>88</v>
      </c>
      <c r="AHW23" s="68"/>
      <c r="AHX23" s="69"/>
      <c r="AHY23" s="250" t="s">
        <v>31</v>
      </c>
      <c r="AHZ23" s="251"/>
      <c r="AIA23" s="67" t="s">
        <v>88</v>
      </c>
      <c r="AIB23" s="68"/>
      <c r="AIC23" s="69"/>
      <c r="AID23" s="250" t="s">
        <v>31</v>
      </c>
      <c r="AIE23" s="251"/>
      <c r="AIF23" s="67" t="s">
        <v>88</v>
      </c>
      <c r="AIG23" s="68"/>
      <c r="AIH23" s="69"/>
      <c r="AII23" s="250" t="s">
        <v>31</v>
      </c>
      <c r="AIJ23" s="251"/>
      <c r="AIK23" s="67" t="s">
        <v>88</v>
      </c>
      <c r="AIL23" s="68"/>
      <c r="AIM23" s="69"/>
      <c r="AIN23" s="250" t="s">
        <v>31</v>
      </c>
      <c r="AIO23" s="251"/>
      <c r="AIP23" s="67" t="s">
        <v>88</v>
      </c>
      <c r="AIQ23" s="68"/>
      <c r="AIR23" s="69"/>
      <c r="AIS23" s="250" t="s">
        <v>31</v>
      </c>
      <c r="AIT23" s="251"/>
      <c r="AIU23" s="67" t="s">
        <v>88</v>
      </c>
      <c r="AIV23" s="68"/>
      <c r="AIW23" s="69"/>
      <c r="AIX23" s="250" t="s">
        <v>31</v>
      </c>
      <c r="AIY23" s="251"/>
      <c r="AIZ23" s="67" t="s">
        <v>88</v>
      </c>
      <c r="AJA23" s="68"/>
      <c r="AJB23" s="69"/>
      <c r="AJC23" s="250" t="s">
        <v>31</v>
      </c>
      <c r="AJD23" s="251"/>
      <c r="AJE23" s="67" t="s">
        <v>88</v>
      </c>
      <c r="AJF23" s="68"/>
      <c r="AJG23" s="69"/>
      <c r="AJH23" s="250" t="s">
        <v>31</v>
      </c>
      <c r="AJI23" s="251"/>
      <c r="AJJ23" s="67" t="s">
        <v>88</v>
      </c>
      <c r="AJK23" s="68"/>
      <c r="AJL23" s="69"/>
      <c r="AJM23" s="250" t="s">
        <v>31</v>
      </c>
      <c r="AJN23" s="251"/>
      <c r="AJO23" s="67" t="s">
        <v>88</v>
      </c>
      <c r="AJP23" s="68"/>
      <c r="AJQ23" s="69"/>
      <c r="AJR23" s="250" t="s">
        <v>31</v>
      </c>
      <c r="AJS23" s="251"/>
      <c r="AJT23" s="67" t="s">
        <v>88</v>
      </c>
      <c r="AJU23" s="68"/>
      <c r="AJV23" s="69"/>
      <c r="AJW23" s="250" t="s">
        <v>52</v>
      </c>
      <c r="AJX23" s="251"/>
      <c r="AJY23" s="67" t="s">
        <v>88</v>
      </c>
      <c r="AJZ23" s="68"/>
      <c r="AKA23" s="69"/>
      <c r="AKB23" s="250" t="s">
        <v>52</v>
      </c>
      <c r="AKC23" s="251"/>
      <c r="AKD23" s="67" t="s">
        <v>88</v>
      </c>
      <c r="AKE23" s="68"/>
      <c r="AKF23" s="69"/>
      <c r="AKG23" s="250" t="s">
        <v>52</v>
      </c>
      <c r="AKH23" s="251"/>
      <c r="AKI23" s="67" t="s">
        <v>88</v>
      </c>
      <c r="AKJ23" s="68"/>
      <c r="AKK23" s="69"/>
      <c r="AKL23" s="250" t="s">
        <v>52</v>
      </c>
      <c r="AKM23" s="251"/>
      <c r="AKN23" s="67" t="s">
        <v>88</v>
      </c>
      <c r="AKO23" s="68"/>
      <c r="AKP23" s="69"/>
      <c r="AKQ23" s="250" t="s">
        <v>31</v>
      </c>
      <c r="AKR23" s="251"/>
      <c r="AKS23" s="67" t="s">
        <v>88</v>
      </c>
      <c r="AKT23" s="68"/>
      <c r="AKU23" s="69"/>
      <c r="AKV23" s="250" t="s">
        <v>31</v>
      </c>
      <c r="AKW23" s="251"/>
      <c r="AKX23" s="67" t="s">
        <v>88</v>
      </c>
      <c r="AKY23" s="68"/>
      <c r="AKZ23" s="69"/>
      <c r="ALA23" s="250" t="s">
        <v>31</v>
      </c>
      <c r="ALB23" s="251"/>
      <c r="ALC23" s="67" t="s">
        <v>88</v>
      </c>
      <c r="ALD23" s="68"/>
      <c r="ALE23" s="69"/>
      <c r="ALF23" s="250" t="s">
        <v>31</v>
      </c>
      <c r="ALG23" s="251"/>
      <c r="ALH23" s="67" t="s">
        <v>88</v>
      </c>
      <c r="ALI23" s="68"/>
      <c r="ALJ23" s="69"/>
      <c r="ALK23" s="250" t="s">
        <v>52</v>
      </c>
      <c r="ALL23" s="251"/>
      <c r="ALM23" s="67" t="s">
        <v>88</v>
      </c>
      <c r="ALN23" s="68"/>
      <c r="ALO23" s="69"/>
      <c r="ALP23" s="250" t="s">
        <v>52</v>
      </c>
      <c r="ALQ23" s="251"/>
      <c r="ALR23" s="67" t="s">
        <v>88</v>
      </c>
      <c r="ALS23" s="68"/>
      <c r="ALT23" s="69"/>
      <c r="ALU23" s="250" t="s">
        <v>31</v>
      </c>
      <c r="ALV23" s="251"/>
      <c r="ALW23" s="67" t="s">
        <v>88</v>
      </c>
      <c r="ALX23" s="68"/>
      <c r="ALY23" s="69"/>
      <c r="ALZ23" s="250" t="s">
        <v>31</v>
      </c>
      <c r="AMA23" s="251"/>
      <c r="AMB23" s="67" t="s">
        <v>88</v>
      </c>
      <c r="AMC23" s="68"/>
      <c r="AMD23" s="69"/>
      <c r="AME23" s="250" t="s">
        <v>52</v>
      </c>
      <c r="AMF23" s="251"/>
      <c r="AMG23" s="67" t="s">
        <v>88</v>
      </c>
      <c r="AMH23" s="68"/>
      <c r="AMI23" s="69"/>
      <c r="AMJ23" s="250" t="s">
        <v>31</v>
      </c>
      <c r="AMK23" s="251"/>
      <c r="AML23" s="67" t="s">
        <v>88</v>
      </c>
      <c r="AMM23" s="68"/>
      <c r="AMN23" s="69"/>
      <c r="AMO23" s="250" t="s">
        <v>52</v>
      </c>
      <c r="AMP23" s="251"/>
      <c r="AMQ23" s="67" t="s">
        <v>88</v>
      </c>
      <c r="AMR23" s="68"/>
      <c r="AMS23" s="69"/>
      <c r="AMT23" s="250" t="s">
        <v>52</v>
      </c>
      <c r="AMU23" s="251"/>
      <c r="AMV23" s="67" t="s">
        <v>88</v>
      </c>
      <c r="AMW23" s="68"/>
      <c r="AMX23" s="69"/>
      <c r="AMY23" s="250" t="s">
        <v>52</v>
      </c>
      <c r="AMZ23" s="251"/>
      <c r="ANA23" s="67" t="s">
        <v>88</v>
      </c>
      <c r="ANB23" s="68"/>
      <c r="ANC23" s="69"/>
      <c r="AND23" s="250" t="s">
        <v>52</v>
      </c>
      <c r="ANE23" s="251"/>
      <c r="ANF23" s="67" t="s">
        <v>88</v>
      </c>
      <c r="ANG23" s="68"/>
      <c r="ANH23" s="69"/>
      <c r="ANI23" s="250" t="s">
        <v>31</v>
      </c>
      <c r="ANJ23" s="251"/>
      <c r="ANK23" s="67" t="s">
        <v>88</v>
      </c>
      <c r="ANL23" s="68"/>
      <c r="ANM23" s="69"/>
      <c r="ANN23" s="250" t="s">
        <v>31</v>
      </c>
      <c r="ANO23" s="251"/>
      <c r="ANP23" s="67" t="s">
        <v>88</v>
      </c>
      <c r="ANQ23" s="68"/>
      <c r="ANR23" s="69"/>
      <c r="ANS23" s="250" t="s">
        <v>31</v>
      </c>
      <c r="ANT23" s="251"/>
      <c r="ANU23" s="67" t="s">
        <v>88</v>
      </c>
      <c r="ANV23" s="68"/>
      <c r="ANW23" s="69"/>
      <c r="ANX23" s="250" t="s">
        <v>52</v>
      </c>
      <c r="ANY23" s="251"/>
      <c r="ANZ23" s="67" t="s">
        <v>88</v>
      </c>
      <c r="AOA23" s="68"/>
      <c r="AOB23" s="69"/>
      <c r="AOC23" s="250" t="s">
        <v>52</v>
      </c>
      <c r="AOD23" s="251"/>
      <c r="AOE23" s="67" t="s">
        <v>88</v>
      </c>
      <c r="AOF23" s="68"/>
      <c r="AOG23" s="69"/>
      <c r="AOH23" s="250" t="s">
        <v>31</v>
      </c>
      <c r="AOI23" s="251"/>
      <c r="AOJ23" s="67" t="s">
        <v>88</v>
      </c>
      <c r="AOK23" s="68"/>
      <c r="AOL23" s="69"/>
      <c r="AOM23" s="250" t="s">
        <v>52</v>
      </c>
      <c r="AON23" s="251"/>
      <c r="AOO23" s="67" t="s">
        <v>88</v>
      </c>
      <c r="AOP23" s="68"/>
      <c r="AOQ23" s="69"/>
      <c r="AOR23" s="250" t="s">
        <v>31</v>
      </c>
      <c r="AOS23" s="251"/>
      <c r="AOT23" s="67" t="s">
        <v>88</v>
      </c>
      <c r="AOU23" s="68"/>
      <c r="AOV23" s="69"/>
      <c r="AOW23" s="250" t="s">
        <v>31</v>
      </c>
      <c r="AOX23" s="251"/>
      <c r="AOY23" s="67" t="s">
        <v>88</v>
      </c>
      <c r="AOZ23" s="68"/>
      <c r="APA23" s="69"/>
      <c r="APB23" s="250" t="s">
        <v>31</v>
      </c>
      <c r="APC23" s="251"/>
      <c r="APD23" s="67" t="s">
        <v>88</v>
      </c>
      <c r="APE23" s="68"/>
      <c r="APF23" s="69"/>
      <c r="APG23" s="250" t="s">
        <v>31</v>
      </c>
      <c r="APH23" s="251"/>
      <c r="API23" s="67" t="s">
        <v>88</v>
      </c>
      <c r="APJ23" s="68"/>
      <c r="APK23" s="69"/>
      <c r="APL23" s="250" t="s">
        <v>31</v>
      </c>
      <c r="APM23" s="251"/>
      <c r="APN23" s="67" t="s">
        <v>88</v>
      </c>
      <c r="APO23" s="68"/>
      <c r="APP23" s="69"/>
      <c r="APQ23" s="250" t="s">
        <v>31</v>
      </c>
      <c r="APR23" s="251"/>
      <c r="APS23" s="67" t="s">
        <v>88</v>
      </c>
      <c r="APT23" s="68"/>
      <c r="APU23" s="69"/>
      <c r="APV23" s="250" t="s">
        <v>31</v>
      </c>
      <c r="APW23" s="251"/>
      <c r="APX23" s="67" t="s">
        <v>88</v>
      </c>
      <c r="APY23" s="68"/>
      <c r="APZ23" s="69"/>
      <c r="AQA23" s="250" t="s">
        <v>31</v>
      </c>
      <c r="AQB23" s="251"/>
      <c r="AQC23" s="67" t="s">
        <v>88</v>
      </c>
      <c r="AQD23" s="68"/>
      <c r="AQE23" s="69"/>
      <c r="AQF23" s="250" t="s">
        <v>31</v>
      </c>
      <c r="AQG23" s="251"/>
      <c r="AQH23" s="67" t="s">
        <v>88</v>
      </c>
      <c r="AQI23" s="68"/>
      <c r="AQJ23" s="69"/>
      <c r="AQK23" s="250" t="s">
        <v>31</v>
      </c>
      <c r="AQL23" s="251"/>
      <c r="AQM23" s="67" t="s">
        <v>88</v>
      </c>
      <c r="AQN23" s="68"/>
      <c r="AQO23" s="69"/>
      <c r="AQP23" s="250" t="s">
        <v>52</v>
      </c>
      <c r="AQQ23" s="251"/>
      <c r="AQR23" s="67" t="s">
        <v>88</v>
      </c>
      <c r="AQS23" s="68"/>
      <c r="AQT23" s="69"/>
      <c r="AQU23" s="250" t="s">
        <v>31</v>
      </c>
      <c r="AQV23" s="251"/>
      <c r="AQW23" s="67" t="s">
        <v>88</v>
      </c>
      <c r="AQX23" s="68"/>
      <c r="AQY23" s="69"/>
      <c r="AQZ23" s="250" t="s">
        <v>31</v>
      </c>
      <c r="ARA23" s="251"/>
      <c r="ARB23" s="67" t="s">
        <v>88</v>
      </c>
      <c r="ARC23" s="68"/>
      <c r="ARD23" s="69"/>
      <c r="ARE23" s="250" t="s">
        <v>31</v>
      </c>
      <c r="ARF23" s="251"/>
      <c r="ARG23" s="67" t="s">
        <v>88</v>
      </c>
      <c r="ARH23" s="68"/>
      <c r="ARI23" s="69"/>
      <c r="ARJ23" s="250" t="s">
        <v>31</v>
      </c>
      <c r="ARK23" s="251"/>
      <c r="ARL23" s="67" t="s">
        <v>88</v>
      </c>
      <c r="ARM23" s="68"/>
      <c r="ARN23" s="69"/>
      <c r="ARO23" s="250" t="s">
        <v>31</v>
      </c>
      <c r="ARP23" s="251"/>
      <c r="ARQ23" s="67" t="s">
        <v>88</v>
      </c>
      <c r="ARR23" s="68"/>
      <c r="ARS23" s="69"/>
      <c r="ART23" s="250" t="s">
        <v>31</v>
      </c>
      <c r="ARU23" s="251"/>
      <c r="ARV23" s="67" t="s">
        <v>88</v>
      </c>
      <c r="ARW23" s="68"/>
      <c r="ARX23" s="69"/>
      <c r="ARY23" s="250" t="s">
        <v>31</v>
      </c>
      <c r="ARZ23" s="251"/>
      <c r="ASA23" s="67" t="s">
        <v>88</v>
      </c>
      <c r="ASB23" s="68"/>
      <c r="ASC23" s="69"/>
      <c r="ASD23" s="250" t="s">
        <v>31</v>
      </c>
      <c r="ASE23" s="251"/>
      <c r="ASF23" s="67" t="s">
        <v>88</v>
      </c>
      <c r="ASG23" s="68"/>
      <c r="ASH23" s="69"/>
      <c r="ASI23" s="250" t="s">
        <v>31</v>
      </c>
      <c r="ASJ23" s="251"/>
      <c r="ASK23" s="67" t="s">
        <v>88</v>
      </c>
      <c r="ASL23" s="68"/>
      <c r="ASM23" s="69"/>
      <c r="ASN23" s="250" t="s">
        <v>31</v>
      </c>
      <c r="ASO23" s="251"/>
      <c r="ASP23" s="67" t="s">
        <v>88</v>
      </c>
      <c r="ASQ23" s="68"/>
      <c r="ASR23" s="69"/>
      <c r="ASS23" s="250" t="s">
        <v>31</v>
      </c>
      <c r="AST23" s="251"/>
      <c r="ASU23" s="67" t="s">
        <v>88</v>
      </c>
      <c r="ASV23" s="68"/>
      <c r="ASW23" s="69"/>
      <c r="ASX23" s="250" t="s">
        <v>31</v>
      </c>
      <c r="ASY23" s="251"/>
      <c r="ASZ23" s="67" t="s">
        <v>88</v>
      </c>
      <c r="ATA23" s="68"/>
      <c r="ATB23" s="69"/>
      <c r="ATC23" s="250" t="s">
        <v>31</v>
      </c>
      <c r="ATD23" s="251"/>
      <c r="ATE23" s="67" t="s">
        <v>88</v>
      </c>
      <c r="ATF23" s="68"/>
      <c r="ATG23" s="69"/>
      <c r="ATH23" s="250" t="s">
        <v>31</v>
      </c>
      <c r="ATI23" s="251"/>
      <c r="ATJ23" s="67" t="s">
        <v>88</v>
      </c>
      <c r="ATK23" s="68"/>
      <c r="ATL23" s="69"/>
      <c r="ATM23" s="250" t="s">
        <v>31</v>
      </c>
      <c r="ATN23" s="251"/>
      <c r="ATO23" s="67" t="s">
        <v>88</v>
      </c>
      <c r="ATP23" s="68"/>
      <c r="ATQ23" s="69"/>
      <c r="ATR23" s="250" t="s">
        <v>31</v>
      </c>
      <c r="ATS23" s="251"/>
      <c r="ATT23" s="67" t="s">
        <v>88</v>
      </c>
      <c r="ATU23" s="68"/>
      <c r="ATV23" s="69"/>
      <c r="ATW23" s="250" t="s">
        <v>31</v>
      </c>
      <c r="ATX23" s="251"/>
      <c r="ATY23" s="67" t="s">
        <v>88</v>
      </c>
      <c r="ATZ23" s="68"/>
      <c r="AUA23" s="69"/>
      <c r="AUB23" s="250" t="s">
        <v>31</v>
      </c>
      <c r="AUC23" s="251"/>
      <c r="AUD23" s="67" t="s">
        <v>88</v>
      </c>
      <c r="AUE23" s="68"/>
      <c r="AUF23" s="69"/>
      <c r="AUG23" s="250" t="s">
        <v>31</v>
      </c>
      <c r="AUH23" s="251"/>
      <c r="AUI23" s="67" t="s">
        <v>88</v>
      </c>
      <c r="AUJ23" s="68"/>
      <c r="AUK23" s="69"/>
      <c r="AUL23" s="250" t="s">
        <v>31</v>
      </c>
      <c r="AUM23" s="251"/>
      <c r="AUN23" s="67" t="s">
        <v>88</v>
      </c>
      <c r="AUO23" s="68"/>
      <c r="AUP23" s="69"/>
      <c r="AUQ23" s="250" t="s">
        <v>31</v>
      </c>
      <c r="AUR23" s="251"/>
      <c r="AUS23" s="67" t="s">
        <v>88</v>
      </c>
      <c r="AUT23" s="68"/>
      <c r="AUU23" s="69"/>
      <c r="AUV23" s="250" t="s">
        <v>31</v>
      </c>
      <c r="AUW23" s="251"/>
      <c r="AUX23" s="67" t="s">
        <v>88</v>
      </c>
      <c r="AUY23" s="68"/>
      <c r="AUZ23" s="69"/>
      <c r="AVA23" s="250" t="s">
        <v>31</v>
      </c>
      <c r="AVB23" s="251"/>
      <c r="AVC23" s="67" t="s">
        <v>88</v>
      </c>
      <c r="AVD23" s="68"/>
      <c r="AVE23" s="69"/>
      <c r="AVF23" s="250" t="s">
        <v>31</v>
      </c>
      <c r="AVG23" s="251"/>
      <c r="AVH23" s="67" t="s">
        <v>88</v>
      </c>
      <c r="AVI23" s="68"/>
      <c r="AVJ23" s="69"/>
      <c r="AVK23" s="250" t="s">
        <v>31</v>
      </c>
      <c r="AVL23" s="251"/>
      <c r="AVM23" s="67" t="s">
        <v>88</v>
      </c>
      <c r="AVN23" s="68"/>
      <c r="AVO23" s="69"/>
      <c r="AVP23" s="250" t="s">
        <v>31</v>
      </c>
      <c r="AVQ23" s="251"/>
      <c r="AVR23" s="67" t="s">
        <v>88</v>
      </c>
      <c r="AVS23" s="68"/>
      <c r="AVT23" s="69"/>
      <c r="AVU23" s="250" t="s">
        <v>31</v>
      </c>
      <c r="AVV23" s="251"/>
      <c r="AVW23" s="67" t="s">
        <v>88</v>
      </c>
      <c r="AVX23" s="68"/>
      <c r="AVY23" s="69"/>
      <c r="AVZ23" s="250" t="s">
        <v>31</v>
      </c>
      <c r="AWA23" s="251"/>
      <c r="AWB23" s="67" t="s">
        <v>88</v>
      </c>
      <c r="AWC23" s="68"/>
      <c r="AWD23" s="69"/>
      <c r="AWE23" s="250" t="s">
        <v>31</v>
      </c>
      <c r="AWF23" s="251"/>
      <c r="AWG23" s="67" t="s">
        <v>88</v>
      </c>
      <c r="AWH23" s="68"/>
      <c r="AWI23" s="69"/>
      <c r="AWJ23" s="250" t="s">
        <v>31</v>
      </c>
      <c r="AWK23" s="251"/>
      <c r="AWL23" s="67" t="s">
        <v>88</v>
      </c>
      <c r="AWM23" s="68"/>
      <c r="AWN23" s="69"/>
      <c r="AWO23" s="250" t="s">
        <v>31</v>
      </c>
      <c r="AWP23" s="251"/>
      <c r="AWQ23" s="67" t="s">
        <v>88</v>
      </c>
      <c r="AWR23" s="68"/>
      <c r="AWS23" s="69"/>
      <c r="AWT23" s="250" t="s">
        <v>31</v>
      </c>
      <c r="AWU23" s="251"/>
      <c r="AWV23" s="67" t="s">
        <v>88</v>
      </c>
      <c r="AWW23" s="68"/>
      <c r="AWX23" s="69"/>
      <c r="AWY23" s="250" t="s">
        <v>31</v>
      </c>
      <c r="AWZ23" s="251"/>
      <c r="AXA23" s="67" t="s">
        <v>88</v>
      </c>
      <c r="AXB23" s="68"/>
      <c r="AXC23" s="69"/>
      <c r="AXD23" s="250" t="s">
        <v>31</v>
      </c>
      <c r="AXE23" s="251"/>
      <c r="AXF23" s="67" t="s">
        <v>88</v>
      </c>
      <c r="AXG23" s="68"/>
      <c r="AXH23" s="69"/>
      <c r="AXI23" s="250" t="s">
        <v>31</v>
      </c>
      <c r="AXJ23" s="251"/>
      <c r="AXK23" s="67" t="s">
        <v>88</v>
      </c>
      <c r="AXL23" s="68"/>
      <c r="AXM23" s="69"/>
      <c r="AXN23" s="250" t="s">
        <v>31</v>
      </c>
      <c r="AXO23" s="251"/>
      <c r="AXP23" s="67" t="s">
        <v>88</v>
      </c>
      <c r="AXQ23" s="68"/>
      <c r="AXR23" s="69"/>
      <c r="AXS23" s="250" t="s">
        <v>31</v>
      </c>
      <c r="AXT23" s="251"/>
      <c r="AXU23" s="67" t="s">
        <v>88</v>
      </c>
      <c r="AXV23" s="68"/>
      <c r="AXW23" s="69"/>
      <c r="AXX23" s="250" t="s">
        <v>31</v>
      </c>
      <c r="AXY23" s="251"/>
      <c r="AXZ23" s="67" t="s">
        <v>88</v>
      </c>
      <c r="AYA23" s="68"/>
      <c r="AYB23" s="69"/>
      <c r="AYC23" s="250" t="s">
        <v>31</v>
      </c>
      <c r="AYD23" s="251"/>
      <c r="AYE23" s="67" t="s">
        <v>88</v>
      </c>
      <c r="AYF23" s="68"/>
      <c r="AYG23" s="69"/>
      <c r="AYH23" s="250" t="s">
        <v>31</v>
      </c>
      <c r="AYI23" s="251"/>
      <c r="AYJ23" s="67" t="s">
        <v>88</v>
      </c>
      <c r="AYK23" s="68"/>
      <c r="AYL23" s="69"/>
      <c r="AYM23" s="250" t="s">
        <v>31</v>
      </c>
      <c r="AYN23" s="251"/>
      <c r="AYO23" s="67" t="s">
        <v>88</v>
      </c>
      <c r="AYP23" s="68"/>
      <c r="AYQ23" s="69"/>
      <c r="AYR23" s="250" t="s">
        <v>31</v>
      </c>
      <c r="AYS23" s="251"/>
      <c r="AYT23" s="67" t="s">
        <v>88</v>
      </c>
      <c r="AYU23" s="68"/>
      <c r="AYV23" s="69"/>
      <c r="AYW23" s="250" t="s">
        <v>52</v>
      </c>
      <c r="AYX23" s="251"/>
      <c r="AYY23" s="67" t="s">
        <v>88</v>
      </c>
      <c r="AYZ23" s="68"/>
      <c r="AZA23" s="69"/>
      <c r="AZB23" s="250" t="s">
        <v>31</v>
      </c>
      <c r="AZC23" s="251"/>
      <c r="AZD23" s="67" t="s">
        <v>88</v>
      </c>
      <c r="AZE23" s="68"/>
      <c r="AZF23" s="69"/>
      <c r="AZG23" s="250" t="s">
        <v>31</v>
      </c>
      <c r="AZH23" s="251"/>
      <c r="AZI23" s="67" t="s">
        <v>88</v>
      </c>
      <c r="AZJ23" s="68"/>
      <c r="AZK23" s="69"/>
      <c r="AZL23" s="250" t="s">
        <v>31</v>
      </c>
      <c r="AZM23" s="251"/>
      <c r="AZN23" s="67" t="s">
        <v>88</v>
      </c>
      <c r="AZO23" s="68"/>
      <c r="AZP23" s="69"/>
      <c r="AZQ23" s="250" t="s">
        <v>31</v>
      </c>
      <c r="AZR23" s="251"/>
      <c r="AZS23" s="67" t="s">
        <v>88</v>
      </c>
      <c r="AZT23" s="68"/>
      <c r="AZU23" s="69"/>
      <c r="AZV23" s="250" t="s">
        <v>31</v>
      </c>
      <c r="AZW23" s="251"/>
      <c r="AZX23" s="67" t="s">
        <v>88</v>
      </c>
      <c r="AZY23" s="68"/>
      <c r="AZZ23" s="69"/>
      <c r="BAA23" s="250" t="s">
        <v>31</v>
      </c>
      <c r="BAB23" s="251"/>
      <c r="BAC23" s="67" t="s">
        <v>88</v>
      </c>
      <c r="BAD23" s="68"/>
      <c r="BAE23" s="69"/>
      <c r="BAF23" s="250" t="s">
        <v>31</v>
      </c>
      <c r="BAG23" s="251"/>
      <c r="BAH23" s="67" t="s">
        <v>88</v>
      </c>
      <c r="BAI23" s="68"/>
      <c r="BAJ23" s="69"/>
      <c r="BAK23" s="250" t="s">
        <v>31</v>
      </c>
      <c r="BAL23" s="251"/>
      <c r="BAM23" s="67" t="s">
        <v>88</v>
      </c>
      <c r="BAN23" s="68"/>
      <c r="BAO23" s="69"/>
      <c r="BAP23" s="250" t="s">
        <v>31</v>
      </c>
      <c r="BAQ23" s="251"/>
      <c r="BAR23" s="67" t="s">
        <v>88</v>
      </c>
      <c r="BAS23" s="68"/>
      <c r="BAT23" s="69"/>
      <c r="BAU23" s="250" t="s">
        <v>52</v>
      </c>
      <c r="BAV23" s="251"/>
      <c r="BAW23" s="67" t="s">
        <v>88</v>
      </c>
      <c r="BAX23" s="68"/>
      <c r="BAY23" s="69"/>
      <c r="BAZ23" s="250" t="s">
        <v>31</v>
      </c>
      <c r="BBA23" s="251"/>
      <c r="BBB23" s="67" t="s">
        <v>88</v>
      </c>
      <c r="BBC23" s="68"/>
      <c r="BBD23" s="69"/>
      <c r="BBE23" s="250" t="s">
        <v>31</v>
      </c>
      <c r="BBF23" s="251"/>
      <c r="BBG23" s="67" t="s">
        <v>88</v>
      </c>
      <c r="BBH23" s="68"/>
      <c r="BBI23" s="69"/>
      <c r="BBJ23" s="250" t="s">
        <v>52</v>
      </c>
      <c r="BBK23" s="251"/>
      <c r="BBL23" s="67" t="s">
        <v>88</v>
      </c>
      <c r="BBM23" s="68"/>
      <c r="BBN23" s="69"/>
      <c r="BBO23" s="250" t="s">
        <v>52</v>
      </c>
      <c r="BBP23" s="251"/>
      <c r="BBQ23" s="67" t="s">
        <v>88</v>
      </c>
      <c r="BBR23" s="68"/>
      <c r="BBS23" s="69"/>
      <c r="BBT23" s="250" t="s">
        <v>31</v>
      </c>
      <c r="BBU23" s="251"/>
      <c r="BBV23" s="67" t="s">
        <v>88</v>
      </c>
      <c r="BBW23" s="68"/>
      <c r="BBX23" s="69"/>
      <c r="BBY23" s="250" t="s">
        <v>31</v>
      </c>
      <c r="BBZ23" s="251"/>
      <c r="BCA23" s="67" t="s">
        <v>88</v>
      </c>
      <c r="BCB23" s="68"/>
      <c r="BCC23" s="69"/>
      <c r="BCD23" s="250" t="s">
        <v>31</v>
      </c>
      <c r="BCE23" s="251"/>
      <c r="BCF23" s="67" t="s">
        <v>88</v>
      </c>
      <c r="BCG23" s="68"/>
      <c r="BCH23" s="69"/>
      <c r="BCI23" s="250" t="s">
        <v>31</v>
      </c>
      <c r="BCJ23" s="251"/>
      <c r="BCK23" s="67" t="s">
        <v>88</v>
      </c>
      <c r="BCL23" s="68"/>
      <c r="BCM23" s="69"/>
      <c r="BCN23" s="250" t="s">
        <v>31</v>
      </c>
      <c r="BCO23" s="251"/>
      <c r="BCP23" s="67" t="s">
        <v>88</v>
      </c>
      <c r="BCQ23" s="68"/>
      <c r="BCR23" s="69"/>
      <c r="BCS23" s="250" t="s">
        <v>31</v>
      </c>
      <c r="BCT23" s="251"/>
      <c r="BCU23" s="67" t="s">
        <v>88</v>
      </c>
      <c r="BCV23" s="68"/>
      <c r="BCW23" s="69"/>
      <c r="BCX23" s="250" t="s">
        <v>31</v>
      </c>
      <c r="BCY23" s="251"/>
      <c r="BCZ23" s="67" t="s">
        <v>88</v>
      </c>
      <c r="BDA23" s="68"/>
      <c r="BDB23" s="69"/>
      <c r="BDC23" s="250" t="s">
        <v>31</v>
      </c>
      <c r="BDD23" s="251"/>
      <c r="BDE23" s="67" t="s">
        <v>88</v>
      </c>
      <c r="BDF23" s="68"/>
      <c r="BDG23" s="69"/>
      <c r="BDH23" s="250" t="s">
        <v>31</v>
      </c>
      <c r="BDI23" s="251"/>
      <c r="BDJ23" s="67" t="s">
        <v>88</v>
      </c>
      <c r="BDK23" s="68"/>
      <c r="BDL23" s="69"/>
      <c r="BDM23" s="250" t="s">
        <v>31</v>
      </c>
      <c r="BDN23" s="251"/>
      <c r="BDO23" s="67" t="s">
        <v>88</v>
      </c>
      <c r="BDP23" s="68"/>
      <c r="BDQ23" s="69"/>
      <c r="BDR23" s="250" t="s">
        <v>31</v>
      </c>
      <c r="BDS23" s="251"/>
      <c r="BDT23" s="67" t="s">
        <v>88</v>
      </c>
      <c r="BDU23" s="68"/>
      <c r="BDV23" s="69"/>
      <c r="BDW23" s="250" t="s">
        <v>31</v>
      </c>
      <c r="BDX23" s="251"/>
      <c r="BDY23" s="67" t="s">
        <v>88</v>
      </c>
      <c r="BDZ23" s="68"/>
      <c r="BEA23" s="69"/>
      <c r="BEB23" s="250" t="s">
        <v>31</v>
      </c>
      <c r="BEC23" s="251"/>
      <c r="BED23" s="67" t="s">
        <v>88</v>
      </c>
      <c r="BEE23" s="68"/>
      <c r="BEF23" s="69"/>
      <c r="BEG23" s="250" t="s">
        <v>31</v>
      </c>
      <c r="BEH23" s="251"/>
      <c r="BEI23" s="67" t="s">
        <v>88</v>
      </c>
      <c r="BEJ23" s="68"/>
      <c r="BEK23" s="69"/>
      <c r="BEL23" s="250" t="s">
        <v>31</v>
      </c>
      <c r="BEM23" s="251"/>
      <c r="BEN23" s="67" t="s">
        <v>88</v>
      </c>
      <c r="BEO23" s="68"/>
      <c r="BEP23" s="69"/>
      <c r="BEQ23" s="250" t="s">
        <v>31</v>
      </c>
      <c r="BER23" s="251"/>
      <c r="BES23" s="67" t="s">
        <v>88</v>
      </c>
      <c r="BET23" s="68"/>
      <c r="BEU23" s="69"/>
      <c r="BEV23" s="250" t="s">
        <v>31</v>
      </c>
      <c r="BEW23" s="251"/>
      <c r="BEX23" s="67" t="s">
        <v>88</v>
      </c>
      <c r="BEY23" s="68"/>
      <c r="BEZ23" s="69"/>
      <c r="BFA23" s="250" t="s">
        <v>31</v>
      </c>
      <c r="BFB23" s="251"/>
      <c r="BFC23" s="67" t="s">
        <v>88</v>
      </c>
      <c r="BFD23" s="68"/>
      <c r="BFE23" s="69"/>
      <c r="BFF23" s="250" t="s">
        <v>31</v>
      </c>
      <c r="BFG23" s="251"/>
      <c r="BFH23" s="67" t="s">
        <v>88</v>
      </c>
      <c r="BFI23" s="68"/>
      <c r="BFJ23" s="69"/>
      <c r="BFK23" s="250" t="s">
        <v>31</v>
      </c>
      <c r="BFL23" s="251"/>
      <c r="BFM23" s="67" t="s">
        <v>88</v>
      </c>
      <c r="BFN23" s="68"/>
      <c r="BFO23" s="69"/>
      <c r="BFP23" s="250" t="s">
        <v>31</v>
      </c>
      <c r="BFQ23" s="251"/>
      <c r="BFR23" s="67" t="s">
        <v>88</v>
      </c>
      <c r="BFS23" s="68"/>
      <c r="BFT23" s="69"/>
      <c r="BFU23" s="250" t="s">
        <v>31</v>
      </c>
      <c r="BFV23" s="251"/>
      <c r="BFW23" s="67" t="s">
        <v>88</v>
      </c>
      <c r="BFX23" s="68"/>
      <c r="BFY23" s="69"/>
      <c r="BFZ23" s="250" t="s">
        <v>31</v>
      </c>
      <c r="BGA23" s="251"/>
      <c r="BGB23" s="67" t="s">
        <v>88</v>
      </c>
      <c r="BGC23" s="68"/>
      <c r="BGD23" s="69"/>
      <c r="BGE23" s="273" t="s">
        <v>31</v>
      </c>
      <c r="BGF23" s="249"/>
      <c r="BGG23" s="67" t="s">
        <v>88</v>
      </c>
      <c r="BGH23" s="68"/>
      <c r="BGI23" s="69"/>
      <c r="BGJ23" s="273" t="s">
        <v>31</v>
      </c>
      <c r="BGK23" s="249"/>
      <c r="BGL23" s="67" t="s">
        <v>88</v>
      </c>
      <c r="BGM23" s="68"/>
      <c r="BGN23" s="69"/>
      <c r="BGO23" s="273" t="s">
        <v>31</v>
      </c>
      <c r="BGP23" s="249"/>
      <c r="BGQ23" s="67" t="s">
        <v>88</v>
      </c>
      <c r="BGR23" s="68"/>
      <c r="BGS23" s="69"/>
      <c r="BGT23" s="273" t="s">
        <v>31</v>
      </c>
      <c r="BGU23" s="249"/>
      <c r="BGV23" s="67" t="s">
        <v>88</v>
      </c>
      <c r="BGW23" s="68"/>
      <c r="BGX23" s="69"/>
      <c r="BGY23" s="273" t="s">
        <v>31</v>
      </c>
      <c r="BGZ23" s="249"/>
      <c r="BHA23" s="67" t="s">
        <v>88</v>
      </c>
      <c r="BHB23" s="68"/>
      <c r="BHC23" s="69"/>
      <c r="BHD23" s="273" t="s">
        <v>31</v>
      </c>
      <c r="BHE23" s="249"/>
      <c r="BHF23" s="67" t="s">
        <v>88</v>
      </c>
      <c r="BHG23" s="68"/>
      <c r="BHH23" s="69"/>
      <c r="BHI23" s="273" t="s">
        <v>31</v>
      </c>
      <c r="BHJ23" s="249"/>
      <c r="BHK23" s="67" t="s">
        <v>88</v>
      </c>
      <c r="BHL23" s="68"/>
      <c r="BHM23" s="69"/>
      <c r="BHN23" s="273" t="s">
        <v>52</v>
      </c>
      <c r="BHO23" s="249"/>
      <c r="BHP23" s="67" t="s">
        <v>88</v>
      </c>
      <c r="BHQ23" s="68"/>
      <c r="BHR23" s="69"/>
      <c r="BHS23" s="273" t="s">
        <v>52</v>
      </c>
      <c r="BHT23" s="249"/>
      <c r="BHU23" s="67" t="s">
        <v>88</v>
      </c>
      <c r="BHV23" s="68"/>
      <c r="BHW23" s="69"/>
      <c r="BHX23" s="273" t="s">
        <v>31</v>
      </c>
      <c r="BHY23" s="249"/>
      <c r="BHZ23" s="67" t="s">
        <v>88</v>
      </c>
      <c r="BIA23" s="68"/>
      <c r="BIB23" s="69"/>
      <c r="BIC23" s="273" t="s">
        <v>31</v>
      </c>
      <c r="BID23" s="249"/>
      <c r="BIE23" s="67" t="s">
        <v>88</v>
      </c>
      <c r="BIF23" s="68"/>
      <c r="BIG23" s="69"/>
      <c r="BIH23" s="273" t="s">
        <v>52</v>
      </c>
      <c r="BII23" s="249"/>
      <c r="BIJ23" s="67" t="s">
        <v>88</v>
      </c>
      <c r="BIK23" s="68"/>
      <c r="BIL23" s="69"/>
      <c r="BIM23" s="273" t="s">
        <v>31</v>
      </c>
      <c r="BIN23" s="249"/>
      <c r="BIO23" s="67" t="s">
        <v>88</v>
      </c>
      <c r="BIP23" s="68"/>
      <c r="BIQ23" s="69"/>
      <c r="BIR23" s="273" t="s">
        <v>52</v>
      </c>
      <c r="BIS23" s="249"/>
      <c r="BIT23" s="67" t="s">
        <v>88</v>
      </c>
      <c r="BIU23" s="68"/>
      <c r="BIV23" s="69"/>
      <c r="BIW23" s="273" t="s">
        <v>31</v>
      </c>
      <c r="BIX23" s="249"/>
      <c r="BIY23" s="67" t="s">
        <v>88</v>
      </c>
      <c r="BIZ23" s="68"/>
      <c r="BJA23" s="69"/>
      <c r="BJB23" s="273" t="s">
        <v>31</v>
      </c>
      <c r="BJC23" s="249"/>
      <c r="BJD23" s="67" t="s">
        <v>88</v>
      </c>
      <c r="BJE23" s="68"/>
      <c r="BJF23" s="69"/>
      <c r="BJG23" s="273" t="s">
        <v>31</v>
      </c>
      <c r="BJH23" s="249"/>
      <c r="BJI23" s="67" t="s">
        <v>88</v>
      </c>
      <c r="BJJ23" s="68"/>
      <c r="BJK23" s="69"/>
      <c r="BJL23" s="273" t="s">
        <v>31</v>
      </c>
      <c r="BJM23" s="249"/>
      <c r="BJN23" s="67" t="s">
        <v>88</v>
      </c>
      <c r="BJO23" s="68"/>
      <c r="BJP23" s="69"/>
      <c r="BJQ23" s="273" t="s">
        <v>31</v>
      </c>
      <c r="BJR23" s="249"/>
      <c r="BJS23" s="67" t="s">
        <v>88</v>
      </c>
      <c r="BJT23" s="68"/>
      <c r="BJU23" s="69"/>
      <c r="BJV23" s="273" t="s">
        <v>31</v>
      </c>
      <c r="BJW23" s="249"/>
      <c r="BJX23" s="67" t="s">
        <v>88</v>
      </c>
      <c r="BJY23" s="68"/>
      <c r="BJZ23" s="69"/>
      <c r="BKA23" s="273" t="s">
        <v>31</v>
      </c>
      <c r="BKB23" s="249"/>
      <c r="BKC23" s="67" t="s">
        <v>88</v>
      </c>
      <c r="BKD23" s="68"/>
      <c r="BKE23" s="69"/>
      <c r="BKF23" s="273" t="s">
        <v>31</v>
      </c>
      <c r="BKG23" s="249"/>
      <c r="BKH23" s="67" t="s">
        <v>88</v>
      </c>
      <c r="BKI23" s="68"/>
      <c r="BKJ23" s="69"/>
      <c r="BKK23" s="273" t="s">
        <v>31</v>
      </c>
      <c r="BKL23" s="249"/>
      <c r="BKM23" s="67" t="s">
        <v>88</v>
      </c>
      <c r="BKN23" s="68"/>
      <c r="BKO23" s="69"/>
      <c r="BKP23" s="273" t="s">
        <v>31</v>
      </c>
      <c r="BKQ23" s="249"/>
      <c r="BKR23" s="67" t="s">
        <v>88</v>
      </c>
      <c r="BKS23" s="68"/>
      <c r="BKT23" s="69"/>
      <c r="BKU23" s="273" t="s">
        <v>31</v>
      </c>
      <c r="BKV23" s="249"/>
      <c r="BKW23" s="67" t="s">
        <v>88</v>
      </c>
      <c r="BKX23" s="68"/>
      <c r="BKY23" s="69"/>
      <c r="BKZ23" s="273" t="s">
        <v>31</v>
      </c>
      <c r="BLA23" s="249"/>
      <c r="BLB23" s="67" t="s">
        <v>88</v>
      </c>
      <c r="BLC23" s="68"/>
      <c r="BLD23" s="69"/>
      <c r="BLE23" s="273" t="s">
        <v>52</v>
      </c>
      <c r="BLF23" s="249"/>
      <c r="BLG23" s="67" t="s">
        <v>88</v>
      </c>
      <c r="BLH23" s="68"/>
      <c r="BLI23" s="69"/>
      <c r="BLJ23" s="273" t="s">
        <v>31</v>
      </c>
      <c r="BLK23" s="249"/>
      <c r="BLL23" s="67" t="s">
        <v>88</v>
      </c>
      <c r="BLM23" s="68"/>
      <c r="BLN23" s="69"/>
      <c r="BLO23" s="273" t="s">
        <v>31</v>
      </c>
      <c r="BLP23" s="249"/>
      <c r="BLQ23" s="67" t="s">
        <v>88</v>
      </c>
      <c r="BLR23" s="68"/>
      <c r="BLS23" s="69"/>
      <c r="BLT23" s="273" t="s">
        <v>31</v>
      </c>
      <c r="BLU23" s="249"/>
      <c r="BLV23" s="67" t="s">
        <v>88</v>
      </c>
      <c r="BLW23" s="68"/>
      <c r="BLX23" s="69"/>
      <c r="BLY23" s="273" t="s">
        <v>31</v>
      </c>
      <c r="BLZ23" s="249"/>
      <c r="BMA23" s="67" t="s">
        <v>88</v>
      </c>
      <c r="BMB23" s="68"/>
      <c r="BMC23" s="69"/>
      <c r="BMD23" s="273" t="s">
        <v>31</v>
      </c>
      <c r="BME23" s="249"/>
      <c r="BMF23" s="67" t="s">
        <v>88</v>
      </c>
      <c r="BMG23" s="68"/>
      <c r="BMH23" s="69"/>
      <c r="BMI23" s="273" t="s">
        <v>31</v>
      </c>
      <c r="BMJ23" s="249"/>
      <c r="BMK23" s="67" t="s">
        <v>88</v>
      </c>
      <c r="BML23" s="68"/>
      <c r="BMM23" s="69"/>
      <c r="BMN23" s="273" t="s">
        <v>31</v>
      </c>
      <c r="BMO23" s="249"/>
      <c r="BMP23" s="67" t="s">
        <v>88</v>
      </c>
      <c r="BMQ23" s="68"/>
      <c r="BMR23" s="69"/>
      <c r="BMS23" s="273" t="s">
        <v>31</v>
      </c>
      <c r="BMT23" s="249"/>
      <c r="BMU23" s="67" t="s">
        <v>88</v>
      </c>
      <c r="BMV23" s="68"/>
      <c r="BMW23" s="69"/>
      <c r="BMX23" s="273" t="s">
        <v>31</v>
      </c>
      <c r="BMY23" s="249"/>
      <c r="BMZ23" s="67" t="s">
        <v>88</v>
      </c>
      <c r="BNA23" s="68"/>
      <c r="BNB23" s="69"/>
      <c r="BNC23" s="273" t="s">
        <v>52</v>
      </c>
      <c r="BND23" s="249"/>
      <c r="BNE23" s="67" t="s">
        <v>88</v>
      </c>
      <c r="BNF23" s="68"/>
      <c r="BNG23" s="69"/>
      <c r="BNH23" s="273" t="s">
        <v>31</v>
      </c>
      <c r="BNI23" s="249"/>
      <c r="BNJ23" s="67" t="s">
        <v>88</v>
      </c>
      <c r="BNK23" s="68"/>
      <c r="BNL23" s="69"/>
      <c r="BNM23" s="273" t="s">
        <v>31</v>
      </c>
      <c r="BNN23" s="249"/>
      <c r="BNO23" s="67" t="s">
        <v>88</v>
      </c>
      <c r="BNP23" s="68"/>
      <c r="BNQ23" s="69"/>
      <c r="BNR23" s="273" t="s">
        <v>31</v>
      </c>
      <c r="BNS23" s="249"/>
      <c r="BNT23" s="67" t="s">
        <v>88</v>
      </c>
      <c r="BNU23" s="68"/>
      <c r="BNV23" s="69"/>
      <c r="BNW23" s="273" t="s">
        <v>52</v>
      </c>
      <c r="BNX23" s="249"/>
      <c r="BNY23" s="67" t="s">
        <v>88</v>
      </c>
      <c r="BNZ23" s="68"/>
      <c r="BOA23" s="69"/>
      <c r="BOB23" s="273" t="s">
        <v>52</v>
      </c>
      <c r="BOC23" s="249"/>
      <c r="BOD23" s="67" t="s">
        <v>88</v>
      </c>
      <c r="BOE23" s="68"/>
      <c r="BOF23" s="69"/>
      <c r="BOG23" s="273" t="s">
        <v>52</v>
      </c>
      <c r="BOH23" s="249"/>
      <c r="BOI23" s="67" t="s">
        <v>88</v>
      </c>
      <c r="BOJ23" s="68"/>
      <c r="BOK23" s="69"/>
      <c r="BOL23" s="273" t="s">
        <v>52</v>
      </c>
      <c r="BOM23" s="249"/>
      <c r="BON23" s="67" t="s">
        <v>88</v>
      </c>
      <c r="BOO23" s="68"/>
      <c r="BOP23" s="69"/>
      <c r="BOQ23" s="273" t="s">
        <v>31</v>
      </c>
      <c r="BOR23" s="249"/>
      <c r="BOS23" s="67" t="s">
        <v>88</v>
      </c>
      <c r="BOT23" s="68"/>
      <c r="BOU23" s="69"/>
      <c r="BOV23" s="273" t="s">
        <v>31</v>
      </c>
      <c r="BOW23" s="249"/>
      <c r="BOX23" s="67" t="s">
        <v>88</v>
      </c>
      <c r="BOY23" s="68"/>
      <c r="BOZ23" s="69"/>
      <c r="BPA23" s="273" t="s">
        <v>52</v>
      </c>
      <c r="BPB23" s="249"/>
      <c r="BPC23" s="67" t="s">
        <v>88</v>
      </c>
      <c r="BPD23" s="68"/>
      <c r="BPE23" s="69"/>
      <c r="BPF23" s="273" t="s">
        <v>31</v>
      </c>
      <c r="BPG23" s="249"/>
      <c r="BPH23" s="67" t="s">
        <v>88</v>
      </c>
      <c r="BPI23" s="68"/>
      <c r="BPJ23" s="69"/>
      <c r="BPK23" s="273" t="s">
        <v>31</v>
      </c>
      <c r="BPL23" s="249"/>
      <c r="BPM23" s="67" t="s">
        <v>88</v>
      </c>
      <c r="BPN23" s="68"/>
      <c r="BPO23" s="69"/>
      <c r="BPP23" s="273" t="s">
        <v>31</v>
      </c>
      <c r="BPQ23" s="249"/>
      <c r="BPR23" s="67" t="s">
        <v>88</v>
      </c>
      <c r="BPS23" s="68"/>
      <c r="BPT23" s="69"/>
      <c r="BPU23" s="273" t="s">
        <v>31</v>
      </c>
      <c r="BPV23" s="249"/>
      <c r="BPW23" s="67" t="s">
        <v>88</v>
      </c>
      <c r="BPX23" s="68"/>
      <c r="BPY23" s="69"/>
      <c r="BPZ23" s="273" t="s">
        <v>31</v>
      </c>
      <c r="BQA23" s="249"/>
      <c r="BQB23" s="67" t="s">
        <v>88</v>
      </c>
      <c r="BQC23" s="68"/>
      <c r="BQD23" s="69"/>
      <c r="BQE23" s="273" t="s">
        <v>31</v>
      </c>
      <c r="BQF23" s="249"/>
      <c r="BQG23" s="67" t="s">
        <v>88</v>
      </c>
      <c r="BQH23" s="68"/>
      <c r="BQI23" s="69"/>
      <c r="BQJ23" s="273" t="s">
        <v>31</v>
      </c>
      <c r="BQK23" s="249"/>
      <c r="BQL23" s="67" t="s">
        <v>88</v>
      </c>
      <c r="BQM23" s="68"/>
      <c r="BQN23" s="69"/>
      <c r="BQO23" s="273" t="s">
        <v>31</v>
      </c>
      <c r="BQP23" s="249"/>
      <c r="BQQ23" s="67" t="s">
        <v>88</v>
      </c>
      <c r="BQR23" s="68"/>
      <c r="BQS23" s="69"/>
      <c r="BQT23" s="273" t="s">
        <v>52</v>
      </c>
      <c r="BQU23" s="249"/>
      <c r="BQV23" s="67" t="s">
        <v>88</v>
      </c>
      <c r="BQW23" s="68"/>
      <c r="BQX23" s="69"/>
      <c r="BQY23" s="273" t="s">
        <v>52</v>
      </c>
      <c r="BQZ23" s="249"/>
      <c r="BRA23" s="67" t="s">
        <v>88</v>
      </c>
      <c r="BRB23" s="68"/>
      <c r="BRC23" s="69"/>
      <c r="BRD23" s="273" t="s">
        <v>68</v>
      </c>
      <c r="BRE23" s="249"/>
      <c r="BRF23" s="67" t="s">
        <v>88</v>
      </c>
      <c r="BRG23" s="68"/>
      <c r="BRH23" s="69"/>
      <c r="BRI23" s="273" t="s">
        <v>31</v>
      </c>
      <c r="BRJ23" s="249"/>
      <c r="BRK23" s="67" t="s">
        <v>88</v>
      </c>
      <c r="BRL23" s="68"/>
      <c r="BRM23" s="69"/>
      <c r="BRN23" s="273" t="s">
        <v>31</v>
      </c>
      <c r="BRO23" s="249"/>
      <c r="BRP23" s="67" t="s">
        <v>88</v>
      </c>
      <c r="BRQ23" s="68"/>
      <c r="BRR23" s="69"/>
      <c r="BRS23" s="273" t="s">
        <v>68</v>
      </c>
      <c r="BRT23" s="249"/>
      <c r="BRU23" s="67" t="s">
        <v>88</v>
      </c>
      <c r="BRV23" s="68"/>
      <c r="BRW23" s="69"/>
      <c r="BRX23" s="273" t="s">
        <v>68</v>
      </c>
      <c r="BRY23" s="249"/>
      <c r="BRZ23" s="67" t="s">
        <v>88</v>
      </c>
      <c r="BSA23" s="68"/>
      <c r="BSB23" s="69"/>
      <c r="BSC23" s="273" t="s">
        <v>68</v>
      </c>
      <c r="BSD23" s="249"/>
      <c r="BSE23" s="67" t="s">
        <v>88</v>
      </c>
      <c r="BSF23" s="68"/>
      <c r="BSG23" s="69"/>
      <c r="BSH23" s="273" t="s">
        <v>68</v>
      </c>
      <c r="BSI23" s="249"/>
      <c r="BSJ23" s="67" t="s">
        <v>88</v>
      </c>
      <c r="BSK23" s="68"/>
      <c r="BSL23" s="69"/>
      <c r="BSM23" s="273" t="s">
        <v>68</v>
      </c>
      <c r="BSN23" s="249"/>
      <c r="BSO23" s="67" t="s">
        <v>88</v>
      </c>
      <c r="BSP23" s="68"/>
      <c r="BSQ23" s="69"/>
      <c r="BSR23" s="273" t="s">
        <v>31</v>
      </c>
      <c r="BSS23" s="249"/>
      <c r="BST23" s="67" t="s">
        <v>88</v>
      </c>
      <c r="BSU23" s="68"/>
      <c r="BSV23" s="69"/>
      <c r="BSW23" s="273" t="s">
        <v>31</v>
      </c>
      <c r="BSX23" s="249"/>
      <c r="BSY23" s="67" t="s">
        <v>88</v>
      </c>
      <c r="BSZ23" s="68"/>
      <c r="BTA23" s="69"/>
      <c r="BTB23" s="273" t="s">
        <v>68</v>
      </c>
      <c r="BTC23" s="249"/>
      <c r="BTD23" s="67" t="s">
        <v>88</v>
      </c>
      <c r="BTE23" s="68"/>
      <c r="BTF23" s="69"/>
      <c r="BTG23" s="273" t="s">
        <v>68</v>
      </c>
      <c r="BTH23" s="249"/>
      <c r="BTI23" s="67" t="s">
        <v>88</v>
      </c>
      <c r="BTJ23" s="68"/>
      <c r="BTK23" s="69"/>
      <c r="BTL23" s="273" t="s">
        <v>68</v>
      </c>
      <c r="BTM23" s="249"/>
      <c r="BTN23" s="67" t="s">
        <v>88</v>
      </c>
      <c r="BTO23" s="68"/>
      <c r="BTP23" s="69"/>
      <c r="BTQ23" s="273" t="s">
        <v>68</v>
      </c>
      <c r="BTR23" s="249"/>
      <c r="BTS23" s="67" t="s">
        <v>88</v>
      </c>
      <c r="BTT23" s="68"/>
      <c r="BTU23" s="69"/>
      <c r="BTV23" s="273" t="s">
        <v>68</v>
      </c>
      <c r="BTW23" s="249"/>
      <c r="BTX23" s="67" t="s">
        <v>88</v>
      </c>
      <c r="BTY23" s="68"/>
      <c r="BTZ23" s="69"/>
      <c r="BUA23" s="273" t="s">
        <v>31</v>
      </c>
      <c r="BUB23" s="249"/>
      <c r="BUC23" s="67" t="s">
        <v>88</v>
      </c>
      <c r="BUD23" s="68"/>
      <c r="BUE23" s="69"/>
      <c r="BUF23" s="273" t="s">
        <v>31</v>
      </c>
      <c r="BUG23" s="249"/>
      <c r="BUH23" s="67" t="s">
        <v>88</v>
      </c>
      <c r="BUI23" s="68"/>
      <c r="BUJ23" s="69"/>
      <c r="BUK23" s="273" t="s">
        <v>31</v>
      </c>
      <c r="BUL23" s="249"/>
      <c r="BUM23" s="67" t="s">
        <v>88</v>
      </c>
      <c r="BUN23" s="68"/>
      <c r="BUO23" s="69"/>
      <c r="BUP23" s="273" t="s">
        <v>31</v>
      </c>
      <c r="BUQ23" s="249"/>
      <c r="BUR23" s="67" t="s">
        <v>88</v>
      </c>
      <c r="BUS23" s="68"/>
      <c r="BUT23" s="69"/>
      <c r="BUU23" s="273" t="s">
        <v>68</v>
      </c>
      <c r="BUV23" s="249"/>
      <c r="BUW23" s="67" t="s">
        <v>88</v>
      </c>
      <c r="BUX23" s="68"/>
      <c r="BUY23" s="69"/>
      <c r="BUZ23" s="273" t="s">
        <v>68</v>
      </c>
      <c r="BVA23" s="249"/>
      <c r="BVB23" s="67" t="s">
        <v>88</v>
      </c>
      <c r="BVC23" s="68"/>
      <c r="BVD23" s="69"/>
      <c r="BVE23" s="273" t="s">
        <v>68</v>
      </c>
      <c r="BVF23" s="249"/>
      <c r="BVG23" s="67" t="s">
        <v>88</v>
      </c>
      <c r="BVH23" s="68"/>
      <c r="BVI23" s="69"/>
      <c r="BVJ23" s="273" t="s">
        <v>41</v>
      </c>
      <c r="BVK23" s="249"/>
      <c r="BVL23" s="67" t="s">
        <v>88</v>
      </c>
      <c r="BVM23" s="68"/>
      <c r="BVN23" s="69"/>
      <c r="BVO23" s="273" t="s">
        <v>68</v>
      </c>
      <c r="BVP23" s="249"/>
      <c r="BVQ23" s="67" t="s">
        <v>88</v>
      </c>
      <c r="BVR23" s="68"/>
      <c r="BVS23" s="69"/>
      <c r="BVT23" s="273" t="s">
        <v>68</v>
      </c>
      <c r="BVU23" s="249"/>
      <c r="BVV23" s="67" t="s">
        <v>88</v>
      </c>
      <c r="BVW23" s="68"/>
      <c r="BVX23" s="69"/>
      <c r="BVY23" s="273" t="s">
        <v>31</v>
      </c>
      <c r="BVZ23" s="249"/>
      <c r="BWA23" s="67" t="s">
        <v>88</v>
      </c>
      <c r="BWB23" s="68"/>
      <c r="BWC23" s="69"/>
      <c r="BWD23" s="273" t="s">
        <v>31</v>
      </c>
      <c r="BWE23" s="249"/>
      <c r="BWF23" s="67" t="s">
        <v>88</v>
      </c>
      <c r="BWG23" s="68"/>
      <c r="BWH23" s="69"/>
      <c r="BWI23" s="273" t="s">
        <v>68</v>
      </c>
      <c r="BWJ23" s="249"/>
      <c r="BWK23" s="67" t="s">
        <v>88</v>
      </c>
      <c r="BWL23" s="68"/>
      <c r="BWM23" s="69"/>
      <c r="BWN23" s="273" t="s">
        <v>68</v>
      </c>
      <c r="BWO23" s="249"/>
      <c r="BWP23" s="67" t="s">
        <v>88</v>
      </c>
      <c r="BWQ23" s="68"/>
      <c r="BWR23" s="69"/>
      <c r="BWS23" s="273" t="s">
        <v>68</v>
      </c>
      <c r="BWT23" s="249"/>
      <c r="BWU23" s="67" t="s">
        <v>88</v>
      </c>
      <c r="BWV23" s="68"/>
      <c r="BWW23" s="69"/>
      <c r="BWX23" s="273" t="s">
        <v>68</v>
      </c>
      <c r="BWY23" s="249"/>
      <c r="BWZ23" s="67" t="s">
        <v>88</v>
      </c>
      <c r="BXA23" s="68"/>
      <c r="BXB23" s="69"/>
      <c r="BXC23" s="273" t="s">
        <v>31</v>
      </c>
      <c r="BXD23" s="249"/>
      <c r="BXE23" s="67" t="s">
        <v>88</v>
      </c>
      <c r="BXF23" s="68"/>
      <c r="BXG23" s="69"/>
      <c r="BXH23" s="273" t="s">
        <v>31</v>
      </c>
      <c r="BXI23" s="249"/>
      <c r="BXJ23" s="67" t="s">
        <v>88</v>
      </c>
      <c r="BXK23" s="68"/>
      <c r="BXL23" s="69"/>
      <c r="BXM23" s="273" t="s">
        <v>31</v>
      </c>
      <c r="BXN23" s="249"/>
      <c r="BXO23" s="67" t="s">
        <v>88</v>
      </c>
      <c r="BXP23" s="68"/>
      <c r="BXQ23" s="69"/>
      <c r="BXR23" s="273" t="s">
        <v>68</v>
      </c>
      <c r="BXS23" s="249"/>
      <c r="BXT23" s="67" t="s">
        <v>88</v>
      </c>
      <c r="BXU23" s="68"/>
      <c r="BXV23" s="69"/>
      <c r="BXW23" s="273" t="s">
        <v>41</v>
      </c>
      <c r="BXX23" s="249"/>
      <c r="BXY23" s="67" t="s">
        <v>88</v>
      </c>
      <c r="BXZ23" s="68"/>
      <c r="BYA23" s="69"/>
      <c r="BYB23" s="273" t="s">
        <v>68</v>
      </c>
      <c r="BYC23" s="249"/>
      <c r="BYD23" s="67" t="s">
        <v>88</v>
      </c>
      <c r="BYE23" s="68"/>
      <c r="BYF23" s="69"/>
      <c r="BYG23" s="273" t="s">
        <v>68</v>
      </c>
      <c r="BYH23" s="249"/>
      <c r="BYI23" s="67" t="s">
        <v>88</v>
      </c>
      <c r="BYJ23" s="68"/>
      <c r="BYK23" s="69"/>
      <c r="BYL23" s="273" t="s">
        <v>68</v>
      </c>
      <c r="BYM23" s="249"/>
      <c r="BYN23" s="67" t="s">
        <v>88</v>
      </c>
      <c r="BYO23" s="68"/>
      <c r="BYP23" s="69"/>
      <c r="BYQ23" s="273" t="s">
        <v>68</v>
      </c>
      <c r="BYR23" s="249"/>
      <c r="BYS23" s="67" t="s">
        <v>88</v>
      </c>
      <c r="BYT23" s="68"/>
      <c r="BYU23" s="69"/>
      <c r="BYV23" s="273" t="s">
        <v>68</v>
      </c>
      <c r="BYW23" s="249"/>
      <c r="BYX23" s="67" t="s">
        <v>88</v>
      </c>
      <c r="BYY23" s="68"/>
      <c r="BYZ23" s="69"/>
      <c r="BZA23" s="273" t="s">
        <v>31</v>
      </c>
      <c r="BZB23" s="249"/>
      <c r="BZC23" s="67" t="s">
        <v>88</v>
      </c>
      <c r="BZD23" s="68"/>
      <c r="BZE23" s="69"/>
      <c r="BZF23" s="273" t="s">
        <v>31</v>
      </c>
      <c r="BZG23" s="249"/>
      <c r="BZH23" s="67" t="s">
        <v>88</v>
      </c>
      <c r="BZI23" s="68"/>
      <c r="BZJ23" s="69"/>
      <c r="BZK23" s="273" t="s">
        <v>68</v>
      </c>
      <c r="BZL23" s="249"/>
      <c r="BZM23" s="67" t="s">
        <v>88</v>
      </c>
      <c r="BZN23" s="68"/>
      <c r="BZO23" s="69"/>
      <c r="BZP23" s="273" t="s">
        <v>68</v>
      </c>
      <c r="BZQ23" s="249"/>
      <c r="BZR23" s="67" t="s">
        <v>88</v>
      </c>
      <c r="BZS23" s="68"/>
      <c r="BZT23" s="69"/>
      <c r="BZU23" s="273" t="s">
        <v>68</v>
      </c>
      <c r="BZV23" s="249"/>
      <c r="BZW23" s="67" t="s">
        <v>88</v>
      </c>
      <c r="BZX23" s="68"/>
      <c r="BZY23" s="69"/>
      <c r="BZZ23" s="273" t="s">
        <v>68</v>
      </c>
      <c r="CAA23" s="249"/>
      <c r="CAB23" s="67" t="s">
        <v>88</v>
      </c>
      <c r="CAC23" s="68"/>
      <c r="CAD23" s="69"/>
      <c r="CAE23" s="273" t="s">
        <v>68</v>
      </c>
      <c r="CAF23" s="249"/>
      <c r="CAG23" s="67" t="s">
        <v>88</v>
      </c>
      <c r="CAH23" s="68"/>
      <c r="CAI23" s="69"/>
      <c r="CAJ23" s="273" t="s">
        <v>68</v>
      </c>
      <c r="CAK23" s="249"/>
      <c r="CAL23" s="67" t="s">
        <v>88</v>
      </c>
      <c r="CAM23" s="68"/>
      <c r="CAN23" s="69"/>
      <c r="CAO23" s="273" t="s">
        <v>68</v>
      </c>
      <c r="CAP23" s="249"/>
      <c r="CAQ23" s="67" t="s">
        <v>88</v>
      </c>
      <c r="CAR23" s="68"/>
      <c r="CAS23" s="69"/>
      <c r="CAT23" s="273" t="s">
        <v>68</v>
      </c>
      <c r="CAU23" s="249"/>
      <c r="CAV23" s="67" t="s">
        <v>88</v>
      </c>
      <c r="CAW23" s="68"/>
      <c r="CAX23" s="69"/>
      <c r="CAY23" s="273" t="s">
        <v>68</v>
      </c>
      <c r="CAZ23" s="249"/>
      <c r="CBA23" s="67" t="s">
        <v>88</v>
      </c>
      <c r="CBB23" s="68"/>
      <c r="CBC23" s="69"/>
      <c r="CBD23" s="273" t="s">
        <v>68</v>
      </c>
      <c r="CBE23" s="249"/>
      <c r="CBF23" s="67" t="s">
        <v>88</v>
      </c>
      <c r="CBG23" s="68"/>
      <c r="CBH23" s="69"/>
      <c r="CBI23" s="273" t="s">
        <v>68</v>
      </c>
      <c r="CBJ23" s="249"/>
      <c r="CBK23" s="67" t="s">
        <v>88</v>
      </c>
      <c r="CBL23" s="68"/>
      <c r="CBM23" s="69"/>
      <c r="CBN23" s="273" t="s">
        <v>31</v>
      </c>
      <c r="CBO23" s="249"/>
      <c r="CBP23" s="67" t="s">
        <v>88</v>
      </c>
      <c r="CBQ23" s="68"/>
      <c r="CBR23" s="69"/>
      <c r="CBS23" s="273" t="s">
        <v>31</v>
      </c>
      <c r="CBT23" s="249"/>
      <c r="CBU23" s="67" t="s">
        <v>88</v>
      </c>
      <c r="CBV23" s="68"/>
      <c r="CBW23" s="69"/>
      <c r="CBX23" s="273" t="s">
        <v>68</v>
      </c>
      <c r="CBY23" s="249"/>
      <c r="CBZ23" s="67" t="s">
        <v>88</v>
      </c>
      <c r="CCA23" s="68"/>
      <c r="CCB23" s="69"/>
      <c r="CCC23" s="273" t="s">
        <v>68</v>
      </c>
      <c r="CCD23" s="249"/>
      <c r="CCE23" s="67" t="s">
        <v>88</v>
      </c>
      <c r="CCF23" s="68"/>
      <c r="CCG23" s="69"/>
      <c r="CCH23" s="273" t="s">
        <v>68</v>
      </c>
      <c r="CCI23" s="249"/>
      <c r="CCJ23" s="67" t="s">
        <v>88</v>
      </c>
      <c r="CCK23" s="68"/>
      <c r="CCL23" s="69"/>
      <c r="CCM23" s="273" t="s">
        <v>31</v>
      </c>
      <c r="CCN23" s="249"/>
      <c r="CCO23" s="67" t="s">
        <v>88</v>
      </c>
      <c r="CCP23" s="68"/>
      <c r="CCQ23" s="69"/>
      <c r="CCR23" s="273" t="s">
        <v>31</v>
      </c>
      <c r="CCS23" s="249"/>
      <c r="CCT23" s="67" t="s">
        <v>88</v>
      </c>
      <c r="CCU23" s="68"/>
      <c r="CCV23" s="69"/>
      <c r="CCW23" s="273" t="s">
        <v>31</v>
      </c>
      <c r="CCX23" s="249"/>
      <c r="CCY23" s="67" t="s">
        <v>88</v>
      </c>
      <c r="CCZ23" s="68"/>
      <c r="CDA23" s="69"/>
      <c r="CDB23" s="273" t="s">
        <v>68</v>
      </c>
      <c r="CDC23" s="249"/>
      <c r="CDD23" s="67" t="s">
        <v>88</v>
      </c>
      <c r="CDE23" s="68"/>
      <c r="CDF23" s="69"/>
      <c r="CDG23" s="273" t="s">
        <v>68</v>
      </c>
      <c r="CDH23" s="249"/>
      <c r="CDI23" s="67" t="s">
        <v>88</v>
      </c>
      <c r="CDJ23" s="68"/>
      <c r="CDK23" s="69"/>
      <c r="CDL23" s="273" t="s">
        <v>61</v>
      </c>
      <c r="CDM23" s="249"/>
      <c r="CDN23" s="67" t="s">
        <v>88</v>
      </c>
      <c r="CDO23" s="68"/>
      <c r="CDP23" s="69"/>
      <c r="CDQ23" s="273" t="s">
        <v>68</v>
      </c>
      <c r="CDR23" s="249"/>
      <c r="CDS23" s="67" t="s">
        <v>88</v>
      </c>
      <c r="CDT23" s="68"/>
      <c r="CDU23" s="69"/>
      <c r="CDV23" s="273" t="s">
        <v>31</v>
      </c>
      <c r="CDW23" s="249"/>
      <c r="CDX23" s="67" t="s">
        <v>88</v>
      </c>
      <c r="CDY23" s="68"/>
      <c r="CDZ23" s="69"/>
      <c r="CEA23" s="273" t="s">
        <v>31</v>
      </c>
      <c r="CEB23" s="249"/>
      <c r="CEC23" s="67" t="s">
        <v>88</v>
      </c>
      <c r="CED23" s="68"/>
      <c r="CEE23" s="69"/>
      <c r="CEF23" s="273" t="s">
        <v>68</v>
      </c>
      <c r="CEG23" s="249"/>
      <c r="CEH23" s="67" t="s">
        <v>88</v>
      </c>
      <c r="CEI23" s="68"/>
      <c r="CEJ23" s="69"/>
      <c r="CEK23" s="273" t="s">
        <v>68</v>
      </c>
      <c r="CEL23" s="249"/>
      <c r="CEM23" s="67" t="s">
        <v>88</v>
      </c>
      <c r="CEN23" s="68"/>
      <c r="CEO23" s="69"/>
      <c r="CEP23" s="273" t="s">
        <v>41</v>
      </c>
      <c r="CEQ23" s="249"/>
      <c r="CER23" s="67" t="s">
        <v>88</v>
      </c>
      <c r="CES23" s="68"/>
      <c r="CET23" s="69"/>
      <c r="CEU23" s="273" t="s">
        <v>68</v>
      </c>
      <c r="CEV23" s="249"/>
      <c r="CEW23" s="67" t="s">
        <v>88</v>
      </c>
      <c r="CEX23" s="68"/>
      <c r="CEY23" s="69"/>
      <c r="CEZ23" s="273" t="s">
        <v>124</v>
      </c>
      <c r="CFA23" s="249"/>
      <c r="CFB23" s="67" t="s">
        <v>88</v>
      </c>
      <c r="CFC23" s="68"/>
      <c r="CFD23" s="69"/>
      <c r="CFE23" s="273" t="s">
        <v>68</v>
      </c>
      <c r="CFF23" s="249"/>
      <c r="CFG23" s="67" t="s">
        <v>88</v>
      </c>
      <c r="CFH23" s="68"/>
      <c r="CFI23" s="69"/>
      <c r="CFJ23" s="273" t="s">
        <v>61</v>
      </c>
      <c r="CFK23" s="249"/>
      <c r="CFL23" s="67" t="s">
        <v>88</v>
      </c>
      <c r="CFM23" s="68"/>
      <c r="CFN23" s="69"/>
      <c r="CFO23" s="273" t="s">
        <v>31</v>
      </c>
      <c r="CFP23" s="249"/>
      <c r="CFQ23" s="67" t="s">
        <v>88</v>
      </c>
      <c r="CFR23" s="68"/>
      <c r="CFS23" s="69"/>
      <c r="CFT23" s="273" t="s">
        <v>124</v>
      </c>
      <c r="CFU23" s="249"/>
      <c r="CFV23" s="67" t="s">
        <v>88</v>
      </c>
      <c r="CFW23" s="68"/>
      <c r="CFX23" s="69"/>
      <c r="CFY23" s="273" t="s">
        <v>68</v>
      </c>
      <c r="CFZ23" s="249"/>
      <c r="CGA23" s="67" t="s">
        <v>88</v>
      </c>
      <c r="CGB23" s="68"/>
      <c r="CGC23" s="69"/>
      <c r="CGD23" s="273" t="s">
        <v>61</v>
      </c>
      <c r="CGE23" s="249"/>
      <c r="CGF23" s="67" t="s">
        <v>88</v>
      </c>
      <c r="CGG23" s="68"/>
      <c r="CGH23" s="69"/>
      <c r="CGI23" s="273" t="s">
        <v>31</v>
      </c>
      <c r="CGJ23" s="249"/>
      <c r="CGK23" s="67" t="s">
        <v>88</v>
      </c>
      <c r="CGL23" s="68"/>
      <c r="CGM23" s="69"/>
      <c r="CGN23" s="273" t="s">
        <v>68</v>
      </c>
      <c r="CGO23" s="249"/>
      <c r="CGP23" s="67" t="s">
        <v>88</v>
      </c>
      <c r="CGQ23" s="68"/>
      <c r="CGR23" s="69"/>
      <c r="CGS23" s="273" t="s">
        <v>31</v>
      </c>
      <c r="CGT23" s="249"/>
      <c r="CGU23" s="67" t="s">
        <v>88</v>
      </c>
      <c r="CGV23" s="68"/>
      <c r="CGW23" s="69"/>
      <c r="CGX23" s="273" t="s">
        <v>68</v>
      </c>
      <c r="CGY23" s="249"/>
      <c r="CGZ23" s="67" t="s">
        <v>88</v>
      </c>
      <c r="CHA23" s="68"/>
      <c r="CHB23" s="69"/>
      <c r="CHC23" s="273" t="s">
        <v>68</v>
      </c>
      <c r="CHD23" s="249"/>
      <c r="CHE23" s="67" t="s">
        <v>88</v>
      </c>
      <c r="CHF23" s="68"/>
      <c r="CHG23" s="69"/>
      <c r="CHH23" s="273" t="s">
        <v>61</v>
      </c>
      <c r="CHI23" s="249"/>
      <c r="CHJ23" s="67" t="s">
        <v>88</v>
      </c>
      <c r="CHK23" s="68"/>
      <c r="CHL23" s="69"/>
      <c r="CHM23" s="273" t="s">
        <v>68</v>
      </c>
      <c r="CHN23" s="249"/>
      <c r="CHO23" s="67" t="s">
        <v>88</v>
      </c>
      <c r="CHP23" s="68"/>
      <c r="CHQ23" s="69"/>
      <c r="CHR23" s="273" t="s">
        <v>31</v>
      </c>
      <c r="CHS23" s="249"/>
      <c r="CHT23" s="67" t="s">
        <v>88</v>
      </c>
      <c r="CHU23" s="68"/>
      <c r="CHV23" s="69"/>
      <c r="CHW23" s="273" t="s">
        <v>31</v>
      </c>
      <c r="CHX23" s="249"/>
      <c r="CHY23" s="67" t="s">
        <v>88</v>
      </c>
      <c r="CHZ23" s="68"/>
      <c r="CIA23" s="69"/>
      <c r="CIB23" s="273" t="s">
        <v>68</v>
      </c>
      <c r="CIC23" s="249"/>
      <c r="CID23" s="67" t="s">
        <v>88</v>
      </c>
      <c r="CIE23" s="68"/>
      <c r="CIF23" s="69"/>
      <c r="CIG23" s="273" t="s">
        <v>68</v>
      </c>
      <c r="CIH23" s="249"/>
      <c r="CII23" s="67" t="s">
        <v>88</v>
      </c>
      <c r="CIJ23" s="68"/>
      <c r="CIK23" s="69"/>
      <c r="CIL23" s="273" t="s">
        <v>68</v>
      </c>
      <c r="CIM23" s="249"/>
      <c r="CIN23" s="67" t="s">
        <v>88</v>
      </c>
      <c r="CIO23" s="68"/>
      <c r="CIP23" s="69"/>
      <c r="CIQ23" s="273" t="s">
        <v>61</v>
      </c>
      <c r="CIR23" s="249"/>
      <c r="CIS23" s="67" t="s">
        <v>88</v>
      </c>
      <c r="CIT23" s="68"/>
      <c r="CIU23" s="69"/>
      <c r="CIV23" s="273" t="s">
        <v>52</v>
      </c>
      <c r="CIW23" s="249"/>
      <c r="CIX23" s="67" t="s">
        <v>88</v>
      </c>
      <c r="CIY23" s="68"/>
      <c r="CIZ23" s="69"/>
      <c r="CJA23" s="273" t="s">
        <v>31</v>
      </c>
      <c r="CJB23" s="249"/>
      <c r="CJC23" s="67" t="s">
        <v>88</v>
      </c>
      <c r="CJD23" s="68"/>
      <c r="CJE23" s="69"/>
      <c r="CJF23" s="273" t="s">
        <v>68</v>
      </c>
      <c r="CJG23" s="249"/>
      <c r="CJH23" s="67" t="s">
        <v>88</v>
      </c>
      <c r="CJI23" s="68"/>
      <c r="CJJ23" s="69"/>
      <c r="CJK23" s="273" t="s">
        <v>41</v>
      </c>
      <c r="CJL23" s="249"/>
      <c r="CJM23" s="67" t="s">
        <v>88</v>
      </c>
      <c r="CJN23" s="68"/>
      <c r="CJO23" s="69"/>
      <c r="CJP23" s="273" t="s">
        <v>31</v>
      </c>
      <c r="CJQ23" s="249"/>
      <c r="CJR23" s="67" t="s">
        <v>88</v>
      </c>
      <c r="CJS23" s="68"/>
      <c r="CJT23" s="69"/>
      <c r="CJU23" s="273" t="s">
        <v>31</v>
      </c>
      <c r="CJV23" s="249"/>
      <c r="CJW23" s="67" t="s">
        <v>88</v>
      </c>
      <c r="CJX23" s="68"/>
      <c r="CJY23" s="69"/>
      <c r="CJZ23" s="273" t="s">
        <v>68</v>
      </c>
      <c r="CKA23" s="249"/>
      <c r="CKB23" s="67" t="s">
        <v>88</v>
      </c>
      <c r="CKC23" s="68"/>
      <c r="CKD23" s="69"/>
      <c r="CKE23" s="273" t="s">
        <v>61</v>
      </c>
      <c r="CKF23" s="249"/>
      <c r="CKG23" s="67" t="s">
        <v>88</v>
      </c>
      <c r="CKH23" s="68"/>
      <c r="CKI23" s="69"/>
      <c r="CKJ23" s="273" t="s">
        <v>123</v>
      </c>
      <c r="CKK23" s="249"/>
      <c r="CKL23" s="67" t="s">
        <v>88</v>
      </c>
      <c r="CKM23" s="68"/>
      <c r="CKN23" s="69"/>
      <c r="CKO23" s="273" t="s">
        <v>61</v>
      </c>
      <c r="CKP23" s="249"/>
      <c r="CKQ23" s="67" t="s">
        <v>88</v>
      </c>
      <c r="CKR23" s="68"/>
      <c r="CKS23" s="69"/>
      <c r="CKT23" s="273" t="s">
        <v>68</v>
      </c>
      <c r="CKU23" s="249"/>
      <c r="CKV23" s="67" t="s">
        <v>88</v>
      </c>
      <c r="CKW23" s="68"/>
      <c r="CKX23" s="69"/>
      <c r="CKY23" s="273" t="s">
        <v>31</v>
      </c>
      <c r="CKZ23" s="249"/>
      <c r="CLA23" s="67" t="s">
        <v>88</v>
      </c>
      <c r="CLB23" s="68"/>
      <c r="CLC23" s="69"/>
      <c r="CLD23" s="273" t="s">
        <v>31</v>
      </c>
      <c r="CLE23" s="249"/>
      <c r="CLF23" s="67" t="s">
        <v>88</v>
      </c>
      <c r="CLG23" s="68"/>
      <c r="CLH23" s="69"/>
      <c r="CLI23" s="273" t="s">
        <v>61</v>
      </c>
      <c r="CLJ23" s="249"/>
      <c r="CLK23" s="67" t="s">
        <v>88</v>
      </c>
      <c r="CLL23" s="68"/>
      <c r="CLM23" s="69"/>
      <c r="CLN23" s="273" t="s">
        <v>68</v>
      </c>
      <c r="CLO23" s="249"/>
      <c r="CLP23" s="67" t="s">
        <v>88</v>
      </c>
      <c r="CLQ23" s="68"/>
      <c r="CLR23" s="69"/>
      <c r="CLS23" s="273" t="s">
        <v>68</v>
      </c>
      <c r="CLT23" s="249"/>
      <c r="CLU23" s="67" t="s">
        <v>88</v>
      </c>
      <c r="CLV23" s="68"/>
      <c r="CLW23" s="69"/>
      <c r="CLX23" s="273" t="s">
        <v>68</v>
      </c>
      <c r="CLY23" s="249"/>
      <c r="CLZ23" s="67" t="s">
        <v>88</v>
      </c>
      <c r="CMA23" s="68"/>
      <c r="CMB23" s="69"/>
      <c r="CMC23" s="273" t="s">
        <v>61</v>
      </c>
      <c r="CMD23" s="249"/>
      <c r="CME23" s="67" t="s">
        <v>88</v>
      </c>
      <c r="CMF23" s="68"/>
      <c r="CMG23" s="69"/>
      <c r="CMH23" s="273" t="s">
        <v>31</v>
      </c>
      <c r="CMI23" s="249"/>
      <c r="CMJ23" s="67" t="s">
        <v>88</v>
      </c>
      <c r="CMK23" s="68"/>
      <c r="CML23" s="69"/>
      <c r="CMM23" s="273" t="s">
        <v>31</v>
      </c>
      <c r="CMN23" s="249"/>
      <c r="CMO23" s="67" t="s">
        <v>88</v>
      </c>
      <c r="CMP23" s="68"/>
      <c r="CMQ23" s="69"/>
      <c r="CMR23" s="273" t="s">
        <v>31</v>
      </c>
      <c r="CMS23" s="249"/>
      <c r="CMT23" s="67" t="s">
        <v>88</v>
      </c>
      <c r="CMU23" s="68"/>
      <c r="CMV23" s="69"/>
      <c r="CMW23" s="273" t="s">
        <v>61</v>
      </c>
      <c r="CMX23" s="249"/>
      <c r="CMY23" s="67" t="s">
        <v>88</v>
      </c>
      <c r="CMZ23" s="68"/>
      <c r="CNA23" s="69"/>
      <c r="CNB23" s="273" t="s">
        <v>68</v>
      </c>
      <c r="CNC23" s="249"/>
      <c r="CND23" s="67" t="s">
        <v>88</v>
      </c>
      <c r="CNE23" s="68"/>
      <c r="CNF23" s="69"/>
      <c r="CNG23" s="273" t="s">
        <v>61</v>
      </c>
      <c r="CNH23" s="249"/>
      <c r="CNI23" s="67" t="s">
        <v>88</v>
      </c>
      <c r="CNJ23" s="68"/>
      <c r="CNK23" s="69"/>
      <c r="CNL23" s="273" t="s">
        <v>31</v>
      </c>
      <c r="CNM23" s="249"/>
      <c r="CNN23" s="67" t="s">
        <v>88</v>
      </c>
      <c r="CNO23" s="68"/>
      <c r="CNP23" s="69"/>
      <c r="CNQ23" s="273" t="s">
        <v>31</v>
      </c>
      <c r="CNR23" s="249"/>
      <c r="CNS23" s="67" t="s">
        <v>88</v>
      </c>
      <c r="CNT23" s="68"/>
      <c r="CNU23" s="69"/>
      <c r="CNV23" s="273" t="s">
        <v>31</v>
      </c>
      <c r="CNW23" s="249"/>
      <c r="CNX23" s="67" t="s">
        <v>88</v>
      </c>
      <c r="CNY23" s="68"/>
      <c r="CNZ23" s="69"/>
      <c r="COA23" s="273" t="s">
        <v>31</v>
      </c>
      <c r="COB23" s="249"/>
      <c r="COC23" s="67" t="s">
        <v>88</v>
      </c>
      <c r="COD23" s="68"/>
      <c r="COE23" s="69"/>
      <c r="COF23" s="273" t="s">
        <v>31</v>
      </c>
      <c r="COG23" s="249"/>
      <c r="COH23" s="67" t="s">
        <v>88</v>
      </c>
      <c r="COI23" s="68"/>
      <c r="COJ23" s="69"/>
      <c r="COK23" s="273" t="s">
        <v>41</v>
      </c>
      <c r="COL23" s="249"/>
      <c r="COM23" s="67" t="s">
        <v>88</v>
      </c>
      <c r="CON23" s="68"/>
      <c r="COO23" s="69"/>
      <c r="COP23" s="273" t="s">
        <v>31</v>
      </c>
      <c r="COQ23" s="249"/>
      <c r="COR23" s="67" t="s">
        <v>88</v>
      </c>
      <c r="COS23" s="68"/>
      <c r="COT23" s="69"/>
      <c r="COU23" s="273" t="s">
        <v>41</v>
      </c>
      <c r="COV23" s="249"/>
      <c r="COW23" s="67" t="s">
        <v>88</v>
      </c>
      <c r="COX23" s="68"/>
      <c r="COY23" s="69"/>
      <c r="COZ23" s="273" t="s">
        <v>31</v>
      </c>
      <c r="CPA23" s="249"/>
      <c r="CPB23" s="67" t="s">
        <v>88</v>
      </c>
      <c r="CPC23" s="68"/>
      <c r="CPD23" s="69"/>
      <c r="CPE23" s="273" t="s">
        <v>31</v>
      </c>
      <c r="CPF23" s="249"/>
      <c r="CPG23" s="67" t="s">
        <v>88</v>
      </c>
      <c r="CPH23" s="68"/>
      <c r="CPI23" s="69"/>
      <c r="CPJ23" s="273" t="s">
        <v>31</v>
      </c>
      <c r="CPK23" s="249"/>
      <c r="CPL23" s="67" t="s">
        <v>88</v>
      </c>
      <c r="CPM23" s="68"/>
      <c r="CPN23" s="69"/>
      <c r="CPO23" s="273" t="s">
        <v>31</v>
      </c>
      <c r="CPP23" s="249"/>
      <c r="CPQ23" s="67" t="s">
        <v>88</v>
      </c>
      <c r="CPR23" s="68"/>
      <c r="CPS23" s="69"/>
      <c r="CPT23" s="273" t="s">
        <v>31</v>
      </c>
      <c r="CPU23" s="249"/>
      <c r="CPV23" s="67" t="s">
        <v>88</v>
      </c>
      <c r="CPW23" s="68"/>
      <c r="CPX23" s="69"/>
      <c r="CPY23" s="273" t="s">
        <v>31</v>
      </c>
      <c r="CPZ23" s="249"/>
      <c r="CQA23" s="67" t="s">
        <v>88</v>
      </c>
      <c r="CQB23" s="68"/>
      <c r="CQC23" s="69"/>
      <c r="CQD23" s="273" t="s">
        <v>31</v>
      </c>
      <c r="CQE23" s="249"/>
      <c r="CQF23" s="67" t="s">
        <v>88</v>
      </c>
      <c r="CQG23" s="68"/>
      <c r="CQH23" s="69"/>
      <c r="CQI23" s="273" t="s">
        <v>31</v>
      </c>
      <c r="CQJ23" s="249"/>
      <c r="CQK23" s="67" t="s">
        <v>88</v>
      </c>
      <c r="CQL23" s="68"/>
      <c r="CQM23" s="69"/>
      <c r="CQN23" s="273" t="s">
        <v>31</v>
      </c>
      <c r="CQO23" s="249"/>
      <c r="CQP23" s="67" t="s">
        <v>88</v>
      </c>
      <c r="CQQ23" s="68"/>
      <c r="CQR23" s="69"/>
      <c r="CQS23" s="273" t="s">
        <v>31</v>
      </c>
      <c r="CQT23" s="249"/>
      <c r="CQU23" s="67" t="s">
        <v>88</v>
      </c>
      <c r="CQV23" s="68"/>
      <c r="CQW23" s="69"/>
      <c r="CQX23" s="273" t="s">
        <v>31</v>
      </c>
      <c r="CQY23" s="249"/>
      <c r="CQZ23" s="67" t="s">
        <v>88</v>
      </c>
      <c r="CRA23" s="68"/>
      <c r="CRB23" s="69"/>
      <c r="CRC23" s="273" t="s">
        <v>31</v>
      </c>
      <c r="CRD23" s="249"/>
      <c r="CRE23" s="10" t="s">
        <v>9</v>
      </c>
      <c r="CRF23" s="4"/>
      <c r="CRG23" s="5"/>
      <c r="CRH23" s="315">
        <v>0</v>
      </c>
      <c r="CRI23" s="316"/>
      <c r="CRJ23" s="10" t="s">
        <v>9</v>
      </c>
      <c r="CRK23" s="4"/>
      <c r="CRL23" s="5"/>
      <c r="CRM23" s="315">
        <v>0</v>
      </c>
      <c r="CRN23" s="316"/>
      <c r="CRO23" s="10" t="s">
        <v>9</v>
      </c>
      <c r="CRP23" s="4"/>
      <c r="CRQ23" s="5"/>
      <c r="CRR23" s="315">
        <v>0</v>
      </c>
      <c r="CRS23" s="316"/>
      <c r="CRT23" s="10" t="s">
        <v>9</v>
      </c>
      <c r="CRU23" s="4"/>
      <c r="CRV23" s="5"/>
      <c r="CRW23" s="315">
        <v>0</v>
      </c>
      <c r="CRX23" s="316"/>
      <c r="CRY23" s="10" t="s">
        <v>9</v>
      </c>
      <c r="CRZ23" s="4"/>
      <c r="CSA23" s="5"/>
      <c r="CSB23" s="17">
        <v>0</v>
      </c>
      <c r="CSC23" s="10" t="s">
        <v>9</v>
      </c>
      <c r="CSD23" s="4"/>
      <c r="CSE23" s="5"/>
      <c r="CSF23" s="17">
        <v>0</v>
      </c>
      <c r="CSG23" s="10" t="s">
        <v>9</v>
      </c>
      <c r="CSH23" s="4"/>
      <c r="CSI23" s="5"/>
      <c r="CSJ23" s="17">
        <v>0</v>
      </c>
      <c r="CSK23" s="10" t="s">
        <v>9</v>
      </c>
      <c r="CSL23" s="4"/>
      <c r="CSM23" s="5"/>
      <c r="CSN23" s="17">
        <v>0</v>
      </c>
      <c r="CSO23" s="10" t="s">
        <v>9</v>
      </c>
      <c r="CSP23" s="4"/>
      <c r="CSQ23" s="5"/>
      <c r="CSR23" s="17">
        <v>0</v>
      </c>
      <c r="CSS23" s="10" t="s">
        <v>9</v>
      </c>
      <c r="CST23" s="4"/>
      <c r="CSU23" s="5"/>
      <c r="CSV23" s="17">
        <v>0</v>
      </c>
      <c r="CSW23" s="10" t="s">
        <v>9</v>
      </c>
      <c r="CSX23" s="4"/>
      <c r="CSY23" s="5"/>
      <c r="CSZ23" s="17">
        <v>0</v>
      </c>
      <c r="CTA23" s="10" t="s">
        <v>9</v>
      </c>
      <c r="CTB23" s="4"/>
      <c r="CTC23" s="5"/>
      <c r="CTD23" s="17">
        <v>0</v>
      </c>
      <c r="CTE23" s="10" t="s">
        <v>9</v>
      </c>
      <c r="CTF23" s="4"/>
      <c r="CTG23" s="5"/>
      <c r="CTH23" s="17">
        <v>0</v>
      </c>
      <c r="CTI23" s="10" t="s">
        <v>9</v>
      </c>
      <c r="CTJ23" s="4"/>
      <c r="CTK23" s="5"/>
      <c r="CTL23" s="17">
        <v>0</v>
      </c>
      <c r="CTM23" s="10" t="s">
        <v>9</v>
      </c>
      <c r="CTN23" s="4"/>
      <c r="CTO23" s="5"/>
      <c r="CTP23" s="17">
        <v>0</v>
      </c>
      <c r="CTQ23" s="10" t="s">
        <v>9</v>
      </c>
      <c r="CTR23" s="4"/>
      <c r="CTS23" s="5"/>
      <c r="CTT23" s="17">
        <v>0</v>
      </c>
      <c r="CTU23" s="10" t="s">
        <v>9</v>
      </c>
      <c r="CTV23" s="4"/>
      <c r="CTW23" s="5"/>
      <c r="CTX23" s="17">
        <v>0</v>
      </c>
      <c r="CTY23" s="10" t="s">
        <v>9</v>
      </c>
      <c r="CTZ23" s="4"/>
      <c r="CUA23" s="5"/>
      <c r="CUB23" s="17">
        <v>0</v>
      </c>
      <c r="CUC23" s="10" t="s">
        <v>9</v>
      </c>
      <c r="CUD23" s="4"/>
      <c r="CUE23" s="5"/>
      <c r="CUF23" s="17">
        <v>0</v>
      </c>
      <c r="CUG23" s="10" t="s">
        <v>9</v>
      </c>
      <c r="CUH23" s="4"/>
      <c r="CUI23" s="5"/>
      <c r="CUJ23" s="17">
        <v>0</v>
      </c>
      <c r="CUK23" s="10" t="s">
        <v>9</v>
      </c>
      <c r="CUL23" s="4"/>
      <c r="CUM23" s="5"/>
      <c r="CUN23" s="17">
        <v>0</v>
      </c>
      <c r="CUO23" s="10" t="s">
        <v>9</v>
      </c>
      <c r="CUP23" s="4"/>
      <c r="CUQ23" s="5"/>
      <c r="CUR23" s="17">
        <v>0</v>
      </c>
      <c r="CUS23" s="10" t="s">
        <v>9</v>
      </c>
      <c r="CUT23" s="4"/>
      <c r="CUU23" s="5"/>
      <c r="CUV23" s="17">
        <v>0</v>
      </c>
      <c r="CUW23" s="10" t="s">
        <v>9</v>
      </c>
      <c r="CUX23" s="4"/>
      <c r="CUY23" s="5"/>
      <c r="CUZ23" s="17">
        <v>0</v>
      </c>
      <c r="CVA23" s="10" t="s">
        <v>9</v>
      </c>
      <c r="CVB23" s="4"/>
      <c r="CVC23" s="5"/>
      <c r="CVD23" s="17">
        <v>0</v>
      </c>
      <c r="CVE23" s="10" t="s">
        <v>9</v>
      </c>
      <c r="CVF23" s="4"/>
      <c r="CVG23" s="5"/>
      <c r="CVH23" s="17"/>
      <c r="CVI23" s="10" t="s">
        <v>9</v>
      </c>
      <c r="CVJ23" s="4"/>
      <c r="CVK23" s="5"/>
      <c r="CVL23" s="17">
        <v>0</v>
      </c>
      <c r="CVM23" s="10" t="s">
        <v>9</v>
      </c>
      <c r="CVN23" s="4"/>
      <c r="CVO23" s="5"/>
      <c r="CVP23" s="17">
        <v>0</v>
      </c>
      <c r="CVQ23" s="10" t="s">
        <v>9</v>
      </c>
      <c r="CVR23" s="4"/>
      <c r="CVS23" s="5"/>
      <c r="CVT23" s="17">
        <v>0</v>
      </c>
      <c r="CVU23" s="10" t="s">
        <v>9</v>
      </c>
      <c r="CVV23" s="4"/>
      <c r="CVW23" s="5"/>
      <c r="CVX23" s="17"/>
      <c r="CVY23" s="10" t="s">
        <v>9</v>
      </c>
      <c r="CVZ23" s="4"/>
      <c r="CWA23" s="5"/>
      <c r="CWB23" s="17">
        <v>0</v>
      </c>
      <c r="CWC23" s="10" t="s">
        <v>9</v>
      </c>
      <c r="CWD23" s="4"/>
      <c r="CWE23" s="5"/>
      <c r="CWF23" s="17">
        <v>0</v>
      </c>
      <c r="CWG23" s="10" t="s">
        <v>9</v>
      </c>
      <c r="CWH23" s="4"/>
      <c r="CWI23" s="5"/>
      <c r="CWJ23" s="17">
        <v>0</v>
      </c>
      <c r="CWK23" s="10" t="s">
        <v>9</v>
      </c>
      <c r="CWL23" s="4"/>
      <c r="CWM23" s="5"/>
      <c r="CWN23" s="17">
        <v>0</v>
      </c>
      <c r="CWO23" s="10" t="s">
        <v>9</v>
      </c>
      <c r="CWP23" s="4"/>
      <c r="CWQ23" s="5"/>
      <c r="CWR23" s="17">
        <v>0</v>
      </c>
      <c r="CWS23" s="10" t="s">
        <v>9</v>
      </c>
      <c r="CWT23" s="4"/>
      <c r="CWU23" s="5"/>
      <c r="CWV23" s="17"/>
      <c r="CWW23" s="10" t="s">
        <v>9</v>
      </c>
      <c r="CWX23" s="4"/>
      <c r="CWY23" s="5"/>
      <c r="CWZ23" s="17">
        <v>0</v>
      </c>
      <c r="CXA23" s="43" t="s">
        <v>9</v>
      </c>
      <c r="CXB23" s="44"/>
      <c r="CXC23" s="45"/>
      <c r="CXD23" s="46">
        <v>0</v>
      </c>
      <c r="CXE23" s="43" t="s">
        <v>9</v>
      </c>
      <c r="CXF23" s="44"/>
      <c r="CXG23" s="45"/>
      <c r="CXH23" s="46">
        <v>0</v>
      </c>
      <c r="CXI23" s="43" t="s">
        <v>9</v>
      </c>
      <c r="CXJ23" s="44"/>
      <c r="CXK23" s="45"/>
      <c r="CXL23" s="46">
        <v>0</v>
      </c>
      <c r="CXM23" s="43" t="s">
        <v>9</v>
      </c>
      <c r="CXN23" s="44"/>
      <c r="CXO23" s="45"/>
      <c r="CXP23" s="46">
        <v>0</v>
      </c>
      <c r="CXQ23" s="43" t="s">
        <v>9</v>
      </c>
      <c r="CXR23" s="44"/>
      <c r="CXS23" s="45"/>
      <c r="CXT23" s="46">
        <v>0</v>
      </c>
      <c r="CXU23" s="26" t="s">
        <v>9</v>
      </c>
      <c r="CXX23" s="26">
        <v>0</v>
      </c>
      <c r="CXY23" s="26" t="s">
        <v>9</v>
      </c>
      <c r="CYB23" s="26">
        <v>0</v>
      </c>
      <c r="CYC23" s="26" t="s">
        <v>9</v>
      </c>
      <c r="CYF23" s="26">
        <v>0</v>
      </c>
      <c r="CYG23" s="26" t="s">
        <v>11</v>
      </c>
      <c r="CYJ23" s="26" t="s">
        <v>31</v>
      </c>
      <c r="CYK23" s="26" t="s">
        <v>11</v>
      </c>
      <c r="CYN23" s="26" t="s">
        <v>31</v>
      </c>
      <c r="CYO23" s="26" t="s">
        <v>11</v>
      </c>
      <c r="CYR23" s="26" t="s">
        <v>31</v>
      </c>
      <c r="CYS23" s="26" t="s">
        <v>11</v>
      </c>
      <c r="CYV23" s="26" t="s">
        <v>31</v>
      </c>
      <c r="CYW23" s="26" t="s">
        <v>11</v>
      </c>
      <c r="CYZ23" s="26" t="s">
        <v>31</v>
      </c>
      <c r="CZA23" s="26" t="s">
        <v>11</v>
      </c>
      <c r="CZD23" s="26" t="s">
        <v>31</v>
      </c>
      <c r="CZE23" s="26" t="s">
        <v>11</v>
      </c>
      <c r="CZH23" s="26" t="s">
        <v>31</v>
      </c>
      <c r="CZI23" s="26" t="s">
        <v>11</v>
      </c>
      <c r="CZL23" s="26" t="s">
        <v>31</v>
      </c>
      <c r="CZM23" s="26" t="s">
        <v>11</v>
      </c>
      <c r="CZP23" s="26" t="s">
        <v>31</v>
      </c>
      <c r="CZQ23" s="26" t="s">
        <v>11</v>
      </c>
      <c r="CZT23" s="26" t="s">
        <v>31</v>
      </c>
      <c r="CZU23" s="26" t="s">
        <v>11</v>
      </c>
      <c r="CZX23" s="26" t="s">
        <v>31</v>
      </c>
      <c r="CZY23" s="26" t="s">
        <v>11</v>
      </c>
      <c r="DAB23" s="26" t="s">
        <v>31</v>
      </c>
      <c r="DAC23" s="26" t="s">
        <v>11</v>
      </c>
      <c r="DAF23" s="26" t="s">
        <v>31</v>
      </c>
      <c r="DAG23" s="26" t="s">
        <v>11</v>
      </c>
      <c r="DAJ23" s="26" t="s">
        <v>31</v>
      </c>
      <c r="DAK23" s="26" t="s">
        <v>11</v>
      </c>
      <c r="DAN23" s="26" t="s">
        <v>31</v>
      </c>
      <c r="DAO23" s="26" t="s">
        <v>11</v>
      </c>
      <c r="DAR23" s="26" t="s">
        <v>31</v>
      </c>
      <c r="DAS23" s="26" t="s">
        <v>11</v>
      </c>
      <c r="DAV23" s="26" t="s">
        <v>31</v>
      </c>
      <c r="DAW23" s="26" t="s">
        <v>11</v>
      </c>
      <c r="DAZ23" s="26" t="s">
        <v>31</v>
      </c>
      <c r="DBA23" s="26" t="s">
        <v>11</v>
      </c>
      <c r="DBD23" s="26" t="s">
        <v>31</v>
      </c>
      <c r="DBE23" s="26" t="s">
        <v>11</v>
      </c>
      <c r="DBH23" s="26" t="s">
        <v>31</v>
      </c>
      <c r="DBI23" s="26" t="s">
        <v>11</v>
      </c>
      <c r="DBL23" s="26" t="s">
        <v>31</v>
      </c>
      <c r="DBM23" s="26" t="s">
        <v>11</v>
      </c>
      <c r="DBP23" s="26" t="s">
        <v>31</v>
      </c>
      <c r="DBQ23" s="26" t="s">
        <v>11</v>
      </c>
      <c r="DBT23" s="26" t="s">
        <v>31</v>
      </c>
      <c r="DBU23" s="26" t="s">
        <v>11</v>
      </c>
      <c r="DBX23" s="26" t="s">
        <v>31</v>
      </c>
      <c r="DBY23" s="26" t="s">
        <v>11</v>
      </c>
      <c r="DCB23" s="26" t="s">
        <v>31</v>
      </c>
      <c r="DCC23" s="26" t="s">
        <v>11</v>
      </c>
      <c r="DCF23" s="26" t="s">
        <v>31</v>
      </c>
      <c r="DCG23" s="26" t="s">
        <v>11</v>
      </c>
      <c r="DCJ23" s="26" t="s">
        <v>31</v>
      </c>
      <c r="DCK23" s="26" t="s">
        <v>11</v>
      </c>
      <c r="DCN23" s="26" t="s">
        <v>31</v>
      </c>
      <c r="DCO23" s="26" t="s">
        <v>11</v>
      </c>
      <c r="DCR23" s="26" t="s">
        <v>31</v>
      </c>
      <c r="DCS23" s="26" t="s">
        <v>11</v>
      </c>
      <c r="DCV23" s="26" t="s">
        <v>31</v>
      </c>
      <c r="DCW23" s="26" t="s">
        <v>11</v>
      </c>
      <c r="DCZ23" s="26" t="s">
        <v>31</v>
      </c>
      <c r="DDA23" s="26" t="s">
        <v>11</v>
      </c>
      <c r="DDD23" s="26" t="s">
        <v>31</v>
      </c>
      <c r="DDE23" s="26" t="s">
        <v>12</v>
      </c>
      <c r="DDH23" s="26" t="s">
        <v>31</v>
      </c>
      <c r="DDI23" s="26" t="s">
        <v>12</v>
      </c>
      <c r="DDL23" s="26" t="s">
        <v>31</v>
      </c>
      <c r="DDM23" s="26" t="s">
        <v>12</v>
      </c>
      <c r="DDP23" s="26" t="s">
        <v>31</v>
      </c>
      <c r="DDQ23" s="26" t="s">
        <v>13</v>
      </c>
      <c r="DDT23" s="26" t="s">
        <v>31</v>
      </c>
    </row>
    <row r="24" spans="1:2828" ht="15.6" x14ac:dyDescent="0.3">
      <c r="A24" s="67" t="s">
        <v>289</v>
      </c>
      <c r="B24" s="68"/>
      <c r="C24" s="69"/>
      <c r="D24" s="254">
        <v>0</v>
      </c>
      <c r="E24" s="255"/>
      <c r="F24" s="67" t="s">
        <v>289</v>
      </c>
      <c r="G24" s="68"/>
      <c r="H24" s="69"/>
      <c r="I24" s="254">
        <v>0</v>
      </c>
      <c r="J24" s="255"/>
      <c r="K24" s="67" t="s">
        <v>289</v>
      </c>
      <c r="L24" s="68"/>
      <c r="M24" s="69"/>
      <c r="N24" s="254">
        <v>0</v>
      </c>
      <c r="O24" s="255"/>
      <c r="P24" s="67" t="s">
        <v>289</v>
      </c>
      <c r="Q24" s="68"/>
      <c r="R24" s="69"/>
      <c r="S24" s="254">
        <v>0</v>
      </c>
      <c r="T24" s="255"/>
      <c r="U24" s="67" t="s">
        <v>289</v>
      </c>
      <c r="V24" s="68"/>
      <c r="W24" s="69"/>
      <c r="X24" s="254">
        <v>0</v>
      </c>
      <c r="Y24" s="255"/>
      <c r="Z24" s="67" t="s">
        <v>289</v>
      </c>
      <c r="AA24" s="68"/>
      <c r="AB24" s="69"/>
      <c r="AC24" s="254">
        <v>0</v>
      </c>
      <c r="AD24" s="255"/>
      <c r="AE24" s="67" t="s">
        <v>289</v>
      </c>
      <c r="AF24" s="68"/>
      <c r="AG24" s="69"/>
      <c r="AH24" s="254">
        <v>0</v>
      </c>
      <c r="AI24" s="255"/>
      <c r="AJ24" s="67" t="s">
        <v>289</v>
      </c>
      <c r="AK24" s="68"/>
      <c r="AL24" s="69"/>
      <c r="AM24" s="254">
        <v>0</v>
      </c>
      <c r="AN24" s="255"/>
      <c r="AO24" s="67" t="s">
        <v>289</v>
      </c>
      <c r="AP24" s="68"/>
      <c r="AQ24" s="69"/>
      <c r="AR24" s="254">
        <v>0</v>
      </c>
      <c r="AS24" s="255"/>
      <c r="AT24" s="67" t="s">
        <v>289</v>
      </c>
      <c r="AU24" s="68"/>
      <c r="AV24" s="69"/>
      <c r="AW24" s="254">
        <v>0</v>
      </c>
      <c r="AX24" s="255"/>
      <c r="AY24" s="67" t="s">
        <v>289</v>
      </c>
      <c r="AZ24" s="68"/>
      <c r="BA24" s="69"/>
      <c r="BB24" s="254">
        <v>0</v>
      </c>
      <c r="BC24" s="255"/>
      <c r="BD24" s="67" t="s">
        <v>289</v>
      </c>
      <c r="BE24" s="68"/>
      <c r="BF24" s="69"/>
      <c r="BG24" s="254">
        <v>0</v>
      </c>
      <c r="BH24" s="255"/>
      <c r="BI24" s="67" t="s">
        <v>289</v>
      </c>
      <c r="BJ24" s="68"/>
      <c r="BK24" s="69"/>
      <c r="BL24" s="254">
        <v>0</v>
      </c>
      <c r="BM24" s="255"/>
      <c r="BN24" s="67" t="s">
        <v>289</v>
      </c>
      <c r="BO24" s="68"/>
      <c r="BP24" s="69"/>
      <c r="BQ24" s="254">
        <v>0</v>
      </c>
      <c r="BR24" s="255"/>
      <c r="BS24" s="67" t="s">
        <v>289</v>
      </c>
      <c r="BT24" s="68"/>
      <c r="BU24" s="69"/>
      <c r="BV24" s="254">
        <v>0</v>
      </c>
      <c r="BW24" s="255"/>
      <c r="BX24" s="67" t="s">
        <v>289</v>
      </c>
      <c r="BY24" s="68"/>
      <c r="BZ24" s="69"/>
      <c r="CA24" s="254">
        <v>0</v>
      </c>
      <c r="CB24" s="255"/>
      <c r="CC24" s="67" t="s">
        <v>289</v>
      </c>
      <c r="CD24" s="68"/>
      <c r="CE24" s="69"/>
      <c r="CF24" s="254">
        <v>0</v>
      </c>
      <c r="CG24" s="255"/>
      <c r="CH24" s="67" t="s">
        <v>289</v>
      </c>
      <c r="CI24" s="68"/>
      <c r="CJ24" s="69"/>
      <c r="CK24" s="254">
        <v>0</v>
      </c>
      <c r="CL24" s="255"/>
      <c r="CM24" s="67" t="s">
        <v>289</v>
      </c>
      <c r="CN24" s="68"/>
      <c r="CO24" s="69"/>
      <c r="CP24" s="254">
        <v>0</v>
      </c>
      <c r="CQ24" s="255"/>
      <c r="CR24" s="67" t="s">
        <v>289</v>
      </c>
      <c r="CS24" s="68"/>
      <c r="CT24" s="69"/>
      <c r="CU24" s="254">
        <v>0</v>
      </c>
      <c r="CV24" s="255"/>
      <c r="CW24" s="67" t="s">
        <v>289</v>
      </c>
      <c r="CX24" s="68"/>
      <c r="CY24" s="69"/>
      <c r="CZ24" s="254">
        <v>3</v>
      </c>
      <c r="DA24" s="255"/>
      <c r="DB24" s="67" t="s">
        <v>289</v>
      </c>
      <c r="DC24" s="68"/>
      <c r="DD24" s="69"/>
      <c r="DE24" s="254">
        <v>0</v>
      </c>
      <c r="DF24" s="255"/>
      <c r="DG24" s="67" t="s">
        <v>289</v>
      </c>
      <c r="DH24" s="68"/>
      <c r="DI24" s="69"/>
      <c r="DJ24" s="254">
        <v>0</v>
      </c>
      <c r="DK24" s="255"/>
      <c r="DL24" s="67" t="s">
        <v>289</v>
      </c>
      <c r="DM24" s="68"/>
      <c r="DN24" s="69"/>
      <c r="DO24" s="254">
        <v>0</v>
      </c>
      <c r="DP24" s="255"/>
      <c r="DQ24" s="67" t="s">
        <v>289</v>
      </c>
      <c r="DR24" s="68"/>
      <c r="DS24" s="69"/>
      <c r="DT24" s="254">
        <v>0</v>
      </c>
      <c r="DU24" s="255"/>
      <c r="DV24" s="67" t="s">
        <v>289</v>
      </c>
      <c r="DW24" s="68"/>
      <c r="DX24" s="69"/>
      <c r="DY24" s="254">
        <v>0</v>
      </c>
      <c r="DZ24" s="255"/>
      <c r="EA24" s="67" t="s">
        <v>289</v>
      </c>
      <c r="EB24" s="68"/>
      <c r="EC24" s="69"/>
      <c r="ED24" s="254">
        <v>0</v>
      </c>
      <c r="EE24" s="255"/>
      <c r="EF24" s="67" t="s">
        <v>289</v>
      </c>
      <c r="EG24" s="68"/>
      <c r="EH24" s="69"/>
      <c r="EI24" s="254">
        <v>0</v>
      </c>
      <c r="EJ24" s="255"/>
      <c r="EK24" s="67" t="s">
        <v>289</v>
      </c>
      <c r="EL24" s="68"/>
      <c r="EM24" s="69"/>
      <c r="EN24" s="254">
        <v>0</v>
      </c>
      <c r="EO24" s="255"/>
      <c r="EP24" s="67" t="s">
        <v>289</v>
      </c>
      <c r="EQ24" s="68"/>
      <c r="ER24" s="69"/>
      <c r="ES24" s="254">
        <v>0</v>
      </c>
      <c r="ET24" s="255"/>
      <c r="EU24" s="67" t="s">
        <v>289</v>
      </c>
      <c r="EV24" s="68"/>
      <c r="EW24" s="69"/>
      <c r="EX24" s="254">
        <v>0</v>
      </c>
      <c r="EY24" s="255"/>
      <c r="EZ24" s="67" t="s">
        <v>289</v>
      </c>
      <c r="FA24" s="68"/>
      <c r="FB24" s="69"/>
      <c r="FC24" s="254">
        <v>0</v>
      </c>
      <c r="FD24" s="255"/>
      <c r="FE24" s="67" t="s">
        <v>289</v>
      </c>
      <c r="FF24" s="68"/>
      <c r="FG24" s="69"/>
      <c r="FH24" s="254">
        <v>0</v>
      </c>
      <c r="FI24" s="255"/>
      <c r="FJ24" s="67" t="s">
        <v>289</v>
      </c>
      <c r="FK24" s="68"/>
      <c r="FL24" s="69"/>
      <c r="FM24" s="254">
        <v>0</v>
      </c>
      <c r="FN24" s="255"/>
      <c r="FO24" s="67" t="s">
        <v>289</v>
      </c>
      <c r="FP24" s="68"/>
      <c r="FQ24" s="69"/>
      <c r="FR24" s="254">
        <v>0</v>
      </c>
      <c r="FS24" s="255"/>
      <c r="FT24" s="67" t="s">
        <v>289</v>
      </c>
      <c r="FU24" s="68"/>
      <c r="FV24" s="69"/>
      <c r="FW24" s="254">
        <v>1</v>
      </c>
      <c r="FX24" s="255"/>
      <c r="FY24" s="67" t="s">
        <v>289</v>
      </c>
      <c r="FZ24" s="68"/>
      <c r="GA24" s="69"/>
      <c r="GB24" s="254">
        <v>0</v>
      </c>
      <c r="GC24" s="255"/>
      <c r="GD24" s="67" t="s">
        <v>289</v>
      </c>
      <c r="GE24" s="68"/>
      <c r="GF24" s="69"/>
      <c r="GG24" s="254">
        <v>2</v>
      </c>
      <c r="GH24" s="255"/>
      <c r="GI24" s="67" t="s">
        <v>289</v>
      </c>
      <c r="GJ24" s="68"/>
      <c r="GK24" s="69"/>
      <c r="GL24" s="254">
        <v>0</v>
      </c>
      <c r="GM24" s="255"/>
      <c r="GN24" s="67" t="s">
        <v>289</v>
      </c>
      <c r="GO24" s="68"/>
      <c r="GP24" s="69"/>
      <c r="GQ24" s="254">
        <v>0</v>
      </c>
      <c r="GR24" s="255"/>
      <c r="GS24" s="67" t="s">
        <v>289</v>
      </c>
      <c r="GT24" s="68"/>
      <c r="GU24" s="69"/>
      <c r="GV24" s="254">
        <v>0</v>
      </c>
      <c r="GW24" s="255"/>
      <c r="GX24" s="67" t="s">
        <v>289</v>
      </c>
      <c r="GY24" s="68"/>
      <c r="GZ24" s="69"/>
      <c r="HA24" s="254">
        <v>0</v>
      </c>
      <c r="HB24" s="255"/>
      <c r="HC24" s="67" t="s">
        <v>289</v>
      </c>
      <c r="HD24" s="68"/>
      <c r="HE24" s="69"/>
      <c r="HF24" s="254">
        <v>1</v>
      </c>
      <c r="HG24" s="255"/>
      <c r="HH24" s="67" t="s">
        <v>289</v>
      </c>
      <c r="HI24" s="68"/>
      <c r="HJ24" s="69"/>
      <c r="HK24" s="254">
        <v>2</v>
      </c>
      <c r="HL24" s="255"/>
      <c r="HM24" s="67" t="s">
        <v>289</v>
      </c>
      <c r="HN24" s="68"/>
      <c r="HO24" s="69"/>
      <c r="HP24" s="254">
        <v>6</v>
      </c>
      <c r="HQ24" s="255"/>
      <c r="HR24" s="67" t="s">
        <v>289</v>
      </c>
      <c r="HS24" s="68"/>
      <c r="HT24" s="69"/>
      <c r="HU24" s="254">
        <v>0</v>
      </c>
      <c r="HV24" s="255"/>
      <c r="HW24" s="67" t="s">
        <v>289</v>
      </c>
      <c r="HX24" s="68"/>
      <c r="HY24" s="69"/>
      <c r="HZ24" s="254">
        <v>0</v>
      </c>
      <c r="IA24" s="255"/>
      <c r="IB24" s="67" t="s">
        <v>289</v>
      </c>
      <c r="IC24" s="68"/>
      <c r="ID24" s="69"/>
      <c r="IE24" s="254">
        <v>0</v>
      </c>
      <c r="IF24" s="255"/>
      <c r="IG24" s="67" t="s">
        <v>289</v>
      </c>
      <c r="IH24" s="68"/>
      <c r="II24" s="69"/>
      <c r="IJ24" s="254">
        <v>0</v>
      </c>
      <c r="IK24" s="255"/>
      <c r="IL24" s="67" t="s">
        <v>289</v>
      </c>
      <c r="IM24" s="68"/>
      <c r="IN24" s="69"/>
      <c r="IO24" s="254">
        <v>1</v>
      </c>
      <c r="IP24" s="255"/>
      <c r="IQ24" s="67" t="s">
        <v>289</v>
      </c>
      <c r="IR24" s="68"/>
      <c r="IS24" s="69"/>
      <c r="IT24" s="254">
        <v>2</v>
      </c>
      <c r="IU24" s="255"/>
      <c r="IV24" s="67" t="s">
        <v>289</v>
      </c>
      <c r="IW24" s="68"/>
      <c r="IX24" s="69"/>
      <c r="IY24" s="254">
        <v>5</v>
      </c>
      <c r="IZ24" s="255"/>
      <c r="JA24" s="67" t="s">
        <v>289</v>
      </c>
      <c r="JB24" s="68"/>
      <c r="JC24" s="69"/>
      <c r="JD24" s="254">
        <v>3</v>
      </c>
      <c r="JE24" s="255"/>
      <c r="JF24" s="67" t="s">
        <v>289</v>
      </c>
      <c r="JG24" s="68"/>
      <c r="JH24" s="69"/>
      <c r="JI24" s="254">
        <v>0</v>
      </c>
      <c r="JJ24" s="255"/>
      <c r="JK24" s="67" t="s">
        <v>289</v>
      </c>
      <c r="JL24" s="68"/>
      <c r="JM24" s="69"/>
      <c r="JN24" s="254">
        <v>3</v>
      </c>
      <c r="JO24" s="255"/>
      <c r="JP24" s="67" t="s">
        <v>289</v>
      </c>
      <c r="JQ24" s="68"/>
      <c r="JR24" s="69"/>
      <c r="JS24" s="254">
        <v>0</v>
      </c>
      <c r="JT24" s="255"/>
      <c r="JU24" s="67" t="s">
        <v>289</v>
      </c>
      <c r="JV24" s="68"/>
      <c r="JW24" s="69"/>
      <c r="JX24" s="254">
        <v>2</v>
      </c>
      <c r="JY24" s="255"/>
      <c r="JZ24" s="67" t="s">
        <v>289</v>
      </c>
      <c r="KA24" s="68"/>
      <c r="KB24" s="69"/>
      <c r="KC24" s="254">
        <v>0</v>
      </c>
      <c r="KD24" s="255"/>
      <c r="KE24" s="67" t="s">
        <v>289</v>
      </c>
      <c r="KF24" s="68"/>
      <c r="KG24" s="69"/>
      <c r="KH24" s="254">
        <v>0</v>
      </c>
      <c r="KI24" s="255"/>
      <c r="KJ24" s="67" t="s">
        <v>289</v>
      </c>
      <c r="KK24" s="68"/>
      <c r="KL24" s="69"/>
      <c r="KM24" s="254">
        <v>0</v>
      </c>
      <c r="KN24" s="255"/>
      <c r="KO24" s="67" t="s">
        <v>289</v>
      </c>
      <c r="KP24" s="68"/>
      <c r="KQ24" s="69"/>
      <c r="KR24" s="254">
        <v>0</v>
      </c>
      <c r="KS24" s="255"/>
      <c r="KT24" s="67" t="s">
        <v>289</v>
      </c>
      <c r="KU24" s="68"/>
      <c r="KV24" s="69"/>
      <c r="KW24" s="254">
        <v>0</v>
      </c>
      <c r="KX24" s="255"/>
      <c r="KY24" s="67" t="s">
        <v>289</v>
      </c>
      <c r="KZ24" s="68"/>
      <c r="LA24" s="69"/>
      <c r="LB24" s="254">
        <v>2</v>
      </c>
      <c r="LC24" s="255"/>
      <c r="LD24" s="67" t="s">
        <v>289</v>
      </c>
      <c r="LE24" s="68"/>
      <c r="LF24" s="69"/>
      <c r="LG24" s="254">
        <v>2</v>
      </c>
      <c r="LH24" s="255"/>
      <c r="LI24" s="67" t="s">
        <v>289</v>
      </c>
      <c r="LJ24" s="68"/>
      <c r="LK24" s="69"/>
      <c r="LL24" s="254">
        <v>2</v>
      </c>
      <c r="LM24" s="255"/>
      <c r="LN24" s="67" t="s">
        <v>289</v>
      </c>
      <c r="LO24" s="68"/>
      <c r="LP24" s="69"/>
      <c r="LQ24" s="254">
        <v>0</v>
      </c>
      <c r="LR24" s="255"/>
      <c r="LS24" s="67" t="s">
        <v>289</v>
      </c>
      <c r="LT24" s="68"/>
      <c r="LU24" s="69"/>
      <c r="LV24" s="254">
        <v>0</v>
      </c>
      <c r="LW24" s="255"/>
      <c r="LX24" s="67" t="s">
        <v>289</v>
      </c>
      <c r="LY24" s="68"/>
      <c r="LZ24" s="69"/>
      <c r="MA24" s="254">
        <v>0</v>
      </c>
      <c r="MB24" s="255"/>
      <c r="MC24" s="67" t="s">
        <v>289</v>
      </c>
      <c r="MD24" s="68"/>
      <c r="ME24" s="69"/>
      <c r="MF24" s="254">
        <v>0</v>
      </c>
      <c r="MG24" s="255"/>
      <c r="MH24" s="67" t="s">
        <v>289</v>
      </c>
      <c r="MI24" s="68"/>
      <c r="MJ24" s="69"/>
      <c r="MK24" s="254">
        <v>1</v>
      </c>
      <c r="ML24" s="255"/>
      <c r="MM24" s="67" t="s">
        <v>289</v>
      </c>
      <c r="MN24" s="68"/>
      <c r="MO24" s="69"/>
      <c r="MP24" s="254">
        <v>4</v>
      </c>
      <c r="MQ24" s="255"/>
      <c r="MR24" s="67" t="s">
        <v>289</v>
      </c>
      <c r="MS24" s="68"/>
      <c r="MT24" s="69"/>
      <c r="MU24" s="254">
        <v>2</v>
      </c>
      <c r="MV24" s="255"/>
      <c r="MW24" s="67" t="s">
        <v>289</v>
      </c>
      <c r="MX24" s="68"/>
      <c r="MY24" s="69"/>
      <c r="MZ24" s="254">
        <v>2</v>
      </c>
      <c r="NA24" s="255"/>
      <c r="NB24" s="67" t="s">
        <v>289</v>
      </c>
      <c r="NC24" s="68"/>
      <c r="ND24" s="69"/>
      <c r="NE24" s="254">
        <v>0</v>
      </c>
      <c r="NF24" s="255"/>
      <c r="NG24" s="67" t="s">
        <v>289</v>
      </c>
      <c r="NH24" s="68"/>
      <c r="NI24" s="69"/>
      <c r="NJ24" s="254">
        <v>0</v>
      </c>
      <c r="NK24" s="255"/>
      <c r="NL24" s="67" t="s">
        <v>289</v>
      </c>
      <c r="NM24" s="68"/>
      <c r="NN24" s="69"/>
      <c r="NO24" s="254">
        <v>0</v>
      </c>
      <c r="NP24" s="255"/>
      <c r="NQ24" s="67" t="s">
        <v>289</v>
      </c>
      <c r="NR24" s="68"/>
      <c r="NS24" s="69"/>
      <c r="NT24" s="254">
        <v>0</v>
      </c>
      <c r="NU24" s="255"/>
      <c r="NV24" s="67" t="s">
        <v>289</v>
      </c>
      <c r="NW24" s="68"/>
      <c r="NX24" s="69"/>
      <c r="NY24" s="254">
        <v>1</v>
      </c>
      <c r="NZ24" s="255"/>
      <c r="OA24" s="67" t="s">
        <v>289</v>
      </c>
      <c r="OB24" s="68"/>
      <c r="OC24" s="69"/>
      <c r="OD24" s="254">
        <v>2</v>
      </c>
      <c r="OE24" s="255"/>
      <c r="OF24" s="67" t="s">
        <v>289</v>
      </c>
      <c r="OG24" s="68"/>
      <c r="OH24" s="69"/>
      <c r="OI24" s="254">
        <v>2</v>
      </c>
      <c r="OJ24" s="255"/>
      <c r="OK24" s="67" t="s">
        <v>289</v>
      </c>
      <c r="OL24" s="68"/>
      <c r="OM24" s="69"/>
      <c r="ON24" s="254">
        <v>2</v>
      </c>
      <c r="OO24" s="255"/>
      <c r="OP24" s="67" t="s">
        <v>289</v>
      </c>
      <c r="OQ24" s="68"/>
      <c r="OR24" s="69"/>
      <c r="OS24" s="254">
        <v>0</v>
      </c>
      <c r="OT24" s="255"/>
      <c r="OU24" s="67" t="s">
        <v>289</v>
      </c>
      <c r="OV24" s="68"/>
      <c r="OW24" s="69"/>
      <c r="OX24" s="254">
        <v>0</v>
      </c>
      <c r="OY24" s="255"/>
      <c r="OZ24" s="67" t="s">
        <v>289</v>
      </c>
      <c r="PA24" s="68"/>
      <c r="PB24" s="69"/>
      <c r="PC24" s="254">
        <v>0</v>
      </c>
      <c r="PD24" s="255"/>
      <c r="PE24" s="67" t="s">
        <v>289</v>
      </c>
      <c r="PF24" s="68"/>
      <c r="PG24" s="69"/>
      <c r="PH24" s="254">
        <v>0</v>
      </c>
      <c r="PI24" s="255"/>
      <c r="PJ24" s="67" t="s">
        <v>289</v>
      </c>
      <c r="PK24" s="68"/>
      <c r="PL24" s="69"/>
      <c r="PM24" s="254">
        <v>3</v>
      </c>
      <c r="PN24" s="255"/>
      <c r="PO24" s="67" t="s">
        <v>289</v>
      </c>
      <c r="PP24" s="68"/>
      <c r="PQ24" s="69"/>
      <c r="PR24" s="254">
        <v>0</v>
      </c>
      <c r="PS24" s="255"/>
      <c r="PT24" s="67" t="s">
        <v>289</v>
      </c>
      <c r="PU24" s="68"/>
      <c r="PV24" s="69"/>
      <c r="PW24" s="254">
        <v>0</v>
      </c>
      <c r="PX24" s="255"/>
      <c r="PY24" s="67" t="s">
        <v>289</v>
      </c>
      <c r="PZ24" s="68"/>
      <c r="QA24" s="69"/>
      <c r="QB24" s="254">
        <v>0</v>
      </c>
      <c r="QC24" s="255"/>
      <c r="QD24" s="67" t="s">
        <v>289</v>
      </c>
      <c r="QE24" s="68"/>
      <c r="QF24" s="69"/>
      <c r="QG24" s="254">
        <v>0</v>
      </c>
      <c r="QH24" s="255"/>
      <c r="QI24" s="67" t="s">
        <v>289</v>
      </c>
      <c r="QJ24" s="68"/>
      <c r="QK24" s="69"/>
      <c r="QL24" s="254">
        <v>0</v>
      </c>
      <c r="QM24" s="255"/>
      <c r="QN24" s="67" t="s">
        <v>289</v>
      </c>
      <c r="QO24" s="68"/>
      <c r="QP24" s="69"/>
      <c r="QQ24" s="254">
        <v>0</v>
      </c>
      <c r="QR24" s="255"/>
      <c r="QS24" s="67" t="s">
        <v>289</v>
      </c>
      <c r="QT24" s="68"/>
      <c r="QU24" s="69"/>
      <c r="QV24" s="254">
        <v>0</v>
      </c>
      <c r="QW24" s="255"/>
      <c r="QX24" s="67" t="s">
        <v>289</v>
      </c>
      <c r="QY24" s="68"/>
      <c r="QZ24" s="69"/>
      <c r="RA24" s="254">
        <v>6</v>
      </c>
      <c r="RB24" s="255"/>
      <c r="RC24" s="67" t="s">
        <v>289</v>
      </c>
      <c r="RD24" s="68"/>
      <c r="RE24" s="69"/>
      <c r="RF24" s="254">
        <v>3</v>
      </c>
      <c r="RG24" s="255"/>
      <c r="RH24" s="67" t="s">
        <v>289</v>
      </c>
      <c r="RI24" s="68"/>
      <c r="RJ24" s="69"/>
      <c r="RK24" s="254">
        <v>5</v>
      </c>
      <c r="RL24" s="255"/>
      <c r="RM24" s="67" t="s">
        <v>289</v>
      </c>
      <c r="RN24" s="68"/>
      <c r="RO24" s="69"/>
      <c r="RP24" s="254">
        <v>3</v>
      </c>
      <c r="RQ24" s="255"/>
      <c r="RR24" s="67" t="s">
        <v>289</v>
      </c>
      <c r="RS24" s="68"/>
      <c r="RT24" s="69"/>
      <c r="RU24" s="254">
        <v>0</v>
      </c>
      <c r="RV24" s="255"/>
      <c r="RW24" s="67" t="s">
        <v>289</v>
      </c>
      <c r="RX24" s="68"/>
      <c r="RY24" s="69"/>
      <c r="RZ24" s="254">
        <v>0</v>
      </c>
      <c r="SA24" s="255"/>
      <c r="SB24" s="67" t="s">
        <v>289</v>
      </c>
      <c r="SC24" s="68"/>
      <c r="SD24" s="69"/>
      <c r="SE24" s="254">
        <v>0</v>
      </c>
      <c r="SF24" s="255"/>
      <c r="SG24" s="67" t="s">
        <v>289</v>
      </c>
      <c r="SH24" s="68"/>
      <c r="SI24" s="69"/>
      <c r="SJ24" s="254">
        <v>0</v>
      </c>
      <c r="SK24" s="255"/>
      <c r="SL24" s="67" t="s">
        <v>289</v>
      </c>
      <c r="SM24" s="68"/>
      <c r="SN24" s="69"/>
      <c r="SO24" s="254">
        <v>2</v>
      </c>
      <c r="SP24" s="255"/>
      <c r="SQ24" s="67" t="s">
        <v>289</v>
      </c>
      <c r="SR24" s="68"/>
      <c r="SS24" s="69"/>
      <c r="ST24" s="254">
        <v>3</v>
      </c>
      <c r="SU24" s="255"/>
      <c r="SV24" s="67" t="s">
        <v>289</v>
      </c>
      <c r="SW24" s="68"/>
      <c r="SX24" s="69"/>
      <c r="SY24" s="254">
        <v>0</v>
      </c>
      <c r="SZ24" s="255"/>
      <c r="TA24" s="67" t="s">
        <v>289</v>
      </c>
      <c r="TB24" s="68"/>
      <c r="TC24" s="69"/>
      <c r="TD24" s="254">
        <v>0</v>
      </c>
      <c r="TE24" s="255"/>
      <c r="TF24" s="67" t="s">
        <v>289</v>
      </c>
      <c r="TG24" s="68"/>
      <c r="TH24" s="69"/>
      <c r="TI24" s="254">
        <v>0</v>
      </c>
      <c r="TJ24" s="255"/>
      <c r="TK24" s="67" t="s">
        <v>289</v>
      </c>
      <c r="TL24" s="68"/>
      <c r="TM24" s="69"/>
      <c r="TN24" s="254">
        <v>0</v>
      </c>
      <c r="TO24" s="255"/>
      <c r="TP24" s="67" t="s">
        <v>289</v>
      </c>
      <c r="TQ24" s="68"/>
      <c r="TR24" s="69"/>
      <c r="TS24" s="254">
        <v>0</v>
      </c>
      <c r="TT24" s="255"/>
      <c r="TU24" s="67" t="s">
        <v>289</v>
      </c>
      <c r="TV24" s="68"/>
      <c r="TW24" s="69"/>
      <c r="TX24" s="254">
        <v>4</v>
      </c>
      <c r="TY24" s="255"/>
      <c r="TZ24" s="67" t="s">
        <v>289</v>
      </c>
      <c r="UA24" s="68"/>
      <c r="UB24" s="69"/>
      <c r="UC24" s="254">
        <v>1</v>
      </c>
      <c r="UD24" s="255"/>
      <c r="UE24" s="67" t="s">
        <v>289</v>
      </c>
      <c r="UF24" s="68"/>
      <c r="UG24" s="69"/>
      <c r="UH24" s="254">
        <v>2</v>
      </c>
      <c r="UI24" s="255"/>
      <c r="UJ24" s="67" t="s">
        <v>289</v>
      </c>
      <c r="UK24" s="68"/>
      <c r="UL24" s="69"/>
      <c r="UM24" s="254">
        <v>0</v>
      </c>
      <c r="UN24" s="255"/>
      <c r="UO24" s="67" t="s">
        <v>289</v>
      </c>
      <c r="UP24" s="68"/>
      <c r="UQ24" s="69"/>
      <c r="UR24" s="254">
        <v>0</v>
      </c>
      <c r="US24" s="255"/>
      <c r="UT24" s="67" t="s">
        <v>289</v>
      </c>
      <c r="UU24" s="68"/>
      <c r="UV24" s="69"/>
      <c r="UW24" s="254">
        <v>0</v>
      </c>
      <c r="UX24" s="255"/>
      <c r="UY24" s="67" t="s">
        <v>289</v>
      </c>
      <c r="UZ24" s="68"/>
      <c r="VA24" s="69"/>
      <c r="VB24" s="254">
        <v>0</v>
      </c>
      <c r="VC24" s="255"/>
      <c r="VD24" s="67" t="s">
        <v>289</v>
      </c>
      <c r="VE24" s="68"/>
      <c r="VF24" s="69"/>
      <c r="VG24" s="254">
        <v>0</v>
      </c>
      <c r="VH24" s="255"/>
      <c r="VI24" s="67" t="s">
        <v>289</v>
      </c>
      <c r="VJ24" s="68"/>
      <c r="VK24" s="69"/>
      <c r="VL24" s="254">
        <v>4</v>
      </c>
      <c r="VM24" s="255"/>
      <c r="VN24" s="67" t="s">
        <v>289</v>
      </c>
      <c r="VO24" s="68"/>
      <c r="VP24" s="69"/>
      <c r="VQ24" s="254">
        <v>5</v>
      </c>
      <c r="VR24" s="255"/>
      <c r="VS24" s="67" t="s">
        <v>289</v>
      </c>
      <c r="VT24" s="68"/>
      <c r="VU24" s="69"/>
      <c r="VV24" s="254">
        <v>1</v>
      </c>
      <c r="VW24" s="255"/>
      <c r="VX24" s="67" t="s">
        <v>289</v>
      </c>
      <c r="VY24" s="68"/>
      <c r="VZ24" s="69"/>
      <c r="WA24" s="254">
        <v>0</v>
      </c>
      <c r="WB24" s="255"/>
      <c r="WC24" s="67" t="s">
        <v>289</v>
      </c>
      <c r="WD24" s="68"/>
      <c r="WE24" s="69"/>
      <c r="WF24" s="254">
        <v>0</v>
      </c>
      <c r="WG24" s="255"/>
      <c r="WH24" s="67" t="s">
        <v>289</v>
      </c>
      <c r="WI24" s="68"/>
      <c r="WJ24" s="69"/>
      <c r="WK24" s="254">
        <v>1</v>
      </c>
      <c r="WL24" s="255"/>
      <c r="WM24" s="67" t="s">
        <v>289</v>
      </c>
      <c r="WN24" s="68"/>
      <c r="WO24" s="69"/>
      <c r="WP24" s="254">
        <v>6</v>
      </c>
      <c r="WQ24" s="255"/>
      <c r="WR24" s="67" t="s">
        <v>289</v>
      </c>
      <c r="WS24" s="68"/>
      <c r="WT24" s="69"/>
      <c r="WU24" s="254">
        <v>7</v>
      </c>
      <c r="WV24" s="255"/>
      <c r="WW24" s="67" t="s">
        <v>289</v>
      </c>
      <c r="WX24" s="68"/>
      <c r="WY24" s="69"/>
      <c r="WZ24" s="254">
        <v>0</v>
      </c>
      <c r="XA24" s="255"/>
      <c r="XB24" s="67" t="s">
        <v>289</v>
      </c>
      <c r="XC24" s="68"/>
      <c r="XD24" s="69"/>
      <c r="XE24" s="254">
        <v>0</v>
      </c>
      <c r="XF24" s="255"/>
      <c r="XG24" s="67" t="s">
        <v>289</v>
      </c>
      <c r="XH24" s="68"/>
      <c r="XI24" s="69"/>
      <c r="XJ24" s="254">
        <v>0</v>
      </c>
      <c r="XK24" s="255"/>
      <c r="XL24" s="67" t="s">
        <v>289</v>
      </c>
      <c r="XM24" s="68"/>
      <c r="XN24" s="69"/>
      <c r="XO24" s="254">
        <v>0</v>
      </c>
      <c r="XP24" s="255"/>
      <c r="XQ24" s="67" t="s">
        <v>289</v>
      </c>
      <c r="XR24" s="68"/>
      <c r="XS24" s="69"/>
      <c r="XT24" s="254">
        <v>8</v>
      </c>
      <c r="XU24" s="255"/>
      <c r="XV24" s="67" t="s">
        <v>289</v>
      </c>
      <c r="XW24" s="68"/>
      <c r="XX24" s="69"/>
      <c r="XY24" s="254">
        <v>5</v>
      </c>
      <c r="XZ24" s="255"/>
      <c r="YA24" s="67" t="s">
        <v>289</v>
      </c>
      <c r="YB24" s="68"/>
      <c r="YC24" s="69"/>
      <c r="YD24" s="254">
        <v>0</v>
      </c>
      <c r="YE24" s="255"/>
      <c r="YF24" s="67" t="s">
        <v>289</v>
      </c>
      <c r="YG24" s="68"/>
      <c r="YH24" s="69"/>
      <c r="YI24" s="254">
        <v>0</v>
      </c>
      <c r="YJ24" s="255"/>
      <c r="YK24" s="67" t="s">
        <v>289</v>
      </c>
      <c r="YL24" s="68"/>
      <c r="YM24" s="69"/>
      <c r="YN24" s="254">
        <v>0</v>
      </c>
      <c r="YO24" s="255"/>
      <c r="YP24" s="67" t="s">
        <v>289</v>
      </c>
      <c r="YQ24" s="68"/>
      <c r="YR24" s="69"/>
      <c r="YS24" s="254">
        <v>0</v>
      </c>
      <c r="YT24" s="255"/>
      <c r="YU24" s="67" t="s">
        <v>289</v>
      </c>
      <c r="YV24" s="68"/>
      <c r="YW24" s="69"/>
      <c r="YX24" s="254">
        <v>0</v>
      </c>
      <c r="YY24" s="255"/>
      <c r="YZ24" s="67" t="s">
        <v>289</v>
      </c>
      <c r="ZA24" s="68"/>
      <c r="ZB24" s="69"/>
      <c r="ZC24" s="254">
        <v>8</v>
      </c>
      <c r="ZD24" s="255"/>
      <c r="ZE24" s="67" t="s">
        <v>289</v>
      </c>
      <c r="ZF24" s="68"/>
      <c r="ZG24" s="69"/>
      <c r="ZH24" s="254">
        <v>9</v>
      </c>
      <c r="ZI24" s="255"/>
      <c r="ZJ24" s="67" t="s">
        <v>289</v>
      </c>
      <c r="ZK24" s="68"/>
      <c r="ZL24" s="69"/>
      <c r="ZM24" s="254">
        <v>0</v>
      </c>
      <c r="ZN24" s="255"/>
      <c r="ZO24" s="67" t="s">
        <v>289</v>
      </c>
      <c r="ZP24" s="68"/>
      <c r="ZQ24" s="69"/>
      <c r="ZR24" s="254">
        <v>0</v>
      </c>
      <c r="ZS24" s="255"/>
      <c r="ZT24" s="67" t="s">
        <v>289</v>
      </c>
      <c r="ZU24" s="68"/>
      <c r="ZV24" s="69"/>
      <c r="ZW24" s="254">
        <v>0</v>
      </c>
      <c r="ZX24" s="255"/>
      <c r="ZY24" s="67" t="s">
        <v>289</v>
      </c>
      <c r="ZZ24" s="68"/>
      <c r="AAA24" s="69"/>
      <c r="AAB24" s="254">
        <v>0</v>
      </c>
      <c r="AAC24" s="255"/>
      <c r="AAD24" s="67" t="s">
        <v>289</v>
      </c>
      <c r="AAE24" s="68"/>
      <c r="AAF24" s="69"/>
      <c r="AAG24" s="254">
        <v>0</v>
      </c>
      <c r="AAH24" s="255"/>
      <c r="AAI24" s="67" t="s">
        <v>289</v>
      </c>
      <c r="AAJ24" s="68"/>
      <c r="AAK24" s="69"/>
      <c r="AAL24" s="254">
        <v>4</v>
      </c>
      <c r="AAM24" s="255"/>
      <c r="AAN24" s="67" t="s">
        <v>289</v>
      </c>
      <c r="AAO24" s="68"/>
      <c r="AAP24" s="69"/>
      <c r="AAQ24" s="254">
        <v>0</v>
      </c>
      <c r="AAR24" s="255"/>
      <c r="AAS24" s="67" t="s">
        <v>289</v>
      </c>
      <c r="AAT24" s="68"/>
      <c r="AAU24" s="69"/>
      <c r="AAV24" s="254">
        <v>0</v>
      </c>
      <c r="AAW24" s="255"/>
      <c r="AAX24" s="67" t="s">
        <v>289</v>
      </c>
      <c r="AAY24" s="68"/>
      <c r="AAZ24" s="69"/>
      <c r="ABA24" s="254">
        <v>0</v>
      </c>
      <c r="ABB24" s="255"/>
      <c r="ABC24" s="67" t="s">
        <v>289</v>
      </c>
      <c r="ABD24" s="68"/>
      <c r="ABE24" s="69"/>
      <c r="ABF24" s="254">
        <v>0</v>
      </c>
      <c r="ABG24" s="255"/>
      <c r="ABH24" s="67" t="s">
        <v>289</v>
      </c>
      <c r="ABI24" s="68"/>
      <c r="ABJ24" s="69"/>
      <c r="ABK24" s="254">
        <v>0</v>
      </c>
      <c r="ABL24" s="255"/>
      <c r="ABM24" s="67" t="s">
        <v>289</v>
      </c>
      <c r="ABN24" s="68"/>
      <c r="ABO24" s="69"/>
      <c r="ABP24" s="254">
        <v>0</v>
      </c>
      <c r="ABQ24" s="255"/>
      <c r="ABR24" s="67" t="s">
        <v>289</v>
      </c>
      <c r="ABS24" s="68"/>
      <c r="ABT24" s="69"/>
      <c r="ABU24" s="254">
        <v>8</v>
      </c>
      <c r="ABV24" s="255"/>
      <c r="ABW24" s="67" t="s">
        <v>289</v>
      </c>
      <c r="ABX24" s="68"/>
      <c r="ABY24" s="69"/>
      <c r="ABZ24" s="254">
        <v>7</v>
      </c>
      <c r="ACA24" s="255"/>
      <c r="ACB24" s="67" t="s">
        <v>289</v>
      </c>
      <c r="ACC24" s="68"/>
      <c r="ACD24" s="69"/>
      <c r="ACE24" s="254">
        <v>7</v>
      </c>
      <c r="ACF24" s="255"/>
      <c r="ACG24" s="67" t="s">
        <v>289</v>
      </c>
      <c r="ACH24" s="68"/>
      <c r="ACI24" s="69"/>
      <c r="ACJ24" s="254">
        <v>0</v>
      </c>
      <c r="ACK24" s="255"/>
      <c r="ACL24" s="67" t="s">
        <v>289</v>
      </c>
      <c r="ACM24" s="68"/>
      <c r="ACN24" s="69"/>
      <c r="ACO24" s="254">
        <v>0</v>
      </c>
      <c r="ACP24" s="255"/>
      <c r="ACQ24" s="67" t="s">
        <v>289</v>
      </c>
      <c r="ACR24" s="68"/>
      <c r="ACS24" s="69"/>
      <c r="ACT24" s="254">
        <v>0</v>
      </c>
      <c r="ACU24" s="255"/>
      <c r="ACV24" s="67" t="s">
        <v>289</v>
      </c>
      <c r="ACW24" s="68"/>
      <c r="ACX24" s="69"/>
      <c r="ACY24" s="254">
        <v>0</v>
      </c>
      <c r="ACZ24" s="255"/>
      <c r="ADA24" s="67" t="s">
        <v>289</v>
      </c>
      <c r="ADB24" s="68"/>
      <c r="ADC24" s="69"/>
      <c r="ADD24" s="254">
        <v>0</v>
      </c>
      <c r="ADE24" s="255"/>
      <c r="ADF24" s="67" t="s">
        <v>289</v>
      </c>
      <c r="ADG24" s="68"/>
      <c r="ADH24" s="69"/>
      <c r="ADI24" s="254">
        <v>1</v>
      </c>
      <c r="ADJ24" s="255"/>
      <c r="ADK24" s="67" t="s">
        <v>289</v>
      </c>
      <c r="ADL24" s="68"/>
      <c r="ADM24" s="69"/>
      <c r="ADN24" s="254">
        <v>3</v>
      </c>
      <c r="ADO24" s="255"/>
      <c r="ADP24" s="67" t="s">
        <v>289</v>
      </c>
      <c r="ADQ24" s="68"/>
      <c r="ADR24" s="69"/>
      <c r="ADS24" s="254">
        <v>8</v>
      </c>
      <c r="ADT24" s="255"/>
      <c r="ADU24" s="67" t="s">
        <v>289</v>
      </c>
      <c r="ADV24" s="68"/>
      <c r="ADW24" s="69"/>
      <c r="ADX24" s="254">
        <v>14</v>
      </c>
      <c r="ADY24" s="255"/>
      <c r="ADZ24" s="67" t="s">
        <v>289</v>
      </c>
      <c r="AEA24" s="68"/>
      <c r="AEB24" s="69"/>
      <c r="AEC24" s="254">
        <v>3</v>
      </c>
      <c r="AED24" s="255"/>
      <c r="AEE24" s="67" t="s">
        <v>289</v>
      </c>
      <c r="AEF24" s="68"/>
      <c r="AEG24" s="69"/>
      <c r="AEH24" s="254">
        <v>0</v>
      </c>
      <c r="AEI24" s="255"/>
      <c r="AEJ24" s="67" t="s">
        <v>289</v>
      </c>
      <c r="AEK24" s="68"/>
      <c r="AEL24" s="69"/>
      <c r="AEM24" s="254">
        <v>0</v>
      </c>
      <c r="AEN24" s="255"/>
      <c r="AEO24" s="67" t="s">
        <v>289</v>
      </c>
      <c r="AEP24" s="68"/>
      <c r="AEQ24" s="69"/>
      <c r="AER24" s="254">
        <v>0</v>
      </c>
      <c r="AES24" s="255"/>
      <c r="AET24" s="67" t="s">
        <v>289</v>
      </c>
      <c r="AEU24" s="68"/>
      <c r="AEV24" s="69"/>
      <c r="AEW24" s="254">
        <v>0</v>
      </c>
      <c r="AEX24" s="255"/>
      <c r="AEY24" s="67" t="s">
        <v>289</v>
      </c>
      <c r="AEZ24" s="68"/>
      <c r="AFA24" s="69"/>
      <c r="AFB24" s="254">
        <v>0</v>
      </c>
      <c r="AFC24" s="255"/>
      <c r="AFD24" s="67" t="s">
        <v>289</v>
      </c>
      <c r="AFE24" s="68"/>
      <c r="AFF24" s="69"/>
      <c r="AFG24" s="254">
        <v>0</v>
      </c>
      <c r="AFH24" s="255"/>
      <c r="AFI24" s="67" t="s">
        <v>289</v>
      </c>
      <c r="AFJ24" s="68"/>
      <c r="AFK24" s="69"/>
      <c r="AFL24" s="254">
        <v>0</v>
      </c>
      <c r="AFM24" s="255"/>
      <c r="AFN24" s="67" t="s">
        <v>289</v>
      </c>
      <c r="AFO24" s="68"/>
      <c r="AFP24" s="69"/>
      <c r="AFQ24" s="254">
        <v>0</v>
      </c>
      <c r="AFR24" s="255"/>
      <c r="AFS24" s="67" t="s">
        <v>289</v>
      </c>
      <c r="AFT24" s="68"/>
      <c r="AFU24" s="69"/>
      <c r="AFV24" s="254">
        <v>0</v>
      </c>
      <c r="AFW24" s="255"/>
      <c r="AFX24" s="67" t="s">
        <v>289</v>
      </c>
      <c r="AFY24" s="68"/>
      <c r="AFZ24" s="69"/>
      <c r="AGA24" s="254">
        <v>0</v>
      </c>
      <c r="AGB24" s="255"/>
      <c r="AGC24" s="67" t="s">
        <v>289</v>
      </c>
      <c r="AGD24" s="68"/>
      <c r="AGE24" s="69"/>
      <c r="AGF24" s="254">
        <v>2</v>
      </c>
      <c r="AGG24" s="255"/>
      <c r="AGH24" s="67" t="s">
        <v>289</v>
      </c>
      <c r="AGI24" s="68"/>
      <c r="AGJ24" s="69"/>
      <c r="AGK24" s="254">
        <v>0</v>
      </c>
      <c r="AGL24" s="255"/>
      <c r="AGM24" s="67" t="s">
        <v>289</v>
      </c>
      <c r="AGN24" s="68"/>
      <c r="AGO24" s="69"/>
      <c r="AGP24" s="254">
        <v>0</v>
      </c>
      <c r="AGQ24" s="255"/>
      <c r="AGR24" s="67" t="s">
        <v>289</v>
      </c>
      <c r="AGS24" s="68"/>
      <c r="AGT24" s="69"/>
      <c r="AGU24" s="254">
        <v>0</v>
      </c>
      <c r="AGV24" s="255"/>
      <c r="AGW24" s="67" t="s">
        <v>289</v>
      </c>
      <c r="AGX24" s="68"/>
      <c r="AGY24" s="69"/>
      <c r="AGZ24" s="254">
        <v>0</v>
      </c>
      <c r="AHA24" s="255"/>
      <c r="AHB24" s="67" t="s">
        <v>289</v>
      </c>
      <c r="AHC24" s="68"/>
      <c r="AHD24" s="69"/>
      <c r="AHE24" s="254">
        <v>0</v>
      </c>
      <c r="AHF24" s="255"/>
      <c r="AHG24" s="67" t="s">
        <v>289</v>
      </c>
      <c r="AHH24" s="68"/>
      <c r="AHI24" s="69"/>
      <c r="AHJ24" s="254">
        <v>0</v>
      </c>
      <c r="AHK24" s="255"/>
      <c r="AHL24" s="67" t="s">
        <v>289</v>
      </c>
      <c r="AHM24" s="68"/>
      <c r="AHN24" s="69"/>
      <c r="AHO24" s="254">
        <v>2</v>
      </c>
      <c r="AHP24" s="255"/>
      <c r="AHQ24" s="67" t="s">
        <v>289</v>
      </c>
      <c r="AHR24" s="68"/>
      <c r="AHS24" s="69"/>
      <c r="AHT24" s="254">
        <v>0</v>
      </c>
      <c r="AHU24" s="255"/>
      <c r="AHV24" s="67" t="s">
        <v>289</v>
      </c>
      <c r="AHW24" s="68"/>
      <c r="AHX24" s="69"/>
      <c r="AHY24" s="254">
        <v>0</v>
      </c>
      <c r="AHZ24" s="255"/>
      <c r="AIA24" s="67" t="s">
        <v>289</v>
      </c>
      <c r="AIB24" s="68"/>
      <c r="AIC24" s="69"/>
      <c r="AID24" s="254">
        <v>0</v>
      </c>
      <c r="AIE24" s="255"/>
      <c r="AIF24" s="67" t="s">
        <v>289</v>
      </c>
      <c r="AIG24" s="68"/>
      <c r="AIH24" s="69"/>
      <c r="AII24" s="254">
        <v>0</v>
      </c>
      <c r="AIJ24" s="255"/>
      <c r="AIK24" s="67" t="s">
        <v>289</v>
      </c>
      <c r="AIL24" s="68"/>
      <c r="AIM24" s="69"/>
      <c r="AIN24" s="254">
        <v>0</v>
      </c>
      <c r="AIO24" s="255"/>
      <c r="AIP24" s="67" t="s">
        <v>289</v>
      </c>
      <c r="AIQ24" s="68"/>
      <c r="AIR24" s="69"/>
      <c r="AIS24" s="254">
        <v>0</v>
      </c>
      <c r="AIT24" s="255"/>
      <c r="AIU24" s="67" t="s">
        <v>289</v>
      </c>
      <c r="AIV24" s="68"/>
      <c r="AIW24" s="69"/>
      <c r="AIX24" s="254">
        <v>0</v>
      </c>
      <c r="AIY24" s="255"/>
      <c r="AIZ24" s="67" t="s">
        <v>289</v>
      </c>
      <c r="AJA24" s="68"/>
      <c r="AJB24" s="69"/>
      <c r="AJC24" s="254">
        <v>0</v>
      </c>
      <c r="AJD24" s="255"/>
      <c r="AJE24" s="67" t="s">
        <v>289</v>
      </c>
      <c r="AJF24" s="68"/>
      <c r="AJG24" s="69"/>
      <c r="AJH24" s="254">
        <v>0</v>
      </c>
      <c r="AJI24" s="255"/>
      <c r="AJJ24" s="67" t="s">
        <v>289</v>
      </c>
      <c r="AJK24" s="68"/>
      <c r="AJL24" s="69"/>
      <c r="AJM24" s="254">
        <v>0</v>
      </c>
      <c r="AJN24" s="255"/>
      <c r="AJO24" s="67" t="s">
        <v>289</v>
      </c>
      <c r="AJP24" s="68"/>
      <c r="AJQ24" s="69"/>
      <c r="AJR24" s="254">
        <v>0</v>
      </c>
      <c r="AJS24" s="255"/>
      <c r="AJT24" s="67" t="s">
        <v>289</v>
      </c>
      <c r="AJU24" s="68"/>
      <c r="AJV24" s="69"/>
      <c r="AJW24" s="254">
        <v>5</v>
      </c>
      <c r="AJX24" s="255"/>
      <c r="AJY24" s="67" t="s">
        <v>289</v>
      </c>
      <c r="AJZ24" s="68"/>
      <c r="AKA24" s="69"/>
      <c r="AKB24" s="254">
        <v>3</v>
      </c>
      <c r="AKC24" s="255"/>
      <c r="AKD24" s="67" t="s">
        <v>289</v>
      </c>
      <c r="AKE24" s="68"/>
      <c r="AKF24" s="69"/>
      <c r="AKG24" s="254">
        <v>4</v>
      </c>
      <c r="AKH24" s="255"/>
      <c r="AKI24" s="67" t="s">
        <v>289</v>
      </c>
      <c r="AKJ24" s="68"/>
      <c r="AKK24" s="69"/>
      <c r="AKL24" s="254">
        <v>4</v>
      </c>
      <c r="AKM24" s="255"/>
      <c r="AKN24" s="67" t="s">
        <v>289</v>
      </c>
      <c r="AKO24" s="68"/>
      <c r="AKP24" s="69"/>
      <c r="AKQ24" s="254">
        <v>0</v>
      </c>
      <c r="AKR24" s="255"/>
      <c r="AKS24" s="67" t="s">
        <v>289</v>
      </c>
      <c r="AKT24" s="68"/>
      <c r="AKU24" s="69"/>
      <c r="AKV24" s="254">
        <v>0</v>
      </c>
      <c r="AKW24" s="255"/>
      <c r="AKX24" s="67" t="s">
        <v>289</v>
      </c>
      <c r="AKY24" s="68"/>
      <c r="AKZ24" s="69"/>
      <c r="ALA24" s="254">
        <v>0</v>
      </c>
      <c r="ALB24" s="255"/>
      <c r="ALC24" s="67" t="s">
        <v>289</v>
      </c>
      <c r="ALD24" s="68"/>
      <c r="ALE24" s="69"/>
      <c r="ALF24" s="254">
        <v>0</v>
      </c>
      <c r="ALG24" s="255"/>
      <c r="ALH24" s="67" t="s">
        <v>289</v>
      </c>
      <c r="ALI24" s="68"/>
      <c r="ALJ24" s="69"/>
      <c r="ALK24" s="254">
        <v>3</v>
      </c>
      <c r="ALL24" s="255"/>
      <c r="ALM24" s="67" t="s">
        <v>289</v>
      </c>
      <c r="ALN24" s="68"/>
      <c r="ALO24" s="69"/>
      <c r="ALP24" s="254">
        <v>2</v>
      </c>
      <c r="ALQ24" s="255"/>
      <c r="ALR24" s="67" t="s">
        <v>289</v>
      </c>
      <c r="ALS24" s="68"/>
      <c r="ALT24" s="69"/>
      <c r="ALU24" s="254">
        <v>0</v>
      </c>
      <c r="ALV24" s="255"/>
      <c r="ALW24" s="67" t="s">
        <v>289</v>
      </c>
      <c r="ALX24" s="68"/>
      <c r="ALY24" s="69"/>
      <c r="ALZ24" s="254">
        <v>0</v>
      </c>
      <c r="AMA24" s="255"/>
      <c r="AMB24" s="67" t="s">
        <v>289</v>
      </c>
      <c r="AMC24" s="68"/>
      <c r="AMD24" s="69"/>
      <c r="AME24" s="254">
        <v>6</v>
      </c>
      <c r="AMF24" s="255"/>
      <c r="AMG24" s="67" t="s">
        <v>289</v>
      </c>
      <c r="AMH24" s="68"/>
      <c r="AMI24" s="69"/>
      <c r="AMJ24" s="254">
        <v>1</v>
      </c>
      <c r="AMK24" s="255"/>
      <c r="AML24" s="67" t="s">
        <v>289</v>
      </c>
      <c r="AMM24" s="68"/>
      <c r="AMN24" s="69"/>
      <c r="AMO24" s="254">
        <v>3</v>
      </c>
      <c r="AMP24" s="255"/>
      <c r="AMQ24" s="67" t="s">
        <v>289</v>
      </c>
      <c r="AMR24" s="68"/>
      <c r="AMS24" s="69"/>
      <c r="AMT24" s="254">
        <v>4</v>
      </c>
      <c r="AMU24" s="255"/>
      <c r="AMV24" s="67" t="s">
        <v>289</v>
      </c>
      <c r="AMW24" s="68"/>
      <c r="AMX24" s="69"/>
      <c r="AMY24" s="254">
        <v>3</v>
      </c>
      <c r="AMZ24" s="255"/>
      <c r="ANA24" s="67" t="s">
        <v>289</v>
      </c>
      <c r="ANB24" s="68"/>
      <c r="ANC24" s="69"/>
      <c r="AND24" s="254">
        <v>4</v>
      </c>
      <c r="ANE24" s="255"/>
      <c r="ANF24" s="67" t="s">
        <v>289</v>
      </c>
      <c r="ANG24" s="68"/>
      <c r="ANH24" s="69"/>
      <c r="ANI24" s="254">
        <v>3</v>
      </c>
      <c r="ANJ24" s="255"/>
      <c r="ANK24" s="67" t="s">
        <v>289</v>
      </c>
      <c r="ANL24" s="68"/>
      <c r="ANM24" s="69"/>
      <c r="ANN24" s="254">
        <v>4</v>
      </c>
      <c r="ANO24" s="255"/>
      <c r="ANP24" s="67" t="s">
        <v>289</v>
      </c>
      <c r="ANQ24" s="68"/>
      <c r="ANR24" s="69"/>
      <c r="ANS24" s="254">
        <v>0</v>
      </c>
      <c r="ANT24" s="255"/>
      <c r="ANU24" s="67" t="s">
        <v>289</v>
      </c>
      <c r="ANV24" s="68"/>
      <c r="ANW24" s="69"/>
      <c r="ANX24" s="254">
        <v>1</v>
      </c>
      <c r="ANY24" s="255"/>
      <c r="ANZ24" s="67" t="s">
        <v>289</v>
      </c>
      <c r="AOA24" s="68"/>
      <c r="AOB24" s="69"/>
      <c r="AOC24" s="254">
        <v>2</v>
      </c>
      <c r="AOD24" s="255"/>
      <c r="AOE24" s="67" t="s">
        <v>289</v>
      </c>
      <c r="AOF24" s="68"/>
      <c r="AOG24" s="69"/>
      <c r="AOH24" s="254">
        <v>2</v>
      </c>
      <c r="AOI24" s="255"/>
      <c r="AOJ24" s="67" t="s">
        <v>289</v>
      </c>
      <c r="AOK24" s="68"/>
      <c r="AOL24" s="69"/>
      <c r="AOM24" s="254">
        <v>2</v>
      </c>
      <c r="AON24" s="255"/>
      <c r="AOO24" s="67" t="s">
        <v>289</v>
      </c>
      <c r="AOP24" s="68"/>
      <c r="AOQ24" s="69"/>
      <c r="AOR24" s="254">
        <v>0</v>
      </c>
      <c r="AOS24" s="255"/>
      <c r="AOT24" s="67" t="s">
        <v>289</v>
      </c>
      <c r="AOU24" s="68"/>
      <c r="AOV24" s="69"/>
      <c r="AOW24" s="254">
        <v>0</v>
      </c>
      <c r="AOX24" s="255"/>
      <c r="AOY24" s="67" t="s">
        <v>289</v>
      </c>
      <c r="AOZ24" s="68"/>
      <c r="APA24" s="69"/>
      <c r="APB24" s="254">
        <v>0</v>
      </c>
      <c r="APC24" s="255"/>
      <c r="APD24" s="67" t="s">
        <v>289</v>
      </c>
      <c r="APE24" s="68"/>
      <c r="APF24" s="69"/>
      <c r="APG24" s="254">
        <v>4</v>
      </c>
      <c r="APH24" s="255"/>
      <c r="API24" s="67" t="s">
        <v>289</v>
      </c>
      <c r="APJ24" s="68"/>
      <c r="APK24" s="69"/>
      <c r="APL24" s="254">
        <v>2</v>
      </c>
      <c r="APM24" s="255"/>
      <c r="APN24" s="67" t="s">
        <v>289</v>
      </c>
      <c r="APO24" s="68"/>
      <c r="APP24" s="69"/>
      <c r="APQ24" s="254">
        <v>0</v>
      </c>
      <c r="APR24" s="255"/>
      <c r="APS24" s="67" t="s">
        <v>289</v>
      </c>
      <c r="APT24" s="68"/>
      <c r="APU24" s="69"/>
      <c r="APV24" s="254">
        <v>0</v>
      </c>
      <c r="APW24" s="255"/>
      <c r="APX24" s="67" t="s">
        <v>289</v>
      </c>
      <c r="APY24" s="68"/>
      <c r="APZ24" s="69"/>
      <c r="AQA24" s="254">
        <v>0</v>
      </c>
      <c r="AQB24" s="255"/>
      <c r="AQC24" s="67" t="s">
        <v>289</v>
      </c>
      <c r="AQD24" s="68"/>
      <c r="AQE24" s="69"/>
      <c r="AQF24" s="254">
        <v>0</v>
      </c>
      <c r="AQG24" s="255"/>
      <c r="AQH24" s="67" t="s">
        <v>289</v>
      </c>
      <c r="AQI24" s="68"/>
      <c r="AQJ24" s="69"/>
      <c r="AQK24" s="254">
        <v>0</v>
      </c>
      <c r="AQL24" s="255"/>
      <c r="AQM24" s="67" t="s">
        <v>289</v>
      </c>
      <c r="AQN24" s="68"/>
      <c r="AQO24" s="69"/>
      <c r="AQP24" s="254">
        <v>5</v>
      </c>
      <c r="AQQ24" s="255"/>
      <c r="AQR24" s="67" t="s">
        <v>289</v>
      </c>
      <c r="AQS24" s="68"/>
      <c r="AQT24" s="69"/>
      <c r="AQU24" s="254">
        <v>2</v>
      </c>
      <c r="AQV24" s="255"/>
      <c r="AQW24" s="67" t="s">
        <v>289</v>
      </c>
      <c r="AQX24" s="68"/>
      <c r="AQY24" s="69"/>
      <c r="AQZ24" s="254">
        <v>4</v>
      </c>
      <c r="ARA24" s="255"/>
      <c r="ARB24" s="67" t="s">
        <v>289</v>
      </c>
      <c r="ARC24" s="68"/>
      <c r="ARD24" s="69"/>
      <c r="ARE24" s="254">
        <v>3</v>
      </c>
      <c r="ARF24" s="255"/>
      <c r="ARG24" s="67" t="s">
        <v>289</v>
      </c>
      <c r="ARH24" s="68"/>
      <c r="ARI24" s="69"/>
      <c r="ARJ24" s="254">
        <v>0</v>
      </c>
      <c r="ARK24" s="255"/>
      <c r="ARL24" s="67" t="s">
        <v>289</v>
      </c>
      <c r="ARM24" s="68"/>
      <c r="ARN24" s="69"/>
      <c r="ARO24" s="254">
        <v>0</v>
      </c>
      <c r="ARP24" s="255"/>
      <c r="ARQ24" s="67" t="s">
        <v>289</v>
      </c>
      <c r="ARR24" s="68"/>
      <c r="ARS24" s="69"/>
      <c r="ART24" s="254">
        <v>0</v>
      </c>
      <c r="ARU24" s="255"/>
      <c r="ARV24" s="67" t="s">
        <v>289</v>
      </c>
      <c r="ARW24" s="68"/>
      <c r="ARX24" s="69"/>
      <c r="ARY24" s="254">
        <v>8</v>
      </c>
      <c r="ARZ24" s="255"/>
      <c r="ASA24" s="67" t="s">
        <v>289</v>
      </c>
      <c r="ASB24" s="68"/>
      <c r="ASC24" s="69"/>
      <c r="ASD24" s="254">
        <v>1</v>
      </c>
      <c r="ASE24" s="255"/>
      <c r="ASF24" s="67" t="s">
        <v>289</v>
      </c>
      <c r="ASG24" s="68"/>
      <c r="ASH24" s="69"/>
      <c r="ASI24" s="250" t="s">
        <v>41</v>
      </c>
      <c r="ASJ24" s="251"/>
      <c r="ASK24" s="67" t="s">
        <v>289</v>
      </c>
      <c r="ASL24" s="68"/>
      <c r="ASM24" s="69"/>
      <c r="ASN24" s="250" t="s">
        <v>41</v>
      </c>
      <c r="ASO24" s="251"/>
      <c r="ASP24" s="67" t="s">
        <v>289</v>
      </c>
      <c r="ASQ24" s="68"/>
      <c r="ASR24" s="69"/>
      <c r="ASS24" s="250" t="s">
        <v>41</v>
      </c>
      <c r="AST24" s="251"/>
      <c r="ASU24" s="67" t="s">
        <v>289</v>
      </c>
      <c r="ASV24" s="68"/>
      <c r="ASW24" s="69"/>
      <c r="ASX24" s="250">
        <v>6</v>
      </c>
      <c r="ASY24" s="251"/>
      <c r="ASZ24" s="67" t="s">
        <v>289</v>
      </c>
      <c r="ATA24" s="68"/>
      <c r="ATB24" s="69"/>
      <c r="ATC24" s="250" t="s">
        <v>41</v>
      </c>
      <c r="ATD24" s="251"/>
      <c r="ATE24" s="67" t="s">
        <v>284</v>
      </c>
      <c r="ATF24" s="68"/>
      <c r="ATG24" s="69"/>
      <c r="ATH24" s="250" t="s">
        <v>41</v>
      </c>
      <c r="ATI24" s="251"/>
      <c r="ATJ24" s="67" t="s">
        <v>119</v>
      </c>
      <c r="ATK24" s="68"/>
      <c r="ATL24" s="69"/>
      <c r="ATM24" s="250" t="s">
        <v>41</v>
      </c>
      <c r="ATN24" s="251"/>
      <c r="ATO24" s="67" t="s">
        <v>119</v>
      </c>
      <c r="ATP24" s="68"/>
      <c r="ATQ24" s="69"/>
      <c r="ATR24" s="250" t="s">
        <v>31</v>
      </c>
      <c r="ATS24" s="251"/>
      <c r="ATT24" s="67" t="s">
        <v>119</v>
      </c>
      <c r="ATU24" s="68"/>
      <c r="ATV24" s="69"/>
      <c r="ATW24" s="250" t="s">
        <v>31</v>
      </c>
      <c r="ATX24" s="251"/>
      <c r="ATY24" s="67" t="s">
        <v>119</v>
      </c>
      <c r="ATZ24" s="68"/>
      <c r="AUA24" s="69"/>
      <c r="AUB24" s="250" t="s">
        <v>31</v>
      </c>
      <c r="AUC24" s="251"/>
      <c r="AUD24" s="67" t="s">
        <v>119</v>
      </c>
      <c r="AUE24" s="68"/>
      <c r="AUF24" s="69"/>
      <c r="AUG24" s="250" t="s">
        <v>31</v>
      </c>
      <c r="AUH24" s="251"/>
      <c r="AUI24" s="67" t="s">
        <v>119</v>
      </c>
      <c r="AUJ24" s="68"/>
      <c r="AUK24" s="69"/>
      <c r="AUL24" s="250" t="s">
        <v>31</v>
      </c>
      <c r="AUM24" s="251"/>
      <c r="AUN24" s="67" t="s">
        <v>119</v>
      </c>
      <c r="AUO24" s="68"/>
      <c r="AUP24" s="69"/>
      <c r="AUQ24" s="250" t="s">
        <v>31</v>
      </c>
      <c r="AUR24" s="251"/>
      <c r="AUS24" s="67" t="s">
        <v>119</v>
      </c>
      <c r="AUT24" s="68"/>
      <c r="AUU24" s="69"/>
      <c r="AUV24" s="250" t="s">
        <v>31</v>
      </c>
      <c r="AUW24" s="251"/>
      <c r="AUX24" s="67" t="s">
        <v>119</v>
      </c>
      <c r="AUY24" s="68"/>
      <c r="AUZ24" s="69"/>
      <c r="AVA24" s="250" t="s">
        <v>31</v>
      </c>
      <c r="AVB24" s="251"/>
      <c r="AVC24" s="67" t="s">
        <v>119</v>
      </c>
      <c r="AVD24" s="68"/>
      <c r="AVE24" s="69"/>
      <c r="AVF24" s="250" t="s">
        <v>31</v>
      </c>
      <c r="AVG24" s="251"/>
      <c r="AVH24" s="67" t="s">
        <v>119</v>
      </c>
      <c r="AVI24" s="68"/>
      <c r="AVJ24" s="69"/>
      <c r="AVK24" s="250" t="s">
        <v>31</v>
      </c>
      <c r="AVL24" s="251"/>
      <c r="AVM24" s="67" t="s">
        <v>119</v>
      </c>
      <c r="AVN24" s="68"/>
      <c r="AVO24" s="69"/>
      <c r="AVP24" s="250" t="s">
        <v>31</v>
      </c>
      <c r="AVQ24" s="251"/>
      <c r="AVR24" s="67" t="s">
        <v>119</v>
      </c>
      <c r="AVS24" s="68"/>
      <c r="AVT24" s="69"/>
      <c r="AVU24" s="250" t="s">
        <v>31</v>
      </c>
      <c r="AVV24" s="251"/>
      <c r="AVW24" s="67" t="s">
        <v>119</v>
      </c>
      <c r="AVX24" s="68"/>
      <c r="AVY24" s="69"/>
      <c r="AVZ24" s="250" t="s">
        <v>31</v>
      </c>
      <c r="AWA24" s="251"/>
      <c r="AWB24" s="67" t="s">
        <v>119</v>
      </c>
      <c r="AWC24" s="68"/>
      <c r="AWD24" s="69"/>
      <c r="AWE24" s="250" t="s">
        <v>31</v>
      </c>
      <c r="AWF24" s="251"/>
      <c r="AWG24" s="67" t="s">
        <v>119</v>
      </c>
      <c r="AWH24" s="68"/>
      <c r="AWI24" s="69"/>
      <c r="AWJ24" s="250" t="s">
        <v>31</v>
      </c>
      <c r="AWK24" s="251"/>
      <c r="AWL24" s="67" t="s">
        <v>119</v>
      </c>
      <c r="AWM24" s="68"/>
      <c r="AWN24" s="69"/>
      <c r="AWO24" s="250" t="s">
        <v>31</v>
      </c>
      <c r="AWP24" s="251"/>
      <c r="AWQ24" s="67" t="s">
        <v>119</v>
      </c>
      <c r="AWR24" s="68"/>
      <c r="AWS24" s="69"/>
      <c r="AWT24" s="250" t="s">
        <v>31</v>
      </c>
      <c r="AWU24" s="251"/>
      <c r="AWV24" s="67" t="s">
        <v>119</v>
      </c>
      <c r="AWW24" s="68"/>
      <c r="AWX24" s="69"/>
      <c r="AWY24" s="250" t="s">
        <v>31</v>
      </c>
      <c r="AWZ24" s="251"/>
      <c r="AXA24" s="67" t="s">
        <v>119</v>
      </c>
      <c r="AXB24" s="68"/>
      <c r="AXC24" s="69"/>
      <c r="AXD24" s="250" t="s">
        <v>31</v>
      </c>
      <c r="AXE24" s="251"/>
      <c r="AXF24" s="67" t="s">
        <v>119</v>
      </c>
      <c r="AXG24" s="68"/>
      <c r="AXH24" s="69"/>
      <c r="AXI24" s="250" t="s">
        <v>31</v>
      </c>
      <c r="AXJ24" s="251"/>
      <c r="AXK24" s="67" t="s">
        <v>119</v>
      </c>
      <c r="AXL24" s="68"/>
      <c r="AXM24" s="69"/>
      <c r="AXN24" s="250" t="s">
        <v>31</v>
      </c>
      <c r="AXO24" s="251"/>
      <c r="AXP24" s="67" t="s">
        <v>119</v>
      </c>
      <c r="AXQ24" s="68"/>
      <c r="AXR24" s="69"/>
      <c r="AXS24" s="250" t="s">
        <v>31</v>
      </c>
      <c r="AXT24" s="251"/>
      <c r="AXU24" s="67" t="s">
        <v>119</v>
      </c>
      <c r="AXV24" s="68"/>
      <c r="AXW24" s="69"/>
      <c r="AXX24" s="250" t="s">
        <v>31</v>
      </c>
      <c r="AXY24" s="251"/>
      <c r="AXZ24" s="67" t="s">
        <v>119</v>
      </c>
      <c r="AYA24" s="68"/>
      <c r="AYB24" s="69"/>
      <c r="AYC24" s="250" t="s">
        <v>31</v>
      </c>
      <c r="AYD24" s="251"/>
      <c r="AYE24" s="67" t="s">
        <v>119</v>
      </c>
      <c r="AYF24" s="68"/>
      <c r="AYG24" s="69"/>
      <c r="AYH24" s="250" t="s">
        <v>31</v>
      </c>
      <c r="AYI24" s="251"/>
      <c r="AYJ24" s="67" t="s">
        <v>119</v>
      </c>
      <c r="AYK24" s="68"/>
      <c r="AYL24" s="69"/>
      <c r="AYM24" s="250" t="s">
        <v>31</v>
      </c>
      <c r="AYN24" s="251"/>
      <c r="AYO24" s="67" t="s">
        <v>119</v>
      </c>
      <c r="AYP24" s="68"/>
      <c r="AYQ24" s="69"/>
      <c r="AYR24" s="250" t="s">
        <v>31</v>
      </c>
      <c r="AYS24" s="251"/>
      <c r="AYT24" s="67" t="s">
        <v>119</v>
      </c>
      <c r="AYU24" s="68"/>
      <c r="AYV24" s="69"/>
      <c r="AYW24" s="250" t="s">
        <v>31</v>
      </c>
      <c r="AYX24" s="251"/>
      <c r="AYY24" s="67" t="s">
        <v>119</v>
      </c>
      <c r="AYZ24" s="68"/>
      <c r="AZA24" s="69"/>
      <c r="AZB24" s="250" t="s">
        <v>31</v>
      </c>
      <c r="AZC24" s="251"/>
      <c r="AZD24" s="67" t="s">
        <v>119</v>
      </c>
      <c r="AZE24" s="68"/>
      <c r="AZF24" s="69"/>
      <c r="AZG24" s="250" t="s">
        <v>31</v>
      </c>
      <c r="AZH24" s="251"/>
      <c r="AZI24" s="67" t="s">
        <v>119</v>
      </c>
      <c r="AZJ24" s="68"/>
      <c r="AZK24" s="69"/>
      <c r="AZL24" s="250" t="s">
        <v>31</v>
      </c>
      <c r="AZM24" s="251"/>
      <c r="AZN24" s="67" t="s">
        <v>119</v>
      </c>
      <c r="AZO24" s="68"/>
      <c r="AZP24" s="69"/>
      <c r="AZQ24" s="250" t="s">
        <v>31</v>
      </c>
      <c r="AZR24" s="251"/>
      <c r="AZS24" s="67" t="s">
        <v>119</v>
      </c>
      <c r="AZT24" s="68"/>
      <c r="AZU24" s="69"/>
      <c r="AZV24" s="250" t="s">
        <v>31</v>
      </c>
      <c r="AZW24" s="251"/>
      <c r="AZX24" s="67" t="s">
        <v>119</v>
      </c>
      <c r="AZY24" s="68"/>
      <c r="AZZ24" s="69"/>
      <c r="BAA24" s="250" t="s">
        <v>31</v>
      </c>
      <c r="BAB24" s="251"/>
      <c r="BAC24" s="67" t="s">
        <v>119</v>
      </c>
      <c r="BAD24" s="68"/>
      <c r="BAE24" s="69"/>
      <c r="BAF24" s="250" t="s">
        <v>31</v>
      </c>
      <c r="BAG24" s="251"/>
      <c r="BAH24" s="67" t="s">
        <v>119</v>
      </c>
      <c r="BAI24" s="68"/>
      <c r="BAJ24" s="69"/>
      <c r="BAK24" s="250" t="s">
        <v>31</v>
      </c>
      <c r="BAL24" s="251"/>
      <c r="BAM24" s="67" t="s">
        <v>119</v>
      </c>
      <c r="BAN24" s="68"/>
      <c r="BAO24" s="69"/>
      <c r="BAP24" s="250" t="s">
        <v>31</v>
      </c>
      <c r="BAQ24" s="251"/>
      <c r="BAR24" s="67" t="s">
        <v>119</v>
      </c>
      <c r="BAS24" s="68"/>
      <c r="BAT24" s="69"/>
      <c r="BAU24" s="250" t="s">
        <v>31</v>
      </c>
      <c r="BAV24" s="251"/>
      <c r="BAW24" s="67" t="s">
        <v>119</v>
      </c>
      <c r="BAX24" s="68"/>
      <c r="BAY24" s="69"/>
      <c r="BAZ24" s="250" t="s">
        <v>31</v>
      </c>
      <c r="BBA24" s="251"/>
      <c r="BBB24" s="67" t="s">
        <v>119</v>
      </c>
      <c r="BBC24" s="68"/>
      <c r="BBD24" s="69"/>
      <c r="BBE24" s="250" t="s">
        <v>31</v>
      </c>
      <c r="BBF24" s="251"/>
      <c r="BBG24" s="67" t="s">
        <v>119</v>
      </c>
      <c r="BBH24" s="68"/>
      <c r="BBI24" s="69"/>
      <c r="BBJ24" s="250" t="s">
        <v>31</v>
      </c>
      <c r="BBK24" s="251"/>
      <c r="BBL24" s="67" t="s">
        <v>119</v>
      </c>
      <c r="BBM24" s="68"/>
      <c r="BBN24" s="69"/>
      <c r="BBO24" s="250" t="s">
        <v>31</v>
      </c>
      <c r="BBP24" s="251"/>
      <c r="BBQ24" s="67" t="s">
        <v>119</v>
      </c>
      <c r="BBR24" s="68"/>
      <c r="BBS24" s="69"/>
      <c r="BBT24" s="250" t="s">
        <v>31</v>
      </c>
      <c r="BBU24" s="251"/>
      <c r="BBV24" s="67" t="s">
        <v>119</v>
      </c>
      <c r="BBW24" s="68"/>
      <c r="BBX24" s="69"/>
      <c r="BBY24" s="250" t="s">
        <v>31</v>
      </c>
      <c r="BBZ24" s="251"/>
      <c r="BCA24" s="67" t="s">
        <v>119</v>
      </c>
      <c r="BCB24" s="68"/>
      <c r="BCC24" s="69"/>
      <c r="BCD24" s="250" t="s">
        <v>31</v>
      </c>
      <c r="BCE24" s="251"/>
      <c r="BCF24" s="67" t="s">
        <v>119</v>
      </c>
      <c r="BCG24" s="68"/>
      <c r="BCH24" s="69"/>
      <c r="BCI24" s="250" t="s">
        <v>52</v>
      </c>
      <c r="BCJ24" s="251"/>
      <c r="BCK24" s="67" t="s">
        <v>119</v>
      </c>
      <c r="BCL24" s="68"/>
      <c r="BCM24" s="69"/>
      <c r="BCN24" s="250" t="s">
        <v>31</v>
      </c>
      <c r="BCO24" s="251"/>
      <c r="BCP24" s="67" t="s">
        <v>119</v>
      </c>
      <c r="BCQ24" s="68"/>
      <c r="BCR24" s="69"/>
      <c r="BCS24" s="250" t="s">
        <v>31</v>
      </c>
      <c r="BCT24" s="251"/>
      <c r="BCU24" s="67" t="s">
        <v>119</v>
      </c>
      <c r="BCV24" s="68"/>
      <c r="BCW24" s="69"/>
      <c r="BCX24" s="250" t="s">
        <v>31</v>
      </c>
      <c r="BCY24" s="251"/>
      <c r="BCZ24" s="67" t="s">
        <v>119</v>
      </c>
      <c r="BDA24" s="68"/>
      <c r="BDB24" s="69"/>
      <c r="BDC24" s="250" t="s">
        <v>31</v>
      </c>
      <c r="BDD24" s="251"/>
      <c r="BDE24" s="67" t="s">
        <v>119</v>
      </c>
      <c r="BDF24" s="68"/>
      <c r="BDG24" s="69"/>
      <c r="BDH24" s="250" t="s">
        <v>31</v>
      </c>
      <c r="BDI24" s="251"/>
      <c r="BDJ24" s="67" t="s">
        <v>119</v>
      </c>
      <c r="BDK24" s="68"/>
      <c r="BDL24" s="69"/>
      <c r="BDM24" s="250" t="s">
        <v>31</v>
      </c>
      <c r="BDN24" s="251"/>
      <c r="BDO24" s="67" t="s">
        <v>119</v>
      </c>
      <c r="BDP24" s="68"/>
      <c r="BDQ24" s="69"/>
      <c r="BDR24" s="250" t="s">
        <v>31</v>
      </c>
      <c r="BDS24" s="251"/>
      <c r="BDT24" s="67" t="s">
        <v>119</v>
      </c>
      <c r="BDU24" s="68"/>
      <c r="BDV24" s="69"/>
      <c r="BDW24" s="250" t="s">
        <v>31</v>
      </c>
      <c r="BDX24" s="251"/>
      <c r="BDY24" s="67" t="s">
        <v>119</v>
      </c>
      <c r="BDZ24" s="68"/>
      <c r="BEA24" s="69"/>
      <c r="BEB24" s="250" t="s">
        <v>31</v>
      </c>
      <c r="BEC24" s="251"/>
      <c r="BED24" s="67" t="s">
        <v>119</v>
      </c>
      <c r="BEE24" s="68"/>
      <c r="BEF24" s="69"/>
      <c r="BEG24" s="250" t="s">
        <v>31</v>
      </c>
      <c r="BEH24" s="251"/>
      <c r="BEI24" s="67" t="s">
        <v>119</v>
      </c>
      <c r="BEJ24" s="68"/>
      <c r="BEK24" s="69"/>
      <c r="BEL24" s="250" t="s">
        <v>31</v>
      </c>
      <c r="BEM24" s="251"/>
      <c r="BEN24" s="67" t="s">
        <v>119</v>
      </c>
      <c r="BEO24" s="68"/>
      <c r="BEP24" s="69"/>
      <c r="BEQ24" s="250" t="s">
        <v>31</v>
      </c>
      <c r="BER24" s="251"/>
      <c r="BES24" s="67" t="s">
        <v>119</v>
      </c>
      <c r="BET24" s="68"/>
      <c r="BEU24" s="69"/>
      <c r="BEV24" s="250" t="s">
        <v>31</v>
      </c>
      <c r="BEW24" s="251"/>
      <c r="BEX24" s="67" t="s">
        <v>119</v>
      </c>
      <c r="BEY24" s="68"/>
      <c r="BEZ24" s="69"/>
      <c r="BFA24" s="250" t="s">
        <v>31</v>
      </c>
      <c r="BFB24" s="251"/>
      <c r="BFC24" s="67" t="s">
        <v>119</v>
      </c>
      <c r="BFD24" s="68"/>
      <c r="BFE24" s="69"/>
      <c r="BFF24" s="250" t="s">
        <v>31</v>
      </c>
      <c r="BFG24" s="251"/>
      <c r="BFH24" s="67" t="s">
        <v>119</v>
      </c>
      <c r="BFI24" s="68"/>
      <c r="BFJ24" s="69"/>
      <c r="BFK24" s="250" t="s">
        <v>31</v>
      </c>
      <c r="BFL24" s="251"/>
      <c r="BFM24" s="67" t="s">
        <v>119</v>
      </c>
      <c r="BFN24" s="68"/>
      <c r="BFO24" s="69"/>
      <c r="BFP24" s="250" t="s">
        <v>31</v>
      </c>
      <c r="BFQ24" s="251"/>
      <c r="BFR24" s="67" t="s">
        <v>119</v>
      </c>
      <c r="BFS24" s="68"/>
      <c r="BFT24" s="69"/>
      <c r="BFU24" s="250" t="s">
        <v>31</v>
      </c>
      <c r="BFV24" s="251"/>
      <c r="BFW24" s="67" t="s">
        <v>119</v>
      </c>
      <c r="BFX24" s="68"/>
      <c r="BFY24" s="69"/>
      <c r="BFZ24" s="250" t="s">
        <v>31</v>
      </c>
      <c r="BGA24" s="251"/>
      <c r="BGB24" s="67" t="s">
        <v>119</v>
      </c>
      <c r="BGC24" s="68"/>
      <c r="BGD24" s="69"/>
      <c r="BGE24" s="273" t="s">
        <v>31</v>
      </c>
      <c r="BGF24" s="249"/>
      <c r="BGG24" s="67" t="s">
        <v>119</v>
      </c>
      <c r="BGH24" s="68"/>
      <c r="BGI24" s="69"/>
      <c r="BGJ24" s="273" t="s">
        <v>31</v>
      </c>
      <c r="BGK24" s="249"/>
      <c r="BGL24" s="67" t="s">
        <v>119</v>
      </c>
      <c r="BGM24" s="68"/>
      <c r="BGN24" s="69"/>
      <c r="BGO24" s="273" t="s">
        <v>31</v>
      </c>
      <c r="BGP24" s="249"/>
      <c r="BGQ24" s="67" t="s">
        <v>119</v>
      </c>
      <c r="BGR24" s="68"/>
      <c r="BGS24" s="69"/>
      <c r="BGT24" s="273" t="s">
        <v>31</v>
      </c>
      <c r="BGU24" s="249"/>
      <c r="BGV24" s="67" t="s">
        <v>119</v>
      </c>
      <c r="BGW24" s="68"/>
      <c r="BGX24" s="69"/>
      <c r="BGY24" s="273" t="s">
        <v>31</v>
      </c>
      <c r="BGZ24" s="249"/>
      <c r="BHA24" s="67" t="s">
        <v>119</v>
      </c>
      <c r="BHB24" s="68"/>
      <c r="BHC24" s="69"/>
      <c r="BHD24" s="273" t="s">
        <v>31</v>
      </c>
      <c r="BHE24" s="249"/>
      <c r="BHF24" s="67" t="s">
        <v>119</v>
      </c>
      <c r="BHG24" s="68"/>
      <c r="BHH24" s="69"/>
      <c r="BHI24" s="273" t="s">
        <v>31</v>
      </c>
      <c r="BHJ24" s="249"/>
      <c r="BHK24" s="67" t="s">
        <v>119</v>
      </c>
      <c r="BHL24" s="68"/>
      <c r="BHM24" s="69"/>
      <c r="BHN24" s="273" t="s">
        <v>31</v>
      </c>
      <c r="BHO24" s="249"/>
      <c r="BHP24" s="67" t="s">
        <v>119</v>
      </c>
      <c r="BHQ24" s="68"/>
      <c r="BHR24" s="69"/>
      <c r="BHS24" s="273" t="s">
        <v>31</v>
      </c>
      <c r="BHT24" s="249"/>
      <c r="BHU24" s="67" t="s">
        <v>119</v>
      </c>
      <c r="BHV24" s="68"/>
      <c r="BHW24" s="69"/>
      <c r="BHX24" s="273" t="s">
        <v>31</v>
      </c>
      <c r="BHY24" s="249"/>
      <c r="BHZ24" s="67" t="s">
        <v>119</v>
      </c>
      <c r="BIA24" s="68"/>
      <c r="BIB24" s="69"/>
      <c r="BIC24" s="273" t="s">
        <v>31</v>
      </c>
      <c r="BID24" s="249"/>
      <c r="BIE24" s="67" t="s">
        <v>119</v>
      </c>
      <c r="BIF24" s="68"/>
      <c r="BIG24" s="69"/>
      <c r="BIH24" s="273" t="s">
        <v>31</v>
      </c>
      <c r="BII24" s="249"/>
      <c r="BIJ24" s="67" t="s">
        <v>119</v>
      </c>
      <c r="BIK24" s="68"/>
      <c r="BIL24" s="69"/>
      <c r="BIM24" s="273" t="s">
        <v>31</v>
      </c>
      <c r="BIN24" s="249"/>
      <c r="BIO24" s="67" t="s">
        <v>119</v>
      </c>
      <c r="BIP24" s="68"/>
      <c r="BIQ24" s="69"/>
      <c r="BIR24" s="273" t="s">
        <v>31</v>
      </c>
      <c r="BIS24" s="249"/>
      <c r="BIT24" s="67" t="s">
        <v>119</v>
      </c>
      <c r="BIU24" s="68"/>
      <c r="BIV24" s="69"/>
      <c r="BIW24" s="273" t="s">
        <v>31</v>
      </c>
      <c r="BIX24" s="249"/>
      <c r="BIY24" s="67" t="s">
        <v>119</v>
      </c>
      <c r="BIZ24" s="68"/>
      <c r="BJA24" s="69"/>
      <c r="BJB24" s="273" t="s">
        <v>31</v>
      </c>
      <c r="BJC24" s="249"/>
      <c r="BJD24" s="67" t="s">
        <v>119</v>
      </c>
      <c r="BJE24" s="68"/>
      <c r="BJF24" s="69"/>
      <c r="BJG24" s="273" t="s">
        <v>31</v>
      </c>
      <c r="BJH24" s="249"/>
      <c r="BJI24" s="67" t="s">
        <v>119</v>
      </c>
      <c r="BJJ24" s="68"/>
      <c r="BJK24" s="69"/>
      <c r="BJL24" s="273" t="s">
        <v>31</v>
      </c>
      <c r="BJM24" s="249"/>
      <c r="BJN24" s="67" t="s">
        <v>119</v>
      </c>
      <c r="BJO24" s="68"/>
      <c r="BJP24" s="69"/>
      <c r="BJQ24" s="273" t="s">
        <v>31</v>
      </c>
      <c r="BJR24" s="249"/>
      <c r="BJS24" s="67" t="s">
        <v>119</v>
      </c>
      <c r="BJT24" s="68"/>
      <c r="BJU24" s="69"/>
      <c r="BJV24" s="273" t="s">
        <v>31</v>
      </c>
      <c r="BJW24" s="249"/>
      <c r="BJX24" s="67" t="s">
        <v>119</v>
      </c>
      <c r="BJY24" s="68"/>
      <c r="BJZ24" s="69"/>
      <c r="BKA24" s="273" t="s">
        <v>31</v>
      </c>
      <c r="BKB24" s="249"/>
      <c r="BKC24" s="67" t="s">
        <v>119</v>
      </c>
      <c r="BKD24" s="68"/>
      <c r="BKE24" s="69"/>
      <c r="BKF24" s="273" t="s">
        <v>31</v>
      </c>
      <c r="BKG24" s="249"/>
      <c r="BKH24" s="67" t="s">
        <v>119</v>
      </c>
      <c r="BKI24" s="68"/>
      <c r="BKJ24" s="69"/>
      <c r="BKK24" s="273" t="s">
        <v>31</v>
      </c>
      <c r="BKL24" s="249"/>
      <c r="BKM24" s="67" t="s">
        <v>119</v>
      </c>
      <c r="BKN24" s="68"/>
      <c r="BKO24" s="69"/>
      <c r="BKP24" s="273" t="s">
        <v>31</v>
      </c>
      <c r="BKQ24" s="249"/>
      <c r="BKR24" s="67" t="s">
        <v>119</v>
      </c>
      <c r="BKS24" s="68"/>
      <c r="BKT24" s="69"/>
      <c r="BKU24" s="273" t="s">
        <v>31</v>
      </c>
      <c r="BKV24" s="249"/>
      <c r="BKW24" s="67" t="s">
        <v>119</v>
      </c>
      <c r="BKX24" s="68"/>
      <c r="BKY24" s="69"/>
      <c r="BKZ24" s="273" t="s">
        <v>31</v>
      </c>
      <c r="BLA24" s="249"/>
      <c r="BLB24" s="67" t="s">
        <v>119</v>
      </c>
      <c r="BLC24" s="68"/>
      <c r="BLD24" s="69"/>
      <c r="BLE24" s="273" t="s">
        <v>31</v>
      </c>
      <c r="BLF24" s="249"/>
      <c r="BLG24" s="67" t="s">
        <v>119</v>
      </c>
      <c r="BLH24" s="68"/>
      <c r="BLI24" s="69"/>
      <c r="BLJ24" s="273" t="s">
        <v>31</v>
      </c>
      <c r="BLK24" s="249"/>
      <c r="BLL24" s="67" t="s">
        <v>119</v>
      </c>
      <c r="BLM24" s="68"/>
      <c r="BLN24" s="69"/>
      <c r="BLO24" s="273" t="s">
        <v>31</v>
      </c>
      <c r="BLP24" s="249"/>
      <c r="BLQ24" s="67" t="s">
        <v>119</v>
      </c>
      <c r="BLR24" s="68"/>
      <c r="BLS24" s="69"/>
      <c r="BLT24" s="273" t="s">
        <v>31</v>
      </c>
      <c r="BLU24" s="249"/>
      <c r="BLV24" s="67" t="s">
        <v>119</v>
      </c>
      <c r="BLW24" s="68"/>
      <c r="BLX24" s="69"/>
      <c r="BLY24" s="273" t="s">
        <v>31</v>
      </c>
      <c r="BLZ24" s="249"/>
      <c r="BMA24" s="67" t="s">
        <v>119</v>
      </c>
      <c r="BMB24" s="68"/>
      <c r="BMC24" s="69"/>
      <c r="BMD24" s="273" t="s">
        <v>31</v>
      </c>
      <c r="BME24" s="249"/>
      <c r="BMF24" s="67" t="s">
        <v>119</v>
      </c>
      <c r="BMG24" s="68"/>
      <c r="BMH24" s="69"/>
      <c r="BMI24" s="273" t="s">
        <v>31</v>
      </c>
      <c r="BMJ24" s="249"/>
      <c r="BMK24" s="67" t="s">
        <v>119</v>
      </c>
      <c r="BML24" s="68"/>
      <c r="BMM24" s="69"/>
      <c r="BMN24" s="273" t="s">
        <v>31</v>
      </c>
      <c r="BMO24" s="249"/>
      <c r="BMP24" s="67" t="s">
        <v>119</v>
      </c>
      <c r="BMQ24" s="68"/>
      <c r="BMR24" s="69"/>
      <c r="BMS24" s="273" t="s">
        <v>31</v>
      </c>
      <c r="BMT24" s="249"/>
      <c r="BMU24" s="67" t="s">
        <v>119</v>
      </c>
      <c r="BMV24" s="68"/>
      <c r="BMW24" s="69"/>
      <c r="BMX24" s="273" t="s">
        <v>31</v>
      </c>
      <c r="BMY24" s="249"/>
      <c r="BMZ24" s="67" t="s">
        <v>119</v>
      </c>
      <c r="BNA24" s="68"/>
      <c r="BNB24" s="69"/>
      <c r="BNC24" s="273" t="s">
        <v>31</v>
      </c>
      <c r="BND24" s="249"/>
      <c r="BNE24" s="67" t="s">
        <v>119</v>
      </c>
      <c r="BNF24" s="68"/>
      <c r="BNG24" s="69"/>
      <c r="BNH24" s="273" t="s">
        <v>31</v>
      </c>
      <c r="BNI24" s="249"/>
      <c r="BNJ24" s="67" t="s">
        <v>119</v>
      </c>
      <c r="BNK24" s="68"/>
      <c r="BNL24" s="69"/>
      <c r="BNM24" s="273" t="s">
        <v>31</v>
      </c>
      <c r="BNN24" s="249"/>
      <c r="BNO24" s="67" t="s">
        <v>119</v>
      </c>
      <c r="BNP24" s="68"/>
      <c r="BNQ24" s="69"/>
      <c r="BNR24" s="273" t="s">
        <v>31</v>
      </c>
      <c r="BNS24" s="249"/>
      <c r="BNT24" s="67" t="s">
        <v>119</v>
      </c>
      <c r="BNU24" s="68"/>
      <c r="BNV24" s="69"/>
      <c r="BNW24" s="273" t="s">
        <v>31</v>
      </c>
      <c r="BNX24" s="249"/>
      <c r="BNY24" s="67" t="s">
        <v>119</v>
      </c>
      <c r="BNZ24" s="68"/>
      <c r="BOA24" s="69"/>
      <c r="BOB24" s="273" t="s">
        <v>31</v>
      </c>
      <c r="BOC24" s="249"/>
      <c r="BOD24" s="67" t="s">
        <v>119</v>
      </c>
      <c r="BOE24" s="68"/>
      <c r="BOF24" s="69"/>
      <c r="BOG24" s="273" t="s">
        <v>31</v>
      </c>
      <c r="BOH24" s="249"/>
      <c r="BOI24" s="67" t="s">
        <v>119</v>
      </c>
      <c r="BOJ24" s="68"/>
      <c r="BOK24" s="69"/>
      <c r="BOL24" s="273" t="s">
        <v>31</v>
      </c>
      <c r="BOM24" s="249"/>
      <c r="BON24" s="67" t="s">
        <v>119</v>
      </c>
      <c r="BOO24" s="68"/>
      <c r="BOP24" s="69"/>
      <c r="BOQ24" s="273" t="s">
        <v>31</v>
      </c>
      <c r="BOR24" s="249"/>
      <c r="BOS24" s="67" t="s">
        <v>119</v>
      </c>
      <c r="BOT24" s="68"/>
      <c r="BOU24" s="69"/>
      <c r="BOV24" s="273" t="s">
        <v>31</v>
      </c>
      <c r="BOW24" s="249"/>
      <c r="BOX24" s="67" t="s">
        <v>119</v>
      </c>
      <c r="BOY24" s="68"/>
      <c r="BOZ24" s="69"/>
      <c r="BPA24" s="273" t="s">
        <v>31</v>
      </c>
      <c r="BPB24" s="249"/>
      <c r="BPC24" s="67" t="s">
        <v>119</v>
      </c>
      <c r="BPD24" s="68"/>
      <c r="BPE24" s="69"/>
      <c r="BPF24" s="273" t="s">
        <v>31</v>
      </c>
      <c r="BPG24" s="249"/>
      <c r="BPH24" s="67" t="s">
        <v>119</v>
      </c>
      <c r="BPI24" s="68"/>
      <c r="BPJ24" s="69"/>
      <c r="BPK24" s="273" t="s">
        <v>31</v>
      </c>
      <c r="BPL24" s="249"/>
      <c r="BPM24" s="67" t="s">
        <v>119</v>
      </c>
      <c r="BPN24" s="68"/>
      <c r="BPO24" s="69"/>
      <c r="BPP24" s="273" t="s">
        <v>31</v>
      </c>
      <c r="BPQ24" s="249"/>
      <c r="BPR24" s="67" t="s">
        <v>119</v>
      </c>
      <c r="BPS24" s="68"/>
      <c r="BPT24" s="69"/>
      <c r="BPU24" s="273" t="s">
        <v>31</v>
      </c>
      <c r="BPV24" s="249"/>
      <c r="BPW24" s="67" t="s">
        <v>119</v>
      </c>
      <c r="BPX24" s="68"/>
      <c r="BPY24" s="69"/>
      <c r="BPZ24" s="273" t="s">
        <v>31</v>
      </c>
      <c r="BQA24" s="249"/>
      <c r="BQB24" s="67" t="s">
        <v>119</v>
      </c>
      <c r="BQC24" s="68"/>
      <c r="BQD24" s="69"/>
      <c r="BQE24" s="273" t="s">
        <v>31</v>
      </c>
      <c r="BQF24" s="249"/>
      <c r="BQG24" s="67" t="s">
        <v>119</v>
      </c>
      <c r="BQH24" s="68"/>
      <c r="BQI24" s="69"/>
      <c r="BQJ24" s="273" t="s">
        <v>31</v>
      </c>
      <c r="BQK24" s="249"/>
      <c r="BQL24" s="67" t="s">
        <v>119</v>
      </c>
      <c r="BQM24" s="68"/>
      <c r="BQN24" s="69"/>
      <c r="BQO24" s="273" t="s">
        <v>31</v>
      </c>
      <c r="BQP24" s="249"/>
      <c r="BQQ24" s="67" t="s">
        <v>119</v>
      </c>
      <c r="BQR24" s="68"/>
      <c r="BQS24" s="69"/>
      <c r="BQT24" s="273" t="s">
        <v>31</v>
      </c>
      <c r="BQU24" s="249"/>
      <c r="BQV24" s="67" t="s">
        <v>119</v>
      </c>
      <c r="BQW24" s="68"/>
      <c r="BQX24" s="69"/>
      <c r="BQY24" s="273" t="s">
        <v>31</v>
      </c>
      <c r="BQZ24" s="249"/>
      <c r="BRA24" s="67" t="s">
        <v>119</v>
      </c>
      <c r="BRB24" s="68"/>
      <c r="BRC24" s="69"/>
      <c r="BRD24" s="273" t="s">
        <v>61</v>
      </c>
      <c r="BRE24" s="249"/>
      <c r="BRF24" s="67" t="s">
        <v>119</v>
      </c>
      <c r="BRG24" s="68"/>
      <c r="BRH24" s="69"/>
      <c r="BRI24" s="273" t="s">
        <v>31</v>
      </c>
      <c r="BRJ24" s="249"/>
      <c r="BRK24" s="67" t="s">
        <v>119</v>
      </c>
      <c r="BRL24" s="68"/>
      <c r="BRM24" s="69"/>
      <c r="BRN24" s="273" t="s">
        <v>31</v>
      </c>
      <c r="BRO24" s="249"/>
      <c r="BRP24" s="67" t="s">
        <v>119</v>
      </c>
      <c r="BRQ24" s="68"/>
      <c r="BRR24" s="69"/>
      <c r="BRS24" s="273" t="s">
        <v>61</v>
      </c>
      <c r="BRT24" s="249"/>
      <c r="BRU24" s="67" t="s">
        <v>119</v>
      </c>
      <c r="BRV24" s="68"/>
      <c r="BRW24" s="69"/>
      <c r="BRX24" s="273" t="s">
        <v>61</v>
      </c>
      <c r="BRY24" s="249"/>
      <c r="BRZ24" s="67" t="s">
        <v>119</v>
      </c>
      <c r="BSA24" s="68"/>
      <c r="BSB24" s="69"/>
      <c r="BSC24" s="273" t="s">
        <v>61</v>
      </c>
      <c r="BSD24" s="249"/>
      <c r="BSE24" s="67" t="s">
        <v>119</v>
      </c>
      <c r="BSF24" s="68"/>
      <c r="BSG24" s="69"/>
      <c r="BSH24" s="273" t="s">
        <v>61</v>
      </c>
      <c r="BSI24" s="249"/>
      <c r="BSJ24" s="67" t="s">
        <v>119</v>
      </c>
      <c r="BSK24" s="68"/>
      <c r="BSL24" s="69"/>
      <c r="BSM24" s="273" t="s">
        <v>61</v>
      </c>
      <c r="BSN24" s="249"/>
      <c r="BSO24" s="67" t="s">
        <v>119</v>
      </c>
      <c r="BSP24" s="68"/>
      <c r="BSQ24" s="69"/>
      <c r="BSR24" s="273" t="s">
        <v>31</v>
      </c>
      <c r="BSS24" s="249"/>
      <c r="BST24" s="67" t="s">
        <v>119</v>
      </c>
      <c r="BSU24" s="68"/>
      <c r="BSV24" s="69"/>
      <c r="BSW24" s="273" t="s">
        <v>31</v>
      </c>
      <c r="BSX24" s="249"/>
      <c r="BSY24" s="67" t="s">
        <v>119</v>
      </c>
      <c r="BSZ24" s="68"/>
      <c r="BTA24" s="69"/>
      <c r="BTB24" s="273" t="s">
        <v>61</v>
      </c>
      <c r="BTC24" s="249"/>
      <c r="BTD24" s="67" t="s">
        <v>119</v>
      </c>
      <c r="BTE24" s="68"/>
      <c r="BTF24" s="69"/>
      <c r="BTG24" s="273" t="s">
        <v>61</v>
      </c>
      <c r="BTH24" s="249"/>
      <c r="BTI24" s="67" t="s">
        <v>119</v>
      </c>
      <c r="BTJ24" s="68"/>
      <c r="BTK24" s="69"/>
      <c r="BTL24" s="273" t="s">
        <v>61</v>
      </c>
      <c r="BTM24" s="249"/>
      <c r="BTN24" s="67" t="s">
        <v>119</v>
      </c>
      <c r="BTO24" s="68"/>
      <c r="BTP24" s="69"/>
      <c r="BTQ24" s="273" t="s">
        <v>61</v>
      </c>
      <c r="BTR24" s="249"/>
      <c r="BTS24" s="67" t="s">
        <v>119</v>
      </c>
      <c r="BTT24" s="68"/>
      <c r="BTU24" s="69"/>
      <c r="BTV24" s="273" t="s">
        <v>61</v>
      </c>
      <c r="BTW24" s="249"/>
      <c r="BTX24" s="67" t="s">
        <v>119</v>
      </c>
      <c r="BTY24" s="68"/>
      <c r="BTZ24" s="69"/>
      <c r="BUA24" s="273" t="s">
        <v>31</v>
      </c>
      <c r="BUB24" s="249"/>
      <c r="BUC24" s="67" t="s">
        <v>119</v>
      </c>
      <c r="BUD24" s="68"/>
      <c r="BUE24" s="69"/>
      <c r="BUF24" s="273" t="s">
        <v>31</v>
      </c>
      <c r="BUG24" s="249"/>
      <c r="BUH24" s="67" t="s">
        <v>119</v>
      </c>
      <c r="BUI24" s="68"/>
      <c r="BUJ24" s="69"/>
      <c r="BUK24" s="273" t="s">
        <v>31</v>
      </c>
      <c r="BUL24" s="249"/>
      <c r="BUM24" s="67" t="s">
        <v>119</v>
      </c>
      <c r="BUN24" s="68"/>
      <c r="BUO24" s="69"/>
      <c r="BUP24" s="273" t="s">
        <v>31</v>
      </c>
      <c r="BUQ24" s="249"/>
      <c r="BUR24" s="67" t="s">
        <v>119</v>
      </c>
      <c r="BUS24" s="68"/>
      <c r="BUT24" s="69"/>
      <c r="BUU24" s="273" t="s">
        <v>61</v>
      </c>
      <c r="BUV24" s="249"/>
      <c r="BUW24" s="67" t="s">
        <v>119</v>
      </c>
      <c r="BUX24" s="68"/>
      <c r="BUY24" s="69"/>
      <c r="BUZ24" s="273" t="s">
        <v>61</v>
      </c>
      <c r="BVA24" s="249"/>
      <c r="BVB24" s="67" t="s">
        <v>119</v>
      </c>
      <c r="BVC24" s="68"/>
      <c r="BVD24" s="69"/>
      <c r="BVE24" s="273" t="s">
        <v>61</v>
      </c>
      <c r="BVF24" s="249"/>
      <c r="BVG24" s="67" t="s">
        <v>119</v>
      </c>
      <c r="BVH24" s="68"/>
      <c r="BVI24" s="69"/>
      <c r="BVJ24" s="273" t="s">
        <v>41</v>
      </c>
      <c r="BVK24" s="249"/>
      <c r="BVL24" s="67" t="s">
        <v>119</v>
      </c>
      <c r="BVM24" s="68"/>
      <c r="BVN24" s="69"/>
      <c r="BVO24" s="273" t="s">
        <v>61</v>
      </c>
      <c r="BVP24" s="249"/>
      <c r="BVQ24" s="67" t="s">
        <v>119</v>
      </c>
      <c r="BVR24" s="68"/>
      <c r="BVS24" s="69"/>
      <c r="BVT24" s="273" t="s">
        <v>61</v>
      </c>
      <c r="BVU24" s="249"/>
      <c r="BVV24" s="67" t="s">
        <v>119</v>
      </c>
      <c r="BVW24" s="68"/>
      <c r="BVX24" s="69"/>
      <c r="BVY24" s="273" t="s">
        <v>31</v>
      </c>
      <c r="BVZ24" s="249"/>
      <c r="BWA24" s="67" t="s">
        <v>119</v>
      </c>
      <c r="BWB24" s="68"/>
      <c r="BWC24" s="69"/>
      <c r="BWD24" s="273" t="s">
        <v>31</v>
      </c>
      <c r="BWE24" s="249"/>
      <c r="BWF24" s="67" t="s">
        <v>119</v>
      </c>
      <c r="BWG24" s="68"/>
      <c r="BWH24" s="69"/>
      <c r="BWI24" s="273" t="s">
        <v>61</v>
      </c>
      <c r="BWJ24" s="249"/>
      <c r="BWK24" s="67" t="s">
        <v>119</v>
      </c>
      <c r="BWL24" s="68"/>
      <c r="BWM24" s="69"/>
      <c r="BWN24" s="273" t="s">
        <v>61</v>
      </c>
      <c r="BWO24" s="249"/>
      <c r="BWP24" s="67" t="s">
        <v>119</v>
      </c>
      <c r="BWQ24" s="68"/>
      <c r="BWR24" s="69"/>
      <c r="BWS24" s="273" t="s">
        <v>61</v>
      </c>
      <c r="BWT24" s="249"/>
      <c r="BWU24" s="67" t="s">
        <v>119</v>
      </c>
      <c r="BWV24" s="68"/>
      <c r="BWW24" s="69"/>
      <c r="BWX24" s="273" t="s">
        <v>61</v>
      </c>
      <c r="BWY24" s="249"/>
      <c r="BWZ24" s="67" t="s">
        <v>119</v>
      </c>
      <c r="BXA24" s="68"/>
      <c r="BXB24" s="69"/>
      <c r="BXC24" s="273" t="s">
        <v>31</v>
      </c>
      <c r="BXD24" s="249"/>
      <c r="BXE24" s="67" t="s">
        <v>119</v>
      </c>
      <c r="BXF24" s="68"/>
      <c r="BXG24" s="69"/>
      <c r="BXH24" s="273" t="s">
        <v>31</v>
      </c>
      <c r="BXI24" s="249"/>
      <c r="BXJ24" s="67" t="s">
        <v>119</v>
      </c>
      <c r="BXK24" s="68"/>
      <c r="BXL24" s="69"/>
      <c r="BXM24" s="273" t="s">
        <v>31</v>
      </c>
      <c r="BXN24" s="249"/>
      <c r="BXO24" s="67" t="s">
        <v>119</v>
      </c>
      <c r="BXP24" s="68"/>
      <c r="BXQ24" s="69"/>
      <c r="BXR24" s="273" t="s">
        <v>61</v>
      </c>
      <c r="BXS24" s="249"/>
      <c r="BXT24" s="67" t="s">
        <v>119</v>
      </c>
      <c r="BXU24" s="68"/>
      <c r="BXV24" s="69"/>
      <c r="BXW24" s="273" t="s">
        <v>41</v>
      </c>
      <c r="BXX24" s="249"/>
      <c r="BXY24" s="67" t="s">
        <v>119</v>
      </c>
      <c r="BXZ24" s="68"/>
      <c r="BYA24" s="69"/>
      <c r="BYB24" s="273" t="s">
        <v>61</v>
      </c>
      <c r="BYC24" s="249"/>
      <c r="BYD24" s="67" t="s">
        <v>119</v>
      </c>
      <c r="BYE24" s="68"/>
      <c r="BYF24" s="69"/>
      <c r="BYG24" s="273" t="s">
        <v>61</v>
      </c>
      <c r="BYH24" s="249"/>
      <c r="BYI24" s="67" t="s">
        <v>119</v>
      </c>
      <c r="BYJ24" s="68"/>
      <c r="BYK24" s="69"/>
      <c r="BYL24" s="273" t="s">
        <v>61</v>
      </c>
      <c r="BYM24" s="249"/>
      <c r="BYN24" s="67" t="s">
        <v>119</v>
      </c>
      <c r="BYO24" s="68"/>
      <c r="BYP24" s="69"/>
      <c r="BYQ24" s="273" t="s">
        <v>61</v>
      </c>
      <c r="BYR24" s="249"/>
      <c r="BYS24" s="67" t="s">
        <v>119</v>
      </c>
      <c r="BYT24" s="68"/>
      <c r="BYU24" s="69"/>
      <c r="BYV24" s="273" t="s">
        <v>61</v>
      </c>
      <c r="BYW24" s="249"/>
      <c r="BYX24" s="67" t="s">
        <v>119</v>
      </c>
      <c r="BYY24" s="68"/>
      <c r="BYZ24" s="69"/>
      <c r="BZA24" s="273" t="s">
        <v>31</v>
      </c>
      <c r="BZB24" s="249"/>
      <c r="BZC24" s="67" t="s">
        <v>119</v>
      </c>
      <c r="BZD24" s="68"/>
      <c r="BZE24" s="69"/>
      <c r="BZF24" s="273" t="s">
        <v>31</v>
      </c>
      <c r="BZG24" s="249"/>
      <c r="BZH24" s="67" t="s">
        <v>119</v>
      </c>
      <c r="BZI24" s="68"/>
      <c r="BZJ24" s="69"/>
      <c r="BZK24" s="273" t="s">
        <v>61</v>
      </c>
      <c r="BZL24" s="249"/>
      <c r="BZM24" s="67" t="s">
        <v>119</v>
      </c>
      <c r="BZN24" s="68"/>
      <c r="BZO24" s="69"/>
      <c r="BZP24" s="273" t="s">
        <v>61</v>
      </c>
      <c r="BZQ24" s="249"/>
      <c r="BZR24" s="67" t="s">
        <v>119</v>
      </c>
      <c r="BZS24" s="68"/>
      <c r="BZT24" s="69"/>
      <c r="BZU24" s="273" t="s">
        <v>61</v>
      </c>
      <c r="BZV24" s="249"/>
      <c r="BZW24" s="67" t="s">
        <v>119</v>
      </c>
      <c r="BZX24" s="68"/>
      <c r="BZY24" s="69"/>
      <c r="BZZ24" s="273" t="s">
        <v>61</v>
      </c>
      <c r="CAA24" s="249"/>
      <c r="CAB24" s="67" t="s">
        <v>119</v>
      </c>
      <c r="CAC24" s="68"/>
      <c r="CAD24" s="69"/>
      <c r="CAE24" s="273" t="s">
        <v>61</v>
      </c>
      <c r="CAF24" s="249"/>
      <c r="CAG24" s="67" t="s">
        <v>119</v>
      </c>
      <c r="CAH24" s="68"/>
      <c r="CAI24" s="69"/>
      <c r="CAJ24" s="273" t="s">
        <v>61</v>
      </c>
      <c r="CAK24" s="249"/>
      <c r="CAL24" s="67" t="s">
        <v>119</v>
      </c>
      <c r="CAM24" s="68"/>
      <c r="CAN24" s="69"/>
      <c r="CAO24" s="273" t="s">
        <v>61</v>
      </c>
      <c r="CAP24" s="249"/>
      <c r="CAQ24" s="67" t="s">
        <v>119</v>
      </c>
      <c r="CAR24" s="68"/>
      <c r="CAS24" s="69"/>
      <c r="CAT24" s="273" t="s">
        <v>61</v>
      </c>
      <c r="CAU24" s="249"/>
      <c r="CAV24" s="67" t="s">
        <v>119</v>
      </c>
      <c r="CAW24" s="68"/>
      <c r="CAX24" s="69"/>
      <c r="CAY24" s="273" t="s">
        <v>61</v>
      </c>
      <c r="CAZ24" s="249"/>
      <c r="CBA24" s="67" t="s">
        <v>119</v>
      </c>
      <c r="CBB24" s="68"/>
      <c r="CBC24" s="69"/>
      <c r="CBD24" s="273" t="s">
        <v>61</v>
      </c>
      <c r="CBE24" s="249"/>
      <c r="CBF24" s="67" t="s">
        <v>119</v>
      </c>
      <c r="CBG24" s="68"/>
      <c r="CBH24" s="69"/>
      <c r="CBI24" s="273" t="s">
        <v>61</v>
      </c>
      <c r="CBJ24" s="249"/>
      <c r="CBK24" s="67" t="s">
        <v>119</v>
      </c>
      <c r="CBL24" s="68"/>
      <c r="CBM24" s="69"/>
      <c r="CBN24" s="273" t="s">
        <v>31</v>
      </c>
      <c r="CBO24" s="249"/>
      <c r="CBP24" s="67" t="s">
        <v>119</v>
      </c>
      <c r="CBQ24" s="68"/>
      <c r="CBR24" s="69"/>
      <c r="CBS24" s="273" t="s">
        <v>31</v>
      </c>
      <c r="CBT24" s="249"/>
      <c r="CBU24" s="67" t="s">
        <v>119</v>
      </c>
      <c r="CBV24" s="68"/>
      <c r="CBW24" s="69"/>
      <c r="CBX24" s="273" t="s">
        <v>61</v>
      </c>
      <c r="CBY24" s="249"/>
      <c r="CBZ24" s="67" t="s">
        <v>119</v>
      </c>
      <c r="CCA24" s="68"/>
      <c r="CCB24" s="69"/>
      <c r="CCC24" s="273" t="s">
        <v>61</v>
      </c>
      <c r="CCD24" s="249"/>
      <c r="CCE24" s="67" t="s">
        <v>119</v>
      </c>
      <c r="CCF24" s="68"/>
      <c r="CCG24" s="69"/>
      <c r="CCH24" s="273" t="s">
        <v>61</v>
      </c>
      <c r="CCI24" s="249"/>
      <c r="CCJ24" s="67" t="s">
        <v>119</v>
      </c>
      <c r="CCK24" s="68"/>
      <c r="CCL24" s="69"/>
      <c r="CCM24" s="273" t="s">
        <v>31</v>
      </c>
      <c r="CCN24" s="249"/>
      <c r="CCO24" s="67" t="s">
        <v>119</v>
      </c>
      <c r="CCP24" s="68"/>
      <c r="CCQ24" s="69"/>
      <c r="CCR24" s="273" t="s">
        <v>31</v>
      </c>
      <c r="CCS24" s="249"/>
      <c r="CCT24" s="67" t="s">
        <v>119</v>
      </c>
      <c r="CCU24" s="68"/>
      <c r="CCV24" s="69"/>
      <c r="CCW24" s="273" t="s">
        <v>31</v>
      </c>
      <c r="CCX24" s="249"/>
      <c r="CCY24" s="67" t="s">
        <v>119</v>
      </c>
      <c r="CCZ24" s="68"/>
      <c r="CDA24" s="69"/>
      <c r="CDB24" s="273" t="s">
        <v>61</v>
      </c>
      <c r="CDC24" s="249"/>
      <c r="CDD24" s="67" t="s">
        <v>119</v>
      </c>
      <c r="CDE24" s="68"/>
      <c r="CDF24" s="69"/>
      <c r="CDG24" s="273" t="s">
        <v>61</v>
      </c>
      <c r="CDH24" s="249"/>
      <c r="CDI24" s="67" t="s">
        <v>119</v>
      </c>
      <c r="CDJ24" s="68"/>
      <c r="CDK24" s="69"/>
      <c r="CDL24" s="273" t="s">
        <v>61</v>
      </c>
      <c r="CDM24" s="249"/>
      <c r="CDN24" s="67" t="s">
        <v>119</v>
      </c>
      <c r="CDO24" s="68"/>
      <c r="CDP24" s="69"/>
      <c r="CDQ24" s="273" t="s">
        <v>61</v>
      </c>
      <c r="CDR24" s="249"/>
      <c r="CDS24" s="67" t="s">
        <v>119</v>
      </c>
      <c r="CDT24" s="68"/>
      <c r="CDU24" s="69"/>
      <c r="CDV24" s="273" t="s">
        <v>31</v>
      </c>
      <c r="CDW24" s="249"/>
      <c r="CDX24" s="67" t="s">
        <v>119</v>
      </c>
      <c r="CDY24" s="68"/>
      <c r="CDZ24" s="69"/>
      <c r="CEA24" s="273" t="s">
        <v>31</v>
      </c>
      <c r="CEB24" s="249"/>
      <c r="CEC24" s="67" t="s">
        <v>119</v>
      </c>
      <c r="CED24" s="68"/>
      <c r="CEE24" s="69"/>
      <c r="CEF24" s="273" t="s">
        <v>61</v>
      </c>
      <c r="CEG24" s="249"/>
      <c r="CEH24" s="67" t="s">
        <v>119</v>
      </c>
      <c r="CEI24" s="68"/>
      <c r="CEJ24" s="69"/>
      <c r="CEK24" s="273" t="s">
        <v>61</v>
      </c>
      <c r="CEL24" s="249"/>
      <c r="CEM24" s="67" t="s">
        <v>119</v>
      </c>
      <c r="CEN24" s="68"/>
      <c r="CEO24" s="69"/>
      <c r="CEP24" s="273" t="s">
        <v>41</v>
      </c>
      <c r="CEQ24" s="249"/>
      <c r="CER24" s="67" t="s">
        <v>119</v>
      </c>
      <c r="CES24" s="68"/>
      <c r="CET24" s="69"/>
      <c r="CEU24" s="273" t="s">
        <v>61</v>
      </c>
      <c r="CEV24" s="249"/>
      <c r="CEW24" s="67" t="s">
        <v>119</v>
      </c>
      <c r="CEX24" s="68"/>
      <c r="CEY24" s="69"/>
      <c r="CEZ24" s="273" t="s">
        <v>61</v>
      </c>
      <c r="CFA24" s="249"/>
      <c r="CFB24" s="67" t="s">
        <v>119</v>
      </c>
      <c r="CFC24" s="68"/>
      <c r="CFD24" s="69"/>
      <c r="CFE24" s="273" t="s">
        <v>61</v>
      </c>
      <c r="CFF24" s="249"/>
      <c r="CFG24" s="67" t="s">
        <v>119</v>
      </c>
      <c r="CFH24" s="68"/>
      <c r="CFI24" s="69"/>
      <c r="CFJ24" s="273" t="s">
        <v>61</v>
      </c>
      <c r="CFK24" s="249"/>
      <c r="CFL24" s="67" t="s">
        <v>119</v>
      </c>
      <c r="CFM24" s="68"/>
      <c r="CFN24" s="69"/>
      <c r="CFO24" s="273" t="s">
        <v>41</v>
      </c>
      <c r="CFP24" s="249"/>
      <c r="CFQ24" s="67" t="s">
        <v>119</v>
      </c>
      <c r="CFR24" s="68"/>
      <c r="CFS24" s="69"/>
      <c r="CFT24" s="273" t="s">
        <v>116</v>
      </c>
      <c r="CFU24" s="249"/>
      <c r="CFV24" s="67" t="s">
        <v>119</v>
      </c>
      <c r="CFW24" s="68"/>
      <c r="CFX24" s="69"/>
      <c r="CFY24" s="273" t="s">
        <v>116</v>
      </c>
      <c r="CFZ24" s="249"/>
      <c r="CGA24" s="67" t="s">
        <v>119</v>
      </c>
      <c r="CGB24" s="68"/>
      <c r="CGC24" s="69"/>
      <c r="CGD24" s="273" t="s">
        <v>61</v>
      </c>
      <c r="CGE24" s="249"/>
      <c r="CGF24" s="67" t="s">
        <v>119</v>
      </c>
      <c r="CGG24" s="68"/>
      <c r="CGH24" s="69"/>
      <c r="CGI24" s="273" t="s">
        <v>31</v>
      </c>
      <c r="CGJ24" s="249"/>
      <c r="CGK24" s="67" t="s">
        <v>119</v>
      </c>
      <c r="CGL24" s="68"/>
      <c r="CGM24" s="69"/>
      <c r="CGN24" s="273" t="s">
        <v>116</v>
      </c>
      <c r="CGO24" s="249"/>
      <c r="CGP24" s="67" t="s">
        <v>119</v>
      </c>
      <c r="CGQ24" s="68"/>
      <c r="CGR24" s="69"/>
      <c r="CGS24" s="273" t="s">
        <v>31</v>
      </c>
      <c r="CGT24" s="249"/>
      <c r="CGU24" s="67" t="s">
        <v>119</v>
      </c>
      <c r="CGV24" s="68"/>
      <c r="CGW24" s="69"/>
      <c r="CGX24" s="273" t="s">
        <v>61</v>
      </c>
      <c r="CGY24" s="249"/>
      <c r="CGZ24" s="67" t="s">
        <v>119</v>
      </c>
      <c r="CHA24" s="68"/>
      <c r="CHB24" s="69"/>
      <c r="CHC24" s="273" t="s">
        <v>61</v>
      </c>
      <c r="CHD24" s="249"/>
      <c r="CHE24" s="67" t="s">
        <v>119</v>
      </c>
      <c r="CHF24" s="68"/>
      <c r="CHG24" s="69"/>
      <c r="CHH24" s="273" t="s">
        <v>61</v>
      </c>
      <c r="CHI24" s="249"/>
      <c r="CHJ24" s="67" t="s">
        <v>119</v>
      </c>
      <c r="CHK24" s="68"/>
      <c r="CHL24" s="69"/>
      <c r="CHM24" s="273" t="s">
        <v>61</v>
      </c>
      <c r="CHN24" s="249"/>
      <c r="CHO24" s="67" t="s">
        <v>119</v>
      </c>
      <c r="CHP24" s="68"/>
      <c r="CHQ24" s="69"/>
      <c r="CHR24" s="273" t="s">
        <v>31</v>
      </c>
      <c r="CHS24" s="249"/>
      <c r="CHT24" s="67" t="s">
        <v>119</v>
      </c>
      <c r="CHU24" s="68"/>
      <c r="CHV24" s="69"/>
      <c r="CHW24" s="273" t="s">
        <v>31</v>
      </c>
      <c r="CHX24" s="249"/>
      <c r="CHY24" s="67" t="s">
        <v>119</v>
      </c>
      <c r="CHZ24" s="68"/>
      <c r="CIA24" s="69"/>
      <c r="CIB24" s="273" t="s">
        <v>61</v>
      </c>
      <c r="CIC24" s="249"/>
      <c r="CID24" s="67" t="s">
        <v>119</v>
      </c>
      <c r="CIE24" s="68"/>
      <c r="CIF24" s="69"/>
      <c r="CIG24" s="273" t="s">
        <v>61</v>
      </c>
      <c r="CIH24" s="249"/>
      <c r="CII24" s="67" t="s">
        <v>119</v>
      </c>
      <c r="CIJ24" s="68"/>
      <c r="CIK24" s="69"/>
      <c r="CIL24" s="273" t="s">
        <v>61</v>
      </c>
      <c r="CIM24" s="249"/>
      <c r="CIN24" s="67" t="s">
        <v>119</v>
      </c>
      <c r="CIO24" s="68"/>
      <c r="CIP24" s="69"/>
      <c r="CIQ24" s="273" t="s">
        <v>61</v>
      </c>
      <c r="CIR24" s="249"/>
      <c r="CIS24" s="67" t="s">
        <v>119</v>
      </c>
      <c r="CIT24" s="68"/>
      <c r="CIU24" s="69"/>
      <c r="CIV24" s="273" t="s">
        <v>61</v>
      </c>
      <c r="CIW24" s="249"/>
      <c r="CIX24" s="67" t="s">
        <v>119</v>
      </c>
      <c r="CIY24" s="68"/>
      <c r="CIZ24" s="69"/>
      <c r="CJA24" s="273" t="s">
        <v>31</v>
      </c>
      <c r="CJB24" s="249"/>
      <c r="CJC24" s="67" t="s">
        <v>119</v>
      </c>
      <c r="CJD24" s="68"/>
      <c r="CJE24" s="69"/>
      <c r="CJF24" s="273" t="s">
        <v>61</v>
      </c>
      <c r="CJG24" s="249"/>
      <c r="CJH24" s="67" t="s">
        <v>119</v>
      </c>
      <c r="CJI24" s="68"/>
      <c r="CJJ24" s="69"/>
      <c r="CJK24" s="273" t="s">
        <v>61</v>
      </c>
      <c r="CJL24" s="249"/>
      <c r="CJM24" s="67" t="s">
        <v>119</v>
      </c>
      <c r="CJN24" s="68"/>
      <c r="CJO24" s="69"/>
      <c r="CJP24" s="273" t="s">
        <v>31</v>
      </c>
      <c r="CJQ24" s="249"/>
      <c r="CJR24" s="67" t="s">
        <v>119</v>
      </c>
      <c r="CJS24" s="68"/>
      <c r="CJT24" s="69"/>
      <c r="CJU24" s="273" t="s">
        <v>31</v>
      </c>
      <c r="CJV24" s="249"/>
      <c r="CJW24" s="67" t="s">
        <v>119</v>
      </c>
      <c r="CJX24" s="68"/>
      <c r="CJY24" s="69"/>
      <c r="CJZ24" s="273" t="s">
        <v>61</v>
      </c>
      <c r="CKA24" s="249"/>
      <c r="CKB24" s="67" t="s">
        <v>119</v>
      </c>
      <c r="CKC24" s="68"/>
      <c r="CKD24" s="69"/>
      <c r="CKE24" s="273" t="s">
        <v>61</v>
      </c>
      <c r="CKF24" s="249"/>
      <c r="CKG24" s="67" t="s">
        <v>119</v>
      </c>
      <c r="CKH24" s="68"/>
      <c r="CKI24" s="69"/>
      <c r="CKJ24" s="273" t="s">
        <v>123</v>
      </c>
      <c r="CKK24" s="249"/>
      <c r="CKL24" s="67" t="s">
        <v>119</v>
      </c>
      <c r="CKM24" s="68"/>
      <c r="CKN24" s="69"/>
      <c r="CKO24" s="273" t="s">
        <v>61</v>
      </c>
      <c r="CKP24" s="249"/>
      <c r="CKQ24" s="67" t="s">
        <v>119</v>
      </c>
      <c r="CKR24" s="68"/>
      <c r="CKS24" s="69"/>
      <c r="CKT24" s="273" t="s">
        <v>116</v>
      </c>
      <c r="CKU24" s="249"/>
      <c r="CKV24" s="67" t="s">
        <v>119</v>
      </c>
      <c r="CKW24" s="68"/>
      <c r="CKX24" s="69"/>
      <c r="CKY24" s="273" t="s">
        <v>31</v>
      </c>
      <c r="CKZ24" s="249"/>
      <c r="CLA24" s="67" t="s">
        <v>92</v>
      </c>
      <c r="CLB24" s="68"/>
      <c r="CLC24" s="69"/>
      <c r="CLD24" s="273" t="s">
        <v>31</v>
      </c>
      <c r="CLE24" s="249"/>
      <c r="CLF24" s="67" t="s">
        <v>92</v>
      </c>
      <c r="CLG24" s="68"/>
      <c r="CLH24" s="69"/>
      <c r="CLI24" s="273" t="s">
        <v>61</v>
      </c>
      <c r="CLJ24" s="249"/>
      <c r="CLK24" s="67" t="s">
        <v>92</v>
      </c>
      <c r="CLL24" s="68"/>
      <c r="CLM24" s="69"/>
      <c r="CLN24" s="273" t="s">
        <v>61</v>
      </c>
      <c r="CLO24" s="249"/>
      <c r="CLP24" s="67" t="s">
        <v>92</v>
      </c>
      <c r="CLQ24" s="68"/>
      <c r="CLR24" s="69"/>
      <c r="CLS24" s="273" t="s">
        <v>61</v>
      </c>
      <c r="CLT24" s="249"/>
      <c r="CLU24" s="67" t="s">
        <v>92</v>
      </c>
      <c r="CLV24" s="68"/>
      <c r="CLW24" s="69"/>
      <c r="CLX24" s="273" t="s">
        <v>61</v>
      </c>
      <c r="CLY24" s="249"/>
      <c r="CLZ24" s="67" t="s">
        <v>92</v>
      </c>
      <c r="CMA24" s="68"/>
      <c r="CMB24" s="69"/>
      <c r="CMC24" s="273" t="s">
        <v>61</v>
      </c>
      <c r="CMD24" s="249"/>
      <c r="CME24" s="67" t="s">
        <v>92</v>
      </c>
      <c r="CMF24" s="68"/>
      <c r="CMG24" s="69"/>
      <c r="CMH24" s="273" t="s">
        <v>31</v>
      </c>
      <c r="CMI24" s="249"/>
      <c r="CMJ24" s="67" t="s">
        <v>92</v>
      </c>
      <c r="CMK24" s="68"/>
      <c r="CML24" s="69"/>
      <c r="CMM24" s="273" t="s">
        <v>31</v>
      </c>
      <c r="CMN24" s="249"/>
      <c r="CMO24" s="67" t="s">
        <v>92</v>
      </c>
      <c r="CMP24" s="68"/>
      <c r="CMQ24" s="69"/>
      <c r="CMR24" s="273" t="s">
        <v>31</v>
      </c>
      <c r="CMS24" s="249"/>
      <c r="CMT24" s="67" t="s">
        <v>92</v>
      </c>
      <c r="CMU24" s="68"/>
      <c r="CMV24" s="69"/>
      <c r="CMW24" s="273" t="s">
        <v>61</v>
      </c>
      <c r="CMX24" s="249"/>
      <c r="CMY24" s="67" t="s">
        <v>92</v>
      </c>
      <c r="CMZ24" s="68"/>
      <c r="CNA24" s="69"/>
      <c r="CNB24" s="273" t="s">
        <v>61</v>
      </c>
      <c r="CNC24" s="249"/>
      <c r="CND24" s="67" t="s">
        <v>92</v>
      </c>
      <c r="CNE24" s="68"/>
      <c r="CNF24" s="69"/>
      <c r="CNG24" s="273" t="s">
        <v>61</v>
      </c>
      <c r="CNH24" s="249"/>
      <c r="CNI24" s="67" t="s">
        <v>92</v>
      </c>
      <c r="CNJ24" s="68"/>
      <c r="CNK24" s="69"/>
      <c r="CNL24" s="273" t="s">
        <v>31</v>
      </c>
      <c r="CNM24" s="249"/>
      <c r="CNN24" s="67" t="s">
        <v>92</v>
      </c>
      <c r="CNO24" s="68"/>
      <c r="CNP24" s="69"/>
      <c r="CNQ24" s="273" t="s">
        <v>31</v>
      </c>
      <c r="CNR24" s="249"/>
      <c r="CNS24" s="67" t="s">
        <v>92</v>
      </c>
      <c r="CNT24" s="68"/>
      <c r="CNU24" s="69"/>
      <c r="CNV24" s="273" t="s">
        <v>31</v>
      </c>
      <c r="CNW24" s="249"/>
      <c r="CNX24" s="67" t="s">
        <v>92</v>
      </c>
      <c r="CNY24" s="68"/>
      <c r="CNZ24" s="69"/>
      <c r="COA24" s="273" t="s">
        <v>31</v>
      </c>
      <c r="COB24" s="249"/>
      <c r="COC24" s="67" t="s">
        <v>92</v>
      </c>
      <c r="COD24" s="68"/>
      <c r="COE24" s="69"/>
      <c r="COF24" s="273" t="s">
        <v>31</v>
      </c>
      <c r="COG24" s="249"/>
      <c r="COH24" s="67" t="s">
        <v>92</v>
      </c>
      <c r="COI24" s="68"/>
      <c r="COJ24" s="69"/>
      <c r="COK24" s="273" t="s">
        <v>41</v>
      </c>
      <c r="COL24" s="249"/>
      <c r="COM24" s="67" t="s">
        <v>92</v>
      </c>
      <c r="CON24" s="68"/>
      <c r="COO24" s="69"/>
      <c r="COP24" s="273" t="s">
        <v>31</v>
      </c>
      <c r="COQ24" s="249"/>
      <c r="COR24" s="67" t="s">
        <v>92</v>
      </c>
      <c r="COS24" s="68"/>
      <c r="COT24" s="69"/>
      <c r="COU24" s="273" t="s">
        <v>41</v>
      </c>
      <c r="COV24" s="249"/>
      <c r="COW24" s="67" t="s">
        <v>92</v>
      </c>
      <c r="COX24" s="68"/>
      <c r="COY24" s="69"/>
      <c r="COZ24" s="273" t="s">
        <v>31</v>
      </c>
      <c r="CPA24" s="249"/>
      <c r="CPB24" s="67" t="s">
        <v>92</v>
      </c>
      <c r="CPC24" s="68"/>
      <c r="CPD24" s="69"/>
      <c r="CPE24" s="273" t="s">
        <v>31</v>
      </c>
      <c r="CPF24" s="249"/>
      <c r="CPG24" s="67" t="s">
        <v>92</v>
      </c>
      <c r="CPH24" s="68"/>
      <c r="CPI24" s="69"/>
      <c r="CPJ24" s="273" t="s">
        <v>31</v>
      </c>
      <c r="CPK24" s="249"/>
      <c r="CPL24" s="67" t="s">
        <v>92</v>
      </c>
      <c r="CPM24" s="68"/>
      <c r="CPN24" s="69"/>
      <c r="CPO24" s="273" t="s">
        <v>31</v>
      </c>
      <c r="CPP24" s="249"/>
      <c r="CPQ24" s="67" t="s">
        <v>92</v>
      </c>
      <c r="CPR24" s="68"/>
      <c r="CPS24" s="69"/>
      <c r="CPT24" s="273" t="s">
        <v>31</v>
      </c>
      <c r="CPU24" s="249"/>
      <c r="CPV24" s="67" t="s">
        <v>92</v>
      </c>
      <c r="CPW24" s="68"/>
      <c r="CPX24" s="69"/>
      <c r="CPY24" s="273" t="s">
        <v>31</v>
      </c>
      <c r="CPZ24" s="249"/>
      <c r="CQA24" s="67" t="s">
        <v>92</v>
      </c>
      <c r="CQB24" s="68"/>
      <c r="CQC24" s="69"/>
      <c r="CQD24" s="273" t="s">
        <v>31</v>
      </c>
      <c r="CQE24" s="249"/>
      <c r="CQF24" s="67" t="s">
        <v>92</v>
      </c>
      <c r="CQG24" s="68"/>
      <c r="CQH24" s="69"/>
      <c r="CQI24" s="273" t="s">
        <v>31</v>
      </c>
      <c r="CQJ24" s="249"/>
      <c r="CQK24" s="67" t="s">
        <v>92</v>
      </c>
      <c r="CQL24" s="68"/>
      <c r="CQM24" s="69"/>
      <c r="CQN24" s="273" t="s">
        <v>31</v>
      </c>
      <c r="CQO24" s="249"/>
      <c r="CQP24" s="67" t="s">
        <v>92</v>
      </c>
      <c r="CQQ24" s="68"/>
      <c r="CQR24" s="69"/>
      <c r="CQS24" s="273" t="s">
        <v>31</v>
      </c>
      <c r="CQT24" s="249"/>
      <c r="CQU24" s="67" t="s">
        <v>92</v>
      </c>
      <c r="CQV24" s="68"/>
      <c r="CQW24" s="69"/>
      <c r="CQX24" s="273" t="s">
        <v>31</v>
      </c>
      <c r="CQY24" s="249"/>
      <c r="CQZ24" s="67" t="s">
        <v>92</v>
      </c>
      <c r="CRA24" s="68"/>
      <c r="CRB24" s="69"/>
      <c r="CRC24" s="273" t="s">
        <v>31</v>
      </c>
      <c r="CRD24" s="249"/>
      <c r="CRE24" s="10" t="s">
        <v>10</v>
      </c>
      <c r="CRF24" s="4"/>
      <c r="CRG24" s="5"/>
      <c r="CRH24" s="315">
        <v>1</v>
      </c>
      <c r="CRI24" s="316"/>
      <c r="CRJ24" s="10" t="s">
        <v>10</v>
      </c>
      <c r="CRK24" s="4"/>
      <c r="CRL24" s="5"/>
      <c r="CRM24" s="315">
        <v>0</v>
      </c>
      <c r="CRN24" s="316"/>
      <c r="CRO24" s="10" t="s">
        <v>10</v>
      </c>
      <c r="CRP24" s="4"/>
      <c r="CRQ24" s="5"/>
      <c r="CRR24" s="315">
        <v>0</v>
      </c>
      <c r="CRS24" s="316"/>
      <c r="CRT24" s="10" t="s">
        <v>10</v>
      </c>
      <c r="CRU24" s="4"/>
      <c r="CRV24" s="5"/>
      <c r="CRW24" s="315">
        <v>0</v>
      </c>
      <c r="CRX24" s="316"/>
      <c r="CRY24" s="10" t="s">
        <v>10</v>
      </c>
      <c r="CRZ24" s="4"/>
      <c r="CSA24" s="5"/>
      <c r="CSB24" s="17">
        <v>0</v>
      </c>
      <c r="CSC24" s="10" t="s">
        <v>10</v>
      </c>
      <c r="CSD24" s="4"/>
      <c r="CSE24" s="5"/>
      <c r="CSF24" s="17">
        <v>5</v>
      </c>
      <c r="CSG24" s="10" t="s">
        <v>10</v>
      </c>
      <c r="CSH24" s="4"/>
      <c r="CSI24" s="5"/>
      <c r="CSJ24" s="17">
        <v>0</v>
      </c>
      <c r="CSK24" s="10" t="s">
        <v>10</v>
      </c>
      <c r="CSL24" s="4"/>
      <c r="CSM24" s="5"/>
      <c r="CSN24" s="17">
        <v>0</v>
      </c>
      <c r="CSO24" s="10" t="s">
        <v>10</v>
      </c>
      <c r="CSP24" s="4"/>
      <c r="CSQ24" s="5"/>
      <c r="CSR24" s="17">
        <v>0</v>
      </c>
      <c r="CSS24" s="10" t="s">
        <v>10</v>
      </c>
      <c r="CST24" s="4"/>
      <c r="CSU24" s="5"/>
      <c r="CSV24" s="17">
        <v>3</v>
      </c>
      <c r="CSW24" s="10" t="s">
        <v>10</v>
      </c>
      <c r="CSX24" s="4"/>
      <c r="CSY24" s="5"/>
      <c r="CSZ24" s="17">
        <v>0</v>
      </c>
      <c r="CTA24" s="10" t="s">
        <v>10</v>
      </c>
      <c r="CTB24" s="4"/>
      <c r="CTC24" s="5"/>
      <c r="CTD24" s="17">
        <v>0</v>
      </c>
      <c r="CTE24" s="10" t="s">
        <v>10</v>
      </c>
      <c r="CTF24" s="4"/>
      <c r="CTG24" s="5"/>
      <c r="CTH24" s="17">
        <v>0</v>
      </c>
      <c r="CTI24" s="10" t="s">
        <v>10</v>
      </c>
      <c r="CTJ24" s="4"/>
      <c r="CTK24" s="5"/>
      <c r="CTL24" s="17">
        <v>1</v>
      </c>
      <c r="CTM24" s="10" t="s">
        <v>10</v>
      </c>
      <c r="CTN24" s="4"/>
      <c r="CTO24" s="5"/>
      <c r="CTP24" s="17">
        <v>0</v>
      </c>
      <c r="CTQ24" s="10" t="s">
        <v>10</v>
      </c>
      <c r="CTR24" s="4"/>
      <c r="CTS24" s="5"/>
      <c r="CTT24" s="17">
        <v>0</v>
      </c>
      <c r="CTU24" s="10" t="s">
        <v>10</v>
      </c>
      <c r="CTV24" s="4"/>
      <c r="CTW24" s="5"/>
      <c r="CTX24" s="17">
        <v>0</v>
      </c>
      <c r="CTY24" s="10" t="s">
        <v>10</v>
      </c>
      <c r="CTZ24" s="4"/>
      <c r="CUA24" s="5"/>
      <c r="CUB24" s="17">
        <v>1</v>
      </c>
      <c r="CUC24" s="10" t="s">
        <v>10</v>
      </c>
      <c r="CUD24" s="4"/>
      <c r="CUE24" s="5"/>
      <c r="CUF24" s="17">
        <v>3</v>
      </c>
      <c r="CUG24" s="10" t="s">
        <v>10</v>
      </c>
      <c r="CUH24" s="4"/>
      <c r="CUI24" s="5"/>
      <c r="CUJ24" s="17">
        <v>0</v>
      </c>
      <c r="CUK24" s="10" t="s">
        <v>10</v>
      </c>
      <c r="CUL24" s="4"/>
      <c r="CUM24" s="5"/>
      <c r="CUN24" s="17">
        <v>0</v>
      </c>
      <c r="CUO24" s="10" t="s">
        <v>10</v>
      </c>
      <c r="CUP24" s="4"/>
      <c r="CUQ24" s="5"/>
      <c r="CUR24" s="17">
        <v>0</v>
      </c>
      <c r="CUS24" s="10" t="s">
        <v>10</v>
      </c>
      <c r="CUT24" s="4"/>
      <c r="CUU24" s="5"/>
      <c r="CUV24" s="17">
        <v>3</v>
      </c>
      <c r="CUW24" s="10" t="s">
        <v>10</v>
      </c>
      <c r="CUX24" s="4"/>
      <c r="CUY24" s="5"/>
      <c r="CUZ24" s="17">
        <v>0</v>
      </c>
      <c r="CVA24" s="10" t="s">
        <v>10</v>
      </c>
      <c r="CVB24" s="4"/>
      <c r="CVC24" s="5"/>
      <c r="CVD24" s="17">
        <v>0</v>
      </c>
      <c r="CVE24" s="10" t="s">
        <v>10</v>
      </c>
      <c r="CVF24" s="4"/>
      <c r="CVG24" s="5"/>
      <c r="CVH24" s="17"/>
      <c r="CVI24" s="10" t="s">
        <v>10</v>
      </c>
      <c r="CVJ24" s="4"/>
      <c r="CVK24" s="5"/>
      <c r="CVL24" s="17">
        <v>0</v>
      </c>
      <c r="CVM24" s="10" t="s">
        <v>10</v>
      </c>
      <c r="CVN24" s="4"/>
      <c r="CVO24" s="5"/>
      <c r="CVP24" s="17">
        <v>0</v>
      </c>
      <c r="CVQ24" s="10" t="s">
        <v>10</v>
      </c>
      <c r="CVR24" s="4"/>
      <c r="CVS24" s="5"/>
      <c r="CVT24" s="17">
        <v>0</v>
      </c>
      <c r="CVU24" s="10" t="s">
        <v>10</v>
      </c>
      <c r="CVV24" s="4"/>
      <c r="CVW24" s="5"/>
      <c r="CVX24" s="17"/>
      <c r="CVY24" s="10" t="s">
        <v>10</v>
      </c>
      <c r="CVZ24" s="4"/>
      <c r="CWA24" s="5"/>
      <c r="CWB24" s="17">
        <v>5</v>
      </c>
      <c r="CWC24" s="10" t="s">
        <v>10</v>
      </c>
      <c r="CWD24" s="4"/>
      <c r="CWE24" s="5"/>
      <c r="CWF24" s="17">
        <v>0</v>
      </c>
      <c r="CWG24" s="10" t="s">
        <v>10</v>
      </c>
      <c r="CWH24" s="4"/>
      <c r="CWI24" s="5"/>
      <c r="CWJ24" s="17">
        <v>0</v>
      </c>
      <c r="CWK24" s="10" t="s">
        <v>10</v>
      </c>
      <c r="CWL24" s="4"/>
      <c r="CWM24" s="5"/>
      <c r="CWN24" s="17">
        <v>0</v>
      </c>
      <c r="CWO24" s="10" t="s">
        <v>10</v>
      </c>
      <c r="CWP24" s="4"/>
      <c r="CWQ24" s="5"/>
      <c r="CWR24" s="17">
        <v>0</v>
      </c>
      <c r="CWS24" s="10" t="s">
        <v>10</v>
      </c>
      <c r="CWT24" s="4"/>
      <c r="CWU24" s="5"/>
      <c r="CWV24" s="17"/>
      <c r="CWW24" s="10" t="s">
        <v>10</v>
      </c>
      <c r="CWX24" s="4"/>
      <c r="CWY24" s="5"/>
      <c r="CWZ24" s="17">
        <v>0</v>
      </c>
      <c r="CXA24" s="43" t="s">
        <v>10</v>
      </c>
      <c r="CXB24" s="44"/>
      <c r="CXC24" s="45"/>
      <c r="CXD24" s="46">
        <v>0</v>
      </c>
      <c r="CXE24" s="43" t="s">
        <v>10</v>
      </c>
      <c r="CXF24" s="44"/>
      <c r="CXG24" s="45"/>
      <c r="CXH24" s="46">
        <v>0</v>
      </c>
      <c r="CXI24" s="43" t="s">
        <v>10</v>
      </c>
      <c r="CXJ24" s="44"/>
      <c r="CXK24" s="45"/>
      <c r="CXL24" s="46">
        <v>0</v>
      </c>
      <c r="CXM24" s="43" t="s">
        <v>10</v>
      </c>
      <c r="CXN24" s="44"/>
      <c r="CXO24" s="45"/>
      <c r="CXP24" s="46">
        <v>0</v>
      </c>
      <c r="CXQ24" s="43" t="s">
        <v>10</v>
      </c>
      <c r="CXR24" s="44"/>
      <c r="CXS24" s="45"/>
      <c r="CXT24" s="46">
        <v>2</v>
      </c>
      <c r="CXU24" s="26" t="s">
        <v>10</v>
      </c>
      <c r="CXX24" s="26">
        <v>0</v>
      </c>
      <c r="CXY24" s="26" t="s">
        <v>10</v>
      </c>
      <c r="CYB24" s="26">
        <v>0</v>
      </c>
      <c r="CYC24" s="26" t="s">
        <v>10</v>
      </c>
      <c r="CYF24" s="26">
        <v>0</v>
      </c>
      <c r="CYG24" s="26" t="s">
        <v>12</v>
      </c>
      <c r="CYJ24" s="26" t="s">
        <v>31</v>
      </c>
      <c r="CYK24" s="26" t="s">
        <v>12</v>
      </c>
      <c r="CYN24" s="26" t="s">
        <v>52</v>
      </c>
      <c r="CYO24" s="26" t="s">
        <v>12</v>
      </c>
      <c r="CYR24" s="26" t="s">
        <v>31</v>
      </c>
      <c r="CYS24" s="26" t="s">
        <v>12</v>
      </c>
      <c r="CYV24" s="26" t="s">
        <v>31</v>
      </c>
      <c r="CYW24" s="26" t="s">
        <v>12</v>
      </c>
      <c r="CYZ24" s="26" t="s">
        <v>31</v>
      </c>
      <c r="CZA24" s="26" t="s">
        <v>12</v>
      </c>
      <c r="CZD24" s="26" t="s">
        <v>31</v>
      </c>
      <c r="CZE24" s="26" t="s">
        <v>12</v>
      </c>
      <c r="CZH24" s="26" t="s">
        <v>31</v>
      </c>
      <c r="CZI24" s="26" t="s">
        <v>12</v>
      </c>
      <c r="CZL24" s="26" t="s">
        <v>31</v>
      </c>
      <c r="CZM24" s="26" t="s">
        <v>12</v>
      </c>
      <c r="CZP24" s="26" t="s">
        <v>31</v>
      </c>
      <c r="CZQ24" s="26" t="s">
        <v>12</v>
      </c>
      <c r="CZT24" s="26" t="s">
        <v>31</v>
      </c>
      <c r="CZU24" s="26" t="s">
        <v>12</v>
      </c>
      <c r="CZX24" s="26" t="s">
        <v>31</v>
      </c>
      <c r="CZY24" s="26" t="s">
        <v>12</v>
      </c>
      <c r="DAB24" s="26" t="s">
        <v>31</v>
      </c>
      <c r="DAC24" s="26" t="s">
        <v>12</v>
      </c>
      <c r="DAF24" s="26" t="s">
        <v>31</v>
      </c>
      <c r="DAG24" s="26" t="s">
        <v>12</v>
      </c>
      <c r="DAJ24" s="26" t="s">
        <v>31</v>
      </c>
      <c r="DAK24" s="26" t="s">
        <v>12</v>
      </c>
      <c r="DAN24" s="26" t="s">
        <v>31</v>
      </c>
      <c r="DAO24" s="26" t="s">
        <v>12</v>
      </c>
      <c r="DAR24" s="26" t="s">
        <v>31</v>
      </c>
      <c r="DAS24" s="26" t="s">
        <v>12</v>
      </c>
      <c r="DAV24" s="26" t="s">
        <v>31</v>
      </c>
      <c r="DAW24" s="26" t="s">
        <v>12</v>
      </c>
      <c r="DAZ24" s="26" t="s">
        <v>31</v>
      </c>
      <c r="DBA24" s="26" t="s">
        <v>12</v>
      </c>
      <c r="DBD24" s="26" t="s">
        <v>31</v>
      </c>
      <c r="DBE24" s="26" t="s">
        <v>12</v>
      </c>
      <c r="DBH24" s="26" t="s">
        <v>31</v>
      </c>
      <c r="DBI24" s="26" t="s">
        <v>12</v>
      </c>
      <c r="DBL24" s="26" t="s">
        <v>31</v>
      </c>
      <c r="DBM24" s="26" t="s">
        <v>12</v>
      </c>
      <c r="DBP24" s="26" t="s">
        <v>31</v>
      </c>
      <c r="DBQ24" s="26" t="s">
        <v>12</v>
      </c>
      <c r="DBT24" s="26" t="s">
        <v>31</v>
      </c>
      <c r="DBU24" s="26" t="s">
        <v>12</v>
      </c>
      <c r="DBX24" s="26" t="s">
        <v>31</v>
      </c>
      <c r="DBY24" s="26" t="s">
        <v>12</v>
      </c>
      <c r="DCB24" s="26" t="s">
        <v>31</v>
      </c>
      <c r="DCC24" s="26" t="s">
        <v>12</v>
      </c>
      <c r="DCF24" s="26" t="s">
        <v>31</v>
      </c>
      <c r="DCG24" s="26" t="s">
        <v>12</v>
      </c>
      <c r="DCJ24" s="26" t="s">
        <v>31</v>
      </c>
      <c r="DCK24" s="26" t="s">
        <v>12</v>
      </c>
      <c r="DCN24" s="26" t="s">
        <v>31</v>
      </c>
      <c r="DCO24" s="26" t="s">
        <v>12</v>
      </c>
      <c r="DCR24" s="26" t="s">
        <v>31</v>
      </c>
      <c r="DCS24" s="26" t="s">
        <v>12</v>
      </c>
      <c r="DCV24" s="26" t="s">
        <v>31</v>
      </c>
      <c r="DCW24" s="26" t="s">
        <v>12</v>
      </c>
      <c r="DCZ24" s="26" t="s">
        <v>31</v>
      </c>
      <c r="DDA24" s="26" t="s">
        <v>12</v>
      </c>
      <c r="DDD24" s="26" t="s">
        <v>31</v>
      </c>
      <c r="DDE24" s="26" t="s">
        <v>13</v>
      </c>
      <c r="DDH24" s="26" t="s">
        <v>31</v>
      </c>
      <c r="DDI24" s="26" t="s">
        <v>13</v>
      </c>
      <c r="DDL24" s="26" t="s">
        <v>31</v>
      </c>
      <c r="DDM24" s="26" t="s">
        <v>13</v>
      </c>
      <c r="DDP24" s="26" t="s">
        <v>31</v>
      </c>
      <c r="DDQ24" s="26" t="s">
        <v>14</v>
      </c>
      <c r="DDT24" s="26" t="s">
        <v>31</v>
      </c>
    </row>
    <row r="25" spans="1:2828" ht="15.6" x14ac:dyDescent="0.3">
      <c r="A25" s="258" t="s">
        <v>288</v>
      </c>
      <c r="B25" s="259"/>
      <c r="C25" s="260"/>
      <c r="D25" s="250" t="s">
        <v>52</v>
      </c>
      <c r="E25" s="251"/>
      <c r="F25" s="258" t="s">
        <v>288</v>
      </c>
      <c r="G25" s="259"/>
      <c r="H25" s="260"/>
      <c r="I25" s="250" t="s">
        <v>31</v>
      </c>
      <c r="J25" s="251"/>
      <c r="K25" s="258" t="s">
        <v>288</v>
      </c>
      <c r="L25" s="259"/>
      <c r="M25" s="260"/>
      <c r="N25" s="250" t="s">
        <v>31</v>
      </c>
      <c r="O25" s="251"/>
      <c r="P25" s="258" t="s">
        <v>288</v>
      </c>
      <c r="Q25" s="259"/>
      <c r="R25" s="260"/>
      <c r="S25" s="250" t="s">
        <v>31</v>
      </c>
      <c r="T25" s="251"/>
      <c r="U25" s="258" t="s">
        <v>288</v>
      </c>
      <c r="V25" s="259"/>
      <c r="W25" s="260"/>
      <c r="X25" s="250" t="s">
        <v>309</v>
      </c>
      <c r="Y25" s="251"/>
      <c r="Z25" s="258" t="s">
        <v>288</v>
      </c>
      <c r="AA25" s="259"/>
      <c r="AB25" s="260"/>
      <c r="AC25" s="250" t="s">
        <v>31</v>
      </c>
      <c r="AD25" s="251"/>
      <c r="AE25" s="258" t="s">
        <v>288</v>
      </c>
      <c r="AF25" s="259"/>
      <c r="AG25" s="260"/>
      <c r="AH25" s="250" t="s">
        <v>31</v>
      </c>
      <c r="AI25" s="251"/>
      <c r="AJ25" s="258" t="s">
        <v>288</v>
      </c>
      <c r="AK25" s="259"/>
      <c r="AL25" s="260"/>
      <c r="AM25" s="250" t="s">
        <v>31</v>
      </c>
      <c r="AN25" s="251"/>
      <c r="AO25" s="258" t="s">
        <v>288</v>
      </c>
      <c r="AP25" s="259"/>
      <c r="AQ25" s="260"/>
      <c r="AR25" s="250" t="s">
        <v>31</v>
      </c>
      <c r="AS25" s="251"/>
      <c r="AT25" s="258" t="s">
        <v>288</v>
      </c>
      <c r="AU25" s="259"/>
      <c r="AV25" s="260"/>
      <c r="AW25" s="250" t="s">
        <v>31</v>
      </c>
      <c r="AX25" s="251"/>
      <c r="AY25" s="258" t="s">
        <v>288</v>
      </c>
      <c r="AZ25" s="259"/>
      <c r="BA25" s="260"/>
      <c r="BB25" s="250" t="s">
        <v>31</v>
      </c>
      <c r="BC25" s="251"/>
      <c r="BD25" s="258" t="s">
        <v>288</v>
      </c>
      <c r="BE25" s="259"/>
      <c r="BF25" s="260"/>
      <c r="BG25" s="250" t="s">
        <v>309</v>
      </c>
      <c r="BH25" s="251"/>
      <c r="BI25" s="258" t="s">
        <v>288</v>
      </c>
      <c r="BJ25" s="259"/>
      <c r="BK25" s="260"/>
      <c r="BL25" s="250" t="s">
        <v>31</v>
      </c>
      <c r="BM25" s="251"/>
      <c r="BN25" s="258" t="s">
        <v>288</v>
      </c>
      <c r="BO25" s="259"/>
      <c r="BP25" s="260"/>
      <c r="BQ25" s="250" t="s">
        <v>52</v>
      </c>
      <c r="BR25" s="251"/>
      <c r="BS25" s="258" t="s">
        <v>288</v>
      </c>
      <c r="BT25" s="259"/>
      <c r="BU25" s="260"/>
      <c r="BV25" s="250" t="s">
        <v>31</v>
      </c>
      <c r="BW25" s="251"/>
      <c r="BX25" s="258" t="s">
        <v>288</v>
      </c>
      <c r="BY25" s="259"/>
      <c r="BZ25" s="260"/>
      <c r="CA25" s="250" t="s">
        <v>31</v>
      </c>
      <c r="CB25" s="251"/>
      <c r="CC25" s="258" t="s">
        <v>288</v>
      </c>
      <c r="CD25" s="259"/>
      <c r="CE25" s="260"/>
      <c r="CF25" s="250" t="s">
        <v>31</v>
      </c>
      <c r="CG25" s="251"/>
      <c r="CH25" s="258" t="s">
        <v>288</v>
      </c>
      <c r="CI25" s="259"/>
      <c r="CJ25" s="260"/>
      <c r="CK25" s="250" t="s">
        <v>31</v>
      </c>
      <c r="CL25" s="251"/>
      <c r="CM25" s="258" t="s">
        <v>288</v>
      </c>
      <c r="CN25" s="259"/>
      <c r="CO25" s="260"/>
      <c r="CP25" s="250" t="s">
        <v>31</v>
      </c>
      <c r="CQ25" s="251"/>
      <c r="CR25" s="258" t="s">
        <v>288</v>
      </c>
      <c r="CS25" s="259"/>
      <c r="CT25" s="260"/>
      <c r="CU25" s="250" t="s">
        <v>309</v>
      </c>
      <c r="CV25" s="251"/>
      <c r="CW25" s="258" t="s">
        <v>288</v>
      </c>
      <c r="CX25" s="259"/>
      <c r="CY25" s="260"/>
      <c r="CZ25" s="250" t="s">
        <v>31</v>
      </c>
      <c r="DA25" s="251"/>
      <c r="DB25" s="258" t="s">
        <v>288</v>
      </c>
      <c r="DC25" s="259"/>
      <c r="DD25" s="260"/>
      <c r="DE25" s="250" t="s">
        <v>31</v>
      </c>
      <c r="DF25" s="251"/>
      <c r="DG25" s="258" t="s">
        <v>288</v>
      </c>
      <c r="DH25" s="259"/>
      <c r="DI25" s="260"/>
      <c r="DJ25" s="250" t="s">
        <v>31</v>
      </c>
      <c r="DK25" s="251"/>
      <c r="DL25" s="258" t="s">
        <v>288</v>
      </c>
      <c r="DM25" s="259"/>
      <c r="DN25" s="260"/>
      <c r="DO25" s="250" t="s">
        <v>31</v>
      </c>
      <c r="DP25" s="251"/>
      <c r="DQ25" s="258" t="s">
        <v>288</v>
      </c>
      <c r="DR25" s="259"/>
      <c r="DS25" s="260"/>
      <c r="DT25" s="250" t="s">
        <v>31</v>
      </c>
      <c r="DU25" s="251"/>
      <c r="DV25" s="258" t="s">
        <v>288</v>
      </c>
      <c r="DW25" s="259"/>
      <c r="DX25" s="260"/>
      <c r="DY25" s="250" t="s">
        <v>31</v>
      </c>
      <c r="DZ25" s="251"/>
      <c r="EA25" s="258" t="s">
        <v>288</v>
      </c>
      <c r="EB25" s="259"/>
      <c r="EC25" s="260"/>
      <c r="ED25" s="250" t="s">
        <v>309</v>
      </c>
      <c r="EE25" s="251"/>
      <c r="EF25" s="258" t="s">
        <v>288</v>
      </c>
      <c r="EG25" s="259"/>
      <c r="EH25" s="260"/>
      <c r="EI25" s="250" t="s">
        <v>31</v>
      </c>
      <c r="EJ25" s="251"/>
      <c r="EK25" s="258" t="s">
        <v>288</v>
      </c>
      <c r="EL25" s="259"/>
      <c r="EM25" s="260"/>
      <c r="EN25" s="250" t="s">
        <v>31</v>
      </c>
      <c r="EO25" s="251"/>
      <c r="EP25" s="258" t="s">
        <v>288</v>
      </c>
      <c r="EQ25" s="259"/>
      <c r="ER25" s="260"/>
      <c r="ES25" s="250" t="s">
        <v>31</v>
      </c>
      <c r="ET25" s="251"/>
      <c r="EU25" s="258" t="s">
        <v>288</v>
      </c>
      <c r="EV25" s="259"/>
      <c r="EW25" s="260"/>
      <c r="EX25" s="250" t="s">
        <v>31</v>
      </c>
      <c r="EY25" s="251"/>
      <c r="EZ25" s="258" t="s">
        <v>288</v>
      </c>
      <c r="FA25" s="259"/>
      <c r="FB25" s="260"/>
      <c r="FC25" s="250" t="s">
        <v>31</v>
      </c>
      <c r="FD25" s="251"/>
      <c r="FE25" s="258" t="s">
        <v>288</v>
      </c>
      <c r="FF25" s="259"/>
      <c r="FG25" s="260"/>
      <c r="FH25" s="250" t="s">
        <v>31</v>
      </c>
      <c r="FI25" s="251"/>
      <c r="FJ25" s="258" t="s">
        <v>288</v>
      </c>
      <c r="FK25" s="259"/>
      <c r="FL25" s="260"/>
      <c r="FM25" s="250" t="s">
        <v>309</v>
      </c>
      <c r="FN25" s="251"/>
      <c r="FO25" s="258" t="s">
        <v>288</v>
      </c>
      <c r="FP25" s="259"/>
      <c r="FQ25" s="260"/>
      <c r="FR25" s="250" t="s">
        <v>31</v>
      </c>
      <c r="FS25" s="251"/>
      <c r="FT25" s="258" t="s">
        <v>288</v>
      </c>
      <c r="FU25" s="259"/>
      <c r="FV25" s="260"/>
      <c r="FW25" s="250" t="s">
        <v>31</v>
      </c>
      <c r="FX25" s="251"/>
      <c r="FY25" s="258" t="s">
        <v>288</v>
      </c>
      <c r="FZ25" s="259"/>
      <c r="GA25" s="260"/>
      <c r="GB25" s="250" t="s">
        <v>31</v>
      </c>
      <c r="GC25" s="251"/>
      <c r="GD25" s="258" t="s">
        <v>288</v>
      </c>
      <c r="GE25" s="259"/>
      <c r="GF25" s="260"/>
      <c r="GG25" s="250" t="s">
        <v>31</v>
      </c>
      <c r="GH25" s="251"/>
      <c r="GI25" s="258" t="s">
        <v>288</v>
      </c>
      <c r="GJ25" s="259"/>
      <c r="GK25" s="260"/>
      <c r="GL25" s="250" t="s">
        <v>31</v>
      </c>
      <c r="GM25" s="251"/>
      <c r="GN25" s="258" t="s">
        <v>288</v>
      </c>
      <c r="GO25" s="259"/>
      <c r="GP25" s="260"/>
      <c r="GQ25" s="250" t="s">
        <v>31</v>
      </c>
      <c r="GR25" s="251"/>
      <c r="GS25" s="258" t="s">
        <v>288</v>
      </c>
      <c r="GT25" s="259"/>
      <c r="GU25" s="260"/>
      <c r="GV25" s="250" t="s">
        <v>309</v>
      </c>
      <c r="GW25" s="251"/>
      <c r="GX25" s="258" t="s">
        <v>288</v>
      </c>
      <c r="GY25" s="259"/>
      <c r="GZ25" s="260"/>
      <c r="HA25" s="250" t="s">
        <v>31</v>
      </c>
      <c r="HB25" s="251"/>
      <c r="HC25" s="258" t="s">
        <v>288</v>
      </c>
      <c r="HD25" s="259"/>
      <c r="HE25" s="260"/>
      <c r="HF25" s="250" t="s">
        <v>31</v>
      </c>
      <c r="HG25" s="251"/>
      <c r="HH25" s="258" t="s">
        <v>288</v>
      </c>
      <c r="HI25" s="259"/>
      <c r="HJ25" s="260"/>
      <c r="HK25" s="250" t="s">
        <v>31</v>
      </c>
      <c r="HL25" s="251"/>
      <c r="HM25" s="258" t="s">
        <v>288</v>
      </c>
      <c r="HN25" s="259"/>
      <c r="HO25" s="260"/>
      <c r="HP25" s="250" t="s">
        <v>31</v>
      </c>
      <c r="HQ25" s="251"/>
      <c r="HR25" s="258" t="s">
        <v>288</v>
      </c>
      <c r="HS25" s="259"/>
      <c r="HT25" s="260"/>
      <c r="HU25" s="250" t="s">
        <v>52</v>
      </c>
      <c r="HV25" s="251"/>
      <c r="HW25" s="258" t="s">
        <v>288</v>
      </c>
      <c r="HX25" s="259"/>
      <c r="HY25" s="260"/>
      <c r="HZ25" s="250" t="s">
        <v>31</v>
      </c>
      <c r="IA25" s="251"/>
      <c r="IB25" s="258" t="s">
        <v>288</v>
      </c>
      <c r="IC25" s="259"/>
      <c r="ID25" s="260"/>
      <c r="IE25" s="250" t="s">
        <v>309</v>
      </c>
      <c r="IF25" s="251"/>
      <c r="IG25" s="258" t="s">
        <v>288</v>
      </c>
      <c r="IH25" s="259"/>
      <c r="II25" s="260"/>
      <c r="IJ25" s="250" t="s">
        <v>31</v>
      </c>
      <c r="IK25" s="251"/>
      <c r="IL25" s="258" t="s">
        <v>288</v>
      </c>
      <c r="IM25" s="259"/>
      <c r="IN25" s="260"/>
      <c r="IO25" s="250" t="s">
        <v>31</v>
      </c>
      <c r="IP25" s="251"/>
      <c r="IQ25" s="258" t="s">
        <v>288</v>
      </c>
      <c r="IR25" s="259"/>
      <c r="IS25" s="260"/>
      <c r="IT25" s="250" t="s">
        <v>31</v>
      </c>
      <c r="IU25" s="251"/>
      <c r="IV25" s="258" t="s">
        <v>288</v>
      </c>
      <c r="IW25" s="259"/>
      <c r="IX25" s="260"/>
      <c r="IY25" s="250" t="s">
        <v>31</v>
      </c>
      <c r="IZ25" s="251"/>
      <c r="JA25" s="258" t="s">
        <v>288</v>
      </c>
      <c r="JB25" s="259"/>
      <c r="JC25" s="260"/>
      <c r="JD25" s="250" t="s">
        <v>31</v>
      </c>
      <c r="JE25" s="251"/>
      <c r="JF25" s="258" t="s">
        <v>288</v>
      </c>
      <c r="JG25" s="259"/>
      <c r="JH25" s="260"/>
      <c r="JI25" s="250" t="s">
        <v>31</v>
      </c>
      <c r="JJ25" s="251"/>
      <c r="JK25" s="258" t="s">
        <v>288</v>
      </c>
      <c r="JL25" s="259"/>
      <c r="JM25" s="260"/>
      <c r="JN25" s="250" t="s">
        <v>309</v>
      </c>
      <c r="JO25" s="251"/>
      <c r="JP25" s="258" t="s">
        <v>288</v>
      </c>
      <c r="JQ25" s="259"/>
      <c r="JR25" s="260"/>
      <c r="JS25" s="250" t="s">
        <v>31</v>
      </c>
      <c r="JT25" s="251"/>
      <c r="JU25" s="258" t="s">
        <v>288</v>
      </c>
      <c r="JV25" s="259"/>
      <c r="JW25" s="260"/>
      <c r="JX25" s="250" t="s">
        <v>31</v>
      </c>
      <c r="JY25" s="251"/>
      <c r="JZ25" s="258" t="s">
        <v>288</v>
      </c>
      <c r="KA25" s="259"/>
      <c r="KB25" s="260"/>
      <c r="KC25" s="250" t="s">
        <v>31</v>
      </c>
      <c r="KD25" s="251"/>
      <c r="KE25" s="258" t="s">
        <v>288</v>
      </c>
      <c r="KF25" s="259"/>
      <c r="KG25" s="260"/>
      <c r="KH25" s="250" t="s">
        <v>31</v>
      </c>
      <c r="KI25" s="251"/>
      <c r="KJ25" s="258" t="s">
        <v>288</v>
      </c>
      <c r="KK25" s="259"/>
      <c r="KL25" s="260"/>
      <c r="KM25" s="250" t="s">
        <v>31</v>
      </c>
      <c r="KN25" s="251"/>
      <c r="KO25" s="258" t="s">
        <v>288</v>
      </c>
      <c r="KP25" s="259"/>
      <c r="KQ25" s="260"/>
      <c r="KR25" s="250" t="s">
        <v>31</v>
      </c>
      <c r="KS25" s="251"/>
      <c r="KT25" s="258" t="s">
        <v>288</v>
      </c>
      <c r="KU25" s="259"/>
      <c r="KV25" s="260"/>
      <c r="KW25" s="250" t="s">
        <v>309</v>
      </c>
      <c r="KX25" s="251"/>
      <c r="KY25" s="258" t="s">
        <v>288</v>
      </c>
      <c r="KZ25" s="259"/>
      <c r="LA25" s="260"/>
      <c r="LB25" s="250" t="s">
        <v>31</v>
      </c>
      <c r="LC25" s="251"/>
      <c r="LD25" s="258" t="s">
        <v>288</v>
      </c>
      <c r="LE25" s="259"/>
      <c r="LF25" s="260"/>
      <c r="LG25" s="250" t="s">
        <v>52</v>
      </c>
      <c r="LH25" s="251"/>
      <c r="LI25" s="258" t="s">
        <v>288</v>
      </c>
      <c r="LJ25" s="259"/>
      <c r="LK25" s="260"/>
      <c r="LL25" s="250" t="s">
        <v>31</v>
      </c>
      <c r="LM25" s="251"/>
      <c r="LN25" s="258" t="s">
        <v>288</v>
      </c>
      <c r="LO25" s="259"/>
      <c r="LP25" s="260"/>
      <c r="LQ25" s="250" t="s">
        <v>31</v>
      </c>
      <c r="LR25" s="251"/>
      <c r="LS25" s="258" t="s">
        <v>288</v>
      </c>
      <c r="LT25" s="259"/>
      <c r="LU25" s="260"/>
      <c r="LV25" s="250" t="s">
        <v>52</v>
      </c>
      <c r="LW25" s="251"/>
      <c r="LX25" s="258" t="s">
        <v>288</v>
      </c>
      <c r="LY25" s="259"/>
      <c r="LZ25" s="260"/>
      <c r="MA25" s="250" t="s">
        <v>309</v>
      </c>
      <c r="MB25" s="251"/>
      <c r="MC25" s="258" t="s">
        <v>288</v>
      </c>
      <c r="MD25" s="259"/>
      <c r="ME25" s="260"/>
      <c r="MF25" s="250" t="s">
        <v>309</v>
      </c>
      <c r="MG25" s="251"/>
      <c r="MH25" s="258" t="s">
        <v>288</v>
      </c>
      <c r="MI25" s="259"/>
      <c r="MJ25" s="260"/>
      <c r="MK25" s="250" t="s">
        <v>31</v>
      </c>
      <c r="ML25" s="251"/>
      <c r="MM25" s="258" t="s">
        <v>288</v>
      </c>
      <c r="MN25" s="259"/>
      <c r="MO25" s="260"/>
      <c r="MP25" s="250" t="s">
        <v>31</v>
      </c>
      <c r="MQ25" s="251"/>
      <c r="MR25" s="258" t="s">
        <v>288</v>
      </c>
      <c r="MS25" s="259"/>
      <c r="MT25" s="260"/>
      <c r="MU25" s="250" t="s">
        <v>31</v>
      </c>
      <c r="MV25" s="251"/>
      <c r="MW25" s="258" t="s">
        <v>288</v>
      </c>
      <c r="MX25" s="259"/>
      <c r="MY25" s="260"/>
      <c r="MZ25" s="250" t="s">
        <v>52</v>
      </c>
      <c r="NA25" s="251"/>
      <c r="NB25" s="258" t="s">
        <v>288</v>
      </c>
      <c r="NC25" s="259"/>
      <c r="ND25" s="260"/>
      <c r="NE25" s="250" t="s">
        <v>31</v>
      </c>
      <c r="NF25" s="251"/>
      <c r="NG25" s="258" t="s">
        <v>288</v>
      </c>
      <c r="NH25" s="259"/>
      <c r="NI25" s="260"/>
      <c r="NJ25" s="250" t="s">
        <v>31</v>
      </c>
      <c r="NK25" s="251"/>
      <c r="NL25" s="258" t="s">
        <v>288</v>
      </c>
      <c r="NM25" s="259"/>
      <c r="NN25" s="260"/>
      <c r="NO25" s="250" t="s">
        <v>31</v>
      </c>
      <c r="NP25" s="251"/>
      <c r="NQ25" s="258" t="s">
        <v>288</v>
      </c>
      <c r="NR25" s="259"/>
      <c r="NS25" s="260"/>
      <c r="NT25" s="250" t="s">
        <v>309</v>
      </c>
      <c r="NU25" s="251"/>
      <c r="NV25" s="258" t="s">
        <v>288</v>
      </c>
      <c r="NW25" s="259"/>
      <c r="NX25" s="260"/>
      <c r="NY25" s="250" t="s">
        <v>52</v>
      </c>
      <c r="NZ25" s="251"/>
      <c r="OA25" s="258" t="s">
        <v>288</v>
      </c>
      <c r="OB25" s="259"/>
      <c r="OC25" s="260"/>
      <c r="OD25" s="250" t="s">
        <v>52</v>
      </c>
      <c r="OE25" s="251"/>
      <c r="OF25" s="258" t="s">
        <v>288</v>
      </c>
      <c r="OG25" s="259"/>
      <c r="OH25" s="260"/>
      <c r="OI25" s="250" t="s">
        <v>52</v>
      </c>
      <c r="OJ25" s="251"/>
      <c r="OK25" s="258" t="s">
        <v>288</v>
      </c>
      <c r="OL25" s="259"/>
      <c r="OM25" s="260"/>
      <c r="ON25" s="250" t="s">
        <v>31</v>
      </c>
      <c r="OO25" s="251"/>
      <c r="OP25" s="258" t="s">
        <v>288</v>
      </c>
      <c r="OQ25" s="259"/>
      <c r="OR25" s="260"/>
      <c r="OS25" s="250" t="s">
        <v>31</v>
      </c>
      <c r="OT25" s="251"/>
      <c r="OU25" s="258" t="s">
        <v>288</v>
      </c>
      <c r="OV25" s="259"/>
      <c r="OW25" s="260"/>
      <c r="OX25" s="250" t="s">
        <v>31</v>
      </c>
      <c r="OY25" s="251"/>
      <c r="OZ25" s="258" t="s">
        <v>288</v>
      </c>
      <c r="PA25" s="259"/>
      <c r="PB25" s="260"/>
      <c r="PC25" s="250" t="s">
        <v>31</v>
      </c>
      <c r="PD25" s="251"/>
      <c r="PE25" s="258" t="s">
        <v>288</v>
      </c>
      <c r="PF25" s="259"/>
      <c r="PG25" s="260"/>
      <c r="PH25" s="250" t="s">
        <v>309</v>
      </c>
      <c r="PI25" s="251"/>
      <c r="PJ25" s="258" t="s">
        <v>288</v>
      </c>
      <c r="PK25" s="259"/>
      <c r="PL25" s="260"/>
      <c r="PM25" s="250" t="s">
        <v>31</v>
      </c>
      <c r="PN25" s="251"/>
      <c r="PO25" s="258" t="s">
        <v>288</v>
      </c>
      <c r="PP25" s="259"/>
      <c r="PQ25" s="260"/>
      <c r="PR25" s="250" t="s">
        <v>52</v>
      </c>
      <c r="PS25" s="251"/>
      <c r="PT25" s="258" t="s">
        <v>288</v>
      </c>
      <c r="PU25" s="259"/>
      <c r="PV25" s="260"/>
      <c r="PW25" s="250" t="s">
        <v>31</v>
      </c>
      <c r="PX25" s="251"/>
      <c r="PY25" s="258" t="s">
        <v>288</v>
      </c>
      <c r="PZ25" s="259"/>
      <c r="QA25" s="260"/>
      <c r="QB25" s="250" t="s">
        <v>52</v>
      </c>
      <c r="QC25" s="251"/>
      <c r="QD25" s="258" t="s">
        <v>288</v>
      </c>
      <c r="QE25" s="259"/>
      <c r="QF25" s="260"/>
      <c r="QG25" s="250" t="s">
        <v>52</v>
      </c>
      <c r="QH25" s="251"/>
      <c r="QI25" s="258" t="s">
        <v>288</v>
      </c>
      <c r="QJ25" s="259"/>
      <c r="QK25" s="260"/>
      <c r="QL25" s="250" t="s">
        <v>31</v>
      </c>
      <c r="QM25" s="251"/>
      <c r="QN25" s="258" t="s">
        <v>288</v>
      </c>
      <c r="QO25" s="259"/>
      <c r="QP25" s="260"/>
      <c r="QQ25" s="250" t="s">
        <v>31</v>
      </c>
      <c r="QR25" s="251"/>
      <c r="QS25" s="258" t="s">
        <v>288</v>
      </c>
      <c r="QT25" s="259"/>
      <c r="QU25" s="260"/>
      <c r="QV25" s="250" t="s">
        <v>309</v>
      </c>
      <c r="QW25" s="251"/>
      <c r="QX25" s="258" t="s">
        <v>288</v>
      </c>
      <c r="QY25" s="259"/>
      <c r="QZ25" s="260"/>
      <c r="RA25" s="250" t="s">
        <v>52</v>
      </c>
      <c r="RB25" s="251"/>
      <c r="RC25" s="258" t="s">
        <v>288</v>
      </c>
      <c r="RD25" s="259"/>
      <c r="RE25" s="260"/>
      <c r="RF25" s="250" t="s">
        <v>52</v>
      </c>
      <c r="RG25" s="251"/>
      <c r="RH25" s="258" t="s">
        <v>288</v>
      </c>
      <c r="RI25" s="259"/>
      <c r="RJ25" s="260"/>
      <c r="RK25" s="250" t="s">
        <v>31</v>
      </c>
      <c r="RL25" s="251"/>
      <c r="RM25" s="258" t="s">
        <v>288</v>
      </c>
      <c r="RN25" s="259"/>
      <c r="RO25" s="260"/>
      <c r="RP25" s="250" t="s">
        <v>31</v>
      </c>
      <c r="RQ25" s="251"/>
      <c r="RR25" s="258" t="s">
        <v>288</v>
      </c>
      <c r="RS25" s="259"/>
      <c r="RT25" s="260"/>
      <c r="RU25" s="250" t="s">
        <v>52</v>
      </c>
      <c r="RV25" s="251"/>
      <c r="RW25" s="258" t="s">
        <v>288</v>
      </c>
      <c r="RX25" s="259"/>
      <c r="RY25" s="260"/>
      <c r="RZ25" s="250" t="s">
        <v>52</v>
      </c>
      <c r="SA25" s="251"/>
      <c r="SB25" s="258" t="s">
        <v>288</v>
      </c>
      <c r="SC25" s="259"/>
      <c r="SD25" s="260"/>
      <c r="SE25" s="250" t="s">
        <v>31</v>
      </c>
      <c r="SF25" s="251"/>
      <c r="SG25" s="258" t="s">
        <v>288</v>
      </c>
      <c r="SH25" s="259"/>
      <c r="SI25" s="260"/>
      <c r="SJ25" s="250" t="s">
        <v>309</v>
      </c>
      <c r="SK25" s="251"/>
      <c r="SL25" s="258" t="s">
        <v>288</v>
      </c>
      <c r="SM25" s="259"/>
      <c r="SN25" s="260"/>
      <c r="SO25" s="250" t="s">
        <v>31</v>
      </c>
      <c r="SP25" s="251"/>
      <c r="SQ25" s="258" t="s">
        <v>288</v>
      </c>
      <c r="SR25" s="259"/>
      <c r="SS25" s="260"/>
      <c r="ST25" s="250" t="s">
        <v>52</v>
      </c>
      <c r="SU25" s="251"/>
      <c r="SV25" s="258" t="s">
        <v>288</v>
      </c>
      <c r="SW25" s="259"/>
      <c r="SX25" s="260"/>
      <c r="SY25" s="250" t="s">
        <v>31</v>
      </c>
      <c r="SZ25" s="251"/>
      <c r="TA25" s="258" t="s">
        <v>288</v>
      </c>
      <c r="TB25" s="259"/>
      <c r="TC25" s="260"/>
      <c r="TD25" s="250" t="s">
        <v>31</v>
      </c>
      <c r="TE25" s="251"/>
      <c r="TF25" s="258" t="s">
        <v>288</v>
      </c>
      <c r="TG25" s="259"/>
      <c r="TH25" s="260"/>
      <c r="TI25" s="250" t="s">
        <v>31</v>
      </c>
      <c r="TJ25" s="251"/>
      <c r="TK25" s="258" t="s">
        <v>288</v>
      </c>
      <c r="TL25" s="259"/>
      <c r="TM25" s="260"/>
      <c r="TN25" s="250" t="s">
        <v>31</v>
      </c>
      <c r="TO25" s="251"/>
      <c r="TP25" s="258" t="s">
        <v>288</v>
      </c>
      <c r="TQ25" s="259"/>
      <c r="TR25" s="260"/>
      <c r="TS25" s="250" t="s">
        <v>309</v>
      </c>
      <c r="TT25" s="251"/>
      <c r="TU25" s="258" t="s">
        <v>288</v>
      </c>
      <c r="TV25" s="259"/>
      <c r="TW25" s="260"/>
      <c r="TX25" s="250" t="s">
        <v>52</v>
      </c>
      <c r="TY25" s="251"/>
      <c r="TZ25" s="258" t="s">
        <v>288</v>
      </c>
      <c r="UA25" s="259"/>
      <c r="UB25" s="260"/>
      <c r="UC25" s="250" t="s">
        <v>52</v>
      </c>
      <c r="UD25" s="251"/>
      <c r="UE25" s="258" t="s">
        <v>288</v>
      </c>
      <c r="UF25" s="259"/>
      <c r="UG25" s="260"/>
      <c r="UH25" s="250" t="s">
        <v>52</v>
      </c>
      <c r="UI25" s="251"/>
      <c r="UJ25" s="258" t="s">
        <v>288</v>
      </c>
      <c r="UK25" s="259"/>
      <c r="UL25" s="260"/>
      <c r="UM25" s="250" t="s">
        <v>52</v>
      </c>
      <c r="UN25" s="251"/>
      <c r="UO25" s="258" t="s">
        <v>288</v>
      </c>
      <c r="UP25" s="259"/>
      <c r="UQ25" s="260"/>
      <c r="UR25" s="250" t="s">
        <v>31</v>
      </c>
      <c r="US25" s="251"/>
      <c r="UT25" s="258" t="s">
        <v>288</v>
      </c>
      <c r="UU25" s="259"/>
      <c r="UV25" s="260"/>
      <c r="UW25" s="250" t="s">
        <v>31</v>
      </c>
      <c r="UX25" s="251"/>
      <c r="UY25" s="258" t="s">
        <v>288</v>
      </c>
      <c r="UZ25" s="259"/>
      <c r="VA25" s="260"/>
      <c r="VB25" s="250" t="s">
        <v>309</v>
      </c>
      <c r="VC25" s="251"/>
      <c r="VD25" s="258" t="s">
        <v>288</v>
      </c>
      <c r="VE25" s="259"/>
      <c r="VF25" s="260"/>
      <c r="VG25" s="250" t="s">
        <v>31</v>
      </c>
      <c r="VH25" s="251"/>
      <c r="VI25" s="258" t="s">
        <v>288</v>
      </c>
      <c r="VJ25" s="259"/>
      <c r="VK25" s="260"/>
      <c r="VL25" s="250" t="s">
        <v>309</v>
      </c>
      <c r="VM25" s="251"/>
      <c r="VN25" s="258" t="s">
        <v>288</v>
      </c>
      <c r="VO25" s="259"/>
      <c r="VP25" s="260"/>
      <c r="VQ25" s="250" t="s">
        <v>31</v>
      </c>
      <c r="VR25" s="251"/>
      <c r="VS25" s="258" t="s">
        <v>288</v>
      </c>
      <c r="VT25" s="259"/>
      <c r="VU25" s="260"/>
      <c r="VV25" s="250" t="s">
        <v>31</v>
      </c>
      <c r="VW25" s="251"/>
      <c r="VX25" s="258" t="s">
        <v>288</v>
      </c>
      <c r="VY25" s="259"/>
      <c r="VZ25" s="260"/>
      <c r="WA25" s="250" t="s">
        <v>52</v>
      </c>
      <c r="WB25" s="251"/>
      <c r="WC25" s="258" t="s">
        <v>288</v>
      </c>
      <c r="WD25" s="259"/>
      <c r="WE25" s="260"/>
      <c r="WF25" s="250" t="s">
        <v>31</v>
      </c>
      <c r="WG25" s="251"/>
      <c r="WH25" s="258" t="s">
        <v>288</v>
      </c>
      <c r="WI25" s="259"/>
      <c r="WJ25" s="260"/>
      <c r="WK25" s="250" t="s">
        <v>31</v>
      </c>
      <c r="WL25" s="251"/>
      <c r="WM25" s="258" t="s">
        <v>288</v>
      </c>
      <c r="WN25" s="259"/>
      <c r="WO25" s="260"/>
      <c r="WP25" s="250" t="s">
        <v>309</v>
      </c>
      <c r="WQ25" s="251"/>
      <c r="WR25" s="258" t="s">
        <v>288</v>
      </c>
      <c r="WS25" s="259"/>
      <c r="WT25" s="260"/>
      <c r="WU25" s="250" t="s">
        <v>31</v>
      </c>
      <c r="WV25" s="251"/>
      <c r="WW25" s="258" t="s">
        <v>288</v>
      </c>
      <c r="WX25" s="259"/>
      <c r="WY25" s="260"/>
      <c r="WZ25" s="250" t="s">
        <v>31</v>
      </c>
      <c r="XA25" s="251"/>
      <c r="XB25" s="258" t="s">
        <v>288</v>
      </c>
      <c r="XC25" s="259"/>
      <c r="XD25" s="260"/>
      <c r="XE25" s="250" t="s">
        <v>31</v>
      </c>
      <c r="XF25" s="251"/>
      <c r="XG25" s="258" t="s">
        <v>288</v>
      </c>
      <c r="XH25" s="259"/>
      <c r="XI25" s="260"/>
      <c r="XJ25" s="250" t="s">
        <v>31</v>
      </c>
      <c r="XK25" s="251"/>
      <c r="XL25" s="258" t="s">
        <v>288</v>
      </c>
      <c r="XM25" s="259"/>
      <c r="XN25" s="260"/>
      <c r="XO25" s="250" t="s">
        <v>309</v>
      </c>
      <c r="XP25" s="251"/>
      <c r="XQ25" s="258" t="s">
        <v>288</v>
      </c>
      <c r="XR25" s="259"/>
      <c r="XS25" s="260"/>
      <c r="XT25" s="250" t="s">
        <v>31</v>
      </c>
      <c r="XU25" s="251"/>
      <c r="XV25" s="258" t="s">
        <v>288</v>
      </c>
      <c r="XW25" s="259"/>
      <c r="XX25" s="260"/>
      <c r="XY25" s="250" t="s">
        <v>31</v>
      </c>
      <c r="XZ25" s="251"/>
      <c r="YA25" s="258" t="s">
        <v>288</v>
      </c>
      <c r="YB25" s="259"/>
      <c r="YC25" s="260"/>
      <c r="YD25" s="250" t="s">
        <v>31</v>
      </c>
      <c r="YE25" s="251"/>
      <c r="YF25" s="258" t="s">
        <v>288</v>
      </c>
      <c r="YG25" s="259"/>
      <c r="YH25" s="260"/>
      <c r="YI25" s="250" t="s">
        <v>31</v>
      </c>
      <c r="YJ25" s="251"/>
      <c r="YK25" s="258" t="s">
        <v>288</v>
      </c>
      <c r="YL25" s="259"/>
      <c r="YM25" s="260"/>
      <c r="YN25" s="250" t="s">
        <v>31</v>
      </c>
      <c r="YO25" s="251"/>
      <c r="YP25" s="258" t="s">
        <v>288</v>
      </c>
      <c r="YQ25" s="259"/>
      <c r="YR25" s="260"/>
      <c r="YS25" s="250" t="s">
        <v>31</v>
      </c>
      <c r="YT25" s="251"/>
      <c r="YU25" s="258" t="s">
        <v>288</v>
      </c>
      <c r="YV25" s="259"/>
      <c r="YW25" s="260"/>
      <c r="YX25" s="250" t="s">
        <v>309</v>
      </c>
      <c r="YY25" s="251"/>
      <c r="YZ25" s="258" t="s">
        <v>288</v>
      </c>
      <c r="ZA25" s="259"/>
      <c r="ZB25" s="260"/>
      <c r="ZC25" s="250" t="s">
        <v>52</v>
      </c>
      <c r="ZD25" s="251"/>
      <c r="ZE25" s="258" t="s">
        <v>288</v>
      </c>
      <c r="ZF25" s="259"/>
      <c r="ZG25" s="260"/>
      <c r="ZH25" s="250" t="s">
        <v>31</v>
      </c>
      <c r="ZI25" s="251"/>
      <c r="ZJ25" s="258" t="s">
        <v>288</v>
      </c>
      <c r="ZK25" s="259"/>
      <c r="ZL25" s="260"/>
      <c r="ZM25" s="250" t="s">
        <v>31</v>
      </c>
      <c r="ZN25" s="251"/>
      <c r="ZO25" s="258" t="s">
        <v>288</v>
      </c>
      <c r="ZP25" s="259"/>
      <c r="ZQ25" s="260"/>
      <c r="ZR25" s="250" t="s">
        <v>31</v>
      </c>
      <c r="ZS25" s="251"/>
      <c r="ZT25" s="258" t="s">
        <v>288</v>
      </c>
      <c r="ZU25" s="259"/>
      <c r="ZV25" s="260"/>
      <c r="ZW25" s="250" t="s">
        <v>31</v>
      </c>
      <c r="ZX25" s="251"/>
      <c r="ZY25" s="258" t="s">
        <v>288</v>
      </c>
      <c r="ZZ25" s="259"/>
      <c r="AAA25" s="260"/>
      <c r="AAB25" s="250" t="s">
        <v>31</v>
      </c>
      <c r="AAC25" s="251"/>
      <c r="AAD25" s="258" t="s">
        <v>288</v>
      </c>
      <c r="AAE25" s="259"/>
      <c r="AAF25" s="260"/>
      <c r="AAG25" s="250" t="s">
        <v>309</v>
      </c>
      <c r="AAH25" s="251"/>
      <c r="AAI25" s="258" t="s">
        <v>288</v>
      </c>
      <c r="AAJ25" s="259"/>
      <c r="AAK25" s="260"/>
      <c r="AAL25" s="250" t="s">
        <v>31</v>
      </c>
      <c r="AAM25" s="251"/>
      <c r="AAN25" s="258" t="s">
        <v>288</v>
      </c>
      <c r="AAO25" s="259"/>
      <c r="AAP25" s="260"/>
      <c r="AAQ25" s="250" t="s">
        <v>31</v>
      </c>
      <c r="AAR25" s="251"/>
      <c r="AAS25" s="258" t="s">
        <v>288</v>
      </c>
      <c r="AAT25" s="259"/>
      <c r="AAU25" s="260"/>
      <c r="AAV25" s="250" t="s">
        <v>31</v>
      </c>
      <c r="AAW25" s="251"/>
      <c r="AAX25" s="258" t="s">
        <v>288</v>
      </c>
      <c r="AAY25" s="259"/>
      <c r="AAZ25" s="260"/>
      <c r="ABA25" s="250" t="s">
        <v>31</v>
      </c>
      <c r="ABB25" s="251"/>
      <c r="ABC25" s="258" t="s">
        <v>288</v>
      </c>
      <c r="ABD25" s="259"/>
      <c r="ABE25" s="260"/>
      <c r="ABF25" s="250" t="s">
        <v>31</v>
      </c>
      <c r="ABG25" s="251"/>
      <c r="ABH25" s="258" t="s">
        <v>288</v>
      </c>
      <c r="ABI25" s="259"/>
      <c r="ABJ25" s="260"/>
      <c r="ABK25" s="250" t="s">
        <v>309</v>
      </c>
      <c r="ABL25" s="251"/>
      <c r="ABM25" s="258" t="s">
        <v>288</v>
      </c>
      <c r="ABN25" s="259"/>
      <c r="ABO25" s="260"/>
      <c r="ABP25" s="250" t="s">
        <v>31</v>
      </c>
      <c r="ABQ25" s="251"/>
      <c r="ABR25" s="258" t="s">
        <v>288</v>
      </c>
      <c r="ABS25" s="259"/>
      <c r="ABT25" s="260"/>
      <c r="ABU25" s="250" t="s">
        <v>52</v>
      </c>
      <c r="ABV25" s="251"/>
      <c r="ABW25" s="258" t="s">
        <v>288</v>
      </c>
      <c r="ABX25" s="259"/>
      <c r="ABY25" s="260"/>
      <c r="ABZ25" s="250" t="s">
        <v>309</v>
      </c>
      <c r="ACA25" s="251"/>
      <c r="ACB25" s="258" t="s">
        <v>288</v>
      </c>
      <c r="ACC25" s="259"/>
      <c r="ACD25" s="260"/>
      <c r="ACE25" s="250" t="s">
        <v>31</v>
      </c>
      <c r="ACF25" s="251"/>
      <c r="ACG25" s="258" t="s">
        <v>288</v>
      </c>
      <c r="ACH25" s="259"/>
      <c r="ACI25" s="260"/>
      <c r="ACJ25" s="250" t="s">
        <v>31</v>
      </c>
      <c r="ACK25" s="251"/>
      <c r="ACL25" s="258" t="s">
        <v>288</v>
      </c>
      <c r="ACM25" s="259"/>
      <c r="ACN25" s="260"/>
      <c r="ACO25" s="250" t="s">
        <v>31</v>
      </c>
      <c r="ACP25" s="251"/>
      <c r="ACQ25" s="258" t="s">
        <v>288</v>
      </c>
      <c r="ACR25" s="259"/>
      <c r="ACS25" s="260"/>
      <c r="ACT25" s="250" t="s">
        <v>31</v>
      </c>
      <c r="ACU25" s="251"/>
      <c r="ACV25" s="258" t="s">
        <v>288</v>
      </c>
      <c r="ACW25" s="259"/>
      <c r="ACX25" s="260"/>
      <c r="ACY25" s="250" t="s">
        <v>309</v>
      </c>
      <c r="ACZ25" s="251"/>
      <c r="ADA25" s="258" t="s">
        <v>288</v>
      </c>
      <c r="ADB25" s="259"/>
      <c r="ADC25" s="260"/>
      <c r="ADD25" s="250" t="s">
        <v>52</v>
      </c>
      <c r="ADE25" s="251"/>
      <c r="ADF25" s="258" t="s">
        <v>288</v>
      </c>
      <c r="ADG25" s="259"/>
      <c r="ADH25" s="260"/>
      <c r="ADI25" s="250" t="s">
        <v>52</v>
      </c>
      <c r="ADJ25" s="251"/>
      <c r="ADK25" s="258" t="s">
        <v>288</v>
      </c>
      <c r="ADL25" s="259"/>
      <c r="ADM25" s="260"/>
      <c r="ADN25" s="250" t="s">
        <v>31</v>
      </c>
      <c r="ADO25" s="251"/>
      <c r="ADP25" s="258" t="s">
        <v>288</v>
      </c>
      <c r="ADQ25" s="259"/>
      <c r="ADR25" s="260"/>
      <c r="ADS25" s="250" t="s">
        <v>31</v>
      </c>
      <c r="ADT25" s="251"/>
      <c r="ADU25" s="258" t="s">
        <v>288</v>
      </c>
      <c r="ADV25" s="259"/>
      <c r="ADW25" s="260"/>
      <c r="ADX25" s="250" t="s">
        <v>31</v>
      </c>
      <c r="ADY25" s="251"/>
      <c r="ADZ25" s="258" t="s">
        <v>288</v>
      </c>
      <c r="AEA25" s="259"/>
      <c r="AEB25" s="260"/>
      <c r="AEC25" s="250" t="s">
        <v>52</v>
      </c>
      <c r="AED25" s="251"/>
      <c r="AEE25" s="258" t="s">
        <v>288</v>
      </c>
      <c r="AEF25" s="259"/>
      <c r="AEG25" s="260"/>
      <c r="AEH25" s="250" t="s">
        <v>31</v>
      </c>
      <c r="AEI25" s="251"/>
      <c r="AEJ25" s="258" t="s">
        <v>288</v>
      </c>
      <c r="AEK25" s="259"/>
      <c r="AEL25" s="260"/>
      <c r="AEM25" s="250" t="s">
        <v>31</v>
      </c>
      <c r="AEN25" s="251"/>
      <c r="AEO25" s="258" t="s">
        <v>288</v>
      </c>
      <c r="AEP25" s="259"/>
      <c r="AEQ25" s="260"/>
      <c r="AER25" s="250" t="s">
        <v>309</v>
      </c>
      <c r="AES25" s="251"/>
      <c r="AET25" s="258" t="s">
        <v>288</v>
      </c>
      <c r="AEU25" s="259"/>
      <c r="AEV25" s="260"/>
      <c r="AEW25" s="250" t="s">
        <v>31</v>
      </c>
      <c r="AEX25" s="251"/>
      <c r="AEY25" s="258" t="s">
        <v>288</v>
      </c>
      <c r="AEZ25" s="259"/>
      <c r="AFA25" s="260"/>
      <c r="AFB25" s="250" t="s">
        <v>31</v>
      </c>
      <c r="AFC25" s="251"/>
      <c r="AFD25" s="258" t="s">
        <v>288</v>
      </c>
      <c r="AFE25" s="259"/>
      <c r="AFF25" s="260"/>
      <c r="AFG25" s="250" t="s">
        <v>31</v>
      </c>
      <c r="AFH25" s="251"/>
      <c r="AFI25" s="258" t="s">
        <v>288</v>
      </c>
      <c r="AFJ25" s="259"/>
      <c r="AFK25" s="260"/>
      <c r="AFL25" s="250" t="s">
        <v>31</v>
      </c>
      <c r="AFM25" s="251"/>
      <c r="AFN25" s="258" t="s">
        <v>288</v>
      </c>
      <c r="AFO25" s="259"/>
      <c r="AFP25" s="260"/>
      <c r="AFQ25" s="250" t="s">
        <v>31</v>
      </c>
      <c r="AFR25" s="251"/>
      <c r="AFS25" s="258" t="s">
        <v>288</v>
      </c>
      <c r="AFT25" s="259"/>
      <c r="AFU25" s="260"/>
      <c r="AFV25" s="250" t="s">
        <v>31</v>
      </c>
      <c r="AFW25" s="251"/>
      <c r="AFX25" s="258" t="s">
        <v>288</v>
      </c>
      <c r="AFY25" s="259"/>
      <c r="AFZ25" s="260"/>
      <c r="AGA25" s="250" t="s">
        <v>31</v>
      </c>
      <c r="AGB25" s="251"/>
      <c r="AGC25" s="258" t="s">
        <v>288</v>
      </c>
      <c r="AGD25" s="259"/>
      <c r="AGE25" s="260"/>
      <c r="AGF25" s="250" t="s">
        <v>31</v>
      </c>
      <c r="AGG25" s="251"/>
      <c r="AGH25" s="258" t="s">
        <v>288</v>
      </c>
      <c r="AGI25" s="259"/>
      <c r="AGJ25" s="260"/>
      <c r="AGK25" s="250" t="s">
        <v>31</v>
      </c>
      <c r="AGL25" s="251"/>
      <c r="AGM25" s="258" t="s">
        <v>288</v>
      </c>
      <c r="AGN25" s="259"/>
      <c r="AGO25" s="260"/>
      <c r="AGP25" s="250" t="s">
        <v>52</v>
      </c>
      <c r="AGQ25" s="251"/>
      <c r="AGR25" s="258" t="s">
        <v>288</v>
      </c>
      <c r="AGS25" s="259"/>
      <c r="AGT25" s="260"/>
      <c r="AGU25" s="250" t="s">
        <v>31</v>
      </c>
      <c r="AGV25" s="251"/>
      <c r="AGW25" s="258" t="s">
        <v>288</v>
      </c>
      <c r="AGX25" s="259"/>
      <c r="AGY25" s="260"/>
      <c r="AGZ25" s="250" t="s">
        <v>31</v>
      </c>
      <c r="AHA25" s="251"/>
      <c r="AHB25" s="258" t="s">
        <v>288</v>
      </c>
      <c r="AHC25" s="259"/>
      <c r="AHD25" s="260"/>
      <c r="AHE25" s="250" t="s">
        <v>31</v>
      </c>
      <c r="AHF25" s="251"/>
      <c r="AHG25" s="258" t="s">
        <v>288</v>
      </c>
      <c r="AHH25" s="259"/>
      <c r="AHI25" s="260"/>
      <c r="AHJ25" s="250" t="s">
        <v>31</v>
      </c>
      <c r="AHK25" s="251"/>
      <c r="AHL25" s="258" t="s">
        <v>288</v>
      </c>
      <c r="AHM25" s="259"/>
      <c r="AHN25" s="260"/>
      <c r="AHO25" s="250" t="s">
        <v>31</v>
      </c>
      <c r="AHP25" s="251"/>
      <c r="AHQ25" s="258" t="s">
        <v>288</v>
      </c>
      <c r="AHR25" s="259"/>
      <c r="AHS25" s="260"/>
      <c r="AHT25" s="250" t="s">
        <v>31</v>
      </c>
      <c r="AHU25" s="251"/>
      <c r="AHV25" s="258" t="s">
        <v>288</v>
      </c>
      <c r="AHW25" s="259"/>
      <c r="AHX25" s="260"/>
      <c r="AHY25" s="250" t="s">
        <v>52</v>
      </c>
      <c r="AHZ25" s="251"/>
      <c r="AIA25" s="258" t="s">
        <v>288</v>
      </c>
      <c r="AIB25" s="259"/>
      <c r="AIC25" s="260"/>
      <c r="AID25" s="250" t="s">
        <v>31</v>
      </c>
      <c r="AIE25" s="251"/>
      <c r="AIF25" s="258" t="s">
        <v>288</v>
      </c>
      <c r="AIG25" s="259"/>
      <c r="AIH25" s="260"/>
      <c r="AII25" s="250" t="s">
        <v>31</v>
      </c>
      <c r="AIJ25" s="251"/>
      <c r="AIK25" s="258" t="s">
        <v>288</v>
      </c>
      <c r="AIL25" s="259"/>
      <c r="AIM25" s="260"/>
      <c r="AIN25" s="250" t="s">
        <v>31</v>
      </c>
      <c r="AIO25" s="251"/>
      <c r="AIP25" s="258" t="s">
        <v>288</v>
      </c>
      <c r="AIQ25" s="259"/>
      <c r="AIR25" s="260"/>
      <c r="AIS25" s="250" t="s">
        <v>31</v>
      </c>
      <c r="AIT25" s="251"/>
      <c r="AIU25" s="258" t="s">
        <v>288</v>
      </c>
      <c r="AIV25" s="259"/>
      <c r="AIW25" s="260"/>
      <c r="AIX25" s="250" t="s">
        <v>52</v>
      </c>
      <c r="AIY25" s="251"/>
      <c r="AIZ25" s="258" t="s">
        <v>288</v>
      </c>
      <c r="AJA25" s="259"/>
      <c r="AJB25" s="260"/>
      <c r="AJC25" s="250" t="s">
        <v>52</v>
      </c>
      <c r="AJD25" s="251"/>
      <c r="AJE25" s="258" t="s">
        <v>288</v>
      </c>
      <c r="AJF25" s="259"/>
      <c r="AJG25" s="260"/>
      <c r="AJH25" s="250" t="s">
        <v>52</v>
      </c>
      <c r="AJI25" s="251"/>
      <c r="AJJ25" s="258" t="s">
        <v>288</v>
      </c>
      <c r="AJK25" s="259"/>
      <c r="AJL25" s="260"/>
      <c r="AJM25" s="250" t="s">
        <v>31</v>
      </c>
      <c r="AJN25" s="251"/>
      <c r="AJO25" s="258" t="s">
        <v>288</v>
      </c>
      <c r="AJP25" s="259"/>
      <c r="AJQ25" s="260"/>
      <c r="AJR25" s="250" t="s">
        <v>309</v>
      </c>
      <c r="AJS25" s="251"/>
      <c r="AJT25" s="258" t="s">
        <v>288</v>
      </c>
      <c r="AJU25" s="259"/>
      <c r="AJV25" s="260"/>
      <c r="AJW25" s="250" t="s">
        <v>309</v>
      </c>
      <c r="AJX25" s="251"/>
      <c r="AJY25" s="258" t="s">
        <v>288</v>
      </c>
      <c r="AJZ25" s="259"/>
      <c r="AKA25" s="260"/>
      <c r="AKB25" s="250" t="s">
        <v>31</v>
      </c>
      <c r="AKC25" s="251"/>
      <c r="AKD25" s="258" t="s">
        <v>288</v>
      </c>
      <c r="AKE25" s="259"/>
      <c r="AKF25" s="260"/>
      <c r="AKG25" s="250" t="s">
        <v>31</v>
      </c>
      <c r="AKH25" s="251"/>
      <c r="AKI25" s="258" t="s">
        <v>288</v>
      </c>
      <c r="AKJ25" s="259"/>
      <c r="AKK25" s="260"/>
      <c r="AKL25" s="250" t="s">
        <v>31</v>
      </c>
      <c r="AKM25" s="251"/>
      <c r="AKN25" s="258" t="s">
        <v>288</v>
      </c>
      <c r="AKO25" s="259"/>
      <c r="AKP25" s="260"/>
      <c r="AKQ25" s="250" t="s">
        <v>52</v>
      </c>
      <c r="AKR25" s="251"/>
      <c r="AKS25" s="258" t="s">
        <v>288</v>
      </c>
      <c r="AKT25" s="259"/>
      <c r="AKU25" s="260"/>
      <c r="AKV25" s="250" t="s">
        <v>31</v>
      </c>
      <c r="AKW25" s="251"/>
      <c r="AKX25" s="258" t="s">
        <v>288</v>
      </c>
      <c r="AKY25" s="259"/>
      <c r="AKZ25" s="260"/>
      <c r="ALA25" s="250" t="s">
        <v>31</v>
      </c>
      <c r="ALB25" s="251"/>
      <c r="ALC25" s="258" t="s">
        <v>288</v>
      </c>
      <c r="ALD25" s="259"/>
      <c r="ALE25" s="260"/>
      <c r="ALF25" s="250" t="s">
        <v>309</v>
      </c>
      <c r="ALG25" s="251"/>
      <c r="ALH25" s="258" t="s">
        <v>288</v>
      </c>
      <c r="ALI25" s="259"/>
      <c r="ALJ25" s="260"/>
      <c r="ALK25" s="250" t="s">
        <v>52</v>
      </c>
      <c r="ALL25" s="251"/>
      <c r="ALM25" s="258" t="s">
        <v>288</v>
      </c>
      <c r="ALN25" s="259"/>
      <c r="ALO25" s="260"/>
      <c r="ALP25" s="250" t="s">
        <v>52</v>
      </c>
      <c r="ALQ25" s="251"/>
      <c r="ALR25" s="258" t="s">
        <v>288</v>
      </c>
      <c r="ALS25" s="259"/>
      <c r="ALT25" s="260"/>
      <c r="ALU25" s="250" t="s">
        <v>31</v>
      </c>
      <c r="ALV25" s="251"/>
      <c r="ALW25" s="258" t="s">
        <v>288</v>
      </c>
      <c r="ALX25" s="259"/>
      <c r="ALY25" s="260"/>
      <c r="ALZ25" s="250" t="s">
        <v>52</v>
      </c>
      <c r="AMA25" s="251"/>
      <c r="AMB25" s="258" t="s">
        <v>288</v>
      </c>
      <c r="AMC25" s="259"/>
      <c r="AMD25" s="260"/>
      <c r="AME25" s="250" t="s">
        <v>31</v>
      </c>
      <c r="AMF25" s="251"/>
      <c r="AMG25" s="258" t="s">
        <v>288</v>
      </c>
      <c r="AMH25" s="259"/>
      <c r="AMI25" s="260"/>
      <c r="AMJ25" s="250" t="s">
        <v>31</v>
      </c>
      <c r="AMK25" s="251"/>
      <c r="AML25" s="258" t="s">
        <v>288</v>
      </c>
      <c r="AMM25" s="259"/>
      <c r="AMN25" s="260"/>
      <c r="AMO25" s="250" t="s">
        <v>31</v>
      </c>
      <c r="AMP25" s="251"/>
      <c r="AMQ25" s="258" t="s">
        <v>288</v>
      </c>
      <c r="AMR25" s="259"/>
      <c r="AMS25" s="260"/>
      <c r="AMT25" s="250" t="s">
        <v>31</v>
      </c>
      <c r="AMU25" s="251"/>
      <c r="AMV25" s="258" t="s">
        <v>288</v>
      </c>
      <c r="AMW25" s="259"/>
      <c r="AMX25" s="260"/>
      <c r="AMY25" s="250" t="s">
        <v>52</v>
      </c>
      <c r="AMZ25" s="251"/>
      <c r="ANA25" s="258" t="s">
        <v>288</v>
      </c>
      <c r="ANB25" s="259"/>
      <c r="ANC25" s="260"/>
      <c r="AND25" s="250" t="s">
        <v>31</v>
      </c>
      <c r="ANE25" s="251"/>
      <c r="ANF25" s="258" t="s">
        <v>288</v>
      </c>
      <c r="ANG25" s="259"/>
      <c r="ANH25" s="260"/>
      <c r="ANI25" s="250" t="s">
        <v>31</v>
      </c>
      <c r="ANJ25" s="251"/>
      <c r="ANK25" s="258" t="s">
        <v>288</v>
      </c>
      <c r="ANL25" s="259"/>
      <c r="ANM25" s="260"/>
      <c r="ANN25" s="250" t="s">
        <v>31</v>
      </c>
      <c r="ANO25" s="251"/>
      <c r="ANP25" s="258" t="s">
        <v>288</v>
      </c>
      <c r="ANQ25" s="259"/>
      <c r="ANR25" s="260"/>
      <c r="ANS25" s="250" t="s">
        <v>309</v>
      </c>
      <c r="ANT25" s="251"/>
      <c r="ANU25" s="258" t="s">
        <v>288</v>
      </c>
      <c r="ANV25" s="259"/>
      <c r="ANW25" s="260"/>
      <c r="ANX25" s="250" t="s">
        <v>52</v>
      </c>
      <c r="ANY25" s="251"/>
      <c r="ANZ25" s="258" t="s">
        <v>288</v>
      </c>
      <c r="AOA25" s="259"/>
      <c r="AOB25" s="260"/>
      <c r="AOC25" s="250" t="s">
        <v>52</v>
      </c>
      <c r="AOD25" s="251"/>
      <c r="AOE25" s="258" t="s">
        <v>288</v>
      </c>
      <c r="AOF25" s="259"/>
      <c r="AOG25" s="260"/>
      <c r="AOH25" s="250" t="s">
        <v>52</v>
      </c>
      <c r="AOI25" s="251"/>
      <c r="AOJ25" s="258" t="s">
        <v>288</v>
      </c>
      <c r="AOK25" s="259"/>
      <c r="AOL25" s="260"/>
      <c r="AOM25" s="250" t="s">
        <v>31</v>
      </c>
      <c r="AON25" s="251"/>
      <c r="AOO25" s="258" t="s">
        <v>288</v>
      </c>
      <c r="AOP25" s="259"/>
      <c r="AOQ25" s="260"/>
      <c r="AOR25" s="250" t="s">
        <v>52</v>
      </c>
      <c r="AOS25" s="251"/>
      <c r="AOT25" s="258" t="s">
        <v>288</v>
      </c>
      <c r="AOU25" s="259"/>
      <c r="AOV25" s="260"/>
      <c r="AOW25" s="250" t="s">
        <v>31</v>
      </c>
      <c r="AOX25" s="251"/>
      <c r="AOY25" s="258" t="s">
        <v>288</v>
      </c>
      <c r="AOZ25" s="259"/>
      <c r="APA25" s="260"/>
      <c r="APB25" s="250" t="s">
        <v>309</v>
      </c>
      <c r="APC25" s="251"/>
      <c r="APD25" s="258" t="s">
        <v>288</v>
      </c>
      <c r="APE25" s="259"/>
      <c r="APF25" s="260"/>
      <c r="APG25" s="250" t="s">
        <v>52</v>
      </c>
      <c r="APH25" s="251"/>
      <c r="API25" s="258" t="s">
        <v>288</v>
      </c>
      <c r="APJ25" s="259"/>
      <c r="APK25" s="260"/>
      <c r="APL25" s="250" t="s">
        <v>52</v>
      </c>
      <c r="APM25" s="251"/>
      <c r="APN25" s="258" t="s">
        <v>288</v>
      </c>
      <c r="APO25" s="259"/>
      <c r="APP25" s="260"/>
      <c r="APQ25" s="250" t="s">
        <v>52</v>
      </c>
      <c r="APR25" s="251"/>
      <c r="APS25" s="258" t="s">
        <v>288</v>
      </c>
      <c r="APT25" s="259"/>
      <c r="APU25" s="260"/>
      <c r="APV25" s="250" t="s">
        <v>52</v>
      </c>
      <c r="APW25" s="251"/>
      <c r="APX25" s="258" t="s">
        <v>288</v>
      </c>
      <c r="APY25" s="259"/>
      <c r="APZ25" s="260"/>
      <c r="AQA25" s="250" t="s">
        <v>52</v>
      </c>
      <c r="AQB25" s="251"/>
      <c r="AQC25" s="258" t="s">
        <v>288</v>
      </c>
      <c r="AQD25" s="259"/>
      <c r="AQE25" s="260"/>
      <c r="AQF25" s="250" t="s">
        <v>309</v>
      </c>
      <c r="AQG25" s="251"/>
      <c r="AQH25" s="258" t="s">
        <v>288</v>
      </c>
      <c r="AQI25" s="259"/>
      <c r="AQJ25" s="260"/>
      <c r="AQK25" s="250" t="s">
        <v>309</v>
      </c>
      <c r="AQL25" s="251"/>
      <c r="AQM25" s="258" t="s">
        <v>288</v>
      </c>
      <c r="AQN25" s="259"/>
      <c r="AQO25" s="260"/>
      <c r="AQP25" s="250" t="s">
        <v>52</v>
      </c>
      <c r="AQQ25" s="251"/>
      <c r="AQR25" s="258" t="s">
        <v>288</v>
      </c>
      <c r="AQS25" s="259"/>
      <c r="AQT25" s="260"/>
      <c r="AQU25" s="250" t="s">
        <v>52</v>
      </c>
      <c r="AQV25" s="251"/>
      <c r="AQW25" s="258" t="s">
        <v>288</v>
      </c>
      <c r="AQX25" s="259"/>
      <c r="AQY25" s="260"/>
      <c r="AQZ25" s="250" t="s">
        <v>52</v>
      </c>
      <c r="ARA25" s="251"/>
      <c r="ARB25" s="258" t="s">
        <v>288</v>
      </c>
      <c r="ARC25" s="259"/>
      <c r="ARD25" s="260"/>
      <c r="ARE25" s="250" t="s">
        <v>52</v>
      </c>
      <c r="ARF25" s="251"/>
      <c r="ARG25" s="258" t="s">
        <v>288</v>
      </c>
      <c r="ARH25" s="259"/>
      <c r="ARI25" s="260"/>
      <c r="ARJ25" s="250" t="s">
        <v>52</v>
      </c>
      <c r="ARK25" s="251"/>
      <c r="ARL25" s="258" t="s">
        <v>288</v>
      </c>
      <c r="ARM25" s="259"/>
      <c r="ARN25" s="260"/>
      <c r="ARO25" s="250" t="s">
        <v>52</v>
      </c>
      <c r="ARP25" s="251"/>
      <c r="ARQ25" s="258" t="s">
        <v>288</v>
      </c>
      <c r="ARR25" s="259"/>
      <c r="ARS25" s="260"/>
      <c r="ART25" s="250" t="s">
        <v>31</v>
      </c>
      <c r="ARU25" s="251"/>
      <c r="ARV25" s="258" t="s">
        <v>288</v>
      </c>
      <c r="ARW25" s="259"/>
      <c r="ARX25" s="260"/>
      <c r="ARY25" s="250" t="s">
        <v>52</v>
      </c>
      <c r="ARZ25" s="251"/>
      <c r="ASA25" s="258" t="s">
        <v>288</v>
      </c>
      <c r="ASB25" s="259"/>
      <c r="ASC25" s="260"/>
      <c r="ASD25" s="250" t="s">
        <v>52</v>
      </c>
      <c r="ASE25" s="251"/>
      <c r="ASF25" s="258" t="s">
        <v>288</v>
      </c>
      <c r="ASG25" s="259"/>
      <c r="ASH25" s="260"/>
      <c r="ASI25" s="250" t="s">
        <v>31</v>
      </c>
      <c r="ASJ25" s="251"/>
      <c r="ASK25" s="258" t="s">
        <v>288</v>
      </c>
      <c r="ASL25" s="259"/>
      <c r="ASM25" s="260"/>
      <c r="ASN25" s="250" t="s">
        <v>52</v>
      </c>
      <c r="ASO25" s="251"/>
      <c r="ASP25" s="258" t="s">
        <v>288</v>
      </c>
      <c r="ASQ25" s="259"/>
      <c r="ASR25" s="260"/>
      <c r="ASS25" s="250" t="s">
        <v>52</v>
      </c>
      <c r="AST25" s="251"/>
      <c r="ASU25" s="258" t="s">
        <v>288</v>
      </c>
      <c r="ASV25" s="259"/>
      <c r="ASW25" s="260"/>
      <c r="ASX25" s="250" t="s">
        <v>52</v>
      </c>
      <c r="ASY25" s="251"/>
      <c r="ASZ25" s="258" t="s">
        <v>288</v>
      </c>
      <c r="ATA25" s="259"/>
      <c r="ATB25" s="260"/>
      <c r="ATC25" s="250" t="s">
        <v>31</v>
      </c>
      <c r="ATD25" s="251"/>
      <c r="ATE25" s="270" t="s">
        <v>283</v>
      </c>
      <c r="ATF25" s="271"/>
      <c r="ATG25" s="272"/>
      <c r="ATH25" s="250" t="s">
        <v>52</v>
      </c>
      <c r="ATI25" s="251"/>
      <c r="ATJ25" s="270" t="s">
        <v>165</v>
      </c>
      <c r="ATK25" s="271"/>
      <c r="ATL25" s="272"/>
      <c r="ATM25" s="250" t="s">
        <v>52</v>
      </c>
      <c r="ATN25" s="251"/>
      <c r="ATO25" s="270" t="s">
        <v>165</v>
      </c>
      <c r="ATP25" s="271"/>
      <c r="ATQ25" s="272"/>
      <c r="ATR25" s="250" t="s">
        <v>31</v>
      </c>
      <c r="ATS25" s="251"/>
      <c r="ATT25" s="270" t="s">
        <v>165</v>
      </c>
      <c r="ATU25" s="271"/>
      <c r="ATV25" s="272"/>
      <c r="ATW25" s="250" t="s">
        <v>31</v>
      </c>
      <c r="ATX25" s="251"/>
      <c r="ATY25" s="270" t="s">
        <v>165</v>
      </c>
      <c r="ATZ25" s="271"/>
      <c r="AUA25" s="272"/>
      <c r="AUB25" s="250" t="s">
        <v>31</v>
      </c>
      <c r="AUC25" s="251"/>
      <c r="AUD25" s="270" t="s">
        <v>165</v>
      </c>
      <c r="AUE25" s="271"/>
      <c r="AUF25" s="272"/>
      <c r="AUG25" s="250" t="s">
        <v>31</v>
      </c>
      <c r="AUH25" s="251"/>
      <c r="AUI25" s="270" t="s">
        <v>165</v>
      </c>
      <c r="AUJ25" s="271"/>
      <c r="AUK25" s="272"/>
      <c r="AUL25" s="250" t="s">
        <v>31</v>
      </c>
      <c r="AUM25" s="251"/>
      <c r="AUN25" s="270" t="s">
        <v>165</v>
      </c>
      <c r="AUO25" s="271"/>
      <c r="AUP25" s="272"/>
      <c r="AUQ25" s="250" t="s">
        <v>31</v>
      </c>
      <c r="AUR25" s="251"/>
      <c r="AUS25" s="270" t="s">
        <v>165</v>
      </c>
      <c r="AUT25" s="271"/>
      <c r="AUU25" s="272"/>
      <c r="AUV25" s="250" t="s">
        <v>31</v>
      </c>
      <c r="AUW25" s="251"/>
      <c r="AUX25" s="270" t="s">
        <v>165</v>
      </c>
      <c r="AUY25" s="271"/>
      <c r="AUZ25" s="272"/>
      <c r="AVA25" s="250" t="s">
        <v>31</v>
      </c>
      <c r="AVB25" s="251"/>
      <c r="AVC25" s="270" t="s">
        <v>165</v>
      </c>
      <c r="AVD25" s="271"/>
      <c r="AVE25" s="272"/>
      <c r="AVF25" s="250" t="s">
        <v>31</v>
      </c>
      <c r="AVG25" s="251"/>
      <c r="AVH25" s="270" t="s">
        <v>165</v>
      </c>
      <c r="AVI25" s="271"/>
      <c r="AVJ25" s="272"/>
      <c r="AVK25" s="250" t="s">
        <v>31</v>
      </c>
      <c r="AVL25" s="251"/>
      <c r="AVM25" s="270" t="s">
        <v>165</v>
      </c>
      <c r="AVN25" s="271"/>
      <c r="AVO25" s="272"/>
      <c r="AVP25" s="250" t="s">
        <v>31</v>
      </c>
      <c r="AVQ25" s="251"/>
      <c r="AVR25" s="270" t="s">
        <v>165</v>
      </c>
      <c r="AVS25" s="271"/>
      <c r="AVT25" s="272"/>
      <c r="AVU25" s="250" t="s">
        <v>31</v>
      </c>
      <c r="AVV25" s="251"/>
      <c r="AVW25" s="270" t="s">
        <v>165</v>
      </c>
      <c r="AVX25" s="271"/>
      <c r="AVY25" s="272"/>
      <c r="AVZ25" s="250" t="s">
        <v>31</v>
      </c>
      <c r="AWA25" s="251"/>
      <c r="AWB25" s="270" t="s">
        <v>165</v>
      </c>
      <c r="AWC25" s="271"/>
      <c r="AWD25" s="272"/>
      <c r="AWE25" s="250" t="s">
        <v>31</v>
      </c>
      <c r="AWF25" s="251"/>
      <c r="AWG25" s="270" t="s">
        <v>165</v>
      </c>
      <c r="AWH25" s="271"/>
      <c r="AWI25" s="272"/>
      <c r="AWJ25" s="250" t="s">
        <v>31</v>
      </c>
      <c r="AWK25" s="251"/>
      <c r="AWL25" s="270" t="s">
        <v>165</v>
      </c>
      <c r="AWM25" s="271"/>
      <c r="AWN25" s="272"/>
      <c r="AWO25" s="250" t="s">
        <v>31</v>
      </c>
      <c r="AWP25" s="251"/>
      <c r="AWQ25" s="270" t="s">
        <v>165</v>
      </c>
      <c r="AWR25" s="271"/>
      <c r="AWS25" s="272"/>
      <c r="AWT25" s="250" t="s">
        <v>31</v>
      </c>
      <c r="AWU25" s="251"/>
      <c r="AWV25" s="270" t="s">
        <v>165</v>
      </c>
      <c r="AWW25" s="271"/>
      <c r="AWX25" s="272"/>
      <c r="AWY25" s="250" t="s">
        <v>31</v>
      </c>
      <c r="AWZ25" s="251"/>
      <c r="AXA25" s="270" t="s">
        <v>165</v>
      </c>
      <c r="AXB25" s="271"/>
      <c r="AXC25" s="272"/>
      <c r="AXD25" s="250" t="s">
        <v>31</v>
      </c>
      <c r="AXE25" s="251"/>
      <c r="AXF25" s="270" t="s">
        <v>165</v>
      </c>
      <c r="AXG25" s="271"/>
      <c r="AXH25" s="272"/>
      <c r="AXI25" s="250" t="s">
        <v>31</v>
      </c>
      <c r="AXJ25" s="251"/>
      <c r="AXK25" s="270" t="s">
        <v>165</v>
      </c>
      <c r="AXL25" s="271"/>
      <c r="AXM25" s="272"/>
      <c r="AXN25" s="250" t="s">
        <v>31</v>
      </c>
      <c r="AXO25" s="251"/>
      <c r="AXP25" s="270" t="s">
        <v>165</v>
      </c>
      <c r="AXQ25" s="271"/>
      <c r="AXR25" s="272"/>
      <c r="AXS25" s="250" t="s">
        <v>31</v>
      </c>
      <c r="AXT25" s="251"/>
      <c r="AXU25" s="270" t="s">
        <v>165</v>
      </c>
      <c r="AXV25" s="271"/>
      <c r="AXW25" s="272"/>
      <c r="AXX25" s="250" t="s">
        <v>31</v>
      </c>
      <c r="AXY25" s="251"/>
      <c r="AXZ25" s="270" t="s">
        <v>165</v>
      </c>
      <c r="AYA25" s="271"/>
      <c r="AYB25" s="272"/>
      <c r="AYC25" s="250" t="s">
        <v>31</v>
      </c>
      <c r="AYD25" s="251"/>
      <c r="AYE25" s="270" t="s">
        <v>165</v>
      </c>
      <c r="AYF25" s="271"/>
      <c r="AYG25" s="272"/>
      <c r="AYH25" s="250" t="s">
        <v>31</v>
      </c>
      <c r="AYI25" s="251"/>
      <c r="AYJ25" s="270" t="s">
        <v>165</v>
      </c>
      <c r="AYK25" s="271"/>
      <c r="AYL25" s="272"/>
      <c r="AYM25" s="250" t="s">
        <v>31</v>
      </c>
      <c r="AYN25" s="251"/>
      <c r="AYO25" s="270" t="s">
        <v>165</v>
      </c>
      <c r="AYP25" s="271"/>
      <c r="AYQ25" s="272"/>
      <c r="AYR25" s="250" t="s">
        <v>31</v>
      </c>
      <c r="AYS25" s="251"/>
      <c r="AYT25" s="270" t="s">
        <v>165</v>
      </c>
      <c r="AYU25" s="271"/>
      <c r="AYV25" s="272"/>
      <c r="AYW25" s="250" t="s">
        <v>31</v>
      </c>
      <c r="AYX25" s="251"/>
      <c r="AYY25" s="270" t="s">
        <v>165</v>
      </c>
      <c r="AYZ25" s="271"/>
      <c r="AZA25" s="272"/>
      <c r="AZB25" s="250" t="s">
        <v>31</v>
      </c>
      <c r="AZC25" s="251"/>
      <c r="AZD25" s="270" t="s">
        <v>165</v>
      </c>
      <c r="AZE25" s="271"/>
      <c r="AZF25" s="272"/>
      <c r="AZG25" s="250" t="s">
        <v>31</v>
      </c>
      <c r="AZH25" s="251"/>
      <c r="AZI25" s="270" t="s">
        <v>165</v>
      </c>
      <c r="AZJ25" s="271"/>
      <c r="AZK25" s="272"/>
      <c r="AZL25" s="250" t="s">
        <v>31</v>
      </c>
      <c r="AZM25" s="251"/>
      <c r="AZN25" s="270" t="s">
        <v>165</v>
      </c>
      <c r="AZO25" s="271"/>
      <c r="AZP25" s="272"/>
      <c r="AZQ25" s="250" t="s">
        <v>31</v>
      </c>
      <c r="AZR25" s="251"/>
      <c r="AZS25" s="270" t="s">
        <v>165</v>
      </c>
      <c r="AZT25" s="271"/>
      <c r="AZU25" s="272"/>
      <c r="AZV25" s="250" t="s">
        <v>31</v>
      </c>
      <c r="AZW25" s="251"/>
      <c r="AZX25" s="270" t="s">
        <v>165</v>
      </c>
      <c r="AZY25" s="271"/>
      <c r="AZZ25" s="272"/>
      <c r="BAA25" s="250" t="s">
        <v>31</v>
      </c>
      <c r="BAB25" s="251"/>
      <c r="BAC25" s="270" t="s">
        <v>165</v>
      </c>
      <c r="BAD25" s="271"/>
      <c r="BAE25" s="272"/>
      <c r="BAF25" s="250" t="s">
        <v>31</v>
      </c>
      <c r="BAG25" s="251"/>
      <c r="BAH25" s="270" t="s">
        <v>165</v>
      </c>
      <c r="BAI25" s="271"/>
      <c r="BAJ25" s="272"/>
      <c r="BAK25" s="250" t="s">
        <v>31</v>
      </c>
      <c r="BAL25" s="251"/>
      <c r="BAM25" s="270" t="s">
        <v>165</v>
      </c>
      <c r="BAN25" s="271"/>
      <c r="BAO25" s="272"/>
      <c r="BAP25" s="250" t="s">
        <v>31</v>
      </c>
      <c r="BAQ25" s="251"/>
      <c r="BAR25" s="270" t="s">
        <v>165</v>
      </c>
      <c r="BAS25" s="271"/>
      <c r="BAT25" s="272"/>
      <c r="BAU25" s="250" t="s">
        <v>31</v>
      </c>
      <c r="BAV25" s="251"/>
      <c r="BAW25" s="270" t="s">
        <v>165</v>
      </c>
      <c r="BAX25" s="271"/>
      <c r="BAY25" s="272"/>
      <c r="BAZ25" s="250" t="s">
        <v>31</v>
      </c>
      <c r="BBA25" s="251"/>
      <c r="BBB25" s="270" t="s">
        <v>165</v>
      </c>
      <c r="BBC25" s="271"/>
      <c r="BBD25" s="272"/>
      <c r="BBE25" s="250" t="s">
        <v>31</v>
      </c>
      <c r="BBF25" s="251"/>
      <c r="BBG25" s="270" t="s">
        <v>165</v>
      </c>
      <c r="BBH25" s="271"/>
      <c r="BBI25" s="272"/>
      <c r="BBJ25" s="250" t="s">
        <v>31</v>
      </c>
      <c r="BBK25" s="251"/>
      <c r="BBL25" s="270" t="s">
        <v>165</v>
      </c>
      <c r="BBM25" s="271"/>
      <c r="BBN25" s="272"/>
      <c r="BBO25" s="250" t="s">
        <v>31</v>
      </c>
      <c r="BBP25" s="251"/>
      <c r="BBQ25" s="270" t="s">
        <v>165</v>
      </c>
      <c r="BBR25" s="271"/>
      <c r="BBS25" s="272"/>
      <c r="BBT25" s="250" t="s">
        <v>31</v>
      </c>
      <c r="BBU25" s="251"/>
      <c r="BBV25" s="270" t="s">
        <v>165</v>
      </c>
      <c r="BBW25" s="271"/>
      <c r="BBX25" s="272"/>
      <c r="BBY25" s="250" t="s">
        <v>31</v>
      </c>
      <c r="BBZ25" s="251"/>
      <c r="BCA25" s="270" t="s">
        <v>165</v>
      </c>
      <c r="BCB25" s="271"/>
      <c r="BCC25" s="272"/>
      <c r="BCD25" s="250" t="s">
        <v>31</v>
      </c>
      <c r="BCE25" s="251"/>
      <c r="BCF25" s="270" t="s">
        <v>165</v>
      </c>
      <c r="BCG25" s="271"/>
      <c r="BCH25" s="272"/>
      <c r="BCI25" s="250" t="s">
        <v>52</v>
      </c>
      <c r="BCJ25" s="251"/>
      <c r="BCK25" s="270" t="s">
        <v>165</v>
      </c>
      <c r="BCL25" s="271"/>
      <c r="BCM25" s="272"/>
      <c r="BCN25" s="250" t="s">
        <v>31</v>
      </c>
      <c r="BCO25" s="251"/>
      <c r="BCP25" s="270" t="s">
        <v>165</v>
      </c>
      <c r="BCQ25" s="271"/>
      <c r="BCR25" s="272"/>
      <c r="BCS25" s="250" t="s">
        <v>31</v>
      </c>
      <c r="BCT25" s="251"/>
      <c r="BCU25" s="270" t="s">
        <v>165</v>
      </c>
      <c r="BCV25" s="271"/>
      <c r="BCW25" s="272"/>
      <c r="BCX25" s="250" t="s">
        <v>31</v>
      </c>
      <c r="BCY25" s="251"/>
      <c r="BCZ25" s="270" t="s">
        <v>165</v>
      </c>
      <c r="BDA25" s="271"/>
      <c r="BDB25" s="272"/>
      <c r="BDC25" s="250" t="s">
        <v>31</v>
      </c>
      <c r="BDD25" s="251"/>
      <c r="BDE25" s="270" t="s">
        <v>165</v>
      </c>
      <c r="BDF25" s="271"/>
      <c r="BDG25" s="272"/>
      <c r="BDH25" s="250" t="s">
        <v>31</v>
      </c>
      <c r="BDI25" s="251"/>
      <c r="BDJ25" s="270" t="s">
        <v>165</v>
      </c>
      <c r="BDK25" s="271"/>
      <c r="BDL25" s="272"/>
      <c r="BDM25" s="250" t="s">
        <v>31</v>
      </c>
      <c r="BDN25" s="251"/>
      <c r="BDO25" s="270" t="s">
        <v>165</v>
      </c>
      <c r="BDP25" s="271"/>
      <c r="BDQ25" s="272"/>
      <c r="BDR25" s="250" t="s">
        <v>31</v>
      </c>
      <c r="BDS25" s="251"/>
      <c r="BDT25" s="270" t="s">
        <v>165</v>
      </c>
      <c r="BDU25" s="271"/>
      <c r="BDV25" s="272"/>
      <c r="BDW25" s="250" t="s">
        <v>31</v>
      </c>
      <c r="BDX25" s="251"/>
      <c r="BDY25" s="270" t="s">
        <v>165</v>
      </c>
      <c r="BDZ25" s="271"/>
      <c r="BEA25" s="272"/>
      <c r="BEB25" s="250" t="s">
        <v>31</v>
      </c>
      <c r="BEC25" s="251"/>
      <c r="BED25" s="270" t="s">
        <v>165</v>
      </c>
      <c r="BEE25" s="271"/>
      <c r="BEF25" s="272"/>
      <c r="BEG25" s="250" t="s">
        <v>31</v>
      </c>
      <c r="BEH25" s="251"/>
      <c r="BEI25" s="270" t="s">
        <v>165</v>
      </c>
      <c r="BEJ25" s="271"/>
      <c r="BEK25" s="272"/>
      <c r="BEL25" s="250" t="s">
        <v>31</v>
      </c>
      <c r="BEM25" s="251"/>
      <c r="BEN25" s="270" t="s">
        <v>165</v>
      </c>
      <c r="BEO25" s="271"/>
      <c r="BEP25" s="272"/>
      <c r="BEQ25" s="250" t="s">
        <v>31</v>
      </c>
      <c r="BER25" s="251"/>
      <c r="BES25" s="270" t="s">
        <v>165</v>
      </c>
      <c r="BET25" s="271"/>
      <c r="BEU25" s="272"/>
      <c r="BEV25" s="250" t="s">
        <v>31</v>
      </c>
      <c r="BEW25" s="251"/>
      <c r="BEX25" s="270" t="s">
        <v>165</v>
      </c>
      <c r="BEY25" s="271"/>
      <c r="BEZ25" s="272"/>
      <c r="BFA25" s="250" t="s">
        <v>31</v>
      </c>
      <c r="BFB25" s="251"/>
      <c r="BFC25" s="270" t="s">
        <v>165</v>
      </c>
      <c r="BFD25" s="271"/>
      <c r="BFE25" s="272"/>
      <c r="BFF25" s="250" t="s">
        <v>31</v>
      </c>
      <c r="BFG25" s="251"/>
      <c r="BFH25" s="270" t="s">
        <v>165</v>
      </c>
      <c r="BFI25" s="271"/>
      <c r="BFJ25" s="272"/>
      <c r="BFK25" s="250" t="s">
        <v>31</v>
      </c>
      <c r="BFL25" s="251"/>
      <c r="BFM25" s="270" t="s">
        <v>165</v>
      </c>
      <c r="BFN25" s="271"/>
      <c r="BFO25" s="272"/>
      <c r="BFP25" s="250" t="s">
        <v>31</v>
      </c>
      <c r="BFQ25" s="251"/>
      <c r="BFR25" s="270" t="s">
        <v>165</v>
      </c>
      <c r="BFS25" s="271"/>
      <c r="BFT25" s="272"/>
      <c r="BFU25" s="250" t="s">
        <v>31</v>
      </c>
      <c r="BFV25" s="251"/>
      <c r="BFW25" s="270" t="s">
        <v>165</v>
      </c>
      <c r="BFX25" s="271"/>
      <c r="BFY25" s="272"/>
      <c r="BFZ25" s="250" t="s">
        <v>31</v>
      </c>
      <c r="BGA25" s="251"/>
      <c r="BGB25" s="270" t="s">
        <v>165</v>
      </c>
      <c r="BGC25" s="271"/>
      <c r="BGD25" s="272"/>
      <c r="BGE25" s="273" t="s">
        <v>31</v>
      </c>
      <c r="BGF25" s="249"/>
      <c r="BGG25" s="270" t="s">
        <v>165</v>
      </c>
      <c r="BGH25" s="271"/>
      <c r="BGI25" s="272"/>
      <c r="BGJ25" s="273" t="s">
        <v>31</v>
      </c>
      <c r="BGK25" s="249"/>
      <c r="BGL25" s="270" t="s">
        <v>165</v>
      </c>
      <c r="BGM25" s="271"/>
      <c r="BGN25" s="272"/>
      <c r="BGO25" s="273" t="s">
        <v>31</v>
      </c>
      <c r="BGP25" s="249"/>
      <c r="BGQ25" s="270" t="s">
        <v>165</v>
      </c>
      <c r="BGR25" s="271"/>
      <c r="BGS25" s="272"/>
      <c r="BGT25" s="273" t="s">
        <v>31</v>
      </c>
      <c r="BGU25" s="249"/>
      <c r="BGV25" s="270" t="s">
        <v>165</v>
      </c>
      <c r="BGW25" s="271"/>
      <c r="BGX25" s="272"/>
      <c r="BGY25" s="273" t="s">
        <v>31</v>
      </c>
      <c r="BGZ25" s="249"/>
      <c r="BHA25" s="270" t="s">
        <v>165</v>
      </c>
      <c r="BHB25" s="271"/>
      <c r="BHC25" s="272"/>
      <c r="BHD25" s="273" t="s">
        <v>31</v>
      </c>
      <c r="BHE25" s="249"/>
      <c r="BHF25" s="270" t="s">
        <v>165</v>
      </c>
      <c r="BHG25" s="271"/>
      <c r="BHH25" s="272"/>
      <c r="BHI25" s="273" t="s">
        <v>31</v>
      </c>
      <c r="BHJ25" s="249"/>
      <c r="BHK25" s="270" t="s">
        <v>165</v>
      </c>
      <c r="BHL25" s="271"/>
      <c r="BHM25" s="272"/>
      <c r="BHN25" s="273" t="s">
        <v>31</v>
      </c>
      <c r="BHO25" s="249"/>
      <c r="BHP25" s="270" t="s">
        <v>165</v>
      </c>
      <c r="BHQ25" s="271"/>
      <c r="BHR25" s="272"/>
      <c r="BHS25" s="273" t="s">
        <v>31</v>
      </c>
      <c r="BHT25" s="249"/>
      <c r="BHU25" s="270" t="s">
        <v>165</v>
      </c>
      <c r="BHV25" s="271"/>
      <c r="BHW25" s="272"/>
      <c r="BHX25" s="273" t="s">
        <v>31</v>
      </c>
      <c r="BHY25" s="249"/>
      <c r="BHZ25" s="270" t="s">
        <v>165</v>
      </c>
      <c r="BIA25" s="271"/>
      <c r="BIB25" s="272"/>
      <c r="BIC25" s="273" t="s">
        <v>31</v>
      </c>
      <c r="BID25" s="249"/>
      <c r="BIE25" s="270" t="s">
        <v>165</v>
      </c>
      <c r="BIF25" s="271"/>
      <c r="BIG25" s="272"/>
      <c r="BIH25" s="273" t="s">
        <v>31</v>
      </c>
      <c r="BII25" s="249"/>
      <c r="BIJ25" s="270" t="s">
        <v>165</v>
      </c>
      <c r="BIK25" s="271"/>
      <c r="BIL25" s="272"/>
      <c r="BIM25" s="273" t="s">
        <v>31</v>
      </c>
      <c r="BIN25" s="249"/>
      <c r="BIO25" s="270" t="s">
        <v>165</v>
      </c>
      <c r="BIP25" s="271"/>
      <c r="BIQ25" s="272"/>
      <c r="BIR25" s="273" t="s">
        <v>31</v>
      </c>
      <c r="BIS25" s="249"/>
      <c r="BIT25" s="270" t="s">
        <v>165</v>
      </c>
      <c r="BIU25" s="271"/>
      <c r="BIV25" s="272"/>
      <c r="BIW25" s="273" t="s">
        <v>31</v>
      </c>
      <c r="BIX25" s="249"/>
      <c r="BIY25" s="270" t="s">
        <v>165</v>
      </c>
      <c r="BIZ25" s="271"/>
      <c r="BJA25" s="272"/>
      <c r="BJB25" s="273" t="s">
        <v>31</v>
      </c>
      <c r="BJC25" s="249"/>
      <c r="BJD25" s="270" t="s">
        <v>165</v>
      </c>
      <c r="BJE25" s="271"/>
      <c r="BJF25" s="272"/>
      <c r="BJG25" s="273" t="s">
        <v>31</v>
      </c>
      <c r="BJH25" s="249"/>
      <c r="BJI25" s="270" t="s">
        <v>165</v>
      </c>
      <c r="BJJ25" s="271"/>
      <c r="BJK25" s="272"/>
      <c r="BJL25" s="273" t="s">
        <v>31</v>
      </c>
      <c r="BJM25" s="249"/>
      <c r="BJN25" s="270" t="s">
        <v>165</v>
      </c>
      <c r="BJO25" s="271"/>
      <c r="BJP25" s="272"/>
      <c r="BJQ25" s="273" t="s">
        <v>31</v>
      </c>
      <c r="BJR25" s="249"/>
      <c r="BJS25" s="270" t="s">
        <v>165</v>
      </c>
      <c r="BJT25" s="271"/>
      <c r="BJU25" s="272"/>
      <c r="BJV25" s="273" t="s">
        <v>31</v>
      </c>
      <c r="BJW25" s="249"/>
      <c r="BJX25" s="270" t="s">
        <v>165</v>
      </c>
      <c r="BJY25" s="271"/>
      <c r="BJZ25" s="272"/>
      <c r="BKA25" s="273" t="s">
        <v>31</v>
      </c>
      <c r="BKB25" s="249"/>
      <c r="BKC25" s="270" t="s">
        <v>165</v>
      </c>
      <c r="BKD25" s="271"/>
      <c r="BKE25" s="272"/>
      <c r="BKF25" s="273" t="s">
        <v>31</v>
      </c>
      <c r="BKG25" s="249"/>
      <c r="BKH25" s="270" t="s">
        <v>165</v>
      </c>
      <c r="BKI25" s="271"/>
      <c r="BKJ25" s="272"/>
      <c r="BKK25" s="273" t="s">
        <v>31</v>
      </c>
      <c r="BKL25" s="249"/>
      <c r="BKM25" s="270" t="s">
        <v>165</v>
      </c>
      <c r="BKN25" s="271"/>
      <c r="BKO25" s="272"/>
      <c r="BKP25" s="273" t="s">
        <v>31</v>
      </c>
      <c r="BKQ25" s="249"/>
      <c r="BKR25" s="270" t="s">
        <v>165</v>
      </c>
      <c r="BKS25" s="271"/>
      <c r="BKT25" s="272"/>
      <c r="BKU25" s="273" t="s">
        <v>31</v>
      </c>
      <c r="BKV25" s="249"/>
      <c r="BKW25" s="270" t="s">
        <v>165</v>
      </c>
      <c r="BKX25" s="271"/>
      <c r="BKY25" s="272"/>
      <c r="BKZ25" s="273" t="s">
        <v>31</v>
      </c>
      <c r="BLA25" s="249"/>
      <c r="BLB25" s="270" t="s">
        <v>165</v>
      </c>
      <c r="BLC25" s="271"/>
      <c r="BLD25" s="272"/>
      <c r="BLE25" s="273" t="s">
        <v>31</v>
      </c>
      <c r="BLF25" s="249"/>
      <c r="BLG25" s="270" t="s">
        <v>165</v>
      </c>
      <c r="BLH25" s="271"/>
      <c r="BLI25" s="272"/>
      <c r="BLJ25" s="273" t="s">
        <v>31</v>
      </c>
      <c r="BLK25" s="249"/>
      <c r="BLL25" s="270" t="s">
        <v>165</v>
      </c>
      <c r="BLM25" s="271"/>
      <c r="BLN25" s="272"/>
      <c r="BLO25" s="273" t="s">
        <v>31</v>
      </c>
      <c r="BLP25" s="249"/>
      <c r="BLQ25" s="270" t="s">
        <v>165</v>
      </c>
      <c r="BLR25" s="271"/>
      <c r="BLS25" s="272"/>
      <c r="BLT25" s="273" t="s">
        <v>31</v>
      </c>
      <c r="BLU25" s="249"/>
      <c r="BLV25" s="270" t="s">
        <v>165</v>
      </c>
      <c r="BLW25" s="271"/>
      <c r="BLX25" s="272"/>
      <c r="BLY25" s="273" t="s">
        <v>31</v>
      </c>
      <c r="BLZ25" s="249"/>
      <c r="BMA25" s="270" t="s">
        <v>165</v>
      </c>
      <c r="BMB25" s="271"/>
      <c r="BMC25" s="272"/>
      <c r="BMD25" s="273" t="s">
        <v>31</v>
      </c>
      <c r="BME25" s="249"/>
      <c r="BMF25" s="270" t="s">
        <v>165</v>
      </c>
      <c r="BMG25" s="271"/>
      <c r="BMH25" s="272"/>
      <c r="BMI25" s="273" t="s">
        <v>31</v>
      </c>
      <c r="BMJ25" s="249"/>
      <c r="BMK25" s="270" t="s">
        <v>165</v>
      </c>
      <c r="BML25" s="271"/>
      <c r="BMM25" s="272"/>
      <c r="BMN25" s="273" t="s">
        <v>31</v>
      </c>
      <c r="BMO25" s="249"/>
      <c r="BMP25" s="270" t="s">
        <v>165</v>
      </c>
      <c r="BMQ25" s="271"/>
      <c r="BMR25" s="272"/>
      <c r="BMS25" s="273" t="s">
        <v>31</v>
      </c>
      <c r="BMT25" s="249"/>
      <c r="BMU25" s="270" t="s">
        <v>165</v>
      </c>
      <c r="BMV25" s="271"/>
      <c r="BMW25" s="272"/>
      <c r="BMX25" s="273" t="s">
        <v>31</v>
      </c>
      <c r="BMY25" s="249"/>
      <c r="BMZ25" s="270" t="s">
        <v>165</v>
      </c>
      <c r="BNA25" s="271"/>
      <c r="BNB25" s="272"/>
      <c r="BNC25" s="273" t="s">
        <v>31</v>
      </c>
      <c r="BND25" s="249"/>
      <c r="BNE25" s="270" t="s">
        <v>165</v>
      </c>
      <c r="BNF25" s="271"/>
      <c r="BNG25" s="272"/>
      <c r="BNH25" s="273" t="s">
        <v>31</v>
      </c>
      <c r="BNI25" s="249"/>
      <c r="BNJ25" s="270" t="s">
        <v>165</v>
      </c>
      <c r="BNK25" s="271"/>
      <c r="BNL25" s="272"/>
      <c r="BNM25" s="273" t="s">
        <v>31</v>
      </c>
      <c r="BNN25" s="249"/>
      <c r="BNO25" s="270" t="s">
        <v>165</v>
      </c>
      <c r="BNP25" s="271"/>
      <c r="BNQ25" s="272"/>
      <c r="BNR25" s="273" t="s">
        <v>31</v>
      </c>
      <c r="BNS25" s="249"/>
      <c r="BNT25" s="270" t="s">
        <v>165</v>
      </c>
      <c r="BNU25" s="271"/>
      <c r="BNV25" s="272"/>
      <c r="BNW25" s="273" t="s">
        <v>31</v>
      </c>
      <c r="BNX25" s="249"/>
      <c r="BNY25" s="270" t="s">
        <v>165</v>
      </c>
      <c r="BNZ25" s="271"/>
      <c r="BOA25" s="272"/>
      <c r="BOB25" s="273" t="s">
        <v>31</v>
      </c>
      <c r="BOC25" s="249"/>
      <c r="BOD25" s="270" t="s">
        <v>165</v>
      </c>
      <c r="BOE25" s="271"/>
      <c r="BOF25" s="272"/>
      <c r="BOG25" s="273" t="s">
        <v>31</v>
      </c>
      <c r="BOH25" s="249"/>
      <c r="BOI25" s="270" t="s">
        <v>165</v>
      </c>
      <c r="BOJ25" s="271"/>
      <c r="BOK25" s="272"/>
      <c r="BOL25" s="273" t="s">
        <v>31</v>
      </c>
      <c r="BOM25" s="249"/>
      <c r="BON25" s="270" t="s">
        <v>165</v>
      </c>
      <c r="BOO25" s="271"/>
      <c r="BOP25" s="272"/>
      <c r="BOQ25" s="273" t="s">
        <v>31</v>
      </c>
      <c r="BOR25" s="249"/>
      <c r="BOS25" s="270" t="s">
        <v>165</v>
      </c>
      <c r="BOT25" s="271"/>
      <c r="BOU25" s="272"/>
      <c r="BOV25" s="273" t="s">
        <v>31</v>
      </c>
      <c r="BOW25" s="249"/>
      <c r="BOX25" s="270" t="s">
        <v>165</v>
      </c>
      <c r="BOY25" s="271"/>
      <c r="BOZ25" s="272"/>
      <c r="BPA25" s="273" t="s">
        <v>31</v>
      </c>
      <c r="BPB25" s="249"/>
      <c r="BPC25" s="270" t="s">
        <v>165</v>
      </c>
      <c r="BPD25" s="271"/>
      <c r="BPE25" s="272"/>
      <c r="BPF25" s="273" t="s">
        <v>31</v>
      </c>
      <c r="BPG25" s="249"/>
      <c r="BPH25" s="270" t="s">
        <v>165</v>
      </c>
      <c r="BPI25" s="271"/>
      <c r="BPJ25" s="272"/>
      <c r="BPK25" s="273" t="s">
        <v>31</v>
      </c>
      <c r="BPL25" s="249"/>
      <c r="BPM25" s="270" t="s">
        <v>165</v>
      </c>
      <c r="BPN25" s="271"/>
      <c r="BPO25" s="272"/>
      <c r="BPP25" s="273" t="s">
        <v>31</v>
      </c>
      <c r="BPQ25" s="249"/>
      <c r="BPR25" s="270" t="s">
        <v>165</v>
      </c>
      <c r="BPS25" s="271"/>
      <c r="BPT25" s="272"/>
      <c r="BPU25" s="273" t="s">
        <v>31</v>
      </c>
      <c r="BPV25" s="249"/>
      <c r="BPW25" s="270" t="s">
        <v>165</v>
      </c>
      <c r="BPX25" s="271"/>
      <c r="BPY25" s="272"/>
      <c r="BPZ25" s="273" t="s">
        <v>31</v>
      </c>
      <c r="BQA25" s="249"/>
      <c r="BQB25" s="270" t="s">
        <v>165</v>
      </c>
      <c r="BQC25" s="271"/>
      <c r="BQD25" s="272"/>
      <c r="BQE25" s="273" t="s">
        <v>31</v>
      </c>
      <c r="BQF25" s="249"/>
      <c r="BQG25" s="270" t="s">
        <v>165</v>
      </c>
      <c r="BQH25" s="271"/>
      <c r="BQI25" s="272"/>
      <c r="BQJ25" s="273" t="s">
        <v>31</v>
      </c>
      <c r="BQK25" s="249"/>
      <c r="BQL25" s="270" t="s">
        <v>165</v>
      </c>
      <c r="BQM25" s="271"/>
      <c r="BQN25" s="272"/>
      <c r="BQO25" s="273" t="s">
        <v>31</v>
      </c>
      <c r="BQP25" s="249"/>
      <c r="BQQ25" s="270" t="s">
        <v>165</v>
      </c>
      <c r="BQR25" s="271"/>
      <c r="BQS25" s="272"/>
      <c r="BQT25" s="273" t="s">
        <v>31</v>
      </c>
      <c r="BQU25" s="249"/>
      <c r="BQV25" s="270" t="s">
        <v>165</v>
      </c>
      <c r="BQW25" s="271"/>
      <c r="BQX25" s="272"/>
      <c r="BQY25" s="273" t="s">
        <v>31</v>
      </c>
      <c r="BQZ25" s="249"/>
      <c r="BRA25" s="270" t="s">
        <v>165</v>
      </c>
      <c r="BRB25" s="271"/>
      <c r="BRC25" s="272"/>
      <c r="BRD25" s="273" t="s">
        <v>61</v>
      </c>
      <c r="BRE25" s="249"/>
      <c r="BRF25" s="270" t="s">
        <v>165</v>
      </c>
      <c r="BRG25" s="271"/>
      <c r="BRH25" s="272"/>
      <c r="BRI25" s="273" t="s">
        <v>31</v>
      </c>
      <c r="BRJ25" s="249"/>
      <c r="BRK25" s="270" t="s">
        <v>165</v>
      </c>
      <c r="BRL25" s="271"/>
      <c r="BRM25" s="272"/>
      <c r="BRN25" s="273" t="s">
        <v>31</v>
      </c>
      <c r="BRO25" s="249"/>
      <c r="BRP25" s="270" t="s">
        <v>165</v>
      </c>
      <c r="BRQ25" s="271"/>
      <c r="BRR25" s="272"/>
      <c r="BRS25" s="273" t="s">
        <v>61</v>
      </c>
      <c r="BRT25" s="249"/>
      <c r="BRU25" s="270" t="s">
        <v>165</v>
      </c>
      <c r="BRV25" s="271"/>
      <c r="BRW25" s="272"/>
      <c r="BRX25" s="273" t="s">
        <v>61</v>
      </c>
      <c r="BRY25" s="249"/>
      <c r="BRZ25" s="270" t="s">
        <v>165</v>
      </c>
      <c r="BSA25" s="271"/>
      <c r="BSB25" s="272"/>
      <c r="BSC25" s="273" t="s">
        <v>61</v>
      </c>
      <c r="BSD25" s="249"/>
      <c r="BSE25" s="270" t="s">
        <v>165</v>
      </c>
      <c r="BSF25" s="271"/>
      <c r="BSG25" s="272"/>
      <c r="BSH25" s="273" t="s">
        <v>61</v>
      </c>
      <c r="BSI25" s="249"/>
      <c r="BSJ25" s="270" t="s">
        <v>165</v>
      </c>
      <c r="BSK25" s="271"/>
      <c r="BSL25" s="272"/>
      <c r="BSM25" s="273" t="s">
        <v>61</v>
      </c>
      <c r="BSN25" s="249"/>
      <c r="BSO25" s="270" t="s">
        <v>165</v>
      </c>
      <c r="BSP25" s="271"/>
      <c r="BSQ25" s="272"/>
      <c r="BSR25" s="273" t="s">
        <v>31</v>
      </c>
      <c r="BSS25" s="249"/>
      <c r="BST25" s="270" t="s">
        <v>165</v>
      </c>
      <c r="BSU25" s="271"/>
      <c r="BSV25" s="272"/>
      <c r="BSW25" s="273" t="s">
        <v>31</v>
      </c>
      <c r="BSX25" s="249"/>
      <c r="BSY25" s="270" t="s">
        <v>161</v>
      </c>
      <c r="BSZ25" s="271"/>
      <c r="BTA25" s="272"/>
      <c r="BTB25" s="273" t="s">
        <v>61</v>
      </c>
      <c r="BTC25" s="249"/>
      <c r="BTD25" s="270" t="s">
        <v>161</v>
      </c>
      <c r="BTE25" s="271"/>
      <c r="BTF25" s="272"/>
      <c r="BTG25" s="273" t="s">
        <v>61</v>
      </c>
      <c r="BTH25" s="249"/>
      <c r="BTI25" s="270" t="s">
        <v>161</v>
      </c>
      <c r="BTJ25" s="271"/>
      <c r="BTK25" s="272"/>
      <c r="BTL25" s="273" t="s">
        <v>61</v>
      </c>
      <c r="BTM25" s="249"/>
      <c r="BTN25" s="270" t="s">
        <v>161</v>
      </c>
      <c r="BTO25" s="271"/>
      <c r="BTP25" s="272"/>
      <c r="BTQ25" s="273" t="s">
        <v>61</v>
      </c>
      <c r="BTR25" s="249"/>
      <c r="BTS25" s="270" t="s">
        <v>161</v>
      </c>
      <c r="BTT25" s="271"/>
      <c r="BTU25" s="272"/>
      <c r="BTV25" s="273" t="s">
        <v>61</v>
      </c>
      <c r="BTW25" s="249"/>
      <c r="BTX25" s="270" t="s">
        <v>161</v>
      </c>
      <c r="BTY25" s="271"/>
      <c r="BTZ25" s="272"/>
      <c r="BUA25" s="273" t="s">
        <v>31</v>
      </c>
      <c r="BUB25" s="249"/>
      <c r="BUC25" s="270" t="s">
        <v>161</v>
      </c>
      <c r="BUD25" s="271"/>
      <c r="BUE25" s="272"/>
      <c r="BUF25" s="273" t="s">
        <v>31</v>
      </c>
      <c r="BUG25" s="249"/>
      <c r="BUH25" s="276" t="s">
        <v>159</v>
      </c>
      <c r="BUI25" s="277"/>
      <c r="BUJ25" s="278"/>
      <c r="BUK25" s="273" t="s">
        <v>31</v>
      </c>
      <c r="BUL25" s="249"/>
      <c r="BUM25" s="276" t="s">
        <v>159</v>
      </c>
      <c r="BUN25" s="277"/>
      <c r="BUO25" s="278"/>
      <c r="BUP25" s="273" t="s">
        <v>31</v>
      </c>
      <c r="BUQ25" s="249"/>
      <c r="BUR25" s="67" t="s">
        <v>91</v>
      </c>
      <c r="BUS25" s="68"/>
      <c r="BUT25" s="69"/>
      <c r="BUU25" s="273">
        <v>2</v>
      </c>
      <c r="BUV25" s="249"/>
      <c r="BUW25" s="67" t="s">
        <v>91</v>
      </c>
      <c r="BUX25" s="68"/>
      <c r="BUY25" s="69"/>
      <c r="BUZ25" s="273">
        <v>0</v>
      </c>
      <c r="BVA25" s="249"/>
      <c r="BVB25" s="67" t="s">
        <v>91</v>
      </c>
      <c r="BVC25" s="68"/>
      <c r="BVD25" s="69"/>
      <c r="BVE25" s="273">
        <v>1</v>
      </c>
      <c r="BVF25" s="249"/>
      <c r="BVG25" s="67" t="s">
        <v>91</v>
      </c>
      <c r="BVH25" s="68"/>
      <c r="BVI25" s="69"/>
      <c r="BVJ25" s="273" t="s">
        <v>41</v>
      </c>
      <c r="BVK25" s="249"/>
      <c r="BVL25" s="67" t="s">
        <v>91</v>
      </c>
      <c r="BVM25" s="68"/>
      <c r="BVN25" s="69"/>
      <c r="BVO25" s="273">
        <v>1</v>
      </c>
      <c r="BVP25" s="249"/>
      <c r="BVQ25" s="67" t="s">
        <v>91</v>
      </c>
      <c r="BVR25" s="68"/>
      <c r="BVS25" s="69"/>
      <c r="BVT25" s="273">
        <v>2</v>
      </c>
      <c r="BVU25" s="249"/>
      <c r="BVV25" s="67" t="s">
        <v>91</v>
      </c>
      <c r="BVW25" s="68"/>
      <c r="BVX25" s="69"/>
      <c r="BVY25" s="273">
        <v>0</v>
      </c>
      <c r="BVZ25" s="249"/>
      <c r="BWA25" s="67" t="s">
        <v>91</v>
      </c>
      <c r="BWB25" s="68"/>
      <c r="BWC25" s="69"/>
      <c r="BWD25" s="273">
        <v>6</v>
      </c>
      <c r="BWE25" s="249"/>
      <c r="BWF25" s="67" t="s">
        <v>91</v>
      </c>
      <c r="BWG25" s="68"/>
      <c r="BWH25" s="69"/>
      <c r="BWI25" s="273">
        <v>3</v>
      </c>
      <c r="BWJ25" s="249"/>
      <c r="BWK25" s="67" t="s">
        <v>91</v>
      </c>
      <c r="BWL25" s="68"/>
      <c r="BWM25" s="69"/>
      <c r="BWN25" s="273">
        <v>0</v>
      </c>
      <c r="BWO25" s="249"/>
      <c r="BWP25" s="67" t="s">
        <v>91</v>
      </c>
      <c r="BWQ25" s="68"/>
      <c r="BWR25" s="69"/>
      <c r="BWS25" s="273">
        <v>2</v>
      </c>
      <c r="BWT25" s="249"/>
      <c r="BWU25" s="67" t="s">
        <v>91</v>
      </c>
      <c r="BWV25" s="68"/>
      <c r="BWW25" s="69"/>
      <c r="BWX25" s="273">
        <v>1</v>
      </c>
      <c r="BWY25" s="249"/>
      <c r="BWZ25" s="67" t="s">
        <v>91</v>
      </c>
      <c r="BXA25" s="68"/>
      <c r="BXB25" s="69"/>
      <c r="BXC25" s="273">
        <v>0</v>
      </c>
      <c r="BXD25" s="249"/>
      <c r="BXE25" s="67" t="s">
        <v>91</v>
      </c>
      <c r="BXF25" s="68"/>
      <c r="BXG25" s="69"/>
      <c r="BXH25" s="273">
        <v>0</v>
      </c>
      <c r="BXI25" s="249"/>
      <c r="BXJ25" s="67" t="s">
        <v>91</v>
      </c>
      <c r="BXK25" s="68"/>
      <c r="BXL25" s="69"/>
      <c r="BXM25" s="273">
        <v>0</v>
      </c>
      <c r="BXN25" s="249"/>
      <c r="BXO25" s="67" t="s">
        <v>91</v>
      </c>
      <c r="BXP25" s="68"/>
      <c r="BXQ25" s="69"/>
      <c r="BXR25" s="273">
        <v>4</v>
      </c>
      <c r="BXS25" s="249"/>
      <c r="BXT25" s="67" t="s">
        <v>91</v>
      </c>
      <c r="BXU25" s="68"/>
      <c r="BXV25" s="69"/>
      <c r="BXW25" s="273" t="s">
        <v>41</v>
      </c>
      <c r="BXX25" s="249"/>
      <c r="BXY25" s="67" t="s">
        <v>91</v>
      </c>
      <c r="BXZ25" s="68"/>
      <c r="BYA25" s="69"/>
      <c r="BYB25" s="273">
        <v>3</v>
      </c>
      <c r="BYC25" s="249"/>
      <c r="BYD25" s="67" t="s">
        <v>91</v>
      </c>
      <c r="BYE25" s="68"/>
      <c r="BYF25" s="69"/>
      <c r="BYG25" s="273">
        <v>3</v>
      </c>
      <c r="BYH25" s="249"/>
      <c r="BYI25" s="67" t="s">
        <v>91</v>
      </c>
      <c r="BYJ25" s="68"/>
      <c r="BYK25" s="69"/>
      <c r="BYL25" s="273">
        <v>2</v>
      </c>
      <c r="BYM25" s="249"/>
      <c r="BYN25" s="67" t="s">
        <v>91</v>
      </c>
      <c r="BYO25" s="68"/>
      <c r="BYP25" s="69"/>
      <c r="BYQ25" s="273">
        <v>3</v>
      </c>
      <c r="BYR25" s="249"/>
      <c r="BYS25" s="67" t="s">
        <v>91</v>
      </c>
      <c r="BYT25" s="68"/>
      <c r="BYU25" s="69"/>
      <c r="BYV25" s="273">
        <v>3</v>
      </c>
      <c r="BYW25" s="249"/>
      <c r="BYX25" s="67" t="s">
        <v>91</v>
      </c>
      <c r="BYY25" s="68"/>
      <c r="BYZ25" s="69"/>
      <c r="BZA25" s="273">
        <v>0</v>
      </c>
      <c r="BZB25" s="249"/>
      <c r="BZC25" s="67" t="s">
        <v>91</v>
      </c>
      <c r="BZD25" s="68"/>
      <c r="BZE25" s="69"/>
      <c r="BZF25" s="273">
        <v>7</v>
      </c>
      <c r="BZG25" s="249"/>
      <c r="BZH25" s="67" t="s">
        <v>91</v>
      </c>
      <c r="BZI25" s="68"/>
      <c r="BZJ25" s="69"/>
      <c r="BZK25" s="273">
        <v>1</v>
      </c>
      <c r="BZL25" s="249"/>
      <c r="BZM25" s="67" t="s">
        <v>91</v>
      </c>
      <c r="BZN25" s="68"/>
      <c r="BZO25" s="69"/>
      <c r="BZP25" s="273">
        <v>1</v>
      </c>
      <c r="BZQ25" s="249"/>
      <c r="BZR25" s="67" t="s">
        <v>91</v>
      </c>
      <c r="BZS25" s="68"/>
      <c r="BZT25" s="69"/>
      <c r="BZU25" s="273">
        <v>1</v>
      </c>
      <c r="BZV25" s="249"/>
      <c r="BZW25" s="67" t="s">
        <v>91</v>
      </c>
      <c r="BZX25" s="68"/>
      <c r="BZY25" s="69"/>
      <c r="BZZ25" s="273">
        <v>1</v>
      </c>
      <c r="CAA25" s="249"/>
      <c r="CAB25" s="67" t="s">
        <v>91</v>
      </c>
      <c r="CAC25" s="68"/>
      <c r="CAD25" s="69"/>
      <c r="CAE25" s="273">
        <v>1</v>
      </c>
      <c r="CAF25" s="249"/>
      <c r="CAG25" s="67" t="s">
        <v>91</v>
      </c>
      <c r="CAH25" s="68"/>
      <c r="CAI25" s="69"/>
      <c r="CAJ25" s="273">
        <v>2</v>
      </c>
      <c r="CAK25" s="249"/>
      <c r="CAL25" s="67" t="s">
        <v>91</v>
      </c>
      <c r="CAM25" s="68"/>
      <c r="CAN25" s="69"/>
      <c r="CAO25" s="273">
        <v>1</v>
      </c>
      <c r="CAP25" s="249"/>
      <c r="CAQ25" s="67" t="s">
        <v>91</v>
      </c>
      <c r="CAR25" s="68"/>
      <c r="CAS25" s="69"/>
      <c r="CAT25" s="273">
        <v>1</v>
      </c>
      <c r="CAU25" s="249"/>
      <c r="CAV25" s="67" t="s">
        <v>91</v>
      </c>
      <c r="CAW25" s="68"/>
      <c r="CAX25" s="69"/>
      <c r="CAY25" s="273">
        <v>1</v>
      </c>
      <c r="CAZ25" s="249"/>
      <c r="CBA25" s="67" t="s">
        <v>91</v>
      </c>
      <c r="CBB25" s="68"/>
      <c r="CBC25" s="69"/>
      <c r="CBD25" s="273">
        <v>3</v>
      </c>
      <c r="CBE25" s="249"/>
      <c r="CBF25" s="67" t="s">
        <v>91</v>
      </c>
      <c r="CBG25" s="68"/>
      <c r="CBH25" s="69"/>
      <c r="CBI25" s="273">
        <v>3</v>
      </c>
      <c r="CBJ25" s="249"/>
      <c r="CBK25" s="67" t="s">
        <v>91</v>
      </c>
      <c r="CBL25" s="68"/>
      <c r="CBM25" s="69"/>
      <c r="CBN25" s="273">
        <v>7</v>
      </c>
      <c r="CBO25" s="249"/>
      <c r="CBP25" s="67" t="s">
        <v>91</v>
      </c>
      <c r="CBQ25" s="68"/>
      <c r="CBR25" s="69"/>
      <c r="CBS25" s="273" t="s">
        <v>40</v>
      </c>
      <c r="CBT25" s="249"/>
      <c r="CBU25" s="67" t="s">
        <v>91</v>
      </c>
      <c r="CBV25" s="68"/>
      <c r="CBW25" s="69"/>
      <c r="CBX25" s="273">
        <v>0</v>
      </c>
      <c r="CBY25" s="249"/>
      <c r="CBZ25" s="67" t="s">
        <v>91</v>
      </c>
      <c r="CCA25" s="68"/>
      <c r="CCB25" s="69"/>
      <c r="CCC25" s="273">
        <v>1</v>
      </c>
      <c r="CCD25" s="249"/>
      <c r="CCE25" s="67" t="s">
        <v>91</v>
      </c>
      <c r="CCF25" s="68"/>
      <c r="CCG25" s="69"/>
      <c r="CCH25" s="273">
        <v>1</v>
      </c>
      <c r="CCI25" s="249"/>
      <c r="CCJ25" s="67" t="s">
        <v>91</v>
      </c>
      <c r="CCK25" s="68"/>
      <c r="CCL25" s="69"/>
      <c r="CCM25" s="273">
        <v>0</v>
      </c>
      <c r="CCN25" s="249"/>
      <c r="CCO25" s="67" t="s">
        <v>91</v>
      </c>
      <c r="CCP25" s="68"/>
      <c r="CCQ25" s="69"/>
      <c r="CCR25" s="273">
        <v>0</v>
      </c>
      <c r="CCS25" s="249"/>
      <c r="CCT25" s="67" t="s">
        <v>91</v>
      </c>
      <c r="CCU25" s="68"/>
      <c r="CCV25" s="69"/>
      <c r="CCW25" s="273" t="s">
        <v>40</v>
      </c>
      <c r="CCX25" s="249"/>
      <c r="CCY25" s="67" t="s">
        <v>91</v>
      </c>
      <c r="CCZ25" s="68"/>
      <c r="CDA25" s="69"/>
      <c r="CDB25" s="273">
        <v>1</v>
      </c>
      <c r="CDC25" s="249"/>
      <c r="CDD25" s="67" t="s">
        <v>91</v>
      </c>
      <c r="CDE25" s="68"/>
      <c r="CDF25" s="69"/>
      <c r="CDG25" s="273">
        <v>0</v>
      </c>
      <c r="CDH25" s="249"/>
      <c r="CDI25" s="67" t="s">
        <v>91</v>
      </c>
      <c r="CDJ25" s="68"/>
      <c r="CDK25" s="69"/>
      <c r="CDL25" s="273">
        <v>0</v>
      </c>
      <c r="CDM25" s="249"/>
      <c r="CDN25" s="67" t="s">
        <v>91</v>
      </c>
      <c r="CDO25" s="68"/>
      <c r="CDP25" s="69"/>
      <c r="CDQ25" s="273">
        <v>3</v>
      </c>
      <c r="CDR25" s="249"/>
      <c r="CDS25" s="67" t="s">
        <v>91</v>
      </c>
      <c r="CDT25" s="68"/>
      <c r="CDU25" s="69"/>
      <c r="CDV25" s="273">
        <v>2</v>
      </c>
      <c r="CDW25" s="249"/>
      <c r="CDX25" s="67" t="s">
        <v>91</v>
      </c>
      <c r="CDY25" s="68"/>
      <c r="CDZ25" s="69"/>
      <c r="CEA25" s="273" t="s">
        <v>40</v>
      </c>
      <c r="CEB25" s="249"/>
      <c r="CEC25" s="67" t="s">
        <v>91</v>
      </c>
      <c r="CED25" s="68"/>
      <c r="CEE25" s="69"/>
      <c r="CEF25" s="273">
        <v>3</v>
      </c>
      <c r="CEG25" s="249"/>
      <c r="CEH25" s="67" t="s">
        <v>91</v>
      </c>
      <c r="CEI25" s="68"/>
      <c r="CEJ25" s="69"/>
      <c r="CEK25" s="273">
        <v>4</v>
      </c>
      <c r="CEL25" s="249"/>
      <c r="CEM25" s="67" t="s">
        <v>91</v>
      </c>
      <c r="CEN25" s="68"/>
      <c r="CEO25" s="69"/>
      <c r="CEP25" s="273" t="s">
        <v>41</v>
      </c>
      <c r="CEQ25" s="249"/>
      <c r="CER25" s="67" t="s">
        <v>91</v>
      </c>
      <c r="CES25" s="68"/>
      <c r="CET25" s="69"/>
      <c r="CEU25" s="273">
        <v>4</v>
      </c>
      <c r="CEV25" s="249"/>
      <c r="CEW25" s="67" t="s">
        <v>91</v>
      </c>
      <c r="CEX25" s="68"/>
      <c r="CEY25" s="69"/>
      <c r="CEZ25" s="273">
        <v>4</v>
      </c>
      <c r="CFA25" s="249"/>
      <c r="CFB25" s="67" t="s">
        <v>91</v>
      </c>
      <c r="CFC25" s="68"/>
      <c r="CFD25" s="69"/>
      <c r="CFE25" s="273">
        <v>5</v>
      </c>
      <c r="CFF25" s="249"/>
      <c r="CFG25" s="67" t="s">
        <v>91</v>
      </c>
      <c r="CFH25" s="68"/>
      <c r="CFI25" s="69"/>
      <c r="CFJ25" s="273">
        <v>4</v>
      </c>
      <c r="CFK25" s="249"/>
      <c r="CFL25" s="67" t="s">
        <v>91</v>
      </c>
      <c r="CFM25" s="68"/>
      <c r="CFN25" s="69"/>
      <c r="CFO25" s="273">
        <v>6</v>
      </c>
      <c r="CFP25" s="249"/>
      <c r="CFQ25" s="67" t="s">
        <v>91</v>
      </c>
      <c r="CFR25" s="68"/>
      <c r="CFS25" s="69"/>
      <c r="CFT25" s="273">
        <v>0</v>
      </c>
      <c r="CFU25" s="249"/>
      <c r="CFV25" s="67" t="s">
        <v>91</v>
      </c>
      <c r="CFW25" s="68"/>
      <c r="CFX25" s="69"/>
      <c r="CFY25" s="273">
        <v>2</v>
      </c>
      <c r="CFZ25" s="249"/>
      <c r="CGA25" s="67" t="s">
        <v>91</v>
      </c>
      <c r="CGB25" s="68"/>
      <c r="CGC25" s="69"/>
      <c r="CGD25" s="273">
        <v>1.5</v>
      </c>
      <c r="CGE25" s="249"/>
      <c r="CGF25" s="67" t="s">
        <v>91</v>
      </c>
      <c r="CGG25" s="68"/>
      <c r="CGH25" s="69"/>
      <c r="CGI25" s="273">
        <v>0</v>
      </c>
      <c r="CGJ25" s="249"/>
      <c r="CGK25" s="67" t="s">
        <v>91</v>
      </c>
      <c r="CGL25" s="68"/>
      <c r="CGM25" s="69"/>
      <c r="CGN25" s="273">
        <v>0</v>
      </c>
      <c r="CGO25" s="249"/>
      <c r="CGP25" s="67" t="s">
        <v>91</v>
      </c>
      <c r="CGQ25" s="68"/>
      <c r="CGR25" s="69"/>
      <c r="CGS25" s="273">
        <v>0</v>
      </c>
      <c r="CGT25" s="249"/>
      <c r="CGU25" s="67" t="s">
        <v>91</v>
      </c>
      <c r="CGV25" s="68"/>
      <c r="CGW25" s="69"/>
      <c r="CGX25" s="273">
        <v>0</v>
      </c>
      <c r="CGY25" s="249"/>
      <c r="CGZ25" s="67" t="s">
        <v>91</v>
      </c>
      <c r="CHA25" s="68"/>
      <c r="CHB25" s="69"/>
      <c r="CHC25" s="273">
        <v>1</v>
      </c>
      <c r="CHD25" s="249"/>
      <c r="CHE25" s="67" t="s">
        <v>91</v>
      </c>
      <c r="CHF25" s="68"/>
      <c r="CHG25" s="69"/>
      <c r="CHH25" s="273">
        <v>1</v>
      </c>
      <c r="CHI25" s="249"/>
      <c r="CHJ25" s="67" t="s">
        <v>91</v>
      </c>
      <c r="CHK25" s="68"/>
      <c r="CHL25" s="69"/>
      <c r="CHM25" s="273" t="s">
        <v>41</v>
      </c>
      <c r="CHN25" s="249"/>
      <c r="CHO25" s="67" t="s">
        <v>91</v>
      </c>
      <c r="CHP25" s="68"/>
      <c r="CHQ25" s="69"/>
      <c r="CHR25" s="273">
        <v>6</v>
      </c>
      <c r="CHS25" s="249"/>
      <c r="CHT25" s="67" t="s">
        <v>91</v>
      </c>
      <c r="CHU25" s="68"/>
      <c r="CHV25" s="69"/>
      <c r="CHW25" s="273">
        <v>8</v>
      </c>
      <c r="CHX25" s="249"/>
      <c r="CHY25" s="67" t="s">
        <v>91</v>
      </c>
      <c r="CHZ25" s="68"/>
      <c r="CIA25" s="69"/>
      <c r="CIB25" s="273">
        <v>2</v>
      </c>
      <c r="CIC25" s="249"/>
      <c r="CID25" s="67" t="s">
        <v>91</v>
      </c>
      <c r="CIE25" s="68"/>
      <c r="CIF25" s="69"/>
      <c r="CIG25" s="273">
        <v>2</v>
      </c>
      <c r="CIH25" s="249"/>
      <c r="CII25" s="67" t="s">
        <v>91</v>
      </c>
      <c r="CIJ25" s="68"/>
      <c r="CIK25" s="69"/>
      <c r="CIL25" s="273" t="s">
        <v>41</v>
      </c>
      <c r="CIM25" s="249"/>
      <c r="CIN25" s="67" t="s">
        <v>91</v>
      </c>
      <c r="CIO25" s="68"/>
      <c r="CIP25" s="69"/>
      <c r="CIQ25" s="273">
        <v>3</v>
      </c>
      <c r="CIR25" s="249"/>
      <c r="CIS25" s="67" t="s">
        <v>91</v>
      </c>
      <c r="CIT25" s="68"/>
      <c r="CIU25" s="69"/>
      <c r="CIV25" s="273">
        <v>3</v>
      </c>
      <c r="CIW25" s="249"/>
      <c r="CIX25" s="67" t="s">
        <v>91</v>
      </c>
      <c r="CIY25" s="68"/>
      <c r="CIZ25" s="69"/>
      <c r="CJA25" s="273">
        <v>2</v>
      </c>
      <c r="CJB25" s="249"/>
      <c r="CJC25" s="67" t="s">
        <v>91</v>
      </c>
      <c r="CJD25" s="68"/>
      <c r="CJE25" s="69"/>
      <c r="CJF25" s="273">
        <v>3</v>
      </c>
      <c r="CJG25" s="249"/>
      <c r="CJH25" s="67" t="s">
        <v>91</v>
      </c>
      <c r="CJI25" s="68"/>
      <c r="CJJ25" s="69"/>
      <c r="CJK25" s="273">
        <v>1</v>
      </c>
      <c r="CJL25" s="249"/>
      <c r="CJM25" s="67" t="s">
        <v>91</v>
      </c>
      <c r="CJN25" s="68"/>
      <c r="CJO25" s="69"/>
      <c r="CJP25" s="273">
        <v>0</v>
      </c>
      <c r="CJQ25" s="249"/>
      <c r="CJR25" s="67" t="s">
        <v>91</v>
      </c>
      <c r="CJS25" s="68"/>
      <c r="CJT25" s="69"/>
      <c r="CJU25" s="273">
        <v>0</v>
      </c>
      <c r="CJV25" s="249"/>
      <c r="CJW25" s="67" t="s">
        <v>91</v>
      </c>
      <c r="CJX25" s="68"/>
      <c r="CJY25" s="69"/>
      <c r="CJZ25" s="273">
        <v>2</v>
      </c>
      <c r="CKA25" s="249"/>
      <c r="CKB25" s="67" t="s">
        <v>91</v>
      </c>
      <c r="CKC25" s="68"/>
      <c r="CKD25" s="69"/>
      <c r="CKE25" s="273">
        <v>4</v>
      </c>
      <c r="CKF25" s="249"/>
      <c r="CKG25" s="67" t="s">
        <v>91</v>
      </c>
      <c r="CKH25" s="68"/>
      <c r="CKI25" s="69"/>
      <c r="CKJ25" s="273">
        <v>3</v>
      </c>
      <c r="CKK25" s="249"/>
      <c r="CKL25" s="67" t="s">
        <v>91</v>
      </c>
      <c r="CKM25" s="68"/>
      <c r="CKN25" s="69"/>
      <c r="CKO25" s="273">
        <v>0</v>
      </c>
      <c r="CKP25" s="249"/>
      <c r="CKQ25" s="67" t="s">
        <v>91</v>
      </c>
      <c r="CKR25" s="68"/>
      <c r="CKS25" s="69"/>
      <c r="CKT25" s="273">
        <v>4</v>
      </c>
      <c r="CKU25" s="249"/>
      <c r="CKV25" s="67" t="s">
        <v>91</v>
      </c>
      <c r="CKW25" s="68"/>
      <c r="CKX25" s="69"/>
      <c r="CKY25" s="273">
        <v>0</v>
      </c>
      <c r="CKZ25" s="249"/>
      <c r="CLA25" s="67" t="s">
        <v>91</v>
      </c>
      <c r="CLB25" s="68"/>
      <c r="CLC25" s="69"/>
      <c r="CLD25" s="273">
        <v>0</v>
      </c>
      <c r="CLE25" s="249"/>
      <c r="CLF25" s="67" t="s">
        <v>91</v>
      </c>
      <c r="CLG25" s="68"/>
      <c r="CLH25" s="69"/>
      <c r="CLI25" s="273">
        <v>2</v>
      </c>
      <c r="CLJ25" s="249"/>
      <c r="CLK25" s="67" t="s">
        <v>91</v>
      </c>
      <c r="CLL25" s="68"/>
      <c r="CLM25" s="69"/>
      <c r="CLN25" s="273">
        <v>3</v>
      </c>
      <c r="CLO25" s="249"/>
      <c r="CLP25" s="67" t="s">
        <v>91</v>
      </c>
      <c r="CLQ25" s="68"/>
      <c r="CLR25" s="69"/>
      <c r="CLS25" s="273">
        <v>2</v>
      </c>
      <c r="CLT25" s="249"/>
      <c r="CLU25" s="67" t="s">
        <v>91</v>
      </c>
      <c r="CLV25" s="68"/>
      <c r="CLW25" s="69"/>
      <c r="CLX25" s="273">
        <v>0</v>
      </c>
      <c r="CLY25" s="249"/>
      <c r="CLZ25" s="67" t="s">
        <v>91</v>
      </c>
      <c r="CMA25" s="68"/>
      <c r="CMB25" s="69"/>
      <c r="CMC25" s="273">
        <v>2</v>
      </c>
      <c r="CMD25" s="249"/>
      <c r="CME25" s="67" t="s">
        <v>91</v>
      </c>
      <c r="CMF25" s="68"/>
      <c r="CMG25" s="69"/>
      <c r="CMH25" s="273">
        <v>0</v>
      </c>
      <c r="CMI25" s="249"/>
      <c r="CMJ25" s="67" t="s">
        <v>91</v>
      </c>
      <c r="CMK25" s="68"/>
      <c r="CML25" s="69"/>
      <c r="CMM25" s="273">
        <v>3</v>
      </c>
      <c r="CMN25" s="249"/>
      <c r="CMO25" s="67" t="s">
        <v>91</v>
      </c>
      <c r="CMP25" s="68"/>
      <c r="CMQ25" s="69"/>
      <c r="CMR25" s="273">
        <v>3</v>
      </c>
      <c r="CMS25" s="249"/>
      <c r="CMT25" s="67" t="s">
        <v>91</v>
      </c>
      <c r="CMU25" s="68"/>
      <c r="CMV25" s="69"/>
      <c r="CMW25" s="273">
        <v>5</v>
      </c>
      <c r="CMX25" s="249"/>
      <c r="CMY25" s="67" t="s">
        <v>91</v>
      </c>
      <c r="CMZ25" s="68"/>
      <c r="CNA25" s="69"/>
      <c r="CNB25" s="273" t="s">
        <v>61</v>
      </c>
      <c r="CNC25" s="249"/>
      <c r="CND25" s="67" t="s">
        <v>91</v>
      </c>
      <c r="CNE25" s="68"/>
      <c r="CNF25" s="69"/>
      <c r="CNG25" s="273">
        <v>6</v>
      </c>
      <c r="CNH25" s="249"/>
      <c r="CNI25" s="67" t="s">
        <v>91</v>
      </c>
      <c r="CNJ25" s="68"/>
      <c r="CNK25" s="69"/>
      <c r="CNL25" s="273">
        <v>0</v>
      </c>
      <c r="CNM25" s="249"/>
      <c r="CNN25" s="67" t="s">
        <v>91</v>
      </c>
      <c r="CNO25" s="68"/>
      <c r="CNP25" s="69"/>
      <c r="CNQ25" s="273">
        <v>0</v>
      </c>
      <c r="CNR25" s="249"/>
      <c r="CNS25" s="67" t="s">
        <v>91</v>
      </c>
      <c r="CNT25" s="68"/>
      <c r="CNU25" s="69"/>
      <c r="CNV25" s="273">
        <v>9</v>
      </c>
      <c r="CNW25" s="249"/>
      <c r="CNX25" s="67" t="s">
        <v>91</v>
      </c>
      <c r="CNY25" s="68"/>
      <c r="CNZ25" s="69"/>
      <c r="COA25" s="273">
        <v>5</v>
      </c>
      <c r="COB25" s="249"/>
      <c r="COC25" s="67" t="s">
        <v>91</v>
      </c>
      <c r="COD25" s="68"/>
      <c r="COE25" s="69"/>
      <c r="COF25" s="273">
        <v>4</v>
      </c>
      <c r="COG25" s="249"/>
      <c r="COH25" s="67" t="s">
        <v>91</v>
      </c>
      <c r="COI25" s="68"/>
      <c r="COJ25" s="69"/>
      <c r="COK25" s="273" t="s">
        <v>41</v>
      </c>
      <c r="COL25" s="249"/>
      <c r="COM25" s="67" t="s">
        <v>91</v>
      </c>
      <c r="CON25" s="68"/>
      <c r="COO25" s="69"/>
      <c r="COP25" s="273">
        <v>0</v>
      </c>
      <c r="COQ25" s="249"/>
      <c r="COR25" s="67" t="s">
        <v>91</v>
      </c>
      <c r="COS25" s="68"/>
      <c r="COT25" s="69"/>
      <c r="COU25" s="273" t="s">
        <v>41</v>
      </c>
      <c r="COV25" s="249"/>
      <c r="COW25" s="67" t="s">
        <v>91</v>
      </c>
      <c r="COX25" s="68"/>
      <c r="COY25" s="69"/>
      <c r="COZ25" s="273">
        <v>0</v>
      </c>
      <c r="CPA25" s="249"/>
      <c r="CPB25" s="67" t="s">
        <v>91</v>
      </c>
      <c r="CPC25" s="68"/>
      <c r="CPD25" s="69"/>
      <c r="CPE25" s="273">
        <v>2</v>
      </c>
      <c r="CPF25" s="249"/>
      <c r="CPG25" s="67" t="s">
        <v>91</v>
      </c>
      <c r="CPH25" s="68"/>
      <c r="CPI25" s="69"/>
      <c r="CPJ25" s="273">
        <v>4</v>
      </c>
      <c r="CPK25" s="249"/>
      <c r="CPL25" s="67" t="s">
        <v>91</v>
      </c>
      <c r="CPM25" s="68"/>
      <c r="CPN25" s="69"/>
      <c r="CPO25" s="273">
        <v>0</v>
      </c>
      <c r="CPP25" s="249"/>
      <c r="CPQ25" s="67" t="s">
        <v>91</v>
      </c>
      <c r="CPR25" s="68"/>
      <c r="CPS25" s="69"/>
      <c r="CPT25" s="273">
        <v>0</v>
      </c>
      <c r="CPU25" s="249"/>
      <c r="CPV25" s="67" t="s">
        <v>91</v>
      </c>
      <c r="CPW25" s="68"/>
      <c r="CPX25" s="69"/>
      <c r="CPY25" s="273">
        <v>0</v>
      </c>
      <c r="CPZ25" s="249"/>
      <c r="CQA25" s="67" t="s">
        <v>91</v>
      </c>
      <c r="CQB25" s="68"/>
      <c r="CQC25" s="69"/>
      <c r="CQD25" s="273">
        <v>0</v>
      </c>
      <c r="CQE25" s="249"/>
      <c r="CQF25" s="67" t="s">
        <v>91</v>
      </c>
      <c r="CQG25" s="68"/>
      <c r="CQH25" s="69"/>
      <c r="CQI25" s="273" t="s">
        <v>41</v>
      </c>
      <c r="CQJ25" s="249"/>
      <c r="CQK25" s="67" t="s">
        <v>91</v>
      </c>
      <c r="CQL25" s="68"/>
      <c r="CQM25" s="69"/>
      <c r="CQN25" s="273" t="s">
        <v>41</v>
      </c>
      <c r="CQO25" s="249"/>
      <c r="CQP25" s="67" t="s">
        <v>91</v>
      </c>
      <c r="CQQ25" s="68"/>
      <c r="CQR25" s="69"/>
      <c r="CQS25" s="273" t="s">
        <v>41</v>
      </c>
      <c r="CQT25" s="249"/>
      <c r="CQU25" s="67" t="s">
        <v>91</v>
      </c>
      <c r="CQV25" s="68"/>
      <c r="CQW25" s="69"/>
      <c r="CQX25" s="273" t="s">
        <v>41</v>
      </c>
      <c r="CQY25" s="249"/>
      <c r="CQZ25" s="67" t="s">
        <v>91</v>
      </c>
      <c r="CRA25" s="68"/>
      <c r="CRB25" s="69"/>
      <c r="CRC25" s="273" t="s">
        <v>41</v>
      </c>
      <c r="CRD25" s="249"/>
      <c r="CRE25" s="10" t="s">
        <v>11</v>
      </c>
      <c r="CRF25" s="4"/>
      <c r="CRG25" s="5"/>
      <c r="CRH25" s="315" t="s">
        <v>31</v>
      </c>
      <c r="CRI25" s="316"/>
      <c r="CRJ25" s="10" t="s">
        <v>11</v>
      </c>
      <c r="CRK25" s="4"/>
      <c r="CRL25" s="5"/>
      <c r="CRM25" s="315" t="s">
        <v>31</v>
      </c>
      <c r="CRN25" s="316"/>
      <c r="CRO25" s="10" t="s">
        <v>11</v>
      </c>
      <c r="CRP25" s="4"/>
      <c r="CRQ25" s="5"/>
      <c r="CRR25" s="315" t="s">
        <v>31</v>
      </c>
      <c r="CRS25" s="316"/>
      <c r="CRT25" s="10" t="s">
        <v>11</v>
      </c>
      <c r="CRU25" s="4"/>
      <c r="CRV25" s="5"/>
      <c r="CRW25" s="315" t="s">
        <v>31</v>
      </c>
      <c r="CRX25" s="316"/>
      <c r="CRY25" s="10" t="s">
        <v>11</v>
      </c>
      <c r="CRZ25" s="4"/>
      <c r="CSA25" s="5"/>
      <c r="CSB25" s="17" t="s">
        <v>31</v>
      </c>
      <c r="CSC25" s="10" t="s">
        <v>11</v>
      </c>
      <c r="CSD25" s="4"/>
      <c r="CSE25" s="5"/>
      <c r="CSF25" s="17" t="s">
        <v>61</v>
      </c>
      <c r="CSG25" s="10" t="s">
        <v>11</v>
      </c>
      <c r="CSH25" s="4"/>
      <c r="CSI25" s="5"/>
      <c r="CSJ25" s="17" t="s">
        <v>31</v>
      </c>
      <c r="CSK25" s="10" t="s">
        <v>11</v>
      </c>
      <c r="CSL25" s="4"/>
      <c r="CSM25" s="5"/>
      <c r="CSN25" s="17" t="s">
        <v>31</v>
      </c>
      <c r="CSO25" s="10" t="s">
        <v>11</v>
      </c>
      <c r="CSP25" s="4"/>
      <c r="CSQ25" s="5"/>
      <c r="CSR25" s="17" t="s">
        <v>31</v>
      </c>
      <c r="CSS25" s="10" t="s">
        <v>11</v>
      </c>
      <c r="CST25" s="4"/>
      <c r="CSU25" s="5"/>
      <c r="CSV25" s="17" t="s">
        <v>61</v>
      </c>
      <c r="CSW25" s="10" t="s">
        <v>11</v>
      </c>
      <c r="CSX25" s="4"/>
      <c r="CSY25" s="5"/>
      <c r="CSZ25" s="17" t="s">
        <v>31</v>
      </c>
      <c r="CTA25" s="10" t="s">
        <v>11</v>
      </c>
      <c r="CTB25" s="4"/>
      <c r="CTC25" s="5"/>
      <c r="CTD25" s="17" t="s">
        <v>31</v>
      </c>
      <c r="CTE25" s="10" t="s">
        <v>11</v>
      </c>
      <c r="CTF25" s="4"/>
      <c r="CTG25" s="5"/>
      <c r="CTH25" s="17" t="s">
        <v>31</v>
      </c>
      <c r="CTI25" s="10" t="s">
        <v>11</v>
      </c>
      <c r="CTJ25" s="4"/>
      <c r="CTK25" s="5"/>
      <c r="CTL25" s="17" t="s">
        <v>61</v>
      </c>
      <c r="CTM25" s="10" t="s">
        <v>11</v>
      </c>
      <c r="CTN25" s="4"/>
      <c r="CTO25" s="5"/>
      <c r="CTP25" s="17" t="s">
        <v>31</v>
      </c>
      <c r="CTQ25" s="10" t="s">
        <v>11</v>
      </c>
      <c r="CTR25" s="4"/>
      <c r="CTS25" s="5"/>
      <c r="CTT25" s="17" t="s">
        <v>31</v>
      </c>
      <c r="CTU25" s="10" t="s">
        <v>11</v>
      </c>
      <c r="CTV25" s="4"/>
      <c r="CTW25" s="5"/>
      <c r="CTX25" s="17" t="s">
        <v>31</v>
      </c>
      <c r="CTY25" s="10" t="s">
        <v>11</v>
      </c>
      <c r="CTZ25" s="4"/>
      <c r="CUA25" s="5"/>
      <c r="CUB25" s="17" t="s">
        <v>31</v>
      </c>
      <c r="CUC25" s="10" t="s">
        <v>11</v>
      </c>
      <c r="CUD25" s="4"/>
      <c r="CUE25" s="5"/>
      <c r="CUF25" s="17" t="s">
        <v>61</v>
      </c>
      <c r="CUG25" s="10" t="s">
        <v>11</v>
      </c>
      <c r="CUH25" s="4"/>
      <c r="CUI25" s="5"/>
      <c r="CUJ25" s="17" t="s">
        <v>31</v>
      </c>
      <c r="CUK25" s="10" t="s">
        <v>11</v>
      </c>
      <c r="CUL25" s="4"/>
      <c r="CUM25" s="5"/>
      <c r="CUN25" s="17" t="s">
        <v>31</v>
      </c>
      <c r="CUO25" s="10" t="s">
        <v>11</v>
      </c>
      <c r="CUP25" s="4"/>
      <c r="CUQ25" s="5"/>
      <c r="CUR25" s="17" t="s">
        <v>31</v>
      </c>
      <c r="CUS25" s="10" t="s">
        <v>11</v>
      </c>
      <c r="CUT25" s="4"/>
      <c r="CUU25" s="5"/>
      <c r="CUV25" s="17" t="s">
        <v>61</v>
      </c>
      <c r="CUW25" s="10" t="s">
        <v>11</v>
      </c>
      <c r="CUX25" s="4"/>
      <c r="CUY25" s="5"/>
      <c r="CUZ25" s="17" t="s">
        <v>31</v>
      </c>
      <c r="CVA25" s="10" t="s">
        <v>11</v>
      </c>
      <c r="CVB25" s="4"/>
      <c r="CVC25" s="5"/>
      <c r="CVD25" s="17" t="s">
        <v>31</v>
      </c>
      <c r="CVE25" s="10" t="s">
        <v>11</v>
      </c>
      <c r="CVF25" s="4"/>
      <c r="CVG25" s="5"/>
      <c r="CVH25" s="17"/>
      <c r="CVI25" s="10" t="s">
        <v>11</v>
      </c>
      <c r="CVJ25" s="4"/>
      <c r="CVK25" s="5"/>
      <c r="CVL25" s="17" t="s">
        <v>31</v>
      </c>
      <c r="CVM25" s="10" t="s">
        <v>11</v>
      </c>
      <c r="CVN25" s="4"/>
      <c r="CVO25" s="5"/>
      <c r="CVP25" s="17" t="s">
        <v>31</v>
      </c>
      <c r="CVQ25" s="10" t="s">
        <v>11</v>
      </c>
      <c r="CVR25" s="4"/>
      <c r="CVS25" s="5"/>
      <c r="CVT25" s="17" t="s">
        <v>31</v>
      </c>
      <c r="CVU25" s="10" t="s">
        <v>11</v>
      </c>
      <c r="CVV25" s="4"/>
      <c r="CVW25" s="5"/>
      <c r="CVX25" s="17"/>
      <c r="CVY25" s="10" t="s">
        <v>11</v>
      </c>
      <c r="CVZ25" s="4"/>
      <c r="CWA25" s="5"/>
      <c r="CWB25" s="17" t="s">
        <v>61</v>
      </c>
      <c r="CWC25" s="10" t="s">
        <v>11</v>
      </c>
      <c r="CWD25" s="4"/>
      <c r="CWE25" s="5"/>
      <c r="CWF25" s="17" t="s">
        <v>31</v>
      </c>
      <c r="CWG25" s="10" t="s">
        <v>11</v>
      </c>
      <c r="CWH25" s="4"/>
      <c r="CWI25" s="5"/>
      <c r="CWJ25" s="17" t="s">
        <v>31</v>
      </c>
      <c r="CWK25" s="10" t="s">
        <v>11</v>
      </c>
      <c r="CWL25" s="4"/>
      <c r="CWM25" s="5"/>
      <c r="CWN25" s="17" t="s">
        <v>31</v>
      </c>
      <c r="CWO25" s="10" t="s">
        <v>11</v>
      </c>
      <c r="CWP25" s="4"/>
      <c r="CWQ25" s="5"/>
      <c r="CWR25" s="17" t="s">
        <v>31</v>
      </c>
      <c r="CWS25" s="10" t="s">
        <v>11</v>
      </c>
      <c r="CWT25" s="4"/>
      <c r="CWU25" s="5"/>
      <c r="CWV25" s="17"/>
      <c r="CWW25" s="10" t="s">
        <v>11</v>
      </c>
      <c r="CWX25" s="4"/>
      <c r="CWY25" s="5"/>
      <c r="CWZ25" s="17" t="s">
        <v>31</v>
      </c>
      <c r="CXA25" s="43" t="s">
        <v>11</v>
      </c>
      <c r="CXB25" s="44"/>
      <c r="CXC25" s="45"/>
      <c r="CXD25" s="46" t="s">
        <v>31</v>
      </c>
      <c r="CXE25" s="43" t="s">
        <v>11</v>
      </c>
      <c r="CXF25" s="44"/>
      <c r="CXG25" s="45"/>
      <c r="CXH25" s="46" t="s">
        <v>31</v>
      </c>
      <c r="CXI25" s="43" t="s">
        <v>11</v>
      </c>
      <c r="CXJ25" s="44"/>
      <c r="CXK25" s="45"/>
      <c r="CXL25" s="46" t="s">
        <v>31</v>
      </c>
      <c r="CXM25" s="43" t="s">
        <v>11</v>
      </c>
      <c r="CXN25" s="44"/>
      <c r="CXO25" s="45"/>
      <c r="CXP25" s="46" t="s">
        <v>31</v>
      </c>
      <c r="CXQ25" s="43" t="s">
        <v>11</v>
      </c>
      <c r="CXR25" s="44"/>
      <c r="CXS25" s="45"/>
      <c r="CXT25" s="46" t="s">
        <v>31</v>
      </c>
      <c r="CXU25" s="26" t="s">
        <v>11</v>
      </c>
      <c r="CXX25" s="26" t="s">
        <v>31</v>
      </c>
      <c r="CXY25" s="26" t="s">
        <v>11</v>
      </c>
      <c r="CYB25" s="26" t="s">
        <v>31</v>
      </c>
      <c r="CYC25" s="26" t="s">
        <v>11</v>
      </c>
      <c r="CYF25" s="26" t="s">
        <v>31</v>
      </c>
      <c r="CYG25" s="26" t="s">
        <v>13</v>
      </c>
      <c r="CYJ25" s="26" t="s">
        <v>31</v>
      </c>
      <c r="CYK25" s="26" t="s">
        <v>13</v>
      </c>
      <c r="CYN25" s="26" t="s">
        <v>31</v>
      </c>
      <c r="CYO25" s="26" t="s">
        <v>13</v>
      </c>
      <c r="CYR25" s="26" t="s">
        <v>31</v>
      </c>
      <c r="CYS25" s="26" t="s">
        <v>13</v>
      </c>
      <c r="CYV25" s="26" t="s">
        <v>31</v>
      </c>
      <c r="CYW25" s="26" t="s">
        <v>13</v>
      </c>
      <c r="CYZ25" s="26" t="s">
        <v>31</v>
      </c>
      <c r="CZA25" s="26" t="s">
        <v>13</v>
      </c>
      <c r="CZD25" s="26" t="s">
        <v>31</v>
      </c>
      <c r="CZE25" s="26" t="s">
        <v>13</v>
      </c>
      <c r="CZH25" s="26" t="s">
        <v>31</v>
      </c>
      <c r="CZI25" s="26" t="s">
        <v>13</v>
      </c>
      <c r="CZL25" s="26" t="s">
        <v>31</v>
      </c>
      <c r="CZM25" s="26" t="s">
        <v>13</v>
      </c>
      <c r="CZP25" s="26" t="s">
        <v>31</v>
      </c>
      <c r="CZQ25" s="26" t="s">
        <v>13</v>
      </c>
      <c r="CZT25" s="26" t="s">
        <v>31</v>
      </c>
      <c r="CZU25" s="26" t="s">
        <v>13</v>
      </c>
      <c r="CZX25" s="26" t="s">
        <v>31</v>
      </c>
      <c r="CZY25" s="26" t="s">
        <v>13</v>
      </c>
      <c r="DAB25" s="26" t="s">
        <v>31</v>
      </c>
      <c r="DAC25" s="26" t="s">
        <v>13</v>
      </c>
      <c r="DAF25" s="26" t="s">
        <v>31</v>
      </c>
      <c r="DAG25" s="26" t="s">
        <v>13</v>
      </c>
      <c r="DAJ25" s="26" t="s">
        <v>31</v>
      </c>
      <c r="DAK25" s="26" t="s">
        <v>13</v>
      </c>
      <c r="DAN25" s="26" t="s">
        <v>31</v>
      </c>
      <c r="DAO25" s="26" t="s">
        <v>13</v>
      </c>
      <c r="DAR25" s="26" t="s">
        <v>31</v>
      </c>
      <c r="DAS25" s="26" t="s">
        <v>13</v>
      </c>
      <c r="DAV25" s="26" t="s">
        <v>31</v>
      </c>
      <c r="DAW25" s="26" t="s">
        <v>13</v>
      </c>
      <c r="DAZ25" s="26" t="s">
        <v>31</v>
      </c>
      <c r="DBA25" s="26" t="s">
        <v>13</v>
      </c>
      <c r="DBD25" s="26" t="s">
        <v>31</v>
      </c>
      <c r="DBE25" s="26" t="s">
        <v>13</v>
      </c>
      <c r="DBH25" s="26" t="s">
        <v>31</v>
      </c>
      <c r="DBI25" s="26" t="s">
        <v>13</v>
      </c>
      <c r="DBL25" s="26" t="s">
        <v>31</v>
      </c>
      <c r="DBM25" s="26" t="s">
        <v>13</v>
      </c>
      <c r="DBP25" s="26" t="s">
        <v>31</v>
      </c>
      <c r="DBQ25" s="26" t="s">
        <v>13</v>
      </c>
      <c r="DBT25" s="26" t="s">
        <v>31</v>
      </c>
      <c r="DBU25" s="26" t="s">
        <v>13</v>
      </c>
      <c r="DBX25" s="26" t="s">
        <v>31</v>
      </c>
      <c r="DBY25" s="26" t="s">
        <v>13</v>
      </c>
      <c r="DCB25" s="26" t="s">
        <v>31</v>
      </c>
      <c r="DCC25" s="26" t="s">
        <v>13</v>
      </c>
      <c r="DCF25" s="26" t="s">
        <v>31</v>
      </c>
      <c r="DCG25" s="26" t="s">
        <v>13</v>
      </c>
      <c r="DCJ25" s="26" t="s">
        <v>31</v>
      </c>
      <c r="DCK25" s="26" t="s">
        <v>13</v>
      </c>
      <c r="DCN25" s="26" t="s">
        <v>31</v>
      </c>
      <c r="DCO25" s="26" t="s">
        <v>13</v>
      </c>
      <c r="DCR25" s="26" t="s">
        <v>31</v>
      </c>
      <c r="DCS25" s="26" t="s">
        <v>13</v>
      </c>
      <c r="DCV25" s="26" t="s">
        <v>31</v>
      </c>
      <c r="DCW25" s="26" t="s">
        <v>13</v>
      </c>
      <c r="DCZ25" s="26" t="s">
        <v>31</v>
      </c>
      <c r="DDA25" s="26" t="s">
        <v>13</v>
      </c>
      <c r="DDD25" s="26" t="s">
        <v>31</v>
      </c>
      <c r="DDE25" s="26" t="s">
        <v>14</v>
      </c>
      <c r="DDH25" s="26" t="s">
        <v>31</v>
      </c>
      <c r="DDI25" s="26" t="s">
        <v>14</v>
      </c>
      <c r="DDL25" s="26" t="s">
        <v>31</v>
      </c>
      <c r="DDM25" s="26" t="s">
        <v>14</v>
      </c>
      <c r="DDP25" s="26" t="s">
        <v>31</v>
      </c>
      <c r="DDQ25" s="26" t="s">
        <v>15</v>
      </c>
      <c r="DDT25" s="26" t="s">
        <v>32</v>
      </c>
    </row>
    <row r="26" spans="1:2828" ht="15.6" x14ac:dyDescent="0.3">
      <c r="A26" s="67" t="s">
        <v>290</v>
      </c>
      <c r="B26" s="68"/>
      <c r="C26" s="69"/>
      <c r="D26" s="250" t="s">
        <v>543</v>
      </c>
      <c r="E26" s="251"/>
      <c r="F26" s="67" t="s">
        <v>290</v>
      </c>
      <c r="G26" s="68"/>
      <c r="H26" s="69"/>
      <c r="I26" s="250" t="s">
        <v>212</v>
      </c>
      <c r="J26" s="251"/>
      <c r="K26" s="67" t="s">
        <v>290</v>
      </c>
      <c r="L26" s="68"/>
      <c r="M26" s="69"/>
      <c r="N26" s="250" t="s">
        <v>212</v>
      </c>
      <c r="O26" s="251"/>
      <c r="P26" s="67" t="s">
        <v>290</v>
      </c>
      <c r="Q26" s="68"/>
      <c r="R26" s="69"/>
      <c r="S26" s="250" t="s">
        <v>212</v>
      </c>
      <c r="T26" s="251"/>
      <c r="U26" s="67" t="s">
        <v>290</v>
      </c>
      <c r="V26" s="68"/>
      <c r="W26" s="69"/>
      <c r="X26" s="250" t="s">
        <v>212</v>
      </c>
      <c r="Y26" s="251"/>
      <c r="Z26" s="67" t="s">
        <v>290</v>
      </c>
      <c r="AA26" s="68"/>
      <c r="AB26" s="69"/>
      <c r="AC26" s="250" t="s">
        <v>212</v>
      </c>
      <c r="AD26" s="251"/>
      <c r="AE26" s="67" t="s">
        <v>290</v>
      </c>
      <c r="AF26" s="68"/>
      <c r="AG26" s="69"/>
      <c r="AH26" s="250" t="s">
        <v>212</v>
      </c>
      <c r="AI26" s="251"/>
      <c r="AJ26" s="67" t="s">
        <v>290</v>
      </c>
      <c r="AK26" s="68"/>
      <c r="AL26" s="69"/>
      <c r="AM26" s="250" t="s">
        <v>303</v>
      </c>
      <c r="AN26" s="251"/>
      <c r="AO26" s="67" t="s">
        <v>290</v>
      </c>
      <c r="AP26" s="68"/>
      <c r="AQ26" s="69"/>
      <c r="AR26" s="250" t="s">
        <v>212</v>
      </c>
      <c r="AS26" s="251"/>
      <c r="AT26" s="67" t="s">
        <v>290</v>
      </c>
      <c r="AU26" s="68"/>
      <c r="AV26" s="69"/>
      <c r="AW26" s="250" t="s">
        <v>212</v>
      </c>
      <c r="AX26" s="251"/>
      <c r="AY26" s="67" t="s">
        <v>290</v>
      </c>
      <c r="AZ26" s="68"/>
      <c r="BA26" s="69"/>
      <c r="BB26" s="250" t="s">
        <v>212</v>
      </c>
      <c r="BC26" s="251"/>
      <c r="BD26" s="67" t="s">
        <v>290</v>
      </c>
      <c r="BE26" s="68"/>
      <c r="BF26" s="69"/>
      <c r="BG26" s="250" t="s">
        <v>212</v>
      </c>
      <c r="BH26" s="251"/>
      <c r="BI26" s="67" t="s">
        <v>290</v>
      </c>
      <c r="BJ26" s="68"/>
      <c r="BK26" s="69"/>
      <c r="BL26" s="250" t="s">
        <v>212</v>
      </c>
      <c r="BM26" s="251"/>
      <c r="BN26" s="67" t="s">
        <v>290</v>
      </c>
      <c r="BO26" s="68"/>
      <c r="BP26" s="69"/>
      <c r="BQ26" s="250" t="s">
        <v>212</v>
      </c>
      <c r="BR26" s="251"/>
      <c r="BS26" s="67" t="s">
        <v>290</v>
      </c>
      <c r="BT26" s="68"/>
      <c r="BU26" s="69"/>
      <c r="BV26" s="250" t="s">
        <v>212</v>
      </c>
      <c r="BW26" s="251"/>
      <c r="BX26" s="67" t="s">
        <v>290</v>
      </c>
      <c r="BY26" s="68"/>
      <c r="BZ26" s="69"/>
      <c r="CA26" s="250" t="s">
        <v>212</v>
      </c>
      <c r="CB26" s="251"/>
      <c r="CC26" s="67" t="s">
        <v>290</v>
      </c>
      <c r="CD26" s="68"/>
      <c r="CE26" s="69"/>
      <c r="CF26" s="250" t="s">
        <v>212</v>
      </c>
      <c r="CG26" s="251"/>
      <c r="CH26" s="67" t="s">
        <v>290</v>
      </c>
      <c r="CI26" s="68"/>
      <c r="CJ26" s="69"/>
      <c r="CK26" s="250" t="s">
        <v>212</v>
      </c>
      <c r="CL26" s="251"/>
      <c r="CM26" s="67" t="s">
        <v>290</v>
      </c>
      <c r="CN26" s="68"/>
      <c r="CO26" s="69"/>
      <c r="CP26" s="250" t="s">
        <v>212</v>
      </c>
      <c r="CQ26" s="251"/>
      <c r="CR26" s="67" t="s">
        <v>290</v>
      </c>
      <c r="CS26" s="68"/>
      <c r="CT26" s="69"/>
      <c r="CU26" s="250" t="s">
        <v>212</v>
      </c>
      <c r="CV26" s="251"/>
      <c r="CW26" s="67" t="s">
        <v>290</v>
      </c>
      <c r="CX26" s="68"/>
      <c r="CY26" s="69"/>
      <c r="CZ26" s="250" t="s">
        <v>212</v>
      </c>
      <c r="DA26" s="251"/>
      <c r="DB26" s="67" t="s">
        <v>290</v>
      </c>
      <c r="DC26" s="68"/>
      <c r="DD26" s="69"/>
      <c r="DE26" s="250" t="s">
        <v>212</v>
      </c>
      <c r="DF26" s="251"/>
      <c r="DG26" s="67" t="s">
        <v>290</v>
      </c>
      <c r="DH26" s="68"/>
      <c r="DI26" s="69"/>
      <c r="DJ26" s="250" t="s">
        <v>212</v>
      </c>
      <c r="DK26" s="251"/>
      <c r="DL26" s="67" t="s">
        <v>290</v>
      </c>
      <c r="DM26" s="68"/>
      <c r="DN26" s="69"/>
      <c r="DO26" s="250" t="s">
        <v>212</v>
      </c>
      <c r="DP26" s="251"/>
      <c r="DQ26" s="67" t="s">
        <v>290</v>
      </c>
      <c r="DR26" s="68"/>
      <c r="DS26" s="69"/>
      <c r="DT26" s="250" t="s">
        <v>212</v>
      </c>
      <c r="DU26" s="251"/>
      <c r="DV26" s="67" t="s">
        <v>290</v>
      </c>
      <c r="DW26" s="68"/>
      <c r="DX26" s="69"/>
      <c r="DY26" s="250" t="s">
        <v>212</v>
      </c>
      <c r="DZ26" s="251"/>
      <c r="EA26" s="67" t="s">
        <v>290</v>
      </c>
      <c r="EB26" s="68"/>
      <c r="EC26" s="69"/>
      <c r="ED26" s="250" t="s">
        <v>212</v>
      </c>
      <c r="EE26" s="251"/>
      <c r="EF26" s="67" t="s">
        <v>290</v>
      </c>
      <c r="EG26" s="68"/>
      <c r="EH26" s="69"/>
      <c r="EI26" s="250" t="s">
        <v>212</v>
      </c>
      <c r="EJ26" s="251"/>
      <c r="EK26" s="67" t="s">
        <v>290</v>
      </c>
      <c r="EL26" s="68"/>
      <c r="EM26" s="69"/>
      <c r="EN26" s="250" t="s">
        <v>212</v>
      </c>
      <c r="EO26" s="251"/>
      <c r="EP26" s="67" t="s">
        <v>290</v>
      </c>
      <c r="EQ26" s="68"/>
      <c r="ER26" s="69"/>
      <c r="ES26" s="250" t="s">
        <v>218</v>
      </c>
      <c r="ET26" s="251"/>
      <c r="EU26" s="67" t="s">
        <v>290</v>
      </c>
      <c r="EV26" s="68"/>
      <c r="EW26" s="69"/>
      <c r="EX26" s="250" t="s">
        <v>212</v>
      </c>
      <c r="EY26" s="251"/>
      <c r="EZ26" s="67" t="s">
        <v>290</v>
      </c>
      <c r="FA26" s="68"/>
      <c r="FB26" s="69"/>
      <c r="FC26" s="250" t="s">
        <v>212</v>
      </c>
      <c r="FD26" s="251"/>
      <c r="FE26" s="67" t="s">
        <v>290</v>
      </c>
      <c r="FF26" s="68"/>
      <c r="FG26" s="69"/>
      <c r="FH26" s="250" t="s">
        <v>212</v>
      </c>
      <c r="FI26" s="251"/>
      <c r="FJ26" s="67" t="s">
        <v>290</v>
      </c>
      <c r="FK26" s="68"/>
      <c r="FL26" s="69"/>
      <c r="FM26" s="250" t="s">
        <v>212</v>
      </c>
      <c r="FN26" s="251"/>
      <c r="FO26" s="67" t="s">
        <v>290</v>
      </c>
      <c r="FP26" s="68"/>
      <c r="FQ26" s="69"/>
      <c r="FR26" s="250" t="s">
        <v>218</v>
      </c>
      <c r="FS26" s="251"/>
      <c r="FT26" s="67" t="s">
        <v>290</v>
      </c>
      <c r="FU26" s="68"/>
      <c r="FV26" s="69"/>
      <c r="FW26" s="250" t="s">
        <v>212</v>
      </c>
      <c r="FX26" s="251"/>
      <c r="FY26" s="67" t="s">
        <v>290</v>
      </c>
      <c r="FZ26" s="68"/>
      <c r="GA26" s="69"/>
      <c r="GB26" s="250" t="s">
        <v>212</v>
      </c>
      <c r="GC26" s="251"/>
      <c r="GD26" s="67" t="s">
        <v>290</v>
      </c>
      <c r="GE26" s="68"/>
      <c r="GF26" s="69"/>
      <c r="GG26" s="250" t="s">
        <v>212</v>
      </c>
      <c r="GH26" s="251"/>
      <c r="GI26" s="67" t="s">
        <v>290</v>
      </c>
      <c r="GJ26" s="68"/>
      <c r="GK26" s="69"/>
      <c r="GL26" s="250" t="s">
        <v>212</v>
      </c>
      <c r="GM26" s="251"/>
      <c r="GN26" s="67" t="s">
        <v>290</v>
      </c>
      <c r="GO26" s="68"/>
      <c r="GP26" s="69"/>
      <c r="GQ26" s="250" t="s">
        <v>212</v>
      </c>
      <c r="GR26" s="251"/>
      <c r="GS26" s="67" t="s">
        <v>290</v>
      </c>
      <c r="GT26" s="68"/>
      <c r="GU26" s="69"/>
      <c r="GV26" s="250" t="s">
        <v>212</v>
      </c>
      <c r="GW26" s="251"/>
      <c r="GX26" s="67" t="s">
        <v>290</v>
      </c>
      <c r="GY26" s="68"/>
      <c r="GZ26" s="69"/>
      <c r="HA26" s="250" t="s">
        <v>212</v>
      </c>
      <c r="HB26" s="251"/>
      <c r="HC26" s="67" t="s">
        <v>290</v>
      </c>
      <c r="HD26" s="68"/>
      <c r="HE26" s="69"/>
      <c r="HF26" s="250" t="s">
        <v>212</v>
      </c>
      <c r="HG26" s="251"/>
      <c r="HH26" s="67" t="s">
        <v>290</v>
      </c>
      <c r="HI26" s="68"/>
      <c r="HJ26" s="69"/>
      <c r="HK26" s="250" t="s">
        <v>212</v>
      </c>
      <c r="HL26" s="251"/>
      <c r="HM26" s="67" t="s">
        <v>290</v>
      </c>
      <c r="HN26" s="68"/>
      <c r="HO26" s="69"/>
      <c r="HP26" s="250" t="s">
        <v>220</v>
      </c>
      <c r="HQ26" s="251"/>
      <c r="HR26" s="67" t="s">
        <v>290</v>
      </c>
      <c r="HS26" s="68"/>
      <c r="HT26" s="69"/>
      <c r="HU26" s="250" t="s">
        <v>253</v>
      </c>
      <c r="HV26" s="251"/>
      <c r="HW26" s="67" t="s">
        <v>290</v>
      </c>
      <c r="HX26" s="68"/>
      <c r="HY26" s="69"/>
      <c r="HZ26" s="250" t="s">
        <v>220</v>
      </c>
      <c r="IA26" s="251"/>
      <c r="IB26" s="67" t="s">
        <v>290</v>
      </c>
      <c r="IC26" s="68"/>
      <c r="ID26" s="69"/>
      <c r="IE26" s="250" t="s">
        <v>212</v>
      </c>
      <c r="IF26" s="251"/>
      <c r="IG26" s="67" t="s">
        <v>290</v>
      </c>
      <c r="IH26" s="68"/>
      <c r="II26" s="69"/>
      <c r="IJ26" s="250" t="s">
        <v>218</v>
      </c>
      <c r="IK26" s="251"/>
      <c r="IL26" s="67" t="s">
        <v>290</v>
      </c>
      <c r="IM26" s="68"/>
      <c r="IN26" s="69"/>
      <c r="IO26" s="250" t="s">
        <v>212</v>
      </c>
      <c r="IP26" s="251"/>
      <c r="IQ26" s="67" t="s">
        <v>290</v>
      </c>
      <c r="IR26" s="68"/>
      <c r="IS26" s="69"/>
      <c r="IT26" s="250" t="s">
        <v>238</v>
      </c>
      <c r="IU26" s="251"/>
      <c r="IV26" s="67" t="s">
        <v>290</v>
      </c>
      <c r="IW26" s="68"/>
      <c r="IX26" s="69"/>
      <c r="IY26" s="250" t="s">
        <v>212</v>
      </c>
      <c r="IZ26" s="251"/>
      <c r="JA26" s="67" t="s">
        <v>290</v>
      </c>
      <c r="JB26" s="68"/>
      <c r="JC26" s="69"/>
      <c r="JD26" s="250" t="s">
        <v>212</v>
      </c>
      <c r="JE26" s="251"/>
      <c r="JF26" s="67" t="s">
        <v>290</v>
      </c>
      <c r="JG26" s="68"/>
      <c r="JH26" s="69"/>
      <c r="JI26" s="250" t="s">
        <v>212</v>
      </c>
      <c r="JJ26" s="251"/>
      <c r="JK26" s="67" t="s">
        <v>290</v>
      </c>
      <c r="JL26" s="68"/>
      <c r="JM26" s="69"/>
      <c r="JN26" s="250" t="s">
        <v>212</v>
      </c>
      <c r="JO26" s="251"/>
      <c r="JP26" s="67" t="s">
        <v>290</v>
      </c>
      <c r="JQ26" s="68"/>
      <c r="JR26" s="69"/>
      <c r="JS26" s="250" t="s">
        <v>212</v>
      </c>
      <c r="JT26" s="251"/>
      <c r="JU26" s="67" t="s">
        <v>290</v>
      </c>
      <c r="JV26" s="68"/>
      <c r="JW26" s="69"/>
      <c r="JX26" s="250" t="s">
        <v>212</v>
      </c>
      <c r="JY26" s="251"/>
      <c r="JZ26" s="67" t="s">
        <v>290</v>
      </c>
      <c r="KA26" s="68"/>
      <c r="KB26" s="69"/>
      <c r="KC26" s="250" t="s">
        <v>212</v>
      </c>
      <c r="KD26" s="251"/>
      <c r="KE26" s="67" t="s">
        <v>290</v>
      </c>
      <c r="KF26" s="68"/>
      <c r="KG26" s="69"/>
      <c r="KH26" s="250" t="s">
        <v>212</v>
      </c>
      <c r="KI26" s="251"/>
      <c r="KJ26" s="67" t="s">
        <v>290</v>
      </c>
      <c r="KK26" s="68"/>
      <c r="KL26" s="69"/>
      <c r="KM26" s="250" t="s">
        <v>212</v>
      </c>
      <c r="KN26" s="251"/>
      <c r="KO26" s="67" t="s">
        <v>290</v>
      </c>
      <c r="KP26" s="68"/>
      <c r="KQ26" s="69"/>
      <c r="KR26" s="250" t="s">
        <v>212</v>
      </c>
      <c r="KS26" s="251"/>
      <c r="KT26" s="67" t="s">
        <v>290</v>
      </c>
      <c r="KU26" s="68"/>
      <c r="KV26" s="69"/>
      <c r="KW26" s="250" t="s">
        <v>212</v>
      </c>
      <c r="KX26" s="251"/>
      <c r="KY26" s="67" t="s">
        <v>290</v>
      </c>
      <c r="KZ26" s="68"/>
      <c r="LA26" s="69"/>
      <c r="LB26" s="250" t="s">
        <v>218</v>
      </c>
      <c r="LC26" s="251"/>
      <c r="LD26" s="67" t="s">
        <v>290</v>
      </c>
      <c r="LE26" s="68"/>
      <c r="LF26" s="69"/>
      <c r="LG26" s="250" t="s">
        <v>253</v>
      </c>
      <c r="LH26" s="251"/>
      <c r="LI26" s="67" t="s">
        <v>290</v>
      </c>
      <c r="LJ26" s="68"/>
      <c r="LK26" s="69"/>
      <c r="LL26" s="250" t="s">
        <v>238</v>
      </c>
      <c r="LM26" s="251"/>
      <c r="LN26" s="67" t="s">
        <v>290</v>
      </c>
      <c r="LO26" s="68"/>
      <c r="LP26" s="69"/>
      <c r="LQ26" s="250" t="s">
        <v>212</v>
      </c>
      <c r="LR26" s="251"/>
      <c r="LS26" s="67" t="s">
        <v>290</v>
      </c>
      <c r="LT26" s="68"/>
      <c r="LU26" s="69"/>
      <c r="LV26" s="250" t="s">
        <v>220</v>
      </c>
      <c r="LW26" s="251"/>
      <c r="LX26" s="67" t="s">
        <v>290</v>
      </c>
      <c r="LY26" s="68"/>
      <c r="LZ26" s="69"/>
      <c r="MA26" s="250" t="s">
        <v>292</v>
      </c>
      <c r="MB26" s="251"/>
      <c r="MC26" s="67" t="s">
        <v>290</v>
      </c>
      <c r="MD26" s="68"/>
      <c r="ME26" s="69"/>
      <c r="MF26" s="250" t="s">
        <v>303</v>
      </c>
      <c r="MG26" s="251"/>
      <c r="MH26" s="67" t="s">
        <v>290</v>
      </c>
      <c r="MI26" s="68"/>
      <c r="MJ26" s="69"/>
      <c r="MK26" s="250" t="s">
        <v>205</v>
      </c>
      <c r="ML26" s="251"/>
      <c r="MM26" s="67" t="s">
        <v>290</v>
      </c>
      <c r="MN26" s="68"/>
      <c r="MO26" s="69"/>
      <c r="MP26" s="250" t="s">
        <v>212</v>
      </c>
      <c r="MQ26" s="251"/>
      <c r="MR26" s="67" t="s">
        <v>290</v>
      </c>
      <c r="MS26" s="68"/>
      <c r="MT26" s="69"/>
      <c r="MU26" s="250" t="s">
        <v>212</v>
      </c>
      <c r="MV26" s="251"/>
      <c r="MW26" s="67" t="s">
        <v>290</v>
      </c>
      <c r="MX26" s="68"/>
      <c r="MY26" s="69"/>
      <c r="MZ26" s="250" t="s">
        <v>212</v>
      </c>
      <c r="NA26" s="251"/>
      <c r="NB26" s="67" t="s">
        <v>290</v>
      </c>
      <c r="NC26" s="68"/>
      <c r="ND26" s="69"/>
      <c r="NE26" s="250" t="s">
        <v>218</v>
      </c>
      <c r="NF26" s="251"/>
      <c r="NG26" s="67" t="s">
        <v>290</v>
      </c>
      <c r="NH26" s="68"/>
      <c r="NI26" s="69"/>
      <c r="NJ26" s="250" t="s">
        <v>220</v>
      </c>
      <c r="NK26" s="251"/>
      <c r="NL26" s="67" t="s">
        <v>290</v>
      </c>
      <c r="NM26" s="68"/>
      <c r="NN26" s="69"/>
      <c r="NO26" s="250" t="s">
        <v>253</v>
      </c>
      <c r="NP26" s="251"/>
      <c r="NQ26" s="67" t="s">
        <v>290</v>
      </c>
      <c r="NR26" s="68"/>
      <c r="NS26" s="69"/>
      <c r="NT26" s="250" t="s">
        <v>212</v>
      </c>
      <c r="NU26" s="251"/>
      <c r="NV26" s="67" t="s">
        <v>290</v>
      </c>
      <c r="NW26" s="68"/>
      <c r="NX26" s="69"/>
      <c r="NY26" s="250" t="s">
        <v>220</v>
      </c>
      <c r="NZ26" s="251"/>
      <c r="OA26" s="67" t="s">
        <v>290</v>
      </c>
      <c r="OB26" s="68"/>
      <c r="OC26" s="69"/>
      <c r="OD26" s="250" t="s">
        <v>253</v>
      </c>
      <c r="OE26" s="251"/>
      <c r="OF26" s="67" t="s">
        <v>290</v>
      </c>
      <c r="OG26" s="68"/>
      <c r="OH26" s="69"/>
      <c r="OI26" s="250" t="s">
        <v>253</v>
      </c>
      <c r="OJ26" s="251"/>
      <c r="OK26" s="67" t="s">
        <v>290</v>
      </c>
      <c r="OL26" s="68"/>
      <c r="OM26" s="69"/>
      <c r="ON26" s="250" t="s">
        <v>238</v>
      </c>
      <c r="OO26" s="251"/>
      <c r="OP26" s="67" t="s">
        <v>290</v>
      </c>
      <c r="OQ26" s="68"/>
      <c r="OR26" s="69"/>
      <c r="OS26" s="250" t="s">
        <v>212</v>
      </c>
      <c r="OT26" s="251"/>
      <c r="OU26" s="67" t="s">
        <v>290</v>
      </c>
      <c r="OV26" s="68"/>
      <c r="OW26" s="69"/>
      <c r="OX26" s="250" t="s">
        <v>220</v>
      </c>
      <c r="OY26" s="251"/>
      <c r="OZ26" s="67" t="s">
        <v>290</v>
      </c>
      <c r="PA26" s="68"/>
      <c r="PB26" s="69"/>
      <c r="PC26" s="250" t="s">
        <v>220</v>
      </c>
      <c r="PD26" s="251"/>
      <c r="PE26" s="67" t="s">
        <v>290</v>
      </c>
      <c r="PF26" s="68"/>
      <c r="PG26" s="69"/>
      <c r="PH26" s="250" t="s">
        <v>212</v>
      </c>
      <c r="PI26" s="251"/>
      <c r="PJ26" s="67" t="s">
        <v>290</v>
      </c>
      <c r="PK26" s="68"/>
      <c r="PL26" s="69"/>
      <c r="PM26" s="250" t="s">
        <v>212</v>
      </c>
      <c r="PN26" s="251"/>
      <c r="PO26" s="67" t="s">
        <v>290</v>
      </c>
      <c r="PP26" s="68"/>
      <c r="PQ26" s="69"/>
      <c r="PR26" s="250" t="s">
        <v>253</v>
      </c>
      <c r="PS26" s="251"/>
      <c r="PT26" s="67" t="s">
        <v>290</v>
      </c>
      <c r="PU26" s="68"/>
      <c r="PV26" s="69"/>
      <c r="PW26" s="250" t="s">
        <v>212</v>
      </c>
      <c r="PX26" s="251"/>
      <c r="PY26" s="67" t="s">
        <v>290</v>
      </c>
      <c r="PZ26" s="68"/>
      <c r="QA26" s="69"/>
      <c r="QB26" s="250" t="s">
        <v>220</v>
      </c>
      <c r="QC26" s="251"/>
      <c r="QD26" s="67" t="s">
        <v>290</v>
      </c>
      <c r="QE26" s="68"/>
      <c r="QF26" s="69"/>
      <c r="QG26" s="250" t="s">
        <v>220</v>
      </c>
      <c r="QH26" s="251"/>
      <c r="QI26" s="67" t="s">
        <v>290</v>
      </c>
      <c r="QJ26" s="68"/>
      <c r="QK26" s="69"/>
      <c r="QL26" s="250" t="s">
        <v>212</v>
      </c>
      <c r="QM26" s="251"/>
      <c r="QN26" s="67" t="s">
        <v>290</v>
      </c>
      <c r="QO26" s="68"/>
      <c r="QP26" s="69"/>
      <c r="QQ26" s="250" t="s">
        <v>212</v>
      </c>
      <c r="QR26" s="251"/>
      <c r="QS26" s="67" t="s">
        <v>290</v>
      </c>
      <c r="QT26" s="68"/>
      <c r="QU26" s="69"/>
      <c r="QV26" s="250" t="s">
        <v>212</v>
      </c>
      <c r="QW26" s="251"/>
      <c r="QX26" s="67" t="s">
        <v>290</v>
      </c>
      <c r="QY26" s="68"/>
      <c r="QZ26" s="69"/>
      <c r="RA26" s="250" t="s">
        <v>325</v>
      </c>
      <c r="RB26" s="251"/>
      <c r="RC26" s="67" t="s">
        <v>290</v>
      </c>
      <c r="RD26" s="68"/>
      <c r="RE26" s="69"/>
      <c r="RF26" s="250" t="s">
        <v>238</v>
      </c>
      <c r="RG26" s="251"/>
      <c r="RH26" s="67" t="s">
        <v>290</v>
      </c>
      <c r="RI26" s="68"/>
      <c r="RJ26" s="69"/>
      <c r="RK26" s="250" t="s">
        <v>238</v>
      </c>
      <c r="RL26" s="251"/>
      <c r="RM26" s="67" t="s">
        <v>290</v>
      </c>
      <c r="RN26" s="68"/>
      <c r="RO26" s="69"/>
      <c r="RP26" s="250" t="s">
        <v>253</v>
      </c>
      <c r="RQ26" s="251"/>
      <c r="RR26" s="67" t="s">
        <v>290</v>
      </c>
      <c r="RS26" s="68"/>
      <c r="RT26" s="69"/>
      <c r="RU26" s="250" t="s">
        <v>253</v>
      </c>
      <c r="RV26" s="251"/>
      <c r="RW26" s="67" t="s">
        <v>290</v>
      </c>
      <c r="RX26" s="68"/>
      <c r="RY26" s="69"/>
      <c r="RZ26" s="250" t="s">
        <v>253</v>
      </c>
      <c r="SA26" s="251"/>
      <c r="SB26" s="67" t="s">
        <v>290</v>
      </c>
      <c r="SC26" s="68"/>
      <c r="SD26" s="69"/>
      <c r="SE26" s="250" t="s">
        <v>212</v>
      </c>
      <c r="SF26" s="251"/>
      <c r="SG26" s="67" t="s">
        <v>290</v>
      </c>
      <c r="SH26" s="68"/>
      <c r="SI26" s="69"/>
      <c r="SJ26" s="250" t="s">
        <v>218</v>
      </c>
      <c r="SK26" s="251"/>
      <c r="SL26" s="67" t="s">
        <v>290</v>
      </c>
      <c r="SM26" s="68"/>
      <c r="SN26" s="69"/>
      <c r="SO26" s="250" t="s">
        <v>218</v>
      </c>
      <c r="SP26" s="251"/>
      <c r="SQ26" s="67" t="s">
        <v>290</v>
      </c>
      <c r="SR26" s="68"/>
      <c r="SS26" s="69"/>
      <c r="ST26" s="250" t="s">
        <v>292</v>
      </c>
      <c r="SU26" s="251"/>
      <c r="SV26" s="67" t="s">
        <v>290</v>
      </c>
      <c r="SW26" s="68"/>
      <c r="SX26" s="69"/>
      <c r="SY26" s="250" t="s">
        <v>307</v>
      </c>
      <c r="SZ26" s="251"/>
      <c r="TA26" s="67" t="s">
        <v>290</v>
      </c>
      <c r="TB26" s="68"/>
      <c r="TC26" s="69"/>
      <c r="TD26" s="250" t="s">
        <v>220</v>
      </c>
      <c r="TE26" s="251"/>
      <c r="TF26" s="67" t="s">
        <v>290</v>
      </c>
      <c r="TG26" s="68"/>
      <c r="TH26" s="69"/>
      <c r="TI26" s="250" t="s">
        <v>220</v>
      </c>
      <c r="TJ26" s="251"/>
      <c r="TK26" s="67" t="s">
        <v>290</v>
      </c>
      <c r="TL26" s="68"/>
      <c r="TM26" s="69"/>
      <c r="TN26" s="250" t="s">
        <v>220</v>
      </c>
      <c r="TO26" s="251"/>
      <c r="TP26" s="67" t="s">
        <v>290</v>
      </c>
      <c r="TQ26" s="68"/>
      <c r="TR26" s="69"/>
      <c r="TS26" s="250" t="s">
        <v>212</v>
      </c>
      <c r="TT26" s="251"/>
      <c r="TU26" s="67" t="s">
        <v>290</v>
      </c>
      <c r="TV26" s="68"/>
      <c r="TW26" s="69"/>
      <c r="TX26" s="250" t="s">
        <v>238</v>
      </c>
      <c r="TY26" s="251"/>
      <c r="TZ26" s="67" t="s">
        <v>290</v>
      </c>
      <c r="UA26" s="68"/>
      <c r="UB26" s="69"/>
      <c r="UC26" s="250" t="s">
        <v>384</v>
      </c>
      <c r="UD26" s="251"/>
      <c r="UE26" s="67" t="s">
        <v>290</v>
      </c>
      <c r="UF26" s="68"/>
      <c r="UG26" s="69"/>
      <c r="UH26" s="250" t="s">
        <v>253</v>
      </c>
      <c r="UI26" s="251"/>
      <c r="UJ26" s="67" t="s">
        <v>290</v>
      </c>
      <c r="UK26" s="68"/>
      <c r="UL26" s="69"/>
      <c r="UM26" s="250" t="s">
        <v>212</v>
      </c>
      <c r="UN26" s="251"/>
      <c r="UO26" s="67" t="s">
        <v>290</v>
      </c>
      <c r="UP26" s="68"/>
      <c r="UQ26" s="69"/>
      <c r="UR26" s="250" t="s">
        <v>212</v>
      </c>
      <c r="US26" s="251"/>
      <c r="UT26" s="67" t="s">
        <v>290</v>
      </c>
      <c r="UU26" s="68"/>
      <c r="UV26" s="69"/>
      <c r="UW26" s="250" t="s">
        <v>212</v>
      </c>
      <c r="UX26" s="251"/>
      <c r="UY26" s="67" t="s">
        <v>290</v>
      </c>
      <c r="UZ26" s="68"/>
      <c r="VA26" s="69"/>
      <c r="VB26" s="250" t="s">
        <v>212</v>
      </c>
      <c r="VC26" s="251"/>
      <c r="VD26" s="67" t="s">
        <v>290</v>
      </c>
      <c r="VE26" s="68"/>
      <c r="VF26" s="69"/>
      <c r="VG26" s="250" t="s">
        <v>212</v>
      </c>
      <c r="VH26" s="251"/>
      <c r="VI26" s="67" t="s">
        <v>290</v>
      </c>
      <c r="VJ26" s="68"/>
      <c r="VK26" s="69"/>
      <c r="VL26" s="250" t="s">
        <v>218</v>
      </c>
      <c r="VM26" s="251"/>
      <c r="VN26" s="67" t="s">
        <v>290</v>
      </c>
      <c r="VO26" s="68"/>
      <c r="VP26" s="69"/>
      <c r="VQ26" s="250" t="s">
        <v>212</v>
      </c>
      <c r="VR26" s="251"/>
      <c r="VS26" s="67" t="s">
        <v>290</v>
      </c>
      <c r="VT26" s="68"/>
      <c r="VU26" s="69"/>
      <c r="VV26" s="250" t="s">
        <v>218</v>
      </c>
      <c r="VW26" s="251"/>
      <c r="VX26" s="67" t="s">
        <v>290</v>
      </c>
      <c r="VY26" s="68"/>
      <c r="VZ26" s="69"/>
      <c r="WA26" s="250" t="s">
        <v>253</v>
      </c>
      <c r="WB26" s="251"/>
      <c r="WC26" s="67" t="s">
        <v>290</v>
      </c>
      <c r="WD26" s="68"/>
      <c r="WE26" s="69"/>
      <c r="WF26" s="250" t="s">
        <v>253</v>
      </c>
      <c r="WG26" s="251"/>
      <c r="WH26" s="67" t="s">
        <v>290</v>
      </c>
      <c r="WI26" s="68"/>
      <c r="WJ26" s="69"/>
      <c r="WK26" s="250" t="s">
        <v>212</v>
      </c>
      <c r="WL26" s="251"/>
      <c r="WM26" s="67" t="s">
        <v>290</v>
      </c>
      <c r="WN26" s="68"/>
      <c r="WO26" s="69"/>
      <c r="WP26" s="250" t="s">
        <v>253</v>
      </c>
      <c r="WQ26" s="251"/>
      <c r="WR26" s="67" t="s">
        <v>290</v>
      </c>
      <c r="WS26" s="68"/>
      <c r="WT26" s="69"/>
      <c r="WU26" s="250" t="s">
        <v>317</v>
      </c>
      <c r="WV26" s="251"/>
      <c r="WW26" s="67" t="s">
        <v>290</v>
      </c>
      <c r="WX26" s="68"/>
      <c r="WY26" s="69"/>
      <c r="WZ26" s="250" t="s">
        <v>384</v>
      </c>
      <c r="XA26" s="251"/>
      <c r="XB26" s="67" t="s">
        <v>290</v>
      </c>
      <c r="XC26" s="68"/>
      <c r="XD26" s="69"/>
      <c r="XE26" s="250" t="s">
        <v>238</v>
      </c>
      <c r="XF26" s="251"/>
      <c r="XG26" s="67" t="s">
        <v>290</v>
      </c>
      <c r="XH26" s="68"/>
      <c r="XI26" s="69"/>
      <c r="XJ26" s="250" t="s">
        <v>384</v>
      </c>
      <c r="XK26" s="251"/>
      <c r="XL26" s="67" t="s">
        <v>290</v>
      </c>
      <c r="XM26" s="68"/>
      <c r="XN26" s="69"/>
      <c r="XO26" s="250" t="s">
        <v>384</v>
      </c>
      <c r="XP26" s="251"/>
      <c r="XQ26" s="67" t="s">
        <v>290</v>
      </c>
      <c r="XR26" s="68"/>
      <c r="XS26" s="69"/>
      <c r="XT26" s="250" t="s">
        <v>213</v>
      </c>
      <c r="XU26" s="251"/>
      <c r="XV26" s="67" t="s">
        <v>290</v>
      </c>
      <c r="XW26" s="68"/>
      <c r="XX26" s="69"/>
      <c r="XY26" s="250" t="s">
        <v>253</v>
      </c>
      <c r="XZ26" s="251"/>
      <c r="YA26" s="67" t="s">
        <v>290</v>
      </c>
      <c r="YB26" s="68"/>
      <c r="YC26" s="69"/>
      <c r="YD26" s="250" t="s">
        <v>384</v>
      </c>
      <c r="YE26" s="251"/>
      <c r="YF26" s="67" t="s">
        <v>290</v>
      </c>
      <c r="YG26" s="68"/>
      <c r="YH26" s="69"/>
      <c r="YI26" s="250" t="s">
        <v>253</v>
      </c>
      <c r="YJ26" s="251"/>
      <c r="YK26" s="67" t="s">
        <v>290</v>
      </c>
      <c r="YL26" s="68"/>
      <c r="YM26" s="69"/>
      <c r="YN26" s="250" t="s">
        <v>220</v>
      </c>
      <c r="YO26" s="251"/>
      <c r="YP26" s="67" t="s">
        <v>290</v>
      </c>
      <c r="YQ26" s="68"/>
      <c r="YR26" s="69"/>
      <c r="YS26" s="250" t="s">
        <v>238</v>
      </c>
      <c r="YT26" s="251"/>
      <c r="YU26" s="67" t="s">
        <v>290</v>
      </c>
      <c r="YV26" s="68"/>
      <c r="YW26" s="69"/>
      <c r="YX26" s="250" t="s">
        <v>253</v>
      </c>
      <c r="YY26" s="251"/>
      <c r="YZ26" s="67" t="s">
        <v>290</v>
      </c>
      <c r="ZA26" s="68"/>
      <c r="ZB26" s="69"/>
      <c r="ZC26" s="250" t="s">
        <v>402</v>
      </c>
      <c r="ZD26" s="251"/>
      <c r="ZE26" s="67" t="s">
        <v>290</v>
      </c>
      <c r="ZF26" s="68"/>
      <c r="ZG26" s="69"/>
      <c r="ZH26" s="250" t="s">
        <v>238</v>
      </c>
      <c r="ZI26" s="251"/>
      <c r="ZJ26" s="67" t="s">
        <v>290</v>
      </c>
      <c r="ZK26" s="68"/>
      <c r="ZL26" s="69"/>
      <c r="ZM26" s="250" t="s">
        <v>238</v>
      </c>
      <c r="ZN26" s="251"/>
      <c r="ZO26" s="67" t="s">
        <v>290</v>
      </c>
      <c r="ZP26" s="68"/>
      <c r="ZQ26" s="69"/>
      <c r="ZR26" s="250" t="s">
        <v>212</v>
      </c>
      <c r="ZS26" s="251"/>
      <c r="ZT26" s="67" t="s">
        <v>290</v>
      </c>
      <c r="ZU26" s="68"/>
      <c r="ZV26" s="69"/>
      <c r="ZW26" s="250" t="s">
        <v>384</v>
      </c>
      <c r="ZX26" s="251"/>
      <c r="ZY26" s="67" t="s">
        <v>290</v>
      </c>
      <c r="ZZ26" s="68"/>
      <c r="AAA26" s="69"/>
      <c r="AAB26" s="250" t="s">
        <v>253</v>
      </c>
      <c r="AAC26" s="251"/>
      <c r="AAD26" s="67" t="s">
        <v>290</v>
      </c>
      <c r="AAE26" s="68"/>
      <c r="AAF26" s="69"/>
      <c r="AAG26" s="250" t="s">
        <v>402</v>
      </c>
      <c r="AAH26" s="251"/>
      <c r="AAI26" s="67" t="s">
        <v>290</v>
      </c>
      <c r="AAJ26" s="68"/>
      <c r="AAK26" s="69"/>
      <c r="AAL26" s="250" t="s">
        <v>253</v>
      </c>
      <c r="AAM26" s="251"/>
      <c r="AAN26" s="67" t="s">
        <v>290</v>
      </c>
      <c r="AAO26" s="68"/>
      <c r="AAP26" s="69"/>
      <c r="AAQ26" s="250" t="s">
        <v>220</v>
      </c>
      <c r="AAR26" s="251"/>
      <c r="AAS26" s="67" t="s">
        <v>290</v>
      </c>
      <c r="AAT26" s="68"/>
      <c r="AAU26" s="69"/>
      <c r="AAV26" s="250" t="s">
        <v>220</v>
      </c>
      <c r="AAW26" s="251"/>
      <c r="AAX26" s="67" t="s">
        <v>290</v>
      </c>
      <c r="AAY26" s="68"/>
      <c r="AAZ26" s="69"/>
      <c r="ABA26" s="250" t="s">
        <v>212</v>
      </c>
      <c r="ABB26" s="251"/>
      <c r="ABC26" s="67" t="s">
        <v>290</v>
      </c>
      <c r="ABD26" s="68"/>
      <c r="ABE26" s="69"/>
      <c r="ABF26" s="250" t="s">
        <v>205</v>
      </c>
      <c r="ABG26" s="251"/>
      <c r="ABH26" s="67" t="s">
        <v>290</v>
      </c>
      <c r="ABI26" s="68"/>
      <c r="ABJ26" s="69"/>
      <c r="ABK26" s="250" t="s">
        <v>220</v>
      </c>
      <c r="ABL26" s="251"/>
      <c r="ABM26" s="67" t="s">
        <v>290</v>
      </c>
      <c r="ABN26" s="68"/>
      <c r="ABO26" s="69"/>
      <c r="ABP26" s="250" t="s">
        <v>212</v>
      </c>
      <c r="ABQ26" s="251"/>
      <c r="ABR26" s="67" t="s">
        <v>290</v>
      </c>
      <c r="ABS26" s="68"/>
      <c r="ABT26" s="69"/>
      <c r="ABU26" s="250" t="s">
        <v>220</v>
      </c>
      <c r="ABV26" s="251"/>
      <c r="ABW26" s="67" t="s">
        <v>290</v>
      </c>
      <c r="ABX26" s="68"/>
      <c r="ABY26" s="69"/>
      <c r="ABZ26" s="250" t="s">
        <v>253</v>
      </c>
      <c r="ACA26" s="251"/>
      <c r="ACB26" s="67" t="s">
        <v>290</v>
      </c>
      <c r="ACC26" s="68"/>
      <c r="ACD26" s="69"/>
      <c r="ACE26" s="250" t="s">
        <v>253</v>
      </c>
      <c r="ACF26" s="251"/>
      <c r="ACG26" s="67" t="s">
        <v>290</v>
      </c>
      <c r="ACH26" s="68"/>
      <c r="ACI26" s="69"/>
      <c r="ACJ26" s="250" t="s">
        <v>238</v>
      </c>
      <c r="ACK26" s="251"/>
      <c r="ACL26" s="67" t="s">
        <v>290</v>
      </c>
      <c r="ACM26" s="68"/>
      <c r="ACN26" s="69"/>
      <c r="ACO26" s="250" t="s">
        <v>238</v>
      </c>
      <c r="ACP26" s="251"/>
      <c r="ACQ26" s="67" t="s">
        <v>290</v>
      </c>
      <c r="ACR26" s="68"/>
      <c r="ACS26" s="69"/>
      <c r="ACT26" s="250" t="s">
        <v>238</v>
      </c>
      <c r="ACU26" s="251"/>
      <c r="ACV26" s="67" t="s">
        <v>290</v>
      </c>
      <c r="ACW26" s="68"/>
      <c r="ACX26" s="69"/>
      <c r="ACY26" s="250" t="s">
        <v>253</v>
      </c>
      <c r="ACZ26" s="251"/>
      <c r="ADA26" s="67" t="s">
        <v>290</v>
      </c>
      <c r="ADB26" s="68"/>
      <c r="ADC26" s="69"/>
      <c r="ADD26" s="250" t="s">
        <v>384</v>
      </c>
      <c r="ADE26" s="251"/>
      <c r="ADF26" s="67" t="s">
        <v>290</v>
      </c>
      <c r="ADG26" s="68"/>
      <c r="ADH26" s="69"/>
      <c r="ADI26" s="250" t="s">
        <v>385</v>
      </c>
      <c r="ADJ26" s="251"/>
      <c r="ADK26" s="67" t="s">
        <v>290</v>
      </c>
      <c r="ADL26" s="68"/>
      <c r="ADM26" s="69"/>
      <c r="ADN26" s="250" t="s">
        <v>384</v>
      </c>
      <c r="ADO26" s="251"/>
      <c r="ADP26" s="67" t="s">
        <v>290</v>
      </c>
      <c r="ADQ26" s="68"/>
      <c r="ADR26" s="69"/>
      <c r="ADS26" s="250" t="s">
        <v>212</v>
      </c>
      <c r="ADT26" s="251"/>
      <c r="ADU26" s="67" t="s">
        <v>290</v>
      </c>
      <c r="ADV26" s="68"/>
      <c r="ADW26" s="69"/>
      <c r="ADX26" s="250" t="s">
        <v>212</v>
      </c>
      <c r="ADY26" s="251"/>
      <c r="ADZ26" s="67" t="s">
        <v>290</v>
      </c>
      <c r="AEA26" s="68"/>
      <c r="AEB26" s="69"/>
      <c r="AEC26" s="250" t="s">
        <v>238</v>
      </c>
      <c r="AED26" s="251"/>
      <c r="AEE26" s="67" t="s">
        <v>290</v>
      </c>
      <c r="AEF26" s="68"/>
      <c r="AEG26" s="69"/>
      <c r="AEH26" s="250" t="s">
        <v>220</v>
      </c>
      <c r="AEI26" s="251"/>
      <c r="AEJ26" s="67" t="s">
        <v>290</v>
      </c>
      <c r="AEK26" s="68"/>
      <c r="AEL26" s="69"/>
      <c r="AEM26" s="250" t="s">
        <v>377</v>
      </c>
      <c r="AEN26" s="251"/>
      <c r="AEO26" s="67" t="s">
        <v>290</v>
      </c>
      <c r="AEP26" s="68"/>
      <c r="AEQ26" s="69"/>
      <c r="AER26" s="250" t="s">
        <v>212</v>
      </c>
      <c r="AES26" s="251"/>
      <c r="AET26" s="67" t="s">
        <v>290</v>
      </c>
      <c r="AEU26" s="68"/>
      <c r="AEV26" s="69"/>
      <c r="AEW26" s="250" t="s">
        <v>220</v>
      </c>
      <c r="AEX26" s="251"/>
      <c r="AEY26" s="67" t="s">
        <v>290</v>
      </c>
      <c r="AEZ26" s="68"/>
      <c r="AFA26" s="69"/>
      <c r="AFB26" s="250" t="s">
        <v>212</v>
      </c>
      <c r="AFC26" s="251"/>
      <c r="AFD26" s="67" t="s">
        <v>290</v>
      </c>
      <c r="AFE26" s="68"/>
      <c r="AFF26" s="69"/>
      <c r="AFG26" s="250" t="s">
        <v>220</v>
      </c>
      <c r="AFH26" s="251"/>
      <c r="AFI26" s="67" t="s">
        <v>290</v>
      </c>
      <c r="AFJ26" s="68"/>
      <c r="AFK26" s="69"/>
      <c r="AFL26" s="250" t="s">
        <v>212</v>
      </c>
      <c r="AFM26" s="251"/>
      <c r="AFN26" s="67" t="s">
        <v>290</v>
      </c>
      <c r="AFO26" s="68"/>
      <c r="AFP26" s="69"/>
      <c r="AFQ26" s="250" t="s">
        <v>212</v>
      </c>
      <c r="AFR26" s="251"/>
      <c r="AFS26" s="67" t="s">
        <v>290</v>
      </c>
      <c r="AFT26" s="68"/>
      <c r="AFU26" s="69"/>
      <c r="AFV26" s="250" t="s">
        <v>212</v>
      </c>
      <c r="AFW26" s="251"/>
      <c r="AFX26" s="67" t="s">
        <v>290</v>
      </c>
      <c r="AFY26" s="68"/>
      <c r="AFZ26" s="69"/>
      <c r="AGA26" s="250" t="s">
        <v>212</v>
      </c>
      <c r="AGB26" s="251"/>
      <c r="AGC26" s="67" t="s">
        <v>290</v>
      </c>
      <c r="AGD26" s="68"/>
      <c r="AGE26" s="69"/>
      <c r="AGF26" s="250" t="s">
        <v>340</v>
      </c>
      <c r="AGG26" s="251"/>
      <c r="AGH26" s="67" t="s">
        <v>290</v>
      </c>
      <c r="AGI26" s="68"/>
      <c r="AGJ26" s="69"/>
      <c r="AGK26" s="250" t="s">
        <v>238</v>
      </c>
      <c r="AGL26" s="251"/>
      <c r="AGM26" s="67" t="s">
        <v>290</v>
      </c>
      <c r="AGN26" s="68"/>
      <c r="AGO26" s="69"/>
      <c r="AGP26" s="250" t="s">
        <v>253</v>
      </c>
      <c r="AGQ26" s="251"/>
      <c r="AGR26" s="67" t="s">
        <v>290</v>
      </c>
      <c r="AGS26" s="68"/>
      <c r="AGT26" s="69"/>
      <c r="AGU26" s="250" t="s">
        <v>220</v>
      </c>
      <c r="AGV26" s="251"/>
      <c r="AGW26" s="67" t="s">
        <v>290</v>
      </c>
      <c r="AGX26" s="68"/>
      <c r="AGY26" s="69"/>
      <c r="AGZ26" s="250" t="s">
        <v>220</v>
      </c>
      <c r="AHA26" s="251"/>
      <c r="AHB26" s="67" t="s">
        <v>290</v>
      </c>
      <c r="AHC26" s="68"/>
      <c r="AHD26" s="69"/>
      <c r="AHE26" s="250" t="s">
        <v>238</v>
      </c>
      <c r="AHF26" s="251"/>
      <c r="AHG26" s="67" t="s">
        <v>290</v>
      </c>
      <c r="AHH26" s="68"/>
      <c r="AHI26" s="69"/>
      <c r="AHJ26" s="250" t="s">
        <v>238</v>
      </c>
      <c r="AHK26" s="251"/>
      <c r="AHL26" s="67" t="s">
        <v>290</v>
      </c>
      <c r="AHM26" s="68"/>
      <c r="AHN26" s="69"/>
      <c r="AHO26" s="250" t="s">
        <v>238</v>
      </c>
      <c r="AHP26" s="251"/>
      <c r="AHQ26" s="67" t="s">
        <v>290</v>
      </c>
      <c r="AHR26" s="68"/>
      <c r="AHS26" s="69"/>
      <c r="AHT26" s="250" t="s">
        <v>220</v>
      </c>
      <c r="AHU26" s="251"/>
      <c r="AHV26" s="67" t="s">
        <v>290</v>
      </c>
      <c r="AHW26" s="68"/>
      <c r="AHX26" s="69"/>
      <c r="AHY26" s="250" t="s">
        <v>253</v>
      </c>
      <c r="AHZ26" s="251"/>
      <c r="AIA26" s="67" t="s">
        <v>290</v>
      </c>
      <c r="AIB26" s="68"/>
      <c r="AIC26" s="69"/>
      <c r="AID26" s="250" t="s">
        <v>218</v>
      </c>
      <c r="AIE26" s="251"/>
      <c r="AIF26" s="67" t="s">
        <v>290</v>
      </c>
      <c r="AIG26" s="68"/>
      <c r="AIH26" s="69"/>
      <c r="AII26" s="250" t="s">
        <v>212</v>
      </c>
      <c r="AIJ26" s="251"/>
      <c r="AIK26" s="67" t="s">
        <v>290</v>
      </c>
      <c r="AIL26" s="68"/>
      <c r="AIM26" s="69"/>
      <c r="AIN26" s="250" t="s">
        <v>212</v>
      </c>
      <c r="AIO26" s="251"/>
      <c r="AIP26" s="67" t="s">
        <v>290</v>
      </c>
      <c r="AIQ26" s="68"/>
      <c r="AIR26" s="69"/>
      <c r="AIS26" s="250" t="s">
        <v>238</v>
      </c>
      <c r="AIT26" s="251"/>
      <c r="AIU26" s="67" t="s">
        <v>290</v>
      </c>
      <c r="AIV26" s="68"/>
      <c r="AIW26" s="69"/>
      <c r="AIX26" s="250" t="s">
        <v>292</v>
      </c>
      <c r="AIY26" s="251"/>
      <c r="AIZ26" s="67" t="s">
        <v>290</v>
      </c>
      <c r="AJA26" s="68"/>
      <c r="AJB26" s="69"/>
      <c r="AJC26" s="250" t="s">
        <v>292</v>
      </c>
      <c r="AJD26" s="251"/>
      <c r="AJE26" s="67" t="s">
        <v>290</v>
      </c>
      <c r="AJF26" s="68"/>
      <c r="AJG26" s="69"/>
      <c r="AJH26" s="250" t="s">
        <v>218</v>
      </c>
      <c r="AJI26" s="251"/>
      <c r="AJJ26" s="67" t="s">
        <v>290</v>
      </c>
      <c r="AJK26" s="68"/>
      <c r="AJL26" s="69"/>
      <c r="AJM26" s="250" t="s">
        <v>218</v>
      </c>
      <c r="AJN26" s="251"/>
      <c r="AJO26" s="67" t="s">
        <v>290</v>
      </c>
      <c r="AJP26" s="68"/>
      <c r="AJQ26" s="69"/>
      <c r="AJR26" s="250" t="s">
        <v>212</v>
      </c>
      <c r="AJS26" s="251"/>
      <c r="AJT26" s="67" t="s">
        <v>290</v>
      </c>
      <c r="AJU26" s="68"/>
      <c r="AJV26" s="69"/>
      <c r="AJW26" s="250" t="s">
        <v>212</v>
      </c>
      <c r="AJX26" s="251"/>
      <c r="AJY26" s="67" t="s">
        <v>290</v>
      </c>
      <c r="AJZ26" s="68"/>
      <c r="AKA26" s="69"/>
      <c r="AKB26" s="250" t="s">
        <v>220</v>
      </c>
      <c r="AKC26" s="251"/>
      <c r="AKD26" s="67" t="s">
        <v>290</v>
      </c>
      <c r="AKE26" s="68"/>
      <c r="AKF26" s="69"/>
      <c r="AKG26" s="250" t="s">
        <v>213</v>
      </c>
      <c r="AKH26" s="251"/>
      <c r="AKI26" s="67" t="s">
        <v>290</v>
      </c>
      <c r="AKJ26" s="68"/>
      <c r="AKK26" s="69"/>
      <c r="AKL26" s="250" t="s">
        <v>218</v>
      </c>
      <c r="AKM26" s="251"/>
      <c r="AKN26" s="67" t="s">
        <v>290</v>
      </c>
      <c r="AKO26" s="68"/>
      <c r="AKP26" s="69"/>
      <c r="AKQ26" s="250" t="s">
        <v>220</v>
      </c>
      <c r="AKR26" s="251"/>
      <c r="AKS26" s="67" t="s">
        <v>290</v>
      </c>
      <c r="AKT26" s="68"/>
      <c r="AKU26" s="69"/>
      <c r="AKV26" s="250" t="s">
        <v>212</v>
      </c>
      <c r="AKW26" s="251"/>
      <c r="AKX26" s="67" t="s">
        <v>290</v>
      </c>
      <c r="AKY26" s="68"/>
      <c r="AKZ26" s="69"/>
      <c r="ALA26" s="250" t="s">
        <v>212</v>
      </c>
      <c r="ALB26" s="251"/>
      <c r="ALC26" s="67" t="s">
        <v>290</v>
      </c>
      <c r="ALD26" s="68"/>
      <c r="ALE26" s="69"/>
      <c r="ALF26" s="250" t="s">
        <v>253</v>
      </c>
      <c r="ALG26" s="251"/>
      <c r="ALH26" s="67" t="s">
        <v>290</v>
      </c>
      <c r="ALI26" s="68"/>
      <c r="ALJ26" s="69"/>
      <c r="ALK26" s="250" t="s">
        <v>340</v>
      </c>
      <c r="ALL26" s="251"/>
      <c r="ALM26" s="67" t="s">
        <v>290</v>
      </c>
      <c r="ALN26" s="68"/>
      <c r="ALO26" s="69"/>
      <c r="ALP26" s="250" t="s">
        <v>238</v>
      </c>
      <c r="ALQ26" s="251"/>
      <c r="ALR26" s="67" t="s">
        <v>290</v>
      </c>
      <c r="ALS26" s="68"/>
      <c r="ALT26" s="69"/>
      <c r="ALU26" s="250" t="s">
        <v>220</v>
      </c>
      <c r="ALV26" s="251"/>
      <c r="ALW26" s="67" t="s">
        <v>290</v>
      </c>
      <c r="ALX26" s="68"/>
      <c r="ALY26" s="69"/>
      <c r="ALZ26" s="250" t="s">
        <v>220</v>
      </c>
      <c r="AMA26" s="251"/>
      <c r="AMB26" s="67" t="s">
        <v>290</v>
      </c>
      <c r="AMC26" s="68"/>
      <c r="AMD26" s="69"/>
      <c r="AME26" s="250" t="s">
        <v>212</v>
      </c>
      <c r="AMF26" s="251"/>
      <c r="AMG26" s="67" t="s">
        <v>290</v>
      </c>
      <c r="AMH26" s="68"/>
      <c r="AMI26" s="69"/>
      <c r="AMJ26" s="250" t="s">
        <v>292</v>
      </c>
      <c r="AMK26" s="251"/>
      <c r="AML26" s="67" t="s">
        <v>290</v>
      </c>
      <c r="AMM26" s="68"/>
      <c r="AMN26" s="69"/>
      <c r="AMO26" s="250" t="s">
        <v>212</v>
      </c>
      <c r="AMP26" s="251"/>
      <c r="AMQ26" s="67" t="s">
        <v>290</v>
      </c>
      <c r="AMR26" s="68"/>
      <c r="AMS26" s="69"/>
      <c r="AMT26" s="250" t="s">
        <v>212</v>
      </c>
      <c r="AMU26" s="251"/>
      <c r="AMV26" s="67" t="s">
        <v>290</v>
      </c>
      <c r="AMW26" s="68"/>
      <c r="AMX26" s="69"/>
      <c r="AMY26" s="250" t="s">
        <v>218</v>
      </c>
      <c r="AMZ26" s="251"/>
      <c r="ANA26" s="67" t="s">
        <v>290</v>
      </c>
      <c r="ANB26" s="68"/>
      <c r="ANC26" s="69"/>
      <c r="AND26" s="250" t="s">
        <v>212</v>
      </c>
      <c r="ANE26" s="251"/>
      <c r="ANF26" s="67" t="s">
        <v>290</v>
      </c>
      <c r="ANG26" s="68"/>
      <c r="ANH26" s="69"/>
      <c r="ANI26" s="250" t="s">
        <v>330</v>
      </c>
      <c r="ANJ26" s="251"/>
      <c r="ANK26" s="67" t="s">
        <v>290</v>
      </c>
      <c r="ANL26" s="68"/>
      <c r="ANM26" s="69"/>
      <c r="ANN26" s="250" t="s">
        <v>212</v>
      </c>
      <c r="ANO26" s="251"/>
      <c r="ANP26" s="67" t="s">
        <v>290</v>
      </c>
      <c r="ANQ26" s="68"/>
      <c r="ANR26" s="69"/>
      <c r="ANS26" s="250" t="s">
        <v>220</v>
      </c>
      <c r="ANT26" s="251"/>
      <c r="ANU26" s="67" t="s">
        <v>290</v>
      </c>
      <c r="ANV26" s="68"/>
      <c r="ANW26" s="69"/>
      <c r="ANX26" s="250" t="s">
        <v>325</v>
      </c>
      <c r="ANY26" s="251"/>
      <c r="ANZ26" s="67" t="s">
        <v>290</v>
      </c>
      <c r="AOA26" s="68"/>
      <c r="AOB26" s="69"/>
      <c r="AOC26" s="250" t="s">
        <v>218</v>
      </c>
      <c r="AOD26" s="251"/>
      <c r="AOE26" s="67" t="s">
        <v>290</v>
      </c>
      <c r="AOF26" s="68"/>
      <c r="AOG26" s="69"/>
      <c r="AOH26" s="250" t="s">
        <v>253</v>
      </c>
      <c r="AOI26" s="251"/>
      <c r="AOJ26" s="67" t="s">
        <v>290</v>
      </c>
      <c r="AOK26" s="68"/>
      <c r="AOL26" s="69"/>
      <c r="AOM26" s="250" t="s">
        <v>218</v>
      </c>
      <c r="AON26" s="251"/>
      <c r="AOO26" s="67" t="s">
        <v>290</v>
      </c>
      <c r="AOP26" s="68"/>
      <c r="AOQ26" s="69"/>
      <c r="AOR26" s="250" t="s">
        <v>303</v>
      </c>
      <c r="AOS26" s="251"/>
      <c r="AOT26" s="67" t="s">
        <v>290</v>
      </c>
      <c r="AOU26" s="68"/>
      <c r="AOV26" s="69"/>
      <c r="AOW26" s="250" t="s">
        <v>212</v>
      </c>
      <c r="AOX26" s="251"/>
      <c r="AOY26" s="67" t="s">
        <v>290</v>
      </c>
      <c r="AOZ26" s="68"/>
      <c r="APA26" s="69"/>
      <c r="APB26" s="250" t="s">
        <v>212</v>
      </c>
      <c r="APC26" s="251"/>
      <c r="APD26" s="67" t="s">
        <v>290</v>
      </c>
      <c r="APE26" s="68"/>
      <c r="APF26" s="69"/>
      <c r="APG26" s="250" t="s">
        <v>317</v>
      </c>
      <c r="APH26" s="251"/>
      <c r="API26" s="67" t="s">
        <v>290</v>
      </c>
      <c r="APJ26" s="68"/>
      <c r="APK26" s="69"/>
      <c r="APL26" s="250" t="s">
        <v>303</v>
      </c>
      <c r="APM26" s="251"/>
      <c r="APN26" s="67" t="s">
        <v>290</v>
      </c>
      <c r="APO26" s="68"/>
      <c r="APP26" s="69"/>
      <c r="APQ26" s="250" t="s">
        <v>212</v>
      </c>
      <c r="APR26" s="251"/>
      <c r="APS26" s="67" t="s">
        <v>290</v>
      </c>
      <c r="APT26" s="68"/>
      <c r="APU26" s="69"/>
      <c r="APV26" s="250" t="s">
        <v>314</v>
      </c>
      <c r="APW26" s="251"/>
      <c r="APX26" s="67" t="s">
        <v>290</v>
      </c>
      <c r="APY26" s="68"/>
      <c r="APZ26" s="69"/>
      <c r="AQA26" s="250" t="s">
        <v>238</v>
      </c>
      <c r="AQB26" s="251"/>
      <c r="AQC26" s="67" t="s">
        <v>290</v>
      </c>
      <c r="AQD26" s="68"/>
      <c r="AQE26" s="69"/>
      <c r="AQF26" s="250" t="s">
        <v>212</v>
      </c>
      <c r="AQG26" s="251"/>
      <c r="AQH26" s="67" t="s">
        <v>290</v>
      </c>
      <c r="AQI26" s="68"/>
      <c r="AQJ26" s="69"/>
      <c r="AQK26" s="250" t="s">
        <v>212</v>
      </c>
      <c r="AQL26" s="251"/>
      <c r="AQM26" s="67" t="s">
        <v>290</v>
      </c>
      <c r="AQN26" s="68"/>
      <c r="AQO26" s="69"/>
      <c r="AQP26" s="250" t="s">
        <v>307</v>
      </c>
      <c r="AQQ26" s="251"/>
      <c r="AQR26" s="67" t="s">
        <v>290</v>
      </c>
      <c r="AQS26" s="68"/>
      <c r="AQT26" s="69"/>
      <c r="AQU26" s="250" t="s">
        <v>238</v>
      </c>
      <c r="AQV26" s="251"/>
      <c r="AQW26" s="67" t="s">
        <v>290</v>
      </c>
      <c r="AQX26" s="68"/>
      <c r="AQY26" s="69"/>
      <c r="AQZ26" s="250" t="s">
        <v>271</v>
      </c>
      <c r="ARA26" s="251"/>
      <c r="ARB26" s="67" t="s">
        <v>290</v>
      </c>
      <c r="ARC26" s="68"/>
      <c r="ARD26" s="69"/>
      <c r="ARE26" s="250" t="s">
        <v>303</v>
      </c>
      <c r="ARF26" s="251"/>
      <c r="ARG26" s="67" t="s">
        <v>290</v>
      </c>
      <c r="ARH26" s="68"/>
      <c r="ARI26" s="69"/>
      <c r="ARJ26" s="250" t="s">
        <v>212</v>
      </c>
      <c r="ARK26" s="251"/>
      <c r="ARL26" s="67" t="s">
        <v>290</v>
      </c>
      <c r="ARM26" s="68"/>
      <c r="ARN26" s="69"/>
      <c r="ARO26" s="250" t="s">
        <v>253</v>
      </c>
      <c r="ARP26" s="251"/>
      <c r="ARQ26" s="67" t="s">
        <v>290</v>
      </c>
      <c r="ARR26" s="68"/>
      <c r="ARS26" s="69"/>
      <c r="ART26" s="250" t="s">
        <v>212</v>
      </c>
      <c r="ARU26" s="251"/>
      <c r="ARV26" s="67" t="s">
        <v>290</v>
      </c>
      <c r="ARW26" s="68"/>
      <c r="ARX26" s="69"/>
      <c r="ARY26" s="250" t="s">
        <v>238</v>
      </c>
      <c r="ARZ26" s="251"/>
      <c r="ASA26" s="67" t="s">
        <v>290</v>
      </c>
      <c r="ASB26" s="68"/>
      <c r="ASC26" s="69"/>
      <c r="ASD26" s="250" t="s">
        <v>205</v>
      </c>
      <c r="ASE26" s="251"/>
      <c r="ASF26" s="67" t="s">
        <v>290</v>
      </c>
      <c r="ASG26" s="68"/>
      <c r="ASH26" s="69"/>
      <c r="ASI26" s="250" t="s">
        <v>212</v>
      </c>
      <c r="ASJ26" s="251"/>
      <c r="ASK26" s="67" t="s">
        <v>290</v>
      </c>
      <c r="ASL26" s="68"/>
      <c r="ASM26" s="69"/>
      <c r="ASN26" s="250" t="s">
        <v>218</v>
      </c>
      <c r="ASO26" s="251"/>
      <c r="ASP26" s="67" t="s">
        <v>290</v>
      </c>
      <c r="ASQ26" s="68"/>
      <c r="ASR26" s="69"/>
      <c r="ASS26" s="250" t="s">
        <v>212</v>
      </c>
      <c r="AST26" s="251"/>
      <c r="ASU26" s="67" t="s">
        <v>290</v>
      </c>
      <c r="ASV26" s="68"/>
      <c r="ASW26" s="69"/>
      <c r="ASX26" s="250" t="s">
        <v>292</v>
      </c>
      <c r="ASY26" s="251"/>
      <c r="ASZ26" s="67" t="s">
        <v>290</v>
      </c>
      <c r="ATA26" s="68"/>
      <c r="ATB26" s="69"/>
      <c r="ATC26" s="250" t="s">
        <v>212</v>
      </c>
      <c r="ATD26" s="251"/>
      <c r="ATE26" s="67" t="s">
        <v>93</v>
      </c>
      <c r="ATF26" s="68"/>
      <c r="ATG26" s="69"/>
      <c r="ATH26" s="250" t="s">
        <v>286</v>
      </c>
      <c r="ATI26" s="251"/>
      <c r="ATJ26" s="67" t="s">
        <v>93</v>
      </c>
      <c r="ATK26" s="68"/>
      <c r="ATL26" s="69"/>
      <c r="ATM26" s="250" t="s">
        <v>282</v>
      </c>
      <c r="ATN26" s="251"/>
      <c r="ATO26" s="67" t="s">
        <v>93</v>
      </c>
      <c r="ATP26" s="68"/>
      <c r="ATQ26" s="69"/>
      <c r="ATR26" s="250" t="s">
        <v>217</v>
      </c>
      <c r="ATS26" s="251"/>
      <c r="ATT26" s="67" t="s">
        <v>93</v>
      </c>
      <c r="ATU26" s="68"/>
      <c r="ATV26" s="69"/>
      <c r="ATW26" s="250" t="s">
        <v>212</v>
      </c>
      <c r="ATX26" s="251"/>
      <c r="ATY26" s="67" t="s">
        <v>93</v>
      </c>
      <c r="ATZ26" s="68"/>
      <c r="AUA26" s="69"/>
      <c r="AUB26" s="250" t="s">
        <v>212</v>
      </c>
      <c r="AUC26" s="251"/>
      <c r="AUD26" s="67" t="s">
        <v>93</v>
      </c>
      <c r="AUE26" s="68"/>
      <c r="AUF26" s="69"/>
      <c r="AUG26" s="250" t="s">
        <v>253</v>
      </c>
      <c r="AUH26" s="251"/>
      <c r="AUI26" s="67" t="s">
        <v>93</v>
      </c>
      <c r="AUJ26" s="68"/>
      <c r="AUK26" s="69"/>
      <c r="AUL26" s="250" t="s">
        <v>212</v>
      </c>
      <c r="AUM26" s="251"/>
      <c r="AUN26" s="67" t="s">
        <v>93</v>
      </c>
      <c r="AUO26" s="68"/>
      <c r="AUP26" s="69"/>
      <c r="AUQ26" s="250" t="s">
        <v>277</v>
      </c>
      <c r="AUR26" s="251"/>
      <c r="AUS26" s="67" t="s">
        <v>93</v>
      </c>
      <c r="AUT26" s="68"/>
      <c r="AUU26" s="69"/>
      <c r="AUV26" s="250" t="s">
        <v>225</v>
      </c>
      <c r="AUW26" s="251"/>
      <c r="AUX26" s="67" t="s">
        <v>93</v>
      </c>
      <c r="AUY26" s="68"/>
      <c r="AUZ26" s="69"/>
      <c r="AVA26" s="250" t="s">
        <v>217</v>
      </c>
      <c r="AVB26" s="251"/>
      <c r="AVC26" s="67" t="s">
        <v>93</v>
      </c>
      <c r="AVD26" s="68"/>
      <c r="AVE26" s="69"/>
      <c r="AVF26" s="250" t="s">
        <v>267</v>
      </c>
      <c r="AVG26" s="251"/>
      <c r="AVH26" s="67" t="s">
        <v>93</v>
      </c>
      <c r="AVI26" s="68"/>
      <c r="AVJ26" s="69"/>
      <c r="AVK26" s="250" t="s">
        <v>271</v>
      </c>
      <c r="AVL26" s="251"/>
      <c r="AVM26" s="67" t="s">
        <v>93</v>
      </c>
      <c r="AVN26" s="68"/>
      <c r="AVO26" s="69"/>
      <c r="AVP26" s="250" t="s">
        <v>238</v>
      </c>
      <c r="AVQ26" s="251"/>
      <c r="AVR26" s="67" t="s">
        <v>93</v>
      </c>
      <c r="AVS26" s="68"/>
      <c r="AVT26" s="69"/>
      <c r="AVU26" s="250" t="s">
        <v>212</v>
      </c>
      <c r="AVV26" s="251"/>
      <c r="AVW26" s="67" t="s">
        <v>93</v>
      </c>
      <c r="AVX26" s="68"/>
      <c r="AVY26" s="69"/>
      <c r="AVZ26" s="250" t="s">
        <v>238</v>
      </c>
      <c r="AWA26" s="251"/>
      <c r="AWB26" s="67" t="s">
        <v>93</v>
      </c>
      <c r="AWC26" s="68"/>
      <c r="AWD26" s="69"/>
      <c r="AWE26" s="250" t="s">
        <v>220</v>
      </c>
      <c r="AWF26" s="251"/>
      <c r="AWG26" s="67" t="s">
        <v>93</v>
      </c>
      <c r="AWH26" s="68"/>
      <c r="AWI26" s="69"/>
      <c r="AWJ26" s="250" t="s">
        <v>218</v>
      </c>
      <c r="AWK26" s="251"/>
      <c r="AWL26" s="67" t="s">
        <v>93</v>
      </c>
      <c r="AWM26" s="68"/>
      <c r="AWN26" s="69"/>
      <c r="AWO26" s="250" t="s">
        <v>218</v>
      </c>
      <c r="AWP26" s="251"/>
      <c r="AWQ26" s="67" t="s">
        <v>93</v>
      </c>
      <c r="AWR26" s="68"/>
      <c r="AWS26" s="69"/>
      <c r="AWT26" s="250" t="s">
        <v>212</v>
      </c>
      <c r="AWU26" s="251"/>
      <c r="AWV26" s="67" t="s">
        <v>93</v>
      </c>
      <c r="AWW26" s="68"/>
      <c r="AWX26" s="69"/>
      <c r="AWY26" s="250" t="s">
        <v>238</v>
      </c>
      <c r="AWZ26" s="251"/>
      <c r="AXA26" s="67" t="s">
        <v>93</v>
      </c>
      <c r="AXB26" s="68"/>
      <c r="AXC26" s="69"/>
      <c r="AXD26" s="250" t="s">
        <v>212</v>
      </c>
      <c r="AXE26" s="251"/>
      <c r="AXF26" s="67" t="s">
        <v>93</v>
      </c>
      <c r="AXG26" s="68"/>
      <c r="AXH26" s="69"/>
      <c r="AXI26" s="250" t="s">
        <v>267</v>
      </c>
      <c r="AXJ26" s="251"/>
      <c r="AXK26" s="67" t="s">
        <v>93</v>
      </c>
      <c r="AXL26" s="68"/>
      <c r="AXM26" s="69"/>
      <c r="AXN26" s="250" t="s">
        <v>218</v>
      </c>
      <c r="AXO26" s="251"/>
      <c r="AXP26" s="67" t="s">
        <v>93</v>
      </c>
      <c r="AXQ26" s="68"/>
      <c r="AXR26" s="69"/>
      <c r="AXS26" s="250" t="s">
        <v>218</v>
      </c>
      <c r="AXT26" s="251"/>
      <c r="AXU26" s="67" t="s">
        <v>93</v>
      </c>
      <c r="AXV26" s="68"/>
      <c r="AXW26" s="69"/>
      <c r="AXX26" s="250" t="s">
        <v>218</v>
      </c>
      <c r="AXY26" s="251"/>
      <c r="AXZ26" s="67" t="s">
        <v>93</v>
      </c>
      <c r="AYA26" s="68"/>
      <c r="AYB26" s="69"/>
      <c r="AYC26" s="250" t="s">
        <v>212</v>
      </c>
      <c r="AYD26" s="251"/>
      <c r="AYE26" s="67" t="s">
        <v>93</v>
      </c>
      <c r="AYF26" s="68"/>
      <c r="AYG26" s="69"/>
      <c r="AYH26" s="250" t="s">
        <v>238</v>
      </c>
      <c r="AYI26" s="251"/>
      <c r="AYJ26" s="67" t="s">
        <v>93</v>
      </c>
      <c r="AYK26" s="68"/>
      <c r="AYL26" s="69"/>
      <c r="AYM26" s="250" t="s">
        <v>212</v>
      </c>
      <c r="AYN26" s="251"/>
      <c r="AYO26" s="67" t="s">
        <v>93</v>
      </c>
      <c r="AYP26" s="68"/>
      <c r="AYQ26" s="69"/>
      <c r="AYR26" s="250" t="s">
        <v>217</v>
      </c>
      <c r="AYS26" s="251"/>
      <c r="AYT26" s="67" t="s">
        <v>93</v>
      </c>
      <c r="AYU26" s="68"/>
      <c r="AYV26" s="69"/>
      <c r="AYW26" s="250" t="s">
        <v>253</v>
      </c>
      <c r="AYX26" s="251"/>
      <c r="AYY26" s="67" t="s">
        <v>93</v>
      </c>
      <c r="AYZ26" s="68"/>
      <c r="AZA26" s="69"/>
      <c r="AZB26" s="250" t="s">
        <v>217</v>
      </c>
      <c r="AZC26" s="251"/>
      <c r="AZD26" s="67" t="s">
        <v>93</v>
      </c>
      <c r="AZE26" s="68"/>
      <c r="AZF26" s="69"/>
      <c r="AZG26" s="250" t="s">
        <v>213</v>
      </c>
      <c r="AZH26" s="251"/>
      <c r="AZI26" s="67" t="s">
        <v>93</v>
      </c>
      <c r="AZJ26" s="68"/>
      <c r="AZK26" s="69"/>
      <c r="AZL26" s="250" t="s">
        <v>212</v>
      </c>
      <c r="AZM26" s="251"/>
      <c r="AZN26" s="67" t="s">
        <v>93</v>
      </c>
      <c r="AZO26" s="68"/>
      <c r="AZP26" s="69"/>
      <c r="AZQ26" s="250" t="s">
        <v>257</v>
      </c>
      <c r="AZR26" s="251"/>
      <c r="AZS26" s="67" t="s">
        <v>93</v>
      </c>
      <c r="AZT26" s="68"/>
      <c r="AZU26" s="69"/>
      <c r="AZV26" s="250" t="s">
        <v>253</v>
      </c>
      <c r="AZW26" s="251"/>
      <c r="AZX26" s="67" t="s">
        <v>93</v>
      </c>
      <c r="AZY26" s="68"/>
      <c r="AZZ26" s="69"/>
      <c r="BAA26" s="250" t="s">
        <v>223</v>
      </c>
      <c r="BAB26" s="251"/>
      <c r="BAC26" s="67" t="s">
        <v>93</v>
      </c>
      <c r="BAD26" s="68"/>
      <c r="BAE26" s="69"/>
      <c r="BAF26" s="250" t="s">
        <v>253</v>
      </c>
      <c r="BAG26" s="251"/>
      <c r="BAH26" s="67" t="s">
        <v>93</v>
      </c>
      <c r="BAI26" s="68"/>
      <c r="BAJ26" s="69"/>
      <c r="BAK26" s="250" t="s">
        <v>212</v>
      </c>
      <c r="BAL26" s="251"/>
      <c r="BAM26" s="67" t="s">
        <v>93</v>
      </c>
      <c r="BAN26" s="68"/>
      <c r="BAO26" s="69"/>
      <c r="BAP26" s="250" t="s">
        <v>238</v>
      </c>
      <c r="BAQ26" s="251"/>
      <c r="BAR26" s="67" t="s">
        <v>93</v>
      </c>
      <c r="BAS26" s="68"/>
      <c r="BAT26" s="69"/>
      <c r="BAU26" s="250" t="s">
        <v>217</v>
      </c>
      <c r="BAV26" s="251"/>
      <c r="BAW26" s="67" t="s">
        <v>93</v>
      </c>
      <c r="BAX26" s="68"/>
      <c r="BAY26" s="69"/>
      <c r="BAZ26" s="250" t="s">
        <v>248</v>
      </c>
      <c r="BBA26" s="251"/>
      <c r="BBB26" s="67" t="s">
        <v>93</v>
      </c>
      <c r="BBC26" s="68"/>
      <c r="BBD26" s="69"/>
      <c r="BBE26" s="250" t="s">
        <v>247</v>
      </c>
      <c r="BBF26" s="251"/>
      <c r="BBG26" s="67" t="s">
        <v>93</v>
      </c>
      <c r="BBH26" s="68"/>
      <c r="BBI26" s="69"/>
      <c r="BBJ26" s="250" t="s">
        <v>244</v>
      </c>
      <c r="BBK26" s="251"/>
      <c r="BBL26" s="67" t="s">
        <v>93</v>
      </c>
      <c r="BBM26" s="68"/>
      <c r="BBN26" s="69"/>
      <c r="BBO26" s="250" t="s">
        <v>243</v>
      </c>
      <c r="BBP26" s="251"/>
      <c r="BBQ26" s="67" t="s">
        <v>93</v>
      </c>
      <c r="BBR26" s="68"/>
      <c r="BBS26" s="69"/>
      <c r="BBT26" s="250" t="s">
        <v>240</v>
      </c>
      <c r="BBU26" s="251"/>
      <c r="BBV26" s="67" t="s">
        <v>93</v>
      </c>
      <c r="BBW26" s="68"/>
      <c r="BBX26" s="69"/>
      <c r="BBY26" s="250" t="s">
        <v>238</v>
      </c>
      <c r="BBZ26" s="251"/>
      <c r="BCA26" s="67" t="s">
        <v>93</v>
      </c>
      <c r="BCB26" s="68"/>
      <c r="BCC26" s="69"/>
      <c r="BCD26" s="250" t="s">
        <v>212</v>
      </c>
      <c r="BCE26" s="251"/>
      <c r="BCF26" s="67" t="s">
        <v>93</v>
      </c>
      <c r="BCG26" s="68"/>
      <c r="BCH26" s="69"/>
      <c r="BCI26" s="250" t="s">
        <v>212</v>
      </c>
      <c r="BCJ26" s="251"/>
      <c r="BCK26" s="67" t="s">
        <v>93</v>
      </c>
      <c r="BCL26" s="68"/>
      <c r="BCM26" s="69"/>
      <c r="BCN26" s="250" t="s">
        <v>217</v>
      </c>
      <c r="BCO26" s="251"/>
      <c r="BCP26" s="67" t="s">
        <v>93</v>
      </c>
      <c r="BCQ26" s="68"/>
      <c r="BCR26" s="69"/>
      <c r="BCS26" s="250" t="s">
        <v>233</v>
      </c>
      <c r="BCT26" s="251"/>
      <c r="BCU26" s="67" t="s">
        <v>93</v>
      </c>
      <c r="BCV26" s="68"/>
      <c r="BCW26" s="69"/>
      <c r="BCX26" s="250" t="s">
        <v>231</v>
      </c>
      <c r="BCY26" s="251"/>
      <c r="BCZ26" s="67" t="s">
        <v>93</v>
      </c>
      <c r="BDA26" s="68"/>
      <c r="BDB26" s="69"/>
      <c r="BDC26" s="250" t="s">
        <v>217</v>
      </c>
      <c r="BDD26" s="251"/>
      <c r="BDE26" s="67" t="s">
        <v>93</v>
      </c>
      <c r="BDF26" s="68"/>
      <c r="BDG26" s="69"/>
      <c r="BDH26" s="250" t="s">
        <v>220</v>
      </c>
      <c r="BDI26" s="251"/>
      <c r="BDJ26" s="67" t="s">
        <v>93</v>
      </c>
      <c r="BDK26" s="68"/>
      <c r="BDL26" s="69"/>
      <c r="BDM26" s="250" t="s">
        <v>218</v>
      </c>
      <c r="BDN26" s="251"/>
      <c r="BDO26" s="67" t="s">
        <v>93</v>
      </c>
      <c r="BDP26" s="68"/>
      <c r="BDQ26" s="69"/>
      <c r="BDR26" s="250" t="s">
        <v>212</v>
      </c>
      <c r="BDS26" s="251"/>
      <c r="BDT26" s="67" t="s">
        <v>93</v>
      </c>
      <c r="BDU26" s="68"/>
      <c r="BDV26" s="69"/>
      <c r="BDW26" s="250" t="s">
        <v>217</v>
      </c>
      <c r="BDX26" s="251"/>
      <c r="BDY26" s="67" t="s">
        <v>93</v>
      </c>
      <c r="BDZ26" s="68"/>
      <c r="BEA26" s="69"/>
      <c r="BEB26" s="250" t="s">
        <v>217</v>
      </c>
      <c r="BEC26" s="251"/>
      <c r="BED26" s="67" t="s">
        <v>93</v>
      </c>
      <c r="BEE26" s="68"/>
      <c r="BEF26" s="69"/>
      <c r="BEG26" s="250" t="s">
        <v>212</v>
      </c>
      <c r="BEH26" s="251"/>
      <c r="BEI26" s="67" t="s">
        <v>93</v>
      </c>
      <c r="BEJ26" s="68"/>
      <c r="BEK26" s="69"/>
      <c r="BEL26" s="250" t="s">
        <v>218</v>
      </c>
      <c r="BEM26" s="251"/>
      <c r="BEN26" s="67" t="s">
        <v>93</v>
      </c>
      <c r="BEO26" s="68"/>
      <c r="BEP26" s="69"/>
      <c r="BEQ26" s="250" t="s">
        <v>212</v>
      </c>
      <c r="BER26" s="251"/>
      <c r="BES26" s="67" t="s">
        <v>93</v>
      </c>
      <c r="BET26" s="68"/>
      <c r="BEU26" s="69"/>
      <c r="BEV26" s="250" t="s">
        <v>212</v>
      </c>
      <c r="BEW26" s="251"/>
      <c r="BEX26" s="67" t="s">
        <v>93</v>
      </c>
      <c r="BEY26" s="68"/>
      <c r="BEZ26" s="69"/>
      <c r="BFA26" s="250" t="s">
        <v>225</v>
      </c>
      <c r="BFB26" s="251"/>
      <c r="BFC26" s="67" t="s">
        <v>93</v>
      </c>
      <c r="BFD26" s="68"/>
      <c r="BFE26" s="69"/>
      <c r="BFF26" s="250" t="s">
        <v>223</v>
      </c>
      <c r="BFG26" s="251"/>
      <c r="BFH26" s="67" t="s">
        <v>93</v>
      </c>
      <c r="BFI26" s="68"/>
      <c r="BFJ26" s="69"/>
      <c r="BFK26" s="250" t="s">
        <v>217</v>
      </c>
      <c r="BFL26" s="251"/>
      <c r="BFM26" s="67" t="s">
        <v>93</v>
      </c>
      <c r="BFN26" s="68"/>
      <c r="BFO26" s="69"/>
      <c r="BFP26" s="250" t="s">
        <v>217</v>
      </c>
      <c r="BFQ26" s="251"/>
      <c r="BFR26" s="67" t="s">
        <v>93</v>
      </c>
      <c r="BFS26" s="68"/>
      <c r="BFT26" s="69"/>
      <c r="BFU26" s="250" t="s">
        <v>212</v>
      </c>
      <c r="BFV26" s="251"/>
      <c r="BFW26" s="67" t="s">
        <v>93</v>
      </c>
      <c r="BFX26" s="68"/>
      <c r="BFY26" s="69"/>
      <c r="BFZ26" s="250" t="s">
        <v>220</v>
      </c>
      <c r="BGA26" s="251"/>
      <c r="BGB26" s="67" t="s">
        <v>93</v>
      </c>
      <c r="BGC26" s="68"/>
      <c r="BGD26" s="69"/>
      <c r="BGE26" s="273" t="s">
        <v>218</v>
      </c>
      <c r="BGF26" s="249"/>
      <c r="BGG26" s="67" t="s">
        <v>93</v>
      </c>
      <c r="BGH26" s="68"/>
      <c r="BGI26" s="69"/>
      <c r="BGJ26" s="273" t="s">
        <v>217</v>
      </c>
      <c r="BGK26" s="249"/>
      <c r="BGL26" s="67" t="s">
        <v>93</v>
      </c>
      <c r="BGM26" s="68"/>
      <c r="BGN26" s="69"/>
      <c r="BGO26" s="273" t="s">
        <v>212</v>
      </c>
      <c r="BGP26" s="249"/>
      <c r="BGQ26" s="67" t="s">
        <v>93</v>
      </c>
      <c r="BGR26" s="68"/>
      <c r="BGS26" s="69"/>
      <c r="BGT26" s="273" t="s">
        <v>203</v>
      </c>
      <c r="BGU26" s="249"/>
      <c r="BGV26" s="67" t="s">
        <v>93</v>
      </c>
      <c r="BGW26" s="68"/>
      <c r="BGX26" s="69"/>
      <c r="BGY26" s="273" t="s">
        <v>203</v>
      </c>
      <c r="BGZ26" s="249"/>
      <c r="BHA26" s="67" t="s">
        <v>93</v>
      </c>
      <c r="BHB26" s="68"/>
      <c r="BHC26" s="69"/>
      <c r="BHD26" s="273" t="s">
        <v>213</v>
      </c>
      <c r="BHE26" s="249"/>
      <c r="BHF26" s="67" t="s">
        <v>93</v>
      </c>
      <c r="BHG26" s="68"/>
      <c r="BHH26" s="69"/>
      <c r="BHI26" s="273" t="s">
        <v>212</v>
      </c>
      <c r="BHJ26" s="249"/>
      <c r="BHK26" s="67" t="s">
        <v>93</v>
      </c>
      <c r="BHL26" s="68"/>
      <c r="BHM26" s="69"/>
      <c r="BHN26" s="273" t="s">
        <v>209</v>
      </c>
      <c r="BHO26" s="249"/>
      <c r="BHP26" s="67" t="s">
        <v>93</v>
      </c>
      <c r="BHQ26" s="68"/>
      <c r="BHR26" s="69"/>
      <c r="BHS26" s="273" t="s">
        <v>203</v>
      </c>
      <c r="BHT26" s="249"/>
      <c r="BHU26" s="67" t="s">
        <v>93</v>
      </c>
      <c r="BHV26" s="68"/>
      <c r="BHW26" s="69"/>
      <c r="BHX26" s="273" t="s">
        <v>203</v>
      </c>
      <c r="BHY26" s="249"/>
      <c r="BHZ26" s="67" t="s">
        <v>93</v>
      </c>
      <c r="BIA26" s="68"/>
      <c r="BIB26" s="69"/>
      <c r="BIC26" s="273" t="s">
        <v>205</v>
      </c>
      <c r="BID26" s="249"/>
      <c r="BIE26" s="67" t="s">
        <v>93</v>
      </c>
      <c r="BIF26" s="68"/>
      <c r="BIG26" s="69"/>
      <c r="BIH26" s="273" t="s">
        <v>203</v>
      </c>
      <c r="BII26" s="249"/>
      <c r="BIJ26" s="67" t="s">
        <v>93</v>
      </c>
      <c r="BIK26" s="68"/>
      <c r="BIL26" s="69"/>
      <c r="BIM26" s="273" t="s">
        <v>203</v>
      </c>
      <c r="BIN26" s="249"/>
      <c r="BIO26" s="67" t="s">
        <v>93</v>
      </c>
      <c r="BIP26" s="68"/>
      <c r="BIQ26" s="69"/>
      <c r="BIR26" s="273" t="s">
        <v>201</v>
      </c>
      <c r="BIS26" s="249"/>
      <c r="BIT26" s="67" t="s">
        <v>93</v>
      </c>
      <c r="BIU26" s="68"/>
      <c r="BIV26" s="69"/>
      <c r="BIW26" s="273">
        <v>7.6388888888888895E-2</v>
      </c>
      <c r="BIX26" s="249"/>
      <c r="BIY26" s="67" t="s">
        <v>93</v>
      </c>
      <c r="BIZ26" s="68"/>
      <c r="BJA26" s="69"/>
      <c r="BJB26" s="273">
        <v>0</v>
      </c>
      <c r="BJC26" s="249"/>
      <c r="BJD26" s="67" t="s">
        <v>93</v>
      </c>
      <c r="BJE26" s="68"/>
      <c r="BJF26" s="69"/>
      <c r="BJG26" s="273">
        <v>0.16666666666666666</v>
      </c>
      <c r="BJH26" s="249"/>
      <c r="BJI26" s="67" t="s">
        <v>93</v>
      </c>
      <c r="BJJ26" s="68"/>
      <c r="BJK26" s="69"/>
      <c r="BJL26" s="273">
        <v>0</v>
      </c>
      <c r="BJM26" s="249"/>
      <c r="BJN26" s="67" t="s">
        <v>93</v>
      </c>
      <c r="BJO26" s="68"/>
      <c r="BJP26" s="69"/>
      <c r="BJQ26" s="273">
        <v>0</v>
      </c>
      <c r="BJR26" s="249"/>
      <c r="BJS26" s="67" t="s">
        <v>93</v>
      </c>
      <c r="BJT26" s="68"/>
      <c r="BJU26" s="69"/>
      <c r="BJV26" s="273">
        <v>0.16666666666666666</v>
      </c>
      <c r="BJW26" s="249"/>
      <c r="BJX26" s="67" t="s">
        <v>93</v>
      </c>
      <c r="BJY26" s="68"/>
      <c r="BJZ26" s="69"/>
      <c r="BKA26" s="273">
        <v>0.16666666666666666</v>
      </c>
      <c r="BKB26" s="249"/>
      <c r="BKC26" s="67" t="s">
        <v>93</v>
      </c>
      <c r="BKD26" s="68"/>
      <c r="BKE26" s="69"/>
      <c r="BKF26" s="273">
        <v>0</v>
      </c>
      <c r="BKG26" s="249"/>
      <c r="BKH26" s="67" t="s">
        <v>93</v>
      </c>
      <c r="BKI26" s="68"/>
      <c r="BKJ26" s="69"/>
      <c r="BKK26" s="273">
        <v>3</v>
      </c>
      <c r="BKL26" s="249"/>
      <c r="BKM26" s="67" t="s">
        <v>93</v>
      </c>
      <c r="BKN26" s="68"/>
      <c r="BKO26" s="69"/>
      <c r="BKP26" s="273">
        <v>4.1666666666666664E-2</v>
      </c>
      <c r="BKQ26" s="249"/>
      <c r="BKR26" s="67" t="s">
        <v>93</v>
      </c>
      <c r="BKS26" s="68"/>
      <c r="BKT26" s="69"/>
      <c r="BKU26" s="273">
        <v>0</v>
      </c>
      <c r="BKV26" s="249"/>
      <c r="BKW26" s="67" t="s">
        <v>93</v>
      </c>
      <c r="BKX26" s="68"/>
      <c r="BKY26" s="69"/>
      <c r="BKZ26" s="273">
        <v>0</v>
      </c>
      <c r="BLA26" s="249"/>
      <c r="BLB26" s="67" t="s">
        <v>93</v>
      </c>
      <c r="BLC26" s="68"/>
      <c r="BLD26" s="69"/>
      <c r="BLE26" s="273">
        <v>0.28472222222222221</v>
      </c>
      <c r="BLF26" s="249"/>
      <c r="BLG26" s="67" t="s">
        <v>93</v>
      </c>
      <c r="BLH26" s="68"/>
      <c r="BLI26" s="69"/>
      <c r="BLJ26" s="273">
        <v>0.20833333333333334</v>
      </c>
      <c r="BLK26" s="249"/>
      <c r="BLL26" s="67" t="s">
        <v>93</v>
      </c>
      <c r="BLM26" s="68"/>
      <c r="BLN26" s="69"/>
      <c r="BLO26" s="273">
        <v>8.3333333333333329E-2</v>
      </c>
      <c r="BLP26" s="249"/>
      <c r="BLQ26" s="67" t="s">
        <v>93</v>
      </c>
      <c r="BLR26" s="68"/>
      <c r="BLS26" s="69"/>
      <c r="BLT26" s="273">
        <v>0</v>
      </c>
      <c r="BLU26" s="249"/>
      <c r="BLV26" s="67" t="s">
        <v>93</v>
      </c>
      <c r="BLW26" s="68"/>
      <c r="BLX26" s="69"/>
      <c r="BLY26" s="273">
        <v>0</v>
      </c>
      <c r="BLZ26" s="249"/>
      <c r="BMA26" s="67" t="s">
        <v>93</v>
      </c>
      <c r="BMB26" s="68"/>
      <c r="BMC26" s="69"/>
      <c r="BMD26" s="273">
        <v>2</v>
      </c>
      <c r="BME26" s="249"/>
      <c r="BMF26" s="67" t="s">
        <v>93</v>
      </c>
      <c r="BMG26" s="68"/>
      <c r="BMH26" s="69"/>
      <c r="BMI26" s="273">
        <v>5.5</v>
      </c>
      <c r="BMJ26" s="249"/>
      <c r="BMK26" s="67" t="s">
        <v>93</v>
      </c>
      <c r="BML26" s="68"/>
      <c r="BMM26" s="69"/>
      <c r="BMN26" s="273">
        <v>3</v>
      </c>
      <c r="BMO26" s="249"/>
      <c r="BMP26" s="67" t="s">
        <v>93</v>
      </c>
      <c r="BMQ26" s="68"/>
      <c r="BMR26" s="69"/>
      <c r="BMS26" s="273">
        <v>1</v>
      </c>
      <c r="BMT26" s="249"/>
      <c r="BMU26" s="67" t="s">
        <v>93</v>
      </c>
      <c r="BMV26" s="68"/>
      <c r="BMW26" s="69"/>
      <c r="BMX26" s="273">
        <v>2</v>
      </c>
      <c r="BMY26" s="249"/>
      <c r="BMZ26" s="67" t="s">
        <v>93</v>
      </c>
      <c r="BNA26" s="68"/>
      <c r="BNB26" s="69"/>
      <c r="BNC26" s="273">
        <v>2</v>
      </c>
      <c r="BND26" s="249"/>
      <c r="BNE26" s="67" t="s">
        <v>93</v>
      </c>
      <c r="BNF26" s="68"/>
      <c r="BNG26" s="69"/>
      <c r="BNH26" s="273">
        <v>3</v>
      </c>
      <c r="BNI26" s="249"/>
      <c r="BNJ26" s="67" t="s">
        <v>93</v>
      </c>
      <c r="BNK26" s="68"/>
      <c r="BNL26" s="69"/>
      <c r="BNM26" s="273">
        <v>2</v>
      </c>
      <c r="BNN26" s="249"/>
      <c r="BNO26" s="67" t="s">
        <v>93</v>
      </c>
      <c r="BNP26" s="68"/>
      <c r="BNQ26" s="69"/>
      <c r="BNR26" s="273">
        <v>1</v>
      </c>
      <c r="BNS26" s="249"/>
      <c r="BNT26" s="67" t="s">
        <v>93</v>
      </c>
      <c r="BNU26" s="68"/>
      <c r="BNV26" s="69"/>
      <c r="BNW26" s="273">
        <v>3</v>
      </c>
      <c r="BNX26" s="249"/>
      <c r="BNY26" s="67" t="s">
        <v>93</v>
      </c>
      <c r="BNZ26" s="68"/>
      <c r="BOA26" s="69"/>
      <c r="BOB26" s="273">
        <v>3</v>
      </c>
      <c r="BOC26" s="249"/>
      <c r="BOD26" s="67" t="s">
        <v>93</v>
      </c>
      <c r="BOE26" s="68"/>
      <c r="BOF26" s="69"/>
      <c r="BOG26" s="273">
        <v>2</v>
      </c>
      <c r="BOH26" s="249"/>
      <c r="BOI26" s="67" t="s">
        <v>93</v>
      </c>
      <c r="BOJ26" s="68"/>
      <c r="BOK26" s="69"/>
      <c r="BOL26" s="273">
        <v>2</v>
      </c>
      <c r="BOM26" s="249"/>
      <c r="BON26" s="67" t="s">
        <v>93</v>
      </c>
      <c r="BOO26" s="68"/>
      <c r="BOP26" s="69"/>
      <c r="BOQ26" s="273">
        <v>2</v>
      </c>
      <c r="BOR26" s="249"/>
      <c r="BOS26" s="67" t="s">
        <v>93</v>
      </c>
      <c r="BOT26" s="68"/>
      <c r="BOU26" s="69"/>
      <c r="BOV26" s="273">
        <v>6</v>
      </c>
      <c r="BOW26" s="249"/>
      <c r="BOX26" s="67" t="s">
        <v>93</v>
      </c>
      <c r="BOY26" s="68"/>
      <c r="BOZ26" s="69"/>
      <c r="BPA26" s="273">
        <v>7</v>
      </c>
      <c r="BPB26" s="249"/>
      <c r="BPC26" s="67" t="s">
        <v>93</v>
      </c>
      <c r="BPD26" s="68"/>
      <c r="BPE26" s="69"/>
      <c r="BPF26" s="273">
        <v>5</v>
      </c>
      <c r="BPG26" s="249"/>
      <c r="BPH26" s="67" t="s">
        <v>93</v>
      </c>
      <c r="BPI26" s="68"/>
      <c r="BPJ26" s="69"/>
      <c r="BPK26" s="273">
        <v>1</v>
      </c>
      <c r="BPL26" s="249"/>
      <c r="BPM26" s="67" t="s">
        <v>93</v>
      </c>
      <c r="BPN26" s="68"/>
      <c r="BPO26" s="69"/>
      <c r="BPP26" s="273">
        <v>2</v>
      </c>
      <c r="BPQ26" s="249"/>
      <c r="BPR26" s="67" t="s">
        <v>93</v>
      </c>
      <c r="BPS26" s="68"/>
      <c r="BPT26" s="69"/>
      <c r="BPU26" s="273">
        <v>1</v>
      </c>
      <c r="BPV26" s="249"/>
      <c r="BPW26" s="67" t="s">
        <v>93</v>
      </c>
      <c r="BPX26" s="68"/>
      <c r="BPY26" s="69"/>
      <c r="BPZ26" s="273">
        <v>0</v>
      </c>
      <c r="BQA26" s="249"/>
      <c r="BQB26" s="67" t="s">
        <v>93</v>
      </c>
      <c r="BQC26" s="68"/>
      <c r="BQD26" s="69"/>
      <c r="BQE26" s="273">
        <v>0</v>
      </c>
      <c r="BQF26" s="249"/>
      <c r="BQG26" s="67" t="s">
        <v>93</v>
      </c>
      <c r="BQH26" s="68"/>
      <c r="BQI26" s="69"/>
      <c r="BQJ26" s="273">
        <v>5</v>
      </c>
      <c r="BQK26" s="249"/>
      <c r="BQL26" s="67" t="s">
        <v>93</v>
      </c>
      <c r="BQM26" s="68"/>
      <c r="BQN26" s="69"/>
      <c r="BQO26" s="273">
        <v>2</v>
      </c>
      <c r="BQP26" s="249"/>
      <c r="BQQ26" s="67" t="s">
        <v>93</v>
      </c>
      <c r="BQR26" s="68"/>
      <c r="BQS26" s="69"/>
      <c r="BQT26" s="273">
        <v>2</v>
      </c>
      <c r="BQU26" s="249"/>
      <c r="BQV26" s="67" t="s">
        <v>93</v>
      </c>
      <c r="BQW26" s="68"/>
      <c r="BQX26" s="69"/>
      <c r="BQY26" s="273" t="s">
        <v>171</v>
      </c>
      <c r="BQZ26" s="249"/>
      <c r="BRA26" s="67" t="s">
        <v>93</v>
      </c>
      <c r="BRB26" s="68"/>
      <c r="BRC26" s="69"/>
      <c r="BRD26" s="273">
        <v>3</v>
      </c>
      <c r="BRE26" s="249"/>
      <c r="BRF26" s="67" t="s">
        <v>93</v>
      </c>
      <c r="BRG26" s="68"/>
      <c r="BRH26" s="69"/>
      <c r="BRI26" s="273">
        <v>0</v>
      </c>
      <c r="BRJ26" s="249"/>
      <c r="BRK26" s="67" t="s">
        <v>93</v>
      </c>
      <c r="BRL26" s="68"/>
      <c r="BRM26" s="69"/>
      <c r="BRN26" s="273">
        <v>3.5</v>
      </c>
      <c r="BRO26" s="249"/>
      <c r="BRP26" s="67" t="s">
        <v>93</v>
      </c>
      <c r="BRQ26" s="68"/>
      <c r="BRR26" s="69"/>
      <c r="BRS26" s="273" t="s">
        <v>41</v>
      </c>
      <c r="BRT26" s="249"/>
      <c r="BRU26" s="67" t="s">
        <v>93</v>
      </c>
      <c r="BRV26" s="68"/>
      <c r="BRW26" s="69"/>
      <c r="BRX26" s="273">
        <v>1</v>
      </c>
      <c r="BRY26" s="249"/>
      <c r="BRZ26" s="67" t="s">
        <v>93</v>
      </c>
      <c r="BSA26" s="68"/>
      <c r="BSB26" s="69"/>
      <c r="BSC26" s="273">
        <v>2</v>
      </c>
      <c r="BSD26" s="249"/>
      <c r="BSE26" s="67" t="s">
        <v>93</v>
      </c>
      <c r="BSF26" s="68"/>
      <c r="BSG26" s="69"/>
      <c r="BSH26" s="273">
        <v>4</v>
      </c>
      <c r="BSI26" s="249"/>
      <c r="BSJ26" s="67" t="s">
        <v>93</v>
      </c>
      <c r="BSK26" s="68"/>
      <c r="BSL26" s="69"/>
      <c r="BSM26" s="273">
        <v>2</v>
      </c>
      <c r="BSN26" s="249"/>
      <c r="BSO26" s="67" t="s">
        <v>93</v>
      </c>
      <c r="BSP26" s="68"/>
      <c r="BSQ26" s="69"/>
      <c r="BSR26" s="273">
        <v>0</v>
      </c>
      <c r="BSS26" s="249"/>
      <c r="BST26" s="67" t="s">
        <v>93</v>
      </c>
      <c r="BSU26" s="68"/>
      <c r="BSV26" s="69"/>
      <c r="BSW26" s="273">
        <v>0</v>
      </c>
      <c r="BSX26" s="249"/>
      <c r="BSY26" s="67" t="s">
        <v>93</v>
      </c>
      <c r="BSZ26" s="68"/>
      <c r="BTA26" s="69"/>
      <c r="BTB26" s="273">
        <v>5</v>
      </c>
      <c r="BTC26" s="249"/>
      <c r="BTD26" s="67" t="s">
        <v>93</v>
      </c>
      <c r="BTE26" s="68"/>
      <c r="BTF26" s="69"/>
      <c r="BTG26" s="273">
        <v>1</v>
      </c>
      <c r="BTH26" s="249"/>
      <c r="BTI26" s="67" t="s">
        <v>93</v>
      </c>
      <c r="BTJ26" s="68"/>
      <c r="BTK26" s="69"/>
      <c r="BTL26" s="273">
        <v>1</v>
      </c>
      <c r="BTM26" s="249"/>
      <c r="BTN26" s="67" t="s">
        <v>93</v>
      </c>
      <c r="BTO26" s="68"/>
      <c r="BTP26" s="69"/>
      <c r="BTQ26" s="273">
        <v>1</v>
      </c>
      <c r="BTR26" s="249"/>
      <c r="BTS26" s="67" t="s">
        <v>93</v>
      </c>
      <c r="BTT26" s="68"/>
      <c r="BTU26" s="69"/>
      <c r="BTV26" s="273">
        <v>2</v>
      </c>
      <c r="BTW26" s="249"/>
      <c r="BTX26" s="67" t="s">
        <v>93</v>
      </c>
      <c r="BTY26" s="68"/>
      <c r="BTZ26" s="69"/>
      <c r="BUA26" s="273">
        <v>0</v>
      </c>
      <c r="BUB26" s="249"/>
      <c r="BUC26" s="67" t="s">
        <v>93</v>
      </c>
      <c r="BUD26" s="68"/>
      <c r="BUE26" s="69"/>
      <c r="BUF26" s="273">
        <v>4</v>
      </c>
      <c r="BUG26" s="249"/>
      <c r="BUH26" s="67" t="s">
        <v>93</v>
      </c>
      <c r="BUI26" s="68"/>
      <c r="BUJ26" s="69"/>
      <c r="BUK26" s="273">
        <v>0</v>
      </c>
      <c r="BUL26" s="249"/>
      <c r="BUM26" s="67" t="s">
        <v>93</v>
      </c>
      <c r="BUN26" s="68"/>
      <c r="BUO26" s="69"/>
      <c r="BUP26" s="273">
        <v>2</v>
      </c>
      <c r="BUQ26" s="249"/>
      <c r="BUR26" s="67" t="s">
        <v>93</v>
      </c>
      <c r="BUS26" s="68"/>
      <c r="BUT26" s="69"/>
      <c r="BUU26" s="273">
        <v>0</v>
      </c>
      <c r="BUV26" s="249"/>
      <c r="BUW26" s="67" t="s">
        <v>93</v>
      </c>
      <c r="BUX26" s="68"/>
      <c r="BUY26" s="69"/>
      <c r="BUZ26" s="273">
        <v>0</v>
      </c>
      <c r="BVA26" s="249"/>
      <c r="BVB26" s="67" t="s">
        <v>93</v>
      </c>
      <c r="BVC26" s="68"/>
      <c r="BVD26" s="69"/>
      <c r="BVE26" s="273">
        <v>0</v>
      </c>
      <c r="BVF26" s="249"/>
      <c r="BVG26" s="67" t="s">
        <v>93</v>
      </c>
      <c r="BVH26" s="68"/>
      <c r="BVI26" s="69"/>
      <c r="BVJ26" s="273" t="s">
        <v>41</v>
      </c>
      <c r="BVK26" s="249"/>
      <c r="BVL26" s="67" t="s">
        <v>93</v>
      </c>
      <c r="BVM26" s="68"/>
      <c r="BVN26" s="69"/>
      <c r="BVO26" s="273">
        <v>0</v>
      </c>
      <c r="BVP26" s="249"/>
      <c r="BVQ26" s="67" t="s">
        <v>93</v>
      </c>
      <c r="BVR26" s="68"/>
      <c r="BVS26" s="69"/>
      <c r="BVT26" s="273">
        <v>0</v>
      </c>
      <c r="BVU26" s="249"/>
      <c r="BVV26" s="67" t="s">
        <v>93</v>
      </c>
      <c r="BVW26" s="68"/>
      <c r="BVX26" s="69"/>
      <c r="BVY26" s="273">
        <v>0</v>
      </c>
      <c r="BVZ26" s="249"/>
      <c r="BWA26" s="67" t="s">
        <v>93</v>
      </c>
      <c r="BWB26" s="68"/>
      <c r="BWC26" s="69"/>
      <c r="BWD26" s="273">
        <v>4</v>
      </c>
      <c r="BWE26" s="249"/>
      <c r="BWF26" s="67" t="s">
        <v>93</v>
      </c>
      <c r="BWG26" s="68"/>
      <c r="BWH26" s="69"/>
      <c r="BWI26" s="273">
        <v>0</v>
      </c>
      <c r="BWJ26" s="249"/>
      <c r="BWK26" s="67" t="s">
        <v>93</v>
      </c>
      <c r="BWL26" s="68"/>
      <c r="BWM26" s="69"/>
      <c r="BWN26" s="273">
        <v>0</v>
      </c>
      <c r="BWO26" s="249"/>
      <c r="BWP26" s="67" t="s">
        <v>93</v>
      </c>
      <c r="BWQ26" s="68"/>
      <c r="BWR26" s="69"/>
      <c r="BWS26" s="273">
        <v>0</v>
      </c>
      <c r="BWT26" s="249"/>
      <c r="BWU26" s="67" t="s">
        <v>93</v>
      </c>
      <c r="BWV26" s="68"/>
      <c r="BWW26" s="69"/>
      <c r="BWX26" s="273">
        <v>1.5</v>
      </c>
      <c r="BWY26" s="249"/>
      <c r="BWZ26" s="67" t="s">
        <v>93</v>
      </c>
      <c r="BXA26" s="68"/>
      <c r="BXB26" s="69"/>
      <c r="BXC26" s="273">
        <v>0</v>
      </c>
      <c r="BXD26" s="249"/>
      <c r="BXE26" s="67" t="s">
        <v>93</v>
      </c>
      <c r="BXF26" s="68"/>
      <c r="BXG26" s="69"/>
      <c r="BXH26" s="273">
        <v>2</v>
      </c>
      <c r="BXI26" s="249"/>
      <c r="BXJ26" s="67" t="s">
        <v>93</v>
      </c>
      <c r="BXK26" s="68"/>
      <c r="BXL26" s="69"/>
      <c r="BXM26" s="273">
        <v>0</v>
      </c>
      <c r="BXN26" s="249"/>
      <c r="BXO26" s="67" t="s">
        <v>93</v>
      </c>
      <c r="BXP26" s="68"/>
      <c r="BXQ26" s="69"/>
      <c r="BXR26" s="273">
        <v>0</v>
      </c>
      <c r="BXS26" s="249"/>
      <c r="BXT26" s="67" t="s">
        <v>93</v>
      </c>
      <c r="BXU26" s="68"/>
      <c r="BXV26" s="69"/>
      <c r="BXW26" s="273" t="s">
        <v>41</v>
      </c>
      <c r="BXX26" s="249"/>
      <c r="BXY26" s="67" t="s">
        <v>93</v>
      </c>
      <c r="BXZ26" s="68"/>
      <c r="BYA26" s="69"/>
      <c r="BYB26" s="273">
        <v>0.5</v>
      </c>
      <c r="BYC26" s="249"/>
      <c r="BYD26" s="67" t="s">
        <v>93</v>
      </c>
      <c r="BYE26" s="68"/>
      <c r="BYF26" s="69"/>
      <c r="BYG26" s="273">
        <v>0</v>
      </c>
      <c r="BYH26" s="249"/>
      <c r="BYI26" s="67" t="s">
        <v>93</v>
      </c>
      <c r="BYJ26" s="68"/>
      <c r="BYK26" s="69"/>
      <c r="BYL26" s="273">
        <v>0</v>
      </c>
      <c r="BYM26" s="249"/>
      <c r="BYN26" s="67" t="s">
        <v>93</v>
      </c>
      <c r="BYO26" s="68"/>
      <c r="BYP26" s="69"/>
      <c r="BYQ26" s="273">
        <v>1.5</v>
      </c>
      <c r="BYR26" s="249"/>
      <c r="BYS26" s="67" t="s">
        <v>93</v>
      </c>
      <c r="BYT26" s="68"/>
      <c r="BYU26" s="69"/>
      <c r="BYV26" s="273">
        <v>0</v>
      </c>
      <c r="BYW26" s="249"/>
      <c r="BYX26" s="67" t="s">
        <v>93</v>
      </c>
      <c r="BYY26" s="68"/>
      <c r="BYZ26" s="69"/>
      <c r="BZA26" s="273">
        <v>0</v>
      </c>
      <c r="BZB26" s="249"/>
      <c r="BZC26" s="67" t="s">
        <v>93</v>
      </c>
      <c r="BZD26" s="68"/>
      <c r="BZE26" s="69"/>
      <c r="BZF26" s="273">
        <v>6</v>
      </c>
      <c r="BZG26" s="249"/>
      <c r="BZH26" s="67" t="s">
        <v>93</v>
      </c>
      <c r="BZI26" s="68"/>
      <c r="BZJ26" s="69"/>
      <c r="BZK26" s="273">
        <v>0</v>
      </c>
      <c r="BZL26" s="249"/>
      <c r="BZM26" s="67" t="s">
        <v>93</v>
      </c>
      <c r="BZN26" s="68"/>
      <c r="BZO26" s="69"/>
      <c r="BZP26" s="273">
        <v>4</v>
      </c>
      <c r="BZQ26" s="249"/>
      <c r="BZR26" s="67" t="s">
        <v>93</v>
      </c>
      <c r="BZS26" s="68"/>
      <c r="BZT26" s="69"/>
      <c r="BZU26" s="273">
        <v>8</v>
      </c>
      <c r="BZV26" s="249"/>
      <c r="BZW26" s="67" t="s">
        <v>93</v>
      </c>
      <c r="BZX26" s="68"/>
      <c r="BZY26" s="69"/>
      <c r="BZZ26" s="273">
        <v>0</v>
      </c>
      <c r="CAA26" s="249"/>
      <c r="CAB26" s="67" t="s">
        <v>93</v>
      </c>
      <c r="CAC26" s="68"/>
      <c r="CAD26" s="69"/>
      <c r="CAE26" s="273">
        <v>0</v>
      </c>
      <c r="CAF26" s="249"/>
      <c r="CAG26" s="67" t="s">
        <v>93</v>
      </c>
      <c r="CAH26" s="68"/>
      <c r="CAI26" s="69"/>
      <c r="CAJ26" s="273">
        <v>0</v>
      </c>
      <c r="CAK26" s="249"/>
      <c r="CAL26" s="67" t="s">
        <v>93</v>
      </c>
      <c r="CAM26" s="68"/>
      <c r="CAN26" s="69"/>
      <c r="CAO26" s="273">
        <v>0</v>
      </c>
      <c r="CAP26" s="249"/>
      <c r="CAQ26" s="67" t="s">
        <v>93</v>
      </c>
      <c r="CAR26" s="68"/>
      <c r="CAS26" s="69"/>
      <c r="CAT26" s="273">
        <v>0</v>
      </c>
      <c r="CAU26" s="249"/>
      <c r="CAV26" s="67" t="s">
        <v>93</v>
      </c>
      <c r="CAW26" s="68"/>
      <c r="CAX26" s="69"/>
      <c r="CAY26" s="273">
        <v>0</v>
      </c>
      <c r="CAZ26" s="249"/>
      <c r="CBA26" s="67" t="s">
        <v>93</v>
      </c>
      <c r="CBB26" s="68"/>
      <c r="CBC26" s="69"/>
      <c r="CBD26" s="273">
        <v>0</v>
      </c>
      <c r="CBE26" s="249"/>
      <c r="CBF26" s="67" t="s">
        <v>93</v>
      </c>
      <c r="CBG26" s="68"/>
      <c r="CBH26" s="69"/>
      <c r="CBI26" s="273">
        <v>0</v>
      </c>
      <c r="CBJ26" s="249"/>
      <c r="CBK26" s="67" t="s">
        <v>93</v>
      </c>
      <c r="CBL26" s="68"/>
      <c r="CBM26" s="69"/>
      <c r="CBN26" s="273">
        <v>0</v>
      </c>
      <c r="CBO26" s="249"/>
      <c r="CBP26" s="67" t="s">
        <v>93</v>
      </c>
      <c r="CBQ26" s="68"/>
      <c r="CBR26" s="69"/>
      <c r="CBS26" s="273">
        <v>0</v>
      </c>
      <c r="CBT26" s="249"/>
      <c r="CBU26" s="67" t="s">
        <v>93</v>
      </c>
      <c r="CBV26" s="68"/>
      <c r="CBW26" s="69"/>
      <c r="CBX26" s="273">
        <v>2</v>
      </c>
      <c r="CBY26" s="249"/>
      <c r="CBZ26" s="67" t="s">
        <v>93</v>
      </c>
      <c r="CCA26" s="68"/>
      <c r="CCB26" s="69"/>
      <c r="CCC26" s="273">
        <v>1.5</v>
      </c>
      <c r="CCD26" s="249"/>
      <c r="CCE26" s="67" t="s">
        <v>93</v>
      </c>
      <c r="CCF26" s="68"/>
      <c r="CCG26" s="69"/>
      <c r="CCH26" s="273">
        <v>1</v>
      </c>
      <c r="CCI26" s="249"/>
      <c r="CCJ26" s="67" t="s">
        <v>93</v>
      </c>
      <c r="CCK26" s="68"/>
      <c r="CCL26" s="69"/>
      <c r="CCM26" s="273">
        <v>0</v>
      </c>
      <c r="CCN26" s="249"/>
      <c r="CCO26" s="67" t="s">
        <v>93</v>
      </c>
      <c r="CCP26" s="68"/>
      <c r="CCQ26" s="69"/>
      <c r="CCR26" s="273">
        <v>0</v>
      </c>
      <c r="CCS26" s="249"/>
      <c r="CCT26" s="67" t="s">
        <v>93</v>
      </c>
      <c r="CCU26" s="68"/>
      <c r="CCV26" s="69"/>
      <c r="CCW26" s="273">
        <v>0</v>
      </c>
      <c r="CCX26" s="249"/>
      <c r="CCY26" s="67" t="s">
        <v>93</v>
      </c>
      <c r="CCZ26" s="68"/>
      <c r="CDA26" s="69"/>
      <c r="CDB26" s="273">
        <v>4</v>
      </c>
      <c r="CDC26" s="249"/>
      <c r="CDD26" s="67" t="s">
        <v>93</v>
      </c>
      <c r="CDE26" s="68"/>
      <c r="CDF26" s="69"/>
      <c r="CDG26" s="273">
        <v>4</v>
      </c>
      <c r="CDH26" s="249"/>
      <c r="CDI26" s="67" t="s">
        <v>93</v>
      </c>
      <c r="CDJ26" s="68"/>
      <c r="CDK26" s="69"/>
      <c r="CDL26" s="273">
        <v>0</v>
      </c>
      <c r="CDM26" s="249"/>
      <c r="CDN26" s="67" t="s">
        <v>93</v>
      </c>
      <c r="CDO26" s="68"/>
      <c r="CDP26" s="69"/>
      <c r="CDQ26" s="273">
        <v>0</v>
      </c>
      <c r="CDR26" s="249"/>
      <c r="CDS26" s="67" t="s">
        <v>93</v>
      </c>
      <c r="CDT26" s="68"/>
      <c r="CDU26" s="69"/>
      <c r="CDV26" s="273" t="s">
        <v>142</v>
      </c>
      <c r="CDW26" s="249"/>
      <c r="CDX26" s="67" t="s">
        <v>93</v>
      </c>
      <c r="CDY26" s="68"/>
      <c r="CDZ26" s="69"/>
      <c r="CEA26" s="273">
        <v>6</v>
      </c>
      <c r="CEB26" s="249"/>
      <c r="CEC26" s="67" t="s">
        <v>93</v>
      </c>
      <c r="CED26" s="68"/>
      <c r="CEE26" s="69"/>
      <c r="CEF26" s="273">
        <v>0</v>
      </c>
      <c r="CEG26" s="249"/>
      <c r="CEH26" s="67" t="s">
        <v>93</v>
      </c>
      <c r="CEI26" s="68"/>
      <c r="CEJ26" s="69"/>
      <c r="CEK26" s="273">
        <v>4</v>
      </c>
      <c r="CEL26" s="249"/>
      <c r="CEM26" s="67" t="s">
        <v>93</v>
      </c>
      <c r="CEN26" s="68"/>
      <c r="CEO26" s="69"/>
      <c r="CEP26" s="273" t="s">
        <v>41</v>
      </c>
      <c r="CEQ26" s="249"/>
      <c r="CER26" s="67" t="s">
        <v>93</v>
      </c>
      <c r="CES26" s="68"/>
      <c r="CET26" s="69"/>
      <c r="CEU26" s="273">
        <v>2</v>
      </c>
      <c r="CEV26" s="249"/>
      <c r="CEW26" s="67" t="s">
        <v>93</v>
      </c>
      <c r="CEX26" s="68"/>
      <c r="CEY26" s="69"/>
      <c r="CEZ26" s="273">
        <v>0</v>
      </c>
      <c r="CFA26" s="249"/>
      <c r="CFB26" s="67" t="s">
        <v>93</v>
      </c>
      <c r="CFC26" s="68"/>
      <c r="CFD26" s="69"/>
      <c r="CFE26" s="273">
        <v>2</v>
      </c>
      <c r="CFF26" s="249"/>
      <c r="CFG26" s="67" t="s">
        <v>93</v>
      </c>
      <c r="CFH26" s="68"/>
      <c r="CFI26" s="69"/>
      <c r="CFJ26" s="273">
        <v>2</v>
      </c>
      <c r="CFK26" s="249"/>
      <c r="CFL26" s="67" t="s">
        <v>93</v>
      </c>
      <c r="CFM26" s="68"/>
      <c r="CFN26" s="69"/>
      <c r="CFO26" s="273">
        <v>7</v>
      </c>
      <c r="CFP26" s="249"/>
      <c r="CFQ26" s="67" t="s">
        <v>93</v>
      </c>
      <c r="CFR26" s="68"/>
      <c r="CFS26" s="69"/>
      <c r="CFT26" s="273">
        <v>0</v>
      </c>
      <c r="CFU26" s="249"/>
      <c r="CFV26" s="67" t="s">
        <v>93</v>
      </c>
      <c r="CFW26" s="68"/>
      <c r="CFX26" s="69"/>
      <c r="CFY26" s="273">
        <v>0</v>
      </c>
      <c r="CFZ26" s="249"/>
      <c r="CGA26" s="67" t="s">
        <v>93</v>
      </c>
      <c r="CGB26" s="68"/>
      <c r="CGC26" s="69"/>
      <c r="CGD26" s="273">
        <v>0</v>
      </c>
      <c r="CGE26" s="249"/>
      <c r="CGF26" s="67" t="s">
        <v>93</v>
      </c>
      <c r="CGG26" s="68"/>
      <c r="CGH26" s="69"/>
      <c r="CGI26" s="273">
        <v>0</v>
      </c>
      <c r="CGJ26" s="249"/>
      <c r="CGK26" s="67" t="s">
        <v>93</v>
      </c>
      <c r="CGL26" s="68"/>
      <c r="CGM26" s="69"/>
      <c r="CGN26" s="273" t="s">
        <v>41</v>
      </c>
      <c r="CGO26" s="249"/>
      <c r="CGP26" s="67" t="s">
        <v>93</v>
      </c>
      <c r="CGQ26" s="68"/>
      <c r="CGR26" s="69"/>
      <c r="CGS26" s="273">
        <v>0</v>
      </c>
      <c r="CGT26" s="249"/>
      <c r="CGU26" s="67" t="s">
        <v>93</v>
      </c>
      <c r="CGV26" s="68"/>
      <c r="CGW26" s="69"/>
      <c r="CGX26" s="273">
        <v>0</v>
      </c>
      <c r="CGY26" s="249"/>
      <c r="CGZ26" s="67" t="s">
        <v>93</v>
      </c>
      <c r="CHA26" s="68"/>
      <c r="CHB26" s="69"/>
      <c r="CHC26" s="273">
        <v>0</v>
      </c>
      <c r="CHD26" s="249"/>
      <c r="CHE26" s="67" t="s">
        <v>93</v>
      </c>
      <c r="CHF26" s="68"/>
      <c r="CHG26" s="69"/>
      <c r="CHH26" s="273">
        <v>0</v>
      </c>
      <c r="CHI26" s="249"/>
      <c r="CHJ26" s="67" t="s">
        <v>93</v>
      </c>
      <c r="CHK26" s="68"/>
      <c r="CHL26" s="69"/>
      <c r="CHM26" s="273">
        <v>0</v>
      </c>
      <c r="CHN26" s="249"/>
      <c r="CHO26" s="67" t="s">
        <v>93</v>
      </c>
      <c r="CHP26" s="68"/>
      <c r="CHQ26" s="69"/>
      <c r="CHR26" s="273">
        <v>10</v>
      </c>
      <c r="CHS26" s="249"/>
      <c r="CHT26" s="67" t="s">
        <v>93</v>
      </c>
      <c r="CHU26" s="68"/>
      <c r="CHV26" s="69"/>
      <c r="CHW26" s="273">
        <v>0</v>
      </c>
      <c r="CHX26" s="249"/>
      <c r="CHY26" s="67" t="s">
        <v>93</v>
      </c>
      <c r="CHZ26" s="68"/>
      <c r="CIA26" s="69"/>
      <c r="CIB26" s="273">
        <v>4</v>
      </c>
      <c r="CIC26" s="249"/>
      <c r="CID26" s="67" t="s">
        <v>93</v>
      </c>
      <c r="CIE26" s="68"/>
      <c r="CIF26" s="69"/>
      <c r="CIG26" s="273">
        <v>2</v>
      </c>
      <c r="CIH26" s="249"/>
      <c r="CII26" s="67" t="s">
        <v>93</v>
      </c>
      <c r="CIJ26" s="68"/>
      <c r="CIK26" s="69"/>
      <c r="CIL26" s="273">
        <v>4</v>
      </c>
      <c r="CIM26" s="249"/>
      <c r="CIN26" s="67" t="s">
        <v>93</v>
      </c>
      <c r="CIO26" s="68"/>
      <c r="CIP26" s="69"/>
      <c r="CIQ26" s="273">
        <v>0</v>
      </c>
      <c r="CIR26" s="249"/>
      <c r="CIS26" s="67" t="s">
        <v>93</v>
      </c>
      <c r="CIT26" s="68"/>
      <c r="CIU26" s="69"/>
      <c r="CIV26" s="273">
        <v>8</v>
      </c>
      <c r="CIW26" s="249"/>
      <c r="CIX26" s="67" t="s">
        <v>93</v>
      </c>
      <c r="CIY26" s="68"/>
      <c r="CIZ26" s="69"/>
      <c r="CJA26" s="273">
        <v>12</v>
      </c>
      <c r="CJB26" s="249"/>
      <c r="CJC26" s="67" t="s">
        <v>93</v>
      </c>
      <c r="CJD26" s="68"/>
      <c r="CJE26" s="69"/>
      <c r="CJF26" s="273">
        <v>5</v>
      </c>
      <c r="CJG26" s="249"/>
      <c r="CJH26" s="67" t="s">
        <v>93</v>
      </c>
      <c r="CJI26" s="68"/>
      <c r="CJJ26" s="69"/>
      <c r="CJK26" s="273">
        <v>2</v>
      </c>
      <c r="CJL26" s="249"/>
      <c r="CJM26" s="67" t="s">
        <v>93</v>
      </c>
      <c r="CJN26" s="68"/>
      <c r="CJO26" s="69"/>
      <c r="CJP26" s="273">
        <v>11</v>
      </c>
      <c r="CJQ26" s="249"/>
      <c r="CJR26" s="67" t="s">
        <v>93</v>
      </c>
      <c r="CJS26" s="68"/>
      <c r="CJT26" s="69"/>
      <c r="CJU26" s="273">
        <v>0</v>
      </c>
      <c r="CJV26" s="249"/>
      <c r="CJW26" s="67" t="s">
        <v>93</v>
      </c>
      <c r="CJX26" s="68"/>
      <c r="CJY26" s="69"/>
      <c r="CJZ26" s="273">
        <v>0</v>
      </c>
      <c r="CKA26" s="249"/>
      <c r="CKB26" s="67" t="s">
        <v>93</v>
      </c>
      <c r="CKC26" s="68"/>
      <c r="CKD26" s="69"/>
      <c r="CKE26" s="273">
        <v>0</v>
      </c>
      <c r="CKF26" s="249"/>
      <c r="CKG26" s="67" t="s">
        <v>93</v>
      </c>
      <c r="CKH26" s="68"/>
      <c r="CKI26" s="69"/>
      <c r="CKJ26" s="273">
        <v>0</v>
      </c>
      <c r="CKK26" s="249"/>
      <c r="CKL26" s="67" t="s">
        <v>93</v>
      </c>
      <c r="CKM26" s="68"/>
      <c r="CKN26" s="69"/>
      <c r="CKO26" s="273">
        <v>0</v>
      </c>
      <c r="CKP26" s="249"/>
      <c r="CKQ26" s="67" t="s">
        <v>93</v>
      </c>
      <c r="CKR26" s="68"/>
      <c r="CKS26" s="69"/>
      <c r="CKT26" s="273" t="s">
        <v>41</v>
      </c>
      <c r="CKU26" s="249"/>
      <c r="CKV26" s="67" t="s">
        <v>93</v>
      </c>
      <c r="CKW26" s="68"/>
      <c r="CKX26" s="69"/>
      <c r="CKY26" s="273">
        <v>2</v>
      </c>
      <c r="CKZ26" s="249"/>
      <c r="CLA26" s="67" t="s">
        <v>93</v>
      </c>
      <c r="CLB26" s="68"/>
      <c r="CLC26" s="69"/>
      <c r="CLD26" s="273">
        <v>6</v>
      </c>
      <c r="CLE26" s="249"/>
      <c r="CLF26" s="67" t="s">
        <v>93</v>
      </c>
      <c r="CLG26" s="68"/>
      <c r="CLH26" s="69"/>
      <c r="CLI26" s="273" t="s">
        <v>41</v>
      </c>
      <c r="CLJ26" s="249"/>
      <c r="CLK26" s="67" t="s">
        <v>93</v>
      </c>
      <c r="CLL26" s="68"/>
      <c r="CLM26" s="69"/>
      <c r="CLN26" s="273">
        <v>0</v>
      </c>
      <c r="CLO26" s="249"/>
      <c r="CLP26" s="67" t="s">
        <v>93</v>
      </c>
      <c r="CLQ26" s="68"/>
      <c r="CLR26" s="69"/>
      <c r="CLS26" s="273">
        <v>0</v>
      </c>
      <c r="CLT26" s="249"/>
      <c r="CLU26" s="67" t="s">
        <v>93</v>
      </c>
      <c r="CLV26" s="68"/>
      <c r="CLW26" s="69"/>
      <c r="CLX26" s="273">
        <v>0</v>
      </c>
      <c r="CLY26" s="249"/>
      <c r="CLZ26" s="67" t="s">
        <v>93</v>
      </c>
      <c r="CMA26" s="68"/>
      <c r="CMB26" s="69"/>
      <c r="CMC26" s="273" t="s">
        <v>41</v>
      </c>
      <c r="CMD26" s="249"/>
      <c r="CME26" s="67" t="s">
        <v>93</v>
      </c>
      <c r="CMF26" s="68"/>
      <c r="CMG26" s="69"/>
      <c r="CMH26" s="273">
        <v>0</v>
      </c>
      <c r="CMI26" s="249"/>
      <c r="CMJ26" s="67" t="s">
        <v>93</v>
      </c>
      <c r="CMK26" s="68"/>
      <c r="CML26" s="69"/>
      <c r="CMM26" s="273">
        <v>2</v>
      </c>
      <c r="CMN26" s="249"/>
      <c r="CMO26" s="67" t="s">
        <v>93</v>
      </c>
      <c r="CMP26" s="68"/>
      <c r="CMQ26" s="69"/>
      <c r="CMR26" s="273" t="s">
        <v>41</v>
      </c>
      <c r="CMS26" s="249"/>
      <c r="CMT26" s="67" t="s">
        <v>93</v>
      </c>
      <c r="CMU26" s="68"/>
      <c r="CMV26" s="69"/>
      <c r="CMW26" s="273" t="s">
        <v>41</v>
      </c>
      <c r="CMX26" s="249"/>
      <c r="CMY26" s="67" t="s">
        <v>93</v>
      </c>
      <c r="CMZ26" s="68"/>
      <c r="CNA26" s="69"/>
      <c r="CNB26" s="273" t="s">
        <v>41</v>
      </c>
      <c r="CNC26" s="249"/>
      <c r="CND26" s="67" t="s">
        <v>93</v>
      </c>
      <c r="CNE26" s="68"/>
      <c r="CNF26" s="69"/>
      <c r="CNG26" s="273" t="s">
        <v>41</v>
      </c>
      <c r="CNH26" s="249"/>
      <c r="CNI26" s="67" t="s">
        <v>93</v>
      </c>
      <c r="CNJ26" s="68"/>
      <c r="CNK26" s="69"/>
      <c r="CNL26" s="273">
        <v>1</v>
      </c>
      <c r="CNM26" s="249"/>
      <c r="CNN26" s="67" t="s">
        <v>93</v>
      </c>
      <c r="CNO26" s="68"/>
      <c r="CNP26" s="69"/>
      <c r="CNQ26" s="273">
        <v>0</v>
      </c>
      <c r="CNR26" s="249"/>
      <c r="CNS26" s="67" t="s">
        <v>93</v>
      </c>
      <c r="CNT26" s="68"/>
      <c r="CNU26" s="69"/>
      <c r="CNV26" s="273" t="s">
        <v>31</v>
      </c>
      <c r="CNW26" s="249"/>
      <c r="CNX26" s="67" t="s">
        <v>93</v>
      </c>
      <c r="CNY26" s="68"/>
      <c r="CNZ26" s="69"/>
      <c r="COA26" s="273" t="s">
        <v>41</v>
      </c>
      <c r="COB26" s="249"/>
      <c r="COC26" s="67" t="s">
        <v>93</v>
      </c>
      <c r="COD26" s="68"/>
      <c r="COE26" s="69"/>
      <c r="COF26" s="273" t="s">
        <v>41</v>
      </c>
      <c r="COG26" s="249"/>
      <c r="COH26" s="67" t="s">
        <v>93</v>
      </c>
      <c r="COI26" s="68"/>
      <c r="COJ26" s="69"/>
      <c r="COK26" s="273" t="s">
        <v>41</v>
      </c>
      <c r="COL26" s="249"/>
      <c r="COM26" s="67" t="s">
        <v>93</v>
      </c>
      <c r="CON26" s="68"/>
      <c r="COO26" s="69"/>
      <c r="COP26" s="273">
        <v>0</v>
      </c>
      <c r="COQ26" s="249"/>
      <c r="COR26" s="67" t="s">
        <v>93</v>
      </c>
      <c r="COS26" s="68"/>
      <c r="COT26" s="69"/>
      <c r="COU26" s="273" t="s">
        <v>41</v>
      </c>
      <c r="COV26" s="249"/>
      <c r="COW26" s="67" t="s">
        <v>93</v>
      </c>
      <c r="COX26" s="68"/>
      <c r="COY26" s="69"/>
      <c r="COZ26" s="273">
        <v>0</v>
      </c>
      <c r="CPA26" s="249"/>
      <c r="CPB26" s="67" t="s">
        <v>93</v>
      </c>
      <c r="CPC26" s="68"/>
      <c r="CPD26" s="69"/>
      <c r="CPE26" s="273">
        <v>6</v>
      </c>
      <c r="CPF26" s="249"/>
      <c r="CPG26" s="67" t="s">
        <v>93</v>
      </c>
      <c r="CPH26" s="68"/>
      <c r="CPI26" s="69"/>
      <c r="CPJ26" s="273">
        <v>8</v>
      </c>
      <c r="CPK26" s="249"/>
      <c r="CPL26" s="67" t="s">
        <v>93</v>
      </c>
      <c r="CPM26" s="68"/>
      <c r="CPN26" s="69"/>
      <c r="CPO26" s="273">
        <v>2</v>
      </c>
      <c r="CPP26" s="249"/>
      <c r="CPQ26" s="67" t="s">
        <v>93</v>
      </c>
      <c r="CPR26" s="68"/>
      <c r="CPS26" s="69"/>
      <c r="CPT26" s="273" t="s">
        <v>106</v>
      </c>
      <c r="CPU26" s="249"/>
      <c r="CPV26" s="67" t="s">
        <v>93</v>
      </c>
      <c r="CPW26" s="68"/>
      <c r="CPX26" s="69"/>
      <c r="CPY26" s="273">
        <v>0</v>
      </c>
      <c r="CPZ26" s="249"/>
      <c r="CQA26" s="67" t="s">
        <v>93</v>
      </c>
      <c r="CQB26" s="68"/>
      <c r="CQC26" s="69"/>
      <c r="CQD26" s="273">
        <v>0</v>
      </c>
      <c r="CQE26" s="249"/>
      <c r="CQF26" s="67" t="s">
        <v>93</v>
      </c>
      <c r="CQG26" s="68"/>
      <c r="CQH26" s="69"/>
      <c r="CQI26" s="273" t="s">
        <v>103</v>
      </c>
      <c r="CQJ26" s="249"/>
      <c r="CQK26" s="67" t="s">
        <v>93</v>
      </c>
      <c r="CQL26" s="68"/>
      <c r="CQM26" s="69"/>
      <c r="CQN26" s="273">
        <v>22</v>
      </c>
      <c r="CQO26" s="249"/>
      <c r="CQP26" s="67" t="s">
        <v>93</v>
      </c>
      <c r="CQQ26" s="68"/>
      <c r="CQR26" s="69"/>
      <c r="CQS26" s="273" t="s">
        <v>41</v>
      </c>
      <c r="CQT26" s="249"/>
      <c r="CQU26" s="67" t="s">
        <v>93</v>
      </c>
      <c r="CQV26" s="68"/>
      <c r="CQW26" s="69"/>
      <c r="CQX26" s="273">
        <v>6</v>
      </c>
      <c r="CQY26" s="249"/>
      <c r="CQZ26" s="67" t="s">
        <v>93</v>
      </c>
      <c r="CRA26" s="68"/>
      <c r="CRB26" s="69"/>
      <c r="CRC26" s="273" t="s">
        <v>41</v>
      </c>
      <c r="CRD26" s="249"/>
      <c r="CRE26" s="10" t="s">
        <v>12</v>
      </c>
      <c r="CRF26" s="4"/>
      <c r="CRG26" s="5"/>
      <c r="CRH26" s="315" t="s">
        <v>31</v>
      </c>
      <c r="CRI26" s="316"/>
      <c r="CRJ26" s="10" t="s">
        <v>12</v>
      </c>
      <c r="CRK26" s="4"/>
      <c r="CRL26" s="5"/>
      <c r="CRM26" s="315" t="s">
        <v>31</v>
      </c>
      <c r="CRN26" s="316"/>
      <c r="CRO26" s="10" t="s">
        <v>12</v>
      </c>
      <c r="CRP26" s="4"/>
      <c r="CRQ26" s="5"/>
      <c r="CRR26" s="315" t="s">
        <v>31</v>
      </c>
      <c r="CRS26" s="316"/>
      <c r="CRT26" s="10" t="s">
        <v>12</v>
      </c>
      <c r="CRU26" s="4"/>
      <c r="CRV26" s="5"/>
      <c r="CRW26" s="315" t="s">
        <v>31</v>
      </c>
      <c r="CRX26" s="316"/>
      <c r="CRY26" s="10" t="s">
        <v>12</v>
      </c>
      <c r="CRZ26" s="4"/>
      <c r="CSA26" s="5"/>
      <c r="CSB26" s="17" t="s">
        <v>31</v>
      </c>
      <c r="CSC26" s="10" t="s">
        <v>12</v>
      </c>
      <c r="CSD26" s="4"/>
      <c r="CSE26" s="5"/>
      <c r="CSF26" s="17" t="s">
        <v>61</v>
      </c>
      <c r="CSG26" s="10" t="s">
        <v>12</v>
      </c>
      <c r="CSH26" s="4"/>
      <c r="CSI26" s="5"/>
      <c r="CSJ26" s="17" t="s">
        <v>31</v>
      </c>
      <c r="CSK26" s="10" t="s">
        <v>12</v>
      </c>
      <c r="CSL26" s="4"/>
      <c r="CSM26" s="5"/>
      <c r="CSN26" s="17" t="s">
        <v>31</v>
      </c>
      <c r="CSO26" s="10" t="s">
        <v>12</v>
      </c>
      <c r="CSP26" s="4"/>
      <c r="CSQ26" s="5"/>
      <c r="CSR26" s="17" t="s">
        <v>31</v>
      </c>
      <c r="CSS26" s="10" t="s">
        <v>12</v>
      </c>
      <c r="CST26" s="4"/>
      <c r="CSU26" s="5"/>
      <c r="CSV26" s="17" t="s">
        <v>61</v>
      </c>
      <c r="CSW26" s="10" t="s">
        <v>12</v>
      </c>
      <c r="CSX26" s="4"/>
      <c r="CSY26" s="5"/>
      <c r="CSZ26" s="17" t="s">
        <v>31</v>
      </c>
      <c r="CTA26" s="10" t="s">
        <v>12</v>
      </c>
      <c r="CTB26" s="4"/>
      <c r="CTC26" s="5"/>
      <c r="CTD26" s="17" t="s">
        <v>31</v>
      </c>
      <c r="CTE26" s="10" t="s">
        <v>12</v>
      </c>
      <c r="CTF26" s="4"/>
      <c r="CTG26" s="5"/>
      <c r="CTH26" s="17" t="s">
        <v>31</v>
      </c>
      <c r="CTI26" s="10" t="s">
        <v>12</v>
      </c>
      <c r="CTJ26" s="4"/>
      <c r="CTK26" s="5"/>
      <c r="CTL26" s="17" t="s">
        <v>61</v>
      </c>
      <c r="CTM26" s="10" t="s">
        <v>12</v>
      </c>
      <c r="CTN26" s="4"/>
      <c r="CTO26" s="5"/>
      <c r="CTP26" s="17" t="s">
        <v>67</v>
      </c>
      <c r="CTQ26" s="10" t="s">
        <v>12</v>
      </c>
      <c r="CTR26" s="4"/>
      <c r="CTS26" s="5"/>
      <c r="CTT26" s="17" t="s">
        <v>31</v>
      </c>
      <c r="CTU26" s="10" t="s">
        <v>12</v>
      </c>
      <c r="CTV26" s="4"/>
      <c r="CTW26" s="5"/>
      <c r="CTX26" s="17" t="s">
        <v>31</v>
      </c>
      <c r="CTY26" s="10" t="s">
        <v>12</v>
      </c>
      <c r="CTZ26" s="4"/>
      <c r="CUA26" s="5"/>
      <c r="CUB26" s="17" t="s">
        <v>31</v>
      </c>
      <c r="CUC26" s="10" t="s">
        <v>12</v>
      </c>
      <c r="CUD26" s="4"/>
      <c r="CUE26" s="5"/>
      <c r="CUF26" s="17" t="s">
        <v>61</v>
      </c>
      <c r="CUG26" s="10" t="s">
        <v>12</v>
      </c>
      <c r="CUH26" s="4"/>
      <c r="CUI26" s="5"/>
      <c r="CUJ26" s="17" t="s">
        <v>31</v>
      </c>
      <c r="CUK26" s="10" t="s">
        <v>12</v>
      </c>
      <c r="CUL26" s="4"/>
      <c r="CUM26" s="5"/>
      <c r="CUN26" s="17" t="s">
        <v>31</v>
      </c>
      <c r="CUO26" s="10" t="s">
        <v>12</v>
      </c>
      <c r="CUP26" s="4"/>
      <c r="CUQ26" s="5"/>
      <c r="CUR26" s="17" t="s">
        <v>31</v>
      </c>
      <c r="CUS26" s="10" t="s">
        <v>12</v>
      </c>
      <c r="CUT26" s="4"/>
      <c r="CUU26" s="5"/>
      <c r="CUV26" s="17" t="s">
        <v>61</v>
      </c>
      <c r="CUW26" s="10" t="s">
        <v>12</v>
      </c>
      <c r="CUX26" s="4"/>
      <c r="CUY26" s="5"/>
      <c r="CUZ26" s="17" t="s">
        <v>31</v>
      </c>
      <c r="CVA26" s="10" t="s">
        <v>12</v>
      </c>
      <c r="CVB26" s="4"/>
      <c r="CVC26" s="5"/>
      <c r="CVD26" s="17" t="s">
        <v>31</v>
      </c>
      <c r="CVE26" s="10" t="s">
        <v>12</v>
      </c>
      <c r="CVF26" s="4"/>
      <c r="CVG26" s="5"/>
      <c r="CVH26" s="17"/>
      <c r="CVI26" s="10" t="s">
        <v>12</v>
      </c>
      <c r="CVJ26" s="4"/>
      <c r="CVK26" s="5"/>
      <c r="CVL26" s="17" t="s">
        <v>31</v>
      </c>
      <c r="CVM26" s="10" t="s">
        <v>12</v>
      </c>
      <c r="CVN26" s="4"/>
      <c r="CVO26" s="5"/>
      <c r="CVP26" s="17" t="s">
        <v>31</v>
      </c>
      <c r="CVQ26" s="10" t="s">
        <v>12</v>
      </c>
      <c r="CVR26" s="4"/>
      <c r="CVS26" s="5"/>
      <c r="CVT26" s="17" t="s">
        <v>31</v>
      </c>
      <c r="CVU26" s="10" t="s">
        <v>12</v>
      </c>
      <c r="CVV26" s="4"/>
      <c r="CVW26" s="5"/>
      <c r="CVX26" s="17"/>
      <c r="CVY26" s="10" t="s">
        <v>12</v>
      </c>
      <c r="CVZ26" s="4"/>
      <c r="CWA26" s="5"/>
      <c r="CWB26" s="17" t="s">
        <v>61</v>
      </c>
      <c r="CWC26" s="10" t="s">
        <v>12</v>
      </c>
      <c r="CWD26" s="4"/>
      <c r="CWE26" s="5"/>
      <c r="CWF26" s="17" t="s">
        <v>31</v>
      </c>
      <c r="CWG26" s="10" t="s">
        <v>12</v>
      </c>
      <c r="CWH26" s="4"/>
      <c r="CWI26" s="5"/>
      <c r="CWJ26" s="17" t="s">
        <v>31</v>
      </c>
      <c r="CWK26" s="10" t="s">
        <v>12</v>
      </c>
      <c r="CWL26" s="4"/>
      <c r="CWM26" s="5"/>
      <c r="CWN26" s="17" t="s">
        <v>31</v>
      </c>
      <c r="CWO26" s="10" t="s">
        <v>12</v>
      </c>
      <c r="CWP26" s="4"/>
      <c r="CWQ26" s="5"/>
      <c r="CWR26" s="17" t="s">
        <v>31</v>
      </c>
      <c r="CWS26" s="10" t="s">
        <v>12</v>
      </c>
      <c r="CWT26" s="4"/>
      <c r="CWU26" s="5"/>
      <c r="CWV26" s="17"/>
      <c r="CWW26" s="10" t="s">
        <v>12</v>
      </c>
      <c r="CWX26" s="4"/>
      <c r="CWY26" s="5"/>
      <c r="CWZ26" s="17" t="s">
        <v>31</v>
      </c>
      <c r="CXA26" s="43" t="s">
        <v>12</v>
      </c>
      <c r="CXB26" s="44"/>
      <c r="CXC26" s="45"/>
      <c r="CXD26" s="46" t="s">
        <v>31</v>
      </c>
      <c r="CXE26" s="43" t="s">
        <v>12</v>
      </c>
      <c r="CXF26" s="44"/>
      <c r="CXG26" s="45"/>
      <c r="CXH26" s="46" t="s">
        <v>31</v>
      </c>
      <c r="CXI26" s="43" t="s">
        <v>12</v>
      </c>
      <c r="CXJ26" s="44"/>
      <c r="CXK26" s="45"/>
      <c r="CXL26" s="46" t="s">
        <v>31</v>
      </c>
      <c r="CXM26" s="43" t="s">
        <v>12</v>
      </c>
      <c r="CXN26" s="44"/>
      <c r="CXO26" s="45"/>
      <c r="CXP26" s="46" t="s">
        <v>31</v>
      </c>
      <c r="CXQ26" s="43" t="s">
        <v>12</v>
      </c>
      <c r="CXR26" s="44"/>
      <c r="CXS26" s="45"/>
      <c r="CXT26" s="46" t="s">
        <v>31</v>
      </c>
      <c r="CXU26" s="26" t="s">
        <v>12</v>
      </c>
      <c r="CXX26" s="26" t="s">
        <v>31</v>
      </c>
      <c r="CXY26" s="26" t="s">
        <v>12</v>
      </c>
      <c r="CYB26" s="26" t="s">
        <v>31</v>
      </c>
      <c r="CYC26" s="26" t="s">
        <v>12</v>
      </c>
      <c r="CYF26" s="26" t="s">
        <v>31</v>
      </c>
      <c r="CYG26" s="26" t="s">
        <v>14</v>
      </c>
      <c r="CYJ26" s="26" t="s">
        <v>31</v>
      </c>
      <c r="CYK26" s="26" t="s">
        <v>14</v>
      </c>
      <c r="CYN26" s="26" t="s">
        <v>31</v>
      </c>
      <c r="CYO26" s="26" t="s">
        <v>14</v>
      </c>
      <c r="CYR26" s="26" t="s">
        <v>31</v>
      </c>
      <c r="CYS26" s="26" t="s">
        <v>14</v>
      </c>
      <c r="CYV26" s="26" t="s">
        <v>31</v>
      </c>
      <c r="CYW26" s="26" t="s">
        <v>14</v>
      </c>
      <c r="CYZ26" s="26" t="s">
        <v>48</v>
      </c>
      <c r="CZA26" s="26" t="s">
        <v>14</v>
      </c>
      <c r="CZD26" s="26" t="s">
        <v>48</v>
      </c>
      <c r="CZE26" s="26" t="s">
        <v>14</v>
      </c>
      <c r="CZH26" s="26" t="s">
        <v>31</v>
      </c>
      <c r="CZI26" s="26" t="s">
        <v>14</v>
      </c>
      <c r="CZL26" s="26" t="s">
        <v>31</v>
      </c>
      <c r="CZM26" s="26" t="s">
        <v>14</v>
      </c>
      <c r="CZP26" s="26" t="s">
        <v>31</v>
      </c>
      <c r="CZQ26" s="26" t="s">
        <v>14</v>
      </c>
      <c r="CZT26" s="26" t="s">
        <v>31</v>
      </c>
      <c r="CZU26" s="26" t="s">
        <v>14</v>
      </c>
      <c r="CZX26" s="26" t="s">
        <v>31</v>
      </c>
      <c r="CZY26" s="26" t="s">
        <v>14</v>
      </c>
      <c r="DAB26" s="26" t="s">
        <v>31</v>
      </c>
      <c r="DAC26" s="26" t="s">
        <v>14</v>
      </c>
      <c r="DAF26" s="26" t="s">
        <v>31</v>
      </c>
      <c r="DAG26" s="26" t="s">
        <v>14</v>
      </c>
      <c r="DAJ26" s="26" t="s">
        <v>31</v>
      </c>
      <c r="DAK26" s="26" t="s">
        <v>14</v>
      </c>
      <c r="DAN26" s="26" t="s">
        <v>31</v>
      </c>
      <c r="DAO26" s="26" t="s">
        <v>14</v>
      </c>
      <c r="DAR26" s="26" t="s">
        <v>31</v>
      </c>
      <c r="DAS26" s="26" t="s">
        <v>14</v>
      </c>
      <c r="DAV26" s="26" t="s">
        <v>31</v>
      </c>
      <c r="DAW26" s="26" t="s">
        <v>14</v>
      </c>
      <c r="DAZ26" s="26" t="s">
        <v>31</v>
      </c>
      <c r="DBA26" s="26" t="s">
        <v>14</v>
      </c>
      <c r="DBD26" s="26" t="s">
        <v>31</v>
      </c>
      <c r="DBE26" s="26" t="s">
        <v>14</v>
      </c>
      <c r="DBH26" s="26" t="s">
        <v>31</v>
      </c>
      <c r="DBI26" s="26" t="s">
        <v>14</v>
      </c>
      <c r="DBL26" s="26" t="s">
        <v>31</v>
      </c>
      <c r="DBM26" s="26" t="s">
        <v>14</v>
      </c>
      <c r="DBP26" s="26" t="s">
        <v>31</v>
      </c>
      <c r="DBQ26" s="26" t="s">
        <v>14</v>
      </c>
      <c r="DBT26" s="26" t="s">
        <v>31</v>
      </c>
      <c r="DBU26" s="26" t="s">
        <v>14</v>
      </c>
      <c r="DBX26" s="26" t="s">
        <v>31</v>
      </c>
      <c r="DBY26" s="26" t="s">
        <v>14</v>
      </c>
      <c r="DCB26" s="26" t="s">
        <v>31</v>
      </c>
      <c r="DCC26" s="26" t="s">
        <v>14</v>
      </c>
      <c r="DCF26" s="26" t="s">
        <v>31</v>
      </c>
      <c r="DCG26" s="26" t="s">
        <v>14</v>
      </c>
      <c r="DCJ26" s="26" t="s">
        <v>31</v>
      </c>
      <c r="DCK26" s="26" t="s">
        <v>14</v>
      </c>
      <c r="DCN26" s="26" t="s">
        <v>31</v>
      </c>
      <c r="DCO26" s="26" t="s">
        <v>14</v>
      </c>
      <c r="DCR26" s="26" t="s">
        <v>31</v>
      </c>
      <c r="DCS26" s="26" t="s">
        <v>14</v>
      </c>
      <c r="DCV26" s="26" t="s">
        <v>31</v>
      </c>
      <c r="DCW26" s="26" t="s">
        <v>14</v>
      </c>
      <c r="DCZ26" s="26" t="s">
        <v>31</v>
      </c>
      <c r="DDA26" s="26" t="s">
        <v>14</v>
      </c>
      <c r="DDD26" s="26" t="s">
        <v>31</v>
      </c>
      <c r="DDE26" s="26" t="s">
        <v>15</v>
      </c>
      <c r="DDH26" s="26" t="s">
        <v>40</v>
      </c>
    </row>
    <row r="27" spans="1:2828" ht="15.6" x14ac:dyDescent="0.3">
      <c r="A27" s="247" t="s">
        <v>73</v>
      </c>
      <c r="B27" s="248"/>
      <c r="C27" s="248"/>
      <c r="D27" s="248"/>
      <c r="E27" s="249"/>
      <c r="F27" s="247" t="s">
        <v>73</v>
      </c>
      <c r="G27" s="248"/>
      <c r="H27" s="248"/>
      <c r="I27" s="248"/>
      <c r="J27" s="249"/>
      <c r="K27" s="247" t="s">
        <v>73</v>
      </c>
      <c r="L27" s="248"/>
      <c r="M27" s="248"/>
      <c r="N27" s="248"/>
      <c r="O27" s="249"/>
      <c r="P27" s="247" t="s">
        <v>73</v>
      </c>
      <c r="Q27" s="248"/>
      <c r="R27" s="248"/>
      <c r="S27" s="248"/>
      <c r="T27" s="249"/>
      <c r="U27" s="247" t="s">
        <v>73</v>
      </c>
      <c r="V27" s="248"/>
      <c r="W27" s="248"/>
      <c r="X27" s="248"/>
      <c r="Y27" s="249"/>
      <c r="Z27" s="247" t="s">
        <v>73</v>
      </c>
      <c r="AA27" s="248"/>
      <c r="AB27" s="248"/>
      <c r="AC27" s="248"/>
      <c r="AD27" s="249"/>
      <c r="AE27" s="247" t="s">
        <v>73</v>
      </c>
      <c r="AF27" s="248"/>
      <c r="AG27" s="248"/>
      <c r="AH27" s="248"/>
      <c r="AI27" s="249"/>
      <c r="AJ27" s="247" t="s">
        <v>73</v>
      </c>
      <c r="AK27" s="248"/>
      <c r="AL27" s="248"/>
      <c r="AM27" s="248"/>
      <c r="AN27" s="249"/>
      <c r="AO27" s="247" t="s">
        <v>73</v>
      </c>
      <c r="AP27" s="248"/>
      <c r="AQ27" s="248"/>
      <c r="AR27" s="248"/>
      <c r="AS27" s="249"/>
      <c r="AT27" s="247" t="s">
        <v>73</v>
      </c>
      <c r="AU27" s="248"/>
      <c r="AV27" s="248"/>
      <c r="AW27" s="248"/>
      <c r="AX27" s="249"/>
      <c r="AY27" s="247" t="s">
        <v>73</v>
      </c>
      <c r="AZ27" s="248"/>
      <c r="BA27" s="248"/>
      <c r="BB27" s="248"/>
      <c r="BC27" s="249"/>
      <c r="BD27" s="247" t="s">
        <v>73</v>
      </c>
      <c r="BE27" s="248"/>
      <c r="BF27" s="248"/>
      <c r="BG27" s="248"/>
      <c r="BH27" s="249"/>
      <c r="BI27" s="247" t="s">
        <v>73</v>
      </c>
      <c r="BJ27" s="248"/>
      <c r="BK27" s="248"/>
      <c r="BL27" s="248"/>
      <c r="BM27" s="249"/>
      <c r="BN27" s="247" t="s">
        <v>73</v>
      </c>
      <c r="BO27" s="248"/>
      <c r="BP27" s="248"/>
      <c r="BQ27" s="248"/>
      <c r="BR27" s="249"/>
      <c r="BS27" s="247" t="s">
        <v>73</v>
      </c>
      <c r="BT27" s="248"/>
      <c r="BU27" s="248"/>
      <c r="BV27" s="248"/>
      <c r="BW27" s="249"/>
      <c r="BX27" s="247" t="s">
        <v>73</v>
      </c>
      <c r="BY27" s="248"/>
      <c r="BZ27" s="248"/>
      <c r="CA27" s="248"/>
      <c r="CB27" s="249"/>
      <c r="CC27" s="247" t="s">
        <v>73</v>
      </c>
      <c r="CD27" s="248"/>
      <c r="CE27" s="248"/>
      <c r="CF27" s="248"/>
      <c r="CG27" s="249"/>
      <c r="CH27" s="247" t="s">
        <v>73</v>
      </c>
      <c r="CI27" s="248"/>
      <c r="CJ27" s="248"/>
      <c r="CK27" s="248"/>
      <c r="CL27" s="249"/>
      <c r="CM27" s="247" t="s">
        <v>73</v>
      </c>
      <c r="CN27" s="248"/>
      <c r="CO27" s="248"/>
      <c r="CP27" s="248"/>
      <c r="CQ27" s="249"/>
      <c r="CR27" s="247" t="s">
        <v>73</v>
      </c>
      <c r="CS27" s="248"/>
      <c r="CT27" s="248"/>
      <c r="CU27" s="248"/>
      <c r="CV27" s="249"/>
      <c r="CW27" s="247" t="s">
        <v>73</v>
      </c>
      <c r="CX27" s="248"/>
      <c r="CY27" s="248"/>
      <c r="CZ27" s="248"/>
      <c r="DA27" s="249"/>
      <c r="DB27" s="247" t="s">
        <v>73</v>
      </c>
      <c r="DC27" s="248"/>
      <c r="DD27" s="248"/>
      <c r="DE27" s="248"/>
      <c r="DF27" s="249"/>
      <c r="DG27" s="247" t="s">
        <v>73</v>
      </c>
      <c r="DH27" s="248"/>
      <c r="DI27" s="248"/>
      <c r="DJ27" s="248"/>
      <c r="DK27" s="249"/>
      <c r="DL27" s="247" t="s">
        <v>73</v>
      </c>
      <c r="DM27" s="248"/>
      <c r="DN27" s="248"/>
      <c r="DO27" s="248"/>
      <c r="DP27" s="249"/>
      <c r="DQ27" s="247" t="s">
        <v>73</v>
      </c>
      <c r="DR27" s="248"/>
      <c r="DS27" s="248"/>
      <c r="DT27" s="248"/>
      <c r="DU27" s="249"/>
      <c r="DV27" s="247" t="s">
        <v>73</v>
      </c>
      <c r="DW27" s="248"/>
      <c r="DX27" s="248"/>
      <c r="DY27" s="248"/>
      <c r="DZ27" s="249"/>
      <c r="EA27" s="247" t="s">
        <v>73</v>
      </c>
      <c r="EB27" s="248"/>
      <c r="EC27" s="248"/>
      <c r="ED27" s="248"/>
      <c r="EE27" s="249"/>
      <c r="EF27" s="247" t="s">
        <v>73</v>
      </c>
      <c r="EG27" s="248"/>
      <c r="EH27" s="248"/>
      <c r="EI27" s="248"/>
      <c r="EJ27" s="249"/>
      <c r="EK27" s="247" t="s">
        <v>73</v>
      </c>
      <c r="EL27" s="248"/>
      <c r="EM27" s="248"/>
      <c r="EN27" s="248"/>
      <c r="EO27" s="249"/>
      <c r="EP27" s="247" t="s">
        <v>73</v>
      </c>
      <c r="EQ27" s="248"/>
      <c r="ER27" s="248"/>
      <c r="ES27" s="248"/>
      <c r="ET27" s="249"/>
      <c r="EU27" s="247" t="s">
        <v>73</v>
      </c>
      <c r="EV27" s="248"/>
      <c r="EW27" s="248"/>
      <c r="EX27" s="248"/>
      <c r="EY27" s="249"/>
      <c r="EZ27" s="247" t="s">
        <v>73</v>
      </c>
      <c r="FA27" s="248"/>
      <c r="FB27" s="248"/>
      <c r="FC27" s="248"/>
      <c r="FD27" s="249"/>
      <c r="FE27" s="247" t="s">
        <v>73</v>
      </c>
      <c r="FF27" s="248"/>
      <c r="FG27" s="248"/>
      <c r="FH27" s="248"/>
      <c r="FI27" s="249"/>
      <c r="FJ27" s="247" t="s">
        <v>73</v>
      </c>
      <c r="FK27" s="248"/>
      <c r="FL27" s="248"/>
      <c r="FM27" s="248"/>
      <c r="FN27" s="249"/>
      <c r="FO27" s="247" t="s">
        <v>73</v>
      </c>
      <c r="FP27" s="248"/>
      <c r="FQ27" s="248"/>
      <c r="FR27" s="248"/>
      <c r="FS27" s="249"/>
      <c r="FT27" s="247" t="s">
        <v>73</v>
      </c>
      <c r="FU27" s="248"/>
      <c r="FV27" s="248"/>
      <c r="FW27" s="248"/>
      <c r="FX27" s="249"/>
      <c r="FY27" s="247" t="s">
        <v>73</v>
      </c>
      <c r="FZ27" s="248"/>
      <c r="GA27" s="248"/>
      <c r="GB27" s="248"/>
      <c r="GC27" s="249"/>
      <c r="GD27" s="247" t="s">
        <v>73</v>
      </c>
      <c r="GE27" s="248"/>
      <c r="GF27" s="248"/>
      <c r="GG27" s="248"/>
      <c r="GH27" s="249"/>
      <c r="GI27" s="247" t="s">
        <v>73</v>
      </c>
      <c r="GJ27" s="248"/>
      <c r="GK27" s="248"/>
      <c r="GL27" s="248"/>
      <c r="GM27" s="249"/>
      <c r="GN27" s="247" t="s">
        <v>73</v>
      </c>
      <c r="GO27" s="248"/>
      <c r="GP27" s="248"/>
      <c r="GQ27" s="248"/>
      <c r="GR27" s="249"/>
      <c r="GS27" s="247" t="s">
        <v>73</v>
      </c>
      <c r="GT27" s="248"/>
      <c r="GU27" s="248"/>
      <c r="GV27" s="248"/>
      <c r="GW27" s="249"/>
      <c r="GX27" s="247" t="s">
        <v>73</v>
      </c>
      <c r="GY27" s="248"/>
      <c r="GZ27" s="248"/>
      <c r="HA27" s="248"/>
      <c r="HB27" s="249"/>
      <c r="HC27" s="247" t="s">
        <v>73</v>
      </c>
      <c r="HD27" s="248"/>
      <c r="HE27" s="248"/>
      <c r="HF27" s="248"/>
      <c r="HG27" s="249"/>
      <c r="HH27" s="247" t="s">
        <v>73</v>
      </c>
      <c r="HI27" s="248"/>
      <c r="HJ27" s="248"/>
      <c r="HK27" s="248"/>
      <c r="HL27" s="249"/>
      <c r="HM27" s="247" t="s">
        <v>73</v>
      </c>
      <c r="HN27" s="248"/>
      <c r="HO27" s="248"/>
      <c r="HP27" s="248"/>
      <c r="HQ27" s="249"/>
      <c r="HR27" s="247" t="s">
        <v>73</v>
      </c>
      <c r="HS27" s="248"/>
      <c r="HT27" s="248"/>
      <c r="HU27" s="248"/>
      <c r="HV27" s="249"/>
      <c r="HW27" s="247" t="s">
        <v>73</v>
      </c>
      <c r="HX27" s="248"/>
      <c r="HY27" s="248"/>
      <c r="HZ27" s="248"/>
      <c r="IA27" s="249"/>
      <c r="IB27" s="247" t="s">
        <v>73</v>
      </c>
      <c r="IC27" s="248"/>
      <c r="ID27" s="248"/>
      <c r="IE27" s="248"/>
      <c r="IF27" s="249"/>
      <c r="IG27" s="247" t="s">
        <v>73</v>
      </c>
      <c r="IH27" s="248"/>
      <c r="II27" s="248"/>
      <c r="IJ27" s="248"/>
      <c r="IK27" s="249"/>
      <c r="IL27" s="247" t="s">
        <v>73</v>
      </c>
      <c r="IM27" s="248"/>
      <c r="IN27" s="248"/>
      <c r="IO27" s="248"/>
      <c r="IP27" s="249"/>
      <c r="IQ27" s="247" t="s">
        <v>73</v>
      </c>
      <c r="IR27" s="248"/>
      <c r="IS27" s="248"/>
      <c r="IT27" s="248"/>
      <c r="IU27" s="249"/>
      <c r="IV27" s="247" t="s">
        <v>73</v>
      </c>
      <c r="IW27" s="248"/>
      <c r="IX27" s="248"/>
      <c r="IY27" s="248"/>
      <c r="IZ27" s="249"/>
      <c r="JA27" s="247" t="s">
        <v>73</v>
      </c>
      <c r="JB27" s="248"/>
      <c r="JC27" s="248"/>
      <c r="JD27" s="248"/>
      <c r="JE27" s="249"/>
      <c r="JF27" s="247" t="s">
        <v>73</v>
      </c>
      <c r="JG27" s="248"/>
      <c r="JH27" s="248"/>
      <c r="JI27" s="248"/>
      <c r="JJ27" s="249"/>
      <c r="JK27" s="247" t="s">
        <v>73</v>
      </c>
      <c r="JL27" s="248"/>
      <c r="JM27" s="248"/>
      <c r="JN27" s="248"/>
      <c r="JO27" s="249"/>
      <c r="JP27" s="247" t="s">
        <v>73</v>
      </c>
      <c r="JQ27" s="248"/>
      <c r="JR27" s="248"/>
      <c r="JS27" s="248"/>
      <c r="JT27" s="249"/>
      <c r="JU27" s="247" t="s">
        <v>73</v>
      </c>
      <c r="JV27" s="248"/>
      <c r="JW27" s="248"/>
      <c r="JX27" s="248"/>
      <c r="JY27" s="249"/>
      <c r="JZ27" s="247" t="s">
        <v>73</v>
      </c>
      <c r="KA27" s="248"/>
      <c r="KB27" s="248"/>
      <c r="KC27" s="248"/>
      <c r="KD27" s="249"/>
      <c r="KE27" s="247" t="s">
        <v>73</v>
      </c>
      <c r="KF27" s="248"/>
      <c r="KG27" s="248"/>
      <c r="KH27" s="248"/>
      <c r="KI27" s="249"/>
      <c r="KJ27" s="247" t="s">
        <v>73</v>
      </c>
      <c r="KK27" s="248"/>
      <c r="KL27" s="248"/>
      <c r="KM27" s="248"/>
      <c r="KN27" s="249"/>
      <c r="KO27" s="247" t="s">
        <v>73</v>
      </c>
      <c r="KP27" s="248"/>
      <c r="KQ27" s="248"/>
      <c r="KR27" s="248"/>
      <c r="KS27" s="249"/>
      <c r="KT27" s="247" t="s">
        <v>73</v>
      </c>
      <c r="KU27" s="248"/>
      <c r="KV27" s="248"/>
      <c r="KW27" s="248"/>
      <c r="KX27" s="249"/>
      <c r="KY27" s="247" t="s">
        <v>73</v>
      </c>
      <c r="KZ27" s="248"/>
      <c r="LA27" s="248"/>
      <c r="LB27" s="248"/>
      <c r="LC27" s="249"/>
      <c r="LD27" s="247" t="s">
        <v>73</v>
      </c>
      <c r="LE27" s="248"/>
      <c r="LF27" s="248"/>
      <c r="LG27" s="248"/>
      <c r="LH27" s="249"/>
      <c r="LI27" s="247" t="s">
        <v>73</v>
      </c>
      <c r="LJ27" s="248"/>
      <c r="LK27" s="248"/>
      <c r="LL27" s="248"/>
      <c r="LM27" s="249"/>
      <c r="LN27" s="247" t="s">
        <v>73</v>
      </c>
      <c r="LO27" s="248"/>
      <c r="LP27" s="248"/>
      <c r="LQ27" s="248"/>
      <c r="LR27" s="249"/>
      <c r="LS27" s="247" t="s">
        <v>73</v>
      </c>
      <c r="LT27" s="248"/>
      <c r="LU27" s="248"/>
      <c r="LV27" s="248"/>
      <c r="LW27" s="249"/>
      <c r="LX27" s="247" t="s">
        <v>73</v>
      </c>
      <c r="LY27" s="248"/>
      <c r="LZ27" s="248"/>
      <c r="MA27" s="248"/>
      <c r="MB27" s="249"/>
      <c r="MC27" s="247" t="s">
        <v>73</v>
      </c>
      <c r="MD27" s="248"/>
      <c r="ME27" s="248"/>
      <c r="MF27" s="248"/>
      <c r="MG27" s="249"/>
      <c r="MH27" s="247" t="s">
        <v>73</v>
      </c>
      <c r="MI27" s="248"/>
      <c r="MJ27" s="248"/>
      <c r="MK27" s="248"/>
      <c r="ML27" s="249"/>
      <c r="MM27" s="247" t="s">
        <v>73</v>
      </c>
      <c r="MN27" s="248"/>
      <c r="MO27" s="248"/>
      <c r="MP27" s="248"/>
      <c r="MQ27" s="249"/>
      <c r="MR27" s="247" t="s">
        <v>73</v>
      </c>
      <c r="MS27" s="248"/>
      <c r="MT27" s="248"/>
      <c r="MU27" s="248"/>
      <c r="MV27" s="249"/>
      <c r="MW27" s="247" t="s">
        <v>73</v>
      </c>
      <c r="MX27" s="248"/>
      <c r="MY27" s="248"/>
      <c r="MZ27" s="248"/>
      <c r="NA27" s="249"/>
      <c r="NB27" s="247" t="s">
        <v>73</v>
      </c>
      <c r="NC27" s="248"/>
      <c r="ND27" s="248"/>
      <c r="NE27" s="248"/>
      <c r="NF27" s="249"/>
      <c r="NG27" s="247" t="s">
        <v>73</v>
      </c>
      <c r="NH27" s="248"/>
      <c r="NI27" s="248"/>
      <c r="NJ27" s="248"/>
      <c r="NK27" s="249"/>
      <c r="NL27" s="247" t="s">
        <v>73</v>
      </c>
      <c r="NM27" s="248"/>
      <c r="NN27" s="248"/>
      <c r="NO27" s="248"/>
      <c r="NP27" s="249"/>
      <c r="NQ27" s="247" t="s">
        <v>73</v>
      </c>
      <c r="NR27" s="248"/>
      <c r="NS27" s="248"/>
      <c r="NT27" s="248"/>
      <c r="NU27" s="249"/>
      <c r="NV27" s="247" t="s">
        <v>73</v>
      </c>
      <c r="NW27" s="248"/>
      <c r="NX27" s="248"/>
      <c r="NY27" s="248"/>
      <c r="NZ27" s="249"/>
      <c r="OA27" s="247" t="s">
        <v>73</v>
      </c>
      <c r="OB27" s="248"/>
      <c r="OC27" s="248"/>
      <c r="OD27" s="248"/>
      <c r="OE27" s="249"/>
      <c r="OF27" s="247" t="s">
        <v>73</v>
      </c>
      <c r="OG27" s="248"/>
      <c r="OH27" s="248"/>
      <c r="OI27" s="248"/>
      <c r="OJ27" s="249"/>
      <c r="OK27" s="247" t="s">
        <v>73</v>
      </c>
      <c r="OL27" s="248"/>
      <c r="OM27" s="248"/>
      <c r="ON27" s="248"/>
      <c r="OO27" s="249"/>
      <c r="OP27" s="247" t="s">
        <v>73</v>
      </c>
      <c r="OQ27" s="248"/>
      <c r="OR27" s="248"/>
      <c r="OS27" s="248"/>
      <c r="OT27" s="249"/>
      <c r="OU27" s="247" t="s">
        <v>73</v>
      </c>
      <c r="OV27" s="248"/>
      <c r="OW27" s="248"/>
      <c r="OX27" s="248"/>
      <c r="OY27" s="249"/>
      <c r="OZ27" s="247" t="s">
        <v>73</v>
      </c>
      <c r="PA27" s="248"/>
      <c r="PB27" s="248"/>
      <c r="PC27" s="248"/>
      <c r="PD27" s="249"/>
      <c r="PE27" s="247" t="s">
        <v>73</v>
      </c>
      <c r="PF27" s="248"/>
      <c r="PG27" s="248"/>
      <c r="PH27" s="248"/>
      <c r="PI27" s="249"/>
      <c r="PJ27" s="247" t="s">
        <v>73</v>
      </c>
      <c r="PK27" s="248"/>
      <c r="PL27" s="248"/>
      <c r="PM27" s="248"/>
      <c r="PN27" s="249"/>
      <c r="PO27" s="247" t="s">
        <v>73</v>
      </c>
      <c r="PP27" s="248"/>
      <c r="PQ27" s="248"/>
      <c r="PR27" s="248"/>
      <c r="PS27" s="249"/>
      <c r="PT27" s="247" t="s">
        <v>73</v>
      </c>
      <c r="PU27" s="248"/>
      <c r="PV27" s="248"/>
      <c r="PW27" s="248"/>
      <c r="PX27" s="249"/>
      <c r="PY27" s="247" t="s">
        <v>73</v>
      </c>
      <c r="PZ27" s="248"/>
      <c r="QA27" s="248"/>
      <c r="QB27" s="248"/>
      <c r="QC27" s="249"/>
      <c r="QD27" s="247" t="s">
        <v>73</v>
      </c>
      <c r="QE27" s="248"/>
      <c r="QF27" s="248"/>
      <c r="QG27" s="248"/>
      <c r="QH27" s="249"/>
      <c r="QI27" s="247" t="s">
        <v>73</v>
      </c>
      <c r="QJ27" s="248"/>
      <c r="QK27" s="248"/>
      <c r="QL27" s="248"/>
      <c r="QM27" s="249"/>
      <c r="QN27" s="247" t="s">
        <v>73</v>
      </c>
      <c r="QO27" s="248"/>
      <c r="QP27" s="248"/>
      <c r="QQ27" s="248"/>
      <c r="QR27" s="249"/>
      <c r="QS27" s="247" t="s">
        <v>73</v>
      </c>
      <c r="QT27" s="248"/>
      <c r="QU27" s="248"/>
      <c r="QV27" s="248"/>
      <c r="QW27" s="249"/>
      <c r="QX27" s="247" t="s">
        <v>73</v>
      </c>
      <c r="QY27" s="248"/>
      <c r="QZ27" s="248"/>
      <c r="RA27" s="248"/>
      <c r="RB27" s="249"/>
      <c r="RC27" s="247" t="s">
        <v>73</v>
      </c>
      <c r="RD27" s="248"/>
      <c r="RE27" s="248"/>
      <c r="RF27" s="248"/>
      <c r="RG27" s="249"/>
      <c r="RH27" s="247" t="s">
        <v>73</v>
      </c>
      <c r="RI27" s="248"/>
      <c r="RJ27" s="248"/>
      <c r="RK27" s="248"/>
      <c r="RL27" s="249"/>
      <c r="RM27" s="247" t="s">
        <v>73</v>
      </c>
      <c r="RN27" s="248"/>
      <c r="RO27" s="248"/>
      <c r="RP27" s="248"/>
      <c r="RQ27" s="249"/>
      <c r="RR27" s="247" t="s">
        <v>73</v>
      </c>
      <c r="RS27" s="248"/>
      <c r="RT27" s="248"/>
      <c r="RU27" s="248"/>
      <c r="RV27" s="249"/>
      <c r="RW27" s="247" t="s">
        <v>73</v>
      </c>
      <c r="RX27" s="248"/>
      <c r="RY27" s="248"/>
      <c r="RZ27" s="248"/>
      <c r="SA27" s="249"/>
      <c r="SB27" s="247" t="s">
        <v>73</v>
      </c>
      <c r="SC27" s="248"/>
      <c r="SD27" s="248"/>
      <c r="SE27" s="248"/>
      <c r="SF27" s="249"/>
      <c r="SG27" s="247" t="s">
        <v>73</v>
      </c>
      <c r="SH27" s="248"/>
      <c r="SI27" s="248"/>
      <c r="SJ27" s="248"/>
      <c r="SK27" s="249"/>
      <c r="SL27" s="247" t="s">
        <v>73</v>
      </c>
      <c r="SM27" s="248"/>
      <c r="SN27" s="248"/>
      <c r="SO27" s="248"/>
      <c r="SP27" s="249"/>
      <c r="SQ27" s="247" t="s">
        <v>73</v>
      </c>
      <c r="SR27" s="248"/>
      <c r="SS27" s="248"/>
      <c r="ST27" s="248"/>
      <c r="SU27" s="249"/>
      <c r="SV27" s="247" t="s">
        <v>73</v>
      </c>
      <c r="SW27" s="248"/>
      <c r="SX27" s="248"/>
      <c r="SY27" s="248"/>
      <c r="SZ27" s="249"/>
      <c r="TA27" s="247" t="s">
        <v>73</v>
      </c>
      <c r="TB27" s="248"/>
      <c r="TC27" s="248"/>
      <c r="TD27" s="248"/>
      <c r="TE27" s="249"/>
      <c r="TF27" s="247" t="s">
        <v>73</v>
      </c>
      <c r="TG27" s="248"/>
      <c r="TH27" s="248"/>
      <c r="TI27" s="248"/>
      <c r="TJ27" s="249"/>
      <c r="TK27" s="247" t="s">
        <v>73</v>
      </c>
      <c r="TL27" s="248"/>
      <c r="TM27" s="248"/>
      <c r="TN27" s="248"/>
      <c r="TO27" s="249"/>
      <c r="TP27" s="247" t="s">
        <v>73</v>
      </c>
      <c r="TQ27" s="248"/>
      <c r="TR27" s="248"/>
      <c r="TS27" s="248"/>
      <c r="TT27" s="249"/>
      <c r="TU27" s="247" t="s">
        <v>73</v>
      </c>
      <c r="TV27" s="248"/>
      <c r="TW27" s="248"/>
      <c r="TX27" s="248"/>
      <c r="TY27" s="249"/>
      <c r="TZ27" s="247" t="s">
        <v>73</v>
      </c>
      <c r="UA27" s="248"/>
      <c r="UB27" s="248"/>
      <c r="UC27" s="248"/>
      <c r="UD27" s="249"/>
      <c r="UE27" s="247" t="s">
        <v>73</v>
      </c>
      <c r="UF27" s="248"/>
      <c r="UG27" s="248"/>
      <c r="UH27" s="248"/>
      <c r="UI27" s="249"/>
      <c r="UJ27" s="247" t="s">
        <v>73</v>
      </c>
      <c r="UK27" s="248"/>
      <c r="UL27" s="248"/>
      <c r="UM27" s="248"/>
      <c r="UN27" s="249"/>
      <c r="UO27" s="247" t="s">
        <v>73</v>
      </c>
      <c r="UP27" s="248"/>
      <c r="UQ27" s="248"/>
      <c r="UR27" s="248"/>
      <c r="US27" s="249"/>
      <c r="UT27" s="247" t="s">
        <v>73</v>
      </c>
      <c r="UU27" s="248"/>
      <c r="UV27" s="248"/>
      <c r="UW27" s="248"/>
      <c r="UX27" s="249"/>
      <c r="UY27" s="247" t="s">
        <v>73</v>
      </c>
      <c r="UZ27" s="248"/>
      <c r="VA27" s="248"/>
      <c r="VB27" s="248"/>
      <c r="VC27" s="249"/>
      <c r="VD27" s="247" t="s">
        <v>73</v>
      </c>
      <c r="VE27" s="248"/>
      <c r="VF27" s="248"/>
      <c r="VG27" s="248"/>
      <c r="VH27" s="249"/>
      <c r="VI27" s="247" t="s">
        <v>73</v>
      </c>
      <c r="VJ27" s="248"/>
      <c r="VK27" s="248"/>
      <c r="VL27" s="248"/>
      <c r="VM27" s="249"/>
      <c r="VN27" s="247" t="s">
        <v>73</v>
      </c>
      <c r="VO27" s="248"/>
      <c r="VP27" s="248"/>
      <c r="VQ27" s="248"/>
      <c r="VR27" s="249"/>
      <c r="VS27" s="247" t="s">
        <v>73</v>
      </c>
      <c r="VT27" s="248"/>
      <c r="VU27" s="248"/>
      <c r="VV27" s="248"/>
      <c r="VW27" s="249"/>
      <c r="VX27" s="247" t="s">
        <v>73</v>
      </c>
      <c r="VY27" s="248"/>
      <c r="VZ27" s="248"/>
      <c r="WA27" s="248"/>
      <c r="WB27" s="249"/>
      <c r="WC27" s="247" t="s">
        <v>73</v>
      </c>
      <c r="WD27" s="248"/>
      <c r="WE27" s="248"/>
      <c r="WF27" s="248"/>
      <c r="WG27" s="249"/>
      <c r="WH27" s="247" t="s">
        <v>73</v>
      </c>
      <c r="WI27" s="248"/>
      <c r="WJ27" s="248"/>
      <c r="WK27" s="248"/>
      <c r="WL27" s="249"/>
      <c r="WM27" s="247" t="s">
        <v>73</v>
      </c>
      <c r="WN27" s="248"/>
      <c r="WO27" s="248"/>
      <c r="WP27" s="248"/>
      <c r="WQ27" s="249"/>
      <c r="WR27" s="247" t="s">
        <v>73</v>
      </c>
      <c r="WS27" s="248"/>
      <c r="WT27" s="248"/>
      <c r="WU27" s="248"/>
      <c r="WV27" s="249"/>
      <c r="WW27" s="247" t="s">
        <v>73</v>
      </c>
      <c r="WX27" s="248"/>
      <c r="WY27" s="248"/>
      <c r="WZ27" s="248"/>
      <c r="XA27" s="249"/>
      <c r="XB27" s="247" t="s">
        <v>73</v>
      </c>
      <c r="XC27" s="248"/>
      <c r="XD27" s="248"/>
      <c r="XE27" s="248"/>
      <c r="XF27" s="249"/>
      <c r="XG27" s="247" t="s">
        <v>73</v>
      </c>
      <c r="XH27" s="248"/>
      <c r="XI27" s="248"/>
      <c r="XJ27" s="248"/>
      <c r="XK27" s="249"/>
      <c r="XL27" s="247" t="s">
        <v>73</v>
      </c>
      <c r="XM27" s="248"/>
      <c r="XN27" s="248"/>
      <c r="XO27" s="248"/>
      <c r="XP27" s="249"/>
      <c r="XQ27" s="247" t="s">
        <v>73</v>
      </c>
      <c r="XR27" s="248"/>
      <c r="XS27" s="248"/>
      <c r="XT27" s="248"/>
      <c r="XU27" s="249"/>
      <c r="XV27" s="247" t="s">
        <v>73</v>
      </c>
      <c r="XW27" s="248"/>
      <c r="XX27" s="248"/>
      <c r="XY27" s="248"/>
      <c r="XZ27" s="249"/>
      <c r="YA27" s="247" t="s">
        <v>73</v>
      </c>
      <c r="YB27" s="248"/>
      <c r="YC27" s="248"/>
      <c r="YD27" s="248"/>
      <c r="YE27" s="249"/>
      <c r="YF27" s="247" t="s">
        <v>73</v>
      </c>
      <c r="YG27" s="248"/>
      <c r="YH27" s="248"/>
      <c r="YI27" s="248"/>
      <c r="YJ27" s="249"/>
      <c r="YK27" s="247" t="s">
        <v>73</v>
      </c>
      <c r="YL27" s="248"/>
      <c r="YM27" s="248"/>
      <c r="YN27" s="248"/>
      <c r="YO27" s="249"/>
      <c r="YP27" s="247" t="s">
        <v>73</v>
      </c>
      <c r="YQ27" s="248"/>
      <c r="YR27" s="248"/>
      <c r="YS27" s="248"/>
      <c r="YT27" s="249"/>
      <c r="YU27" s="247" t="s">
        <v>73</v>
      </c>
      <c r="YV27" s="248"/>
      <c r="YW27" s="248"/>
      <c r="YX27" s="248"/>
      <c r="YY27" s="249"/>
      <c r="YZ27" s="247" t="s">
        <v>73</v>
      </c>
      <c r="ZA27" s="248"/>
      <c r="ZB27" s="248"/>
      <c r="ZC27" s="248"/>
      <c r="ZD27" s="249"/>
      <c r="ZE27" s="247" t="s">
        <v>73</v>
      </c>
      <c r="ZF27" s="248"/>
      <c r="ZG27" s="248"/>
      <c r="ZH27" s="248"/>
      <c r="ZI27" s="249"/>
      <c r="ZJ27" s="247" t="s">
        <v>73</v>
      </c>
      <c r="ZK27" s="248"/>
      <c r="ZL27" s="248"/>
      <c r="ZM27" s="248"/>
      <c r="ZN27" s="249"/>
      <c r="ZO27" s="247" t="s">
        <v>73</v>
      </c>
      <c r="ZP27" s="248"/>
      <c r="ZQ27" s="248"/>
      <c r="ZR27" s="248"/>
      <c r="ZS27" s="249"/>
      <c r="ZT27" s="247" t="s">
        <v>73</v>
      </c>
      <c r="ZU27" s="248"/>
      <c r="ZV27" s="248"/>
      <c r="ZW27" s="248"/>
      <c r="ZX27" s="249"/>
      <c r="ZY27" s="247" t="s">
        <v>73</v>
      </c>
      <c r="ZZ27" s="248"/>
      <c r="AAA27" s="248"/>
      <c r="AAB27" s="248"/>
      <c r="AAC27" s="249"/>
      <c r="AAD27" s="247" t="s">
        <v>73</v>
      </c>
      <c r="AAE27" s="248"/>
      <c r="AAF27" s="248"/>
      <c r="AAG27" s="248"/>
      <c r="AAH27" s="249"/>
      <c r="AAI27" s="247" t="s">
        <v>73</v>
      </c>
      <c r="AAJ27" s="248"/>
      <c r="AAK27" s="248"/>
      <c r="AAL27" s="248"/>
      <c r="AAM27" s="249"/>
      <c r="AAN27" s="247" t="s">
        <v>73</v>
      </c>
      <c r="AAO27" s="248"/>
      <c r="AAP27" s="248"/>
      <c r="AAQ27" s="248"/>
      <c r="AAR27" s="249"/>
      <c r="AAS27" s="247" t="s">
        <v>73</v>
      </c>
      <c r="AAT27" s="248"/>
      <c r="AAU27" s="248"/>
      <c r="AAV27" s="248"/>
      <c r="AAW27" s="249"/>
      <c r="AAX27" s="247" t="s">
        <v>73</v>
      </c>
      <c r="AAY27" s="248"/>
      <c r="AAZ27" s="248"/>
      <c r="ABA27" s="248"/>
      <c r="ABB27" s="249"/>
      <c r="ABC27" s="247" t="s">
        <v>73</v>
      </c>
      <c r="ABD27" s="248"/>
      <c r="ABE27" s="248"/>
      <c r="ABF27" s="248"/>
      <c r="ABG27" s="249"/>
      <c r="ABH27" s="247" t="s">
        <v>73</v>
      </c>
      <c r="ABI27" s="248"/>
      <c r="ABJ27" s="248"/>
      <c r="ABK27" s="248"/>
      <c r="ABL27" s="249"/>
      <c r="ABM27" s="247" t="s">
        <v>73</v>
      </c>
      <c r="ABN27" s="248"/>
      <c r="ABO27" s="248"/>
      <c r="ABP27" s="248"/>
      <c r="ABQ27" s="249"/>
      <c r="ABR27" s="247" t="s">
        <v>73</v>
      </c>
      <c r="ABS27" s="248"/>
      <c r="ABT27" s="248"/>
      <c r="ABU27" s="248"/>
      <c r="ABV27" s="249"/>
      <c r="ABW27" s="247" t="s">
        <v>73</v>
      </c>
      <c r="ABX27" s="248"/>
      <c r="ABY27" s="248"/>
      <c r="ABZ27" s="248"/>
      <c r="ACA27" s="249"/>
      <c r="ACB27" s="247" t="s">
        <v>73</v>
      </c>
      <c r="ACC27" s="248"/>
      <c r="ACD27" s="248"/>
      <c r="ACE27" s="248"/>
      <c r="ACF27" s="249"/>
      <c r="ACG27" s="247" t="s">
        <v>73</v>
      </c>
      <c r="ACH27" s="248"/>
      <c r="ACI27" s="248"/>
      <c r="ACJ27" s="248"/>
      <c r="ACK27" s="249"/>
      <c r="ACL27" s="247" t="s">
        <v>73</v>
      </c>
      <c r="ACM27" s="248"/>
      <c r="ACN27" s="248"/>
      <c r="ACO27" s="248"/>
      <c r="ACP27" s="249"/>
      <c r="ACQ27" s="247" t="s">
        <v>73</v>
      </c>
      <c r="ACR27" s="248"/>
      <c r="ACS27" s="248"/>
      <c r="ACT27" s="248"/>
      <c r="ACU27" s="249"/>
      <c r="ACV27" s="247" t="s">
        <v>73</v>
      </c>
      <c r="ACW27" s="248"/>
      <c r="ACX27" s="248"/>
      <c r="ACY27" s="248"/>
      <c r="ACZ27" s="249"/>
      <c r="ADA27" s="247" t="s">
        <v>73</v>
      </c>
      <c r="ADB27" s="248"/>
      <c r="ADC27" s="248"/>
      <c r="ADD27" s="248"/>
      <c r="ADE27" s="249"/>
      <c r="ADF27" s="247" t="s">
        <v>73</v>
      </c>
      <c r="ADG27" s="248"/>
      <c r="ADH27" s="248"/>
      <c r="ADI27" s="248"/>
      <c r="ADJ27" s="249"/>
      <c r="ADK27" s="247" t="s">
        <v>73</v>
      </c>
      <c r="ADL27" s="248"/>
      <c r="ADM27" s="248"/>
      <c r="ADN27" s="248"/>
      <c r="ADO27" s="249"/>
      <c r="ADP27" s="247" t="s">
        <v>73</v>
      </c>
      <c r="ADQ27" s="248"/>
      <c r="ADR27" s="248"/>
      <c r="ADS27" s="248"/>
      <c r="ADT27" s="249"/>
      <c r="ADU27" s="247" t="s">
        <v>73</v>
      </c>
      <c r="ADV27" s="248"/>
      <c r="ADW27" s="248"/>
      <c r="ADX27" s="248"/>
      <c r="ADY27" s="249"/>
      <c r="ADZ27" s="247" t="s">
        <v>73</v>
      </c>
      <c r="AEA27" s="248"/>
      <c r="AEB27" s="248"/>
      <c r="AEC27" s="248"/>
      <c r="AED27" s="249"/>
      <c r="AEE27" s="247" t="s">
        <v>73</v>
      </c>
      <c r="AEF27" s="248"/>
      <c r="AEG27" s="248"/>
      <c r="AEH27" s="248"/>
      <c r="AEI27" s="249"/>
      <c r="AEJ27" s="247" t="s">
        <v>73</v>
      </c>
      <c r="AEK27" s="248"/>
      <c r="AEL27" s="248"/>
      <c r="AEM27" s="248"/>
      <c r="AEN27" s="249"/>
      <c r="AEO27" s="247" t="s">
        <v>73</v>
      </c>
      <c r="AEP27" s="248"/>
      <c r="AEQ27" s="248"/>
      <c r="AER27" s="248"/>
      <c r="AES27" s="249"/>
      <c r="AET27" s="247" t="s">
        <v>73</v>
      </c>
      <c r="AEU27" s="248"/>
      <c r="AEV27" s="248"/>
      <c r="AEW27" s="248"/>
      <c r="AEX27" s="249"/>
      <c r="AEY27" s="247" t="s">
        <v>73</v>
      </c>
      <c r="AEZ27" s="248"/>
      <c r="AFA27" s="248"/>
      <c r="AFB27" s="248"/>
      <c r="AFC27" s="249"/>
      <c r="AFD27" s="247" t="s">
        <v>73</v>
      </c>
      <c r="AFE27" s="248"/>
      <c r="AFF27" s="248"/>
      <c r="AFG27" s="248"/>
      <c r="AFH27" s="249"/>
      <c r="AFI27" s="247" t="s">
        <v>73</v>
      </c>
      <c r="AFJ27" s="248"/>
      <c r="AFK27" s="248"/>
      <c r="AFL27" s="248"/>
      <c r="AFM27" s="249"/>
      <c r="AFN27" s="247" t="s">
        <v>73</v>
      </c>
      <c r="AFO27" s="248"/>
      <c r="AFP27" s="248"/>
      <c r="AFQ27" s="248"/>
      <c r="AFR27" s="249"/>
      <c r="AFS27" s="247" t="s">
        <v>73</v>
      </c>
      <c r="AFT27" s="248"/>
      <c r="AFU27" s="248"/>
      <c r="AFV27" s="248"/>
      <c r="AFW27" s="249"/>
      <c r="AFX27" s="247" t="s">
        <v>73</v>
      </c>
      <c r="AFY27" s="248"/>
      <c r="AFZ27" s="248"/>
      <c r="AGA27" s="248"/>
      <c r="AGB27" s="249"/>
      <c r="AGC27" s="247" t="s">
        <v>73</v>
      </c>
      <c r="AGD27" s="248"/>
      <c r="AGE27" s="248"/>
      <c r="AGF27" s="248"/>
      <c r="AGG27" s="249"/>
      <c r="AGH27" s="247" t="s">
        <v>73</v>
      </c>
      <c r="AGI27" s="248"/>
      <c r="AGJ27" s="248"/>
      <c r="AGK27" s="248"/>
      <c r="AGL27" s="249"/>
      <c r="AGM27" s="247" t="s">
        <v>73</v>
      </c>
      <c r="AGN27" s="248"/>
      <c r="AGO27" s="248"/>
      <c r="AGP27" s="248"/>
      <c r="AGQ27" s="249"/>
      <c r="AGR27" s="247" t="s">
        <v>73</v>
      </c>
      <c r="AGS27" s="248"/>
      <c r="AGT27" s="248"/>
      <c r="AGU27" s="248"/>
      <c r="AGV27" s="249"/>
      <c r="AGW27" s="247" t="s">
        <v>73</v>
      </c>
      <c r="AGX27" s="248"/>
      <c r="AGY27" s="248"/>
      <c r="AGZ27" s="248"/>
      <c r="AHA27" s="249"/>
      <c r="AHB27" s="247" t="s">
        <v>73</v>
      </c>
      <c r="AHC27" s="248"/>
      <c r="AHD27" s="248"/>
      <c r="AHE27" s="248"/>
      <c r="AHF27" s="249"/>
      <c r="AHG27" s="247" t="s">
        <v>73</v>
      </c>
      <c r="AHH27" s="248"/>
      <c r="AHI27" s="248"/>
      <c r="AHJ27" s="248"/>
      <c r="AHK27" s="249"/>
      <c r="AHL27" s="247" t="s">
        <v>73</v>
      </c>
      <c r="AHM27" s="248"/>
      <c r="AHN27" s="248"/>
      <c r="AHO27" s="248"/>
      <c r="AHP27" s="249"/>
      <c r="AHQ27" s="247" t="s">
        <v>73</v>
      </c>
      <c r="AHR27" s="248"/>
      <c r="AHS27" s="248"/>
      <c r="AHT27" s="248"/>
      <c r="AHU27" s="249"/>
      <c r="AHV27" s="247" t="s">
        <v>73</v>
      </c>
      <c r="AHW27" s="248"/>
      <c r="AHX27" s="248"/>
      <c r="AHY27" s="248"/>
      <c r="AHZ27" s="249"/>
      <c r="AIA27" s="247" t="s">
        <v>73</v>
      </c>
      <c r="AIB27" s="248"/>
      <c r="AIC27" s="248"/>
      <c r="AID27" s="248"/>
      <c r="AIE27" s="249"/>
      <c r="AIF27" s="247" t="s">
        <v>73</v>
      </c>
      <c r="AIG27" s="248"/>
      <c r="AIH27" s="248"/>
      <c r="AII27" s="248"/>
      <c r="AIJ27" s="249"/>
      <c r="AIK27" s="247" t="s">
        <v>73</v>
      </c>
      <c r="AIL27" s="248"/>
      <c r="AIM27" s="248"/>
      <c r="AIN27" s="248"/>
      <c r="AIO27" s="249"/>
      <c r="AIP27" s="247" t="s">
        <v>73</v>
      </c>
      <c r="AIQ27" s="248"/>
      <c r="AIR27" s="248"/>
      <c r="AIS27" s="248"/>
      <c r="AIT27" s="249"/>
      <c r="AIU27" s="247" t="s">
        <v>73</v>
      </c>
      <c r="AIV27" s="248"/>
      <c r="AIW27" s="248"/>
      <c r="AIX27" s="248"/>
      <c r="AIY27" s="249"/>
      <c r="AIZ27" s="247" t="s">
        <v>73</v>
      </c>
      <c r="AJA27" s="248"/>
      <c r="AJB27" s="248"/>
      <c r="AJC27" s="248"/>
      <c r="AJD27" s="249"/>
      <c r="AJE27" s="247" t="s">
        <v>73</v>
      </c>
      <c r="AJF27" s="248"/>
      <c r="AJG27" s="248"/>
      <c r="AJH27" s="248"/>
      <c r="AJI27" s="249"/>
      <c r="AJJ27" s="247" t="s">
        <v>73</v>
      </c>
      <c r="AJK27" s="248"/>
      <c r="AJL27" s="248"/>
      <c r="AJM27" s="248"/>
      <c r="AJN27" s="249"/>
      <c r="AJO27" s="247" t="s">
        <v>73</v>
      </c>
      <c r="AJP27" s="248"/>
      <c r="AJQ27" s="248"/>
      <c r="AJR27" s="248"/>
      <c r="AJS27" s="249"/>
      <c r="AJT27" s="247" t="s">
        <v>73</v>
      </c>
      <c r="AJU27" s="248"/>
      <c r="AJV27" s="248"/>
      <c r="AJW27" s="248"/>
      <c r="AJX27" s="249"/>
      <c r="AJY27" s="247" t="s">
        <v>73</v>
      </c>
      <c r="AJZ27" s="248"/>
      <c r="AKA27" s="248"/>
      <c r="AKB27" s="248"/>
      <c r="AKC27" s="249"/>
      <c r="AKD27" s="247" t="s">
        <v>73</v>
      </c>
      <c r="AKE27" s="248"/>
      <c r="AKF27" s="248"/>
      <c r="AKG27" s="248"/>
      <c r="AKH27" s="249"/>
      <c r="AKI27" s="247" t="s">
        <v>73</v>
      </c>
      <c r="AKJ27" s="248"/>
      <c r="AKK27" s="248"/>
      <c r="AKL27" s="248"/>
      <c r="AKM27" s="249"/>
      <c r="AKN27" s="247" t="s">
        <v>73</v>
      </c>
      <c r="AKO27" s="248"/>
      <c r="AKP27" s="248"/>
      <c r="AKQ27" s="248"/>
      <c r="AKR27" s="249"/>
      <c r="AKS27" s="247" t="s">
        <v>73</v>
      </c>
      <c r="AKT27" s="248"/>
      <c r="AKU27" s="248"/>
      <c r="AKV27" s="248"/>
      <c r="AKW27" s="249"/>
      <c r="AKX27" s="247" t="s">
        <v>73</v>
      </c>
      <c r="AKY27" s="248"/>
      <c r="AKZ27" s="248"/>
      <c r="ALA27" s="248"/>
      <c r="ALB27" s="249"/>
      <c r="ALC27" s="247" t="s">
        <v>73</v>
      </c>
      <c r="ALD27" s="248"/>
      <c r="ALE27" s="248"/>
      <c r="ALF27" s="248"/>
      <c r="ALG27" s="249"/>
      <c r="ALH27" s="247" t="s">
        <v>73</v>
      </c>
      <c r="ALI27" s="248"/>
      <c r="ALJ27" s="248"/>
      <c r="ALK27" s="248"/>
      <c r="ALL27" s="249"/>
      <c r="ALM27" s="247" t="s">
        <v>73</v>
      </c>
      <c r="ALN27" s="248"/>
      <c r="ALO27" s="248"/>
      <c r="ALP27" s="248"/>
      <c r="ALQ27" s="249"/>
      <c r="ALR27" s="247" t="s">
        <v>73</v>
      </c>
      <c r="ALS27" s="248"/>
      <c r="ALT27" s="248"/>
      <c r="ALU27" s="248"/>
      <c r="ALV27" s="249"/>
      <c r="ALW27" s="247" t="s">
        <v>73</v>
      </c>
      <c r="ALX27" s="248"/>
      <c r="ALY27" s="248"/>
      <c r="ALZ27" s="248"/>
      <c r="AMA27" s="249"/>
      <c r="AMB27" s="247" t="s">
        <v>73</v>
      </c>
      <c r="AMC27" s="248"/>
      <c r="AMD27" s="248"/>
      <c r="AME27" s="248"/>
      <c r="AMF27" s="249"/>
      <c r="AMG27" s="247" t="s">
        <v>73</v>
      </c>
      <c r="AMH27" s="248"/>
      <c r="AMI27" s="248"/>
      <c r="AMJ27" s="248"/>
      <c r="AMK27" s="249"/>
      <c r="AML27" s="247" t="s">
        <v>73</v>
      </c>
      <c r="AMM27" s="248"/>
      <c r="AMN27" s="248"/>
      <c r="AMO27" s="248"/>
      <c r="AMP27" s="249"/>
      <c r="AMQ27" s="247" t="s">
        <v>73</v>
      </c>
      <c r="AMR27" s="248"/>
      <c r="AMS27" s="248"/>
      <c r="AMT27" s="248"/>
      <c r="AMU27" s="249"/>
      <c r="AMV27" s="247" t="s">
        <v>73</v>
      </c>
      <c r="AMW27" s="248"/>
      <c r="AMX27" s="248"/>
      <c r="AMY27" s="248"/>
      <c r="AMZ27" s="249"/>
      <c r="ANA27" s="247" t="s">
        <v>73</v>
      </c>
      <c r="ANB27" s="248"/>
      <c r="ANC27" s="248"/>
      <c r="AND27" s="248"/>
      <c r="ANE27" s="249"/>
      <c r="ANF27" s="247" t="s">
        <v>73</v>
      </c>
      <c r="ANG27" s="248"/>
      <c r="ANH27" s="248"/>
      <c r="ANI27" s="248"/>
      <c r="ANJ27" s="249"/>
      <c r="ANK27" s="247" t="s">
        <v>73</v>
      </c>
      <c r="ANL27" s="248"/>
      <c r="ANM27" s="248"/>
      <c r="ANN27" s="248"/>
      <c r="ANO27" s="249"/>
      <c r="ANP27" s="247" t="s">
        <v>73</v>
      </c>
      <c r="ANQ27" s="248"/>
      <c r="ANR27" s="248"/>
      <c r="ANS27" s="248"/>
      <c r="ANT27" s="249"/>
      <c r="ANU27" s="247" t="s">
        <v>73</v>
      </c>
      <c r="ANV27" s="248"/>
      <c r="ANW27" s="248"/>
      <c r="ANX27" s="248"/>
      <c r="ANY27" s="249"/>
      <c r="ANZ27" s="247" t="s">
        <v>73</v>
      </c>
      <c r="AOA27" s="248"/>
      <c r="AOB27" s="248"/>
      <c r="AOC27" s="248"/>
      <c r="AOD27" s="249"/>
      <c r="AOE27" s="247" t="s">
        <v>73</v>
      </c>
      <c r="AOF27" s="248"/>
      <c r="AOG27" s="248"/>
      <c r="AOH27" s="248"/>
      <c r="AOI27" s="249"/>
      <c r="AOJ27" s="247" t="s">
        <v>73</v>
      </c>
      <c r="AOK27" s="248"/>
      <c r="AOL27" s="248"/>
      <c r="AOM27" s="248"/>
      <c r="AON27" s="249"/>
      <c r="AOO27" s="247" t="s">
        <v>73</v>
      </c>
      <c r="AOP27" s="248"/>
      <c r="AOQ27" s="248"/>
      <c r="AOR27" s="248"/>
      <c r="AOS27" s="249"/>
      <c r="AOT27" s="247" t="s">
        <v>73</v>
      </c>
      <c r="AOU27" s="248"/>
      <c r="AOV27" s="248"/>
      <c r="AOW27" s="248"/>
      <c r="AOX27" s="249"/>
      <c r="AOY27" s="247" t="s">
        <v>73</v>
      </c>
      <c r="AOZ27" s="248"/>
      <c r="APA27" s="248"/>
      <c r="APB27" s="248"/>
      <c r="APC27" s="249"/>
      <c r="APD27" s="247" t="s">
        <v>73</v>
      </c>
      <c r="APE27" s="248"/>
      <c r="APF27" s="248"/>
      <c r="APG27" s="248"/>
      <c r="APH27" s="249"/>
      <c r="API27" s="247" t="s">
        <v>73</v>
      </c>
      <c r="APJ27" s="248"/>
      <c r="APK27" s="248"/>
      <c r="APL27" s="248"/>
      <c r="APM27" s="249"/>
      <c r="APN27" s="247" t="s">
        <v>73</v>
      </c>
      <c r="APO27" s="248"/>
      <c r="APP27" s="248"/>
      <c r="APQ27" s="248"/>
      <c r="APR27" s="249"/>
      <c r="APS27" s="247" t="s">
        <v>73</v>
      </c>
      <c r="APT27" s="248"/>
      <c r="APU27" s="248"/>
      <c r="APV27" s="248"/>
      <c r="APW27" s="249"/>
      <c r="APX27" s="247" t="s">
        <v>73</v>
      </c>
      <c r="APY27" s="248"/>
      <c r="APZ27" s="248"/>
      <c r="AQA27" s="248"/>
      <c r="AQB27" s="249"/>
      <c r="AQC27" s="247" t="s">
        <v>73</v>
      </c>
      <c r="AQD27" s="248"/>
      <c r="AQE27" s="248"/>
      <c r="AQF27" s="248"/>
      <c r="AQG27" s="249"/>
      <c r="AQH27" s="247" t="s">
        <v>73</v>
      </c>
      <c r="AQI27" s="248"/>
      <c r="AQJ27" s="248"/>
      <c r="AQK27" s="248"/>
      <c r="AQL27" s="249"/>
      <c r="AQM27" s="247" t="s">
        <v>73</v>
      </c>
      <c r="AQN27" s="248"/>
      <c r="AQO27" s="248"/>
      <c r="AQP27" s="248"/>
      <c r="AQQ27" s="249"/>
      <c r="AQR27" s="247" t="s">
        <v>73</v>
      </c>
      <c r="AQS27" s="248"/>
      <c r="AQT27" s="248"/>
      <c r="AQU27" s="248"/>
      <c r="AQV27" s="249"/>
      <c r="AQW27" s="247" t="s">
        <v>73</v>
      </c>
      <c r="AQX27" s="248"/>
      <c r="AQY27" s="248"/>
      <c r="AQZ27" s="248"/>
      <c r="ARA27" s="249"/>
      <c r="ARB27" s="247" t="s">
        <v>73</v>
      </c>
      <c r="ARC27" s="248"/>
      <c r="ARD27" s="248"/>
      <c r="ARE27" s="248"/>
      <c r="ARF27" s="249"/>
      <c r="ARG27" s="247" t="s">
        <v>73</v>
      </c>
      <c r="ARH27" s="248"/>
      <c r="ARI27" s="248"/>
      <c r="ARJ27" s="248"/>
      <c r="ARK27" s="249"/>
      <c r="ARL27" s="247" t="s">
        <v>73</v>
      </c>
      <c r="ARM27" s="248"/>
      <c r="ARN27" s="248"/>
      <c r="ARO27" s="248"/>
      <c r="ARP27" s="249"/>
      <c r="ARQ27" s="247" t="s">
        <v>73</v>
      </c>
      <c r="ARR27" s="248"/>
      <c r="ARS27" s="248"/>
      <c r="ART27" s="248"/>
      <c r="ARU27" s="249"/>
      <c r="ARV27" s="247" t="s">
        <v>73</v>
      </c>
      <c r="ARW27" s="248"/>
      <c r="ARX27" s="248"/>
      <c r="ARY27" s="248"/>
      <c r="ARZ27" s="249"/>
      <c r="ASA27" s="247" t="s">
        <v>73</v>
      </c>
      <c r="ASB27" s="248"/>
      <c r="ASC27" s="248"/>
      <c r="ASD27" s="248"/>
      <c r="ASE27" s="249"/>
      <c r="ASF27" s="247" t="s">
        <v>73</v>
      </c>
      <c r="ASG27" s="248"/>
      <c r="ASH27" s="248"/>
      <c r="ASI27" s="248"/>
      <c r="ASJ27" s="249"/>
      <c r="ASK27" s="247" t="s">
        <v>73</v>
      </c>
      <c r="ASL27" s="248"/>
      <c r="ASM27" s="248"/>
      <c r="ASN27" s="248"/>
      <c r="ASO27" s="249"/>
      <c r="ASP27" s="247" t="s">
        <v>73</v>
      </c>
      <c r="ASQ27" s="248"/>
      <c r="ASR27" s="248"/>
      <c r="ASS27" s="248"/>
      <c r="AST27" s="249"/>
      <c r="ASU27" s="247" t="s">
        <v>73</v>
      </c>
      <c r="ASV27" s="248"/>
      <c r="ASW27" s="248"/>
      <c r="ASX27" s="248"/>
      <c r="ASY27" s="249"/>
      <c r="ASZ27" s="247" t="s">
        <v>73</v>
      </c>
      <c r="ATA27" s="248"/>
      <c r="ATB27" s="248"/>
      <c r="ATC27" s="248"/>
      <c r="ATD27" s="249"/>
      <c r="ATE27" s="247" t="s">
        <v>73</v>
      </c>
      <c r="ATF27" s="248"/>
      <c r="ATG27" s="248"/>
      <c r="ATH27" s="248"/>
      <c r="ATI27" s="249"/>
      <c r="ATJ27" s="247" t="s">
        <v>73</v>
      </c>
      <c r="ATK27" s="248"/>
      <c r="ATL27" s="248"/>
      <c r="ATM27" s="248"/>
      <c r="ATN27" s="249"/>
      <c r="ATO27" s="247" t="s">
        <v>73</v>
      </c>
      <c r="ATP27" s="248"/>
      <c r="ATQ27" s="248"/>
      <c r="ATR27" s="248"/>
      <c r="ATS27" s="249"/>
      <c r="ATT27" s="247" t="s">
        <v>73</v>
      </c>
      <c r="ATU27" s="248"/>
      <c r="ATV27" s="248"/>
      <c r="ATW27" s="248"/>
      <c r="ATX27" s="249"/>
      <c r="ATY27" s="247" t="s">
        <v>73</v>
      </c>
      <c r="ATZ27" s="248"/>
      <c r="AUA27" s="248"/>
      <c r="AUB27" s="248"/>
      <c r="AUC27" s="249"/>
      <c r="AUD27" s="247" t="s">
        <v>73</v>
      </c>
      <c r="AUE27" s="248"/>
      <c r="AUF27" s="248"/>
      <c r="AUG27" s="248"/>
      <c r="AUH27" s="249"/>
      <c r="AUI27" s="247" t="s">
        <v>73</v>
      </c>
      <c r="AUJ27" s="248"/>
      <c r="AUK27" s="248"/>
      <c r="AUL27" s="248"/>
      <c r="AUM27" s="249"/>
      <c r="AUN27" s="247" t="s">
        <v>73</v>
      </c>
      <c r="AUO27" s="248"/>
      <c r="AUP27" s="248"/>
      <c r="AUQ27" s="248"/>
      <c r="AUR27" s="249"/>
      <c r="AUS27" s="247" t="s">
        <v>73</v>
      </c>
      <c r="AUT27" s="248"/>
      <c r="AUU27" s="248"/>
      <c r="AUV27" s="248"/>
      <c r="AUW27" s="249"/>
      <c r="AUX27" s="247" t="s">
        <v>73</v>
      </c>
      <c r="AUY27" s="248"/>
      <c r="AUZ27" s="248"/>
      <c r="AVA27" s="248"/>
      <c r="AVB27" s="249"/>
      <c r="AVC27" s="247" t="s">
        <v>73</v>
      </c>
      <c r="AVD27" s="248"/>
      <c r="AVE27" s="248"/>
      <c r="AVF27" s="248"/>
      <c r="AVG27" s="249"/>
      <c r="AVH27" s="247" t="s">
        <v>73</v>
      </c>
      <c r="AVI27" s="248"/>
      <c r="AVJ27" s="248"/>
      <c r="AVK27" s="248"/>
      <c r="AVL27" s="249"/>
      <c r="AVM27" s="247" t="s">
        <v>73</v>
      </c>
      <c r="AVN27" s="248"/>
      <c r="AVO27" s="248"/>
      <c r="AVP27" s="248"/>
      <c r="AVQ27" s="249"/>
      <c r="AVR27" s="247" t="s">
        <v>73</v>
      </c>
      <c r="AVS27" s="248"/>
      <c r="AVT27" s="248"/>
      <c r="AVU27" s="248"/>
      <c r="AVV27" s="249"/>
      <c r="AVW27" s="247" t="s">
        <v>73</v>
      </c>
      <c r="AVX27" s="248"/>
      <c r="AVY27" s="248"/>
      <c r="AVZ27" s="248"/>
      <c r="AWA27" s="249"/>
      <c r="AWB27" s="247" t="s">
        <v>73</v>
      </c>
      <c r="AWC27" s="248"/>
      <c r="AWD27" s="248"/>
      <c r="AWE27" s="248"/>
      <c r="AWF27" s="249"/>
      <c r="AWG27" s="247" t="s">
        <v>73</v>
      </c>
      <c r="AWH27" s="248"/>
      <c r="AWI27" s="248"/>
      <c r="AWJ27" s="248"/>
      <c r="AWK27" s="249"/>
      <c r="AWL27" s="247" t="s">
        <v>73</v>
      </c>
      <c r="AWM27" s="248"/>
      <c r="AWN27" s="248"/>
      <c r="AWO27" s="248"/>
      <c r="AWP27" s="249"/>
      <c r="AWQ27" s="247" t="s">
        <v>73</v>
      </c>
      <c r="AWR27" s="248"/>
      <c r="AWS27" s="248"/>
      <c r="AWT27" s="248"/>
      <c r="AWU27" s="249"/>
      <c r="AWV27" s="247" t="s">
        <v>73</v>
      </c>
      <c r="AWW27" s="248"/>
      <c r="AWX27" s="248"/>
      <c r="AWY27" s="248"/>
      <c r="AWZ27" s="249"/>
      <c r="AXA27" s="247" t="s">
        <v>73</v>
      </c>
      <c r="AXB27" s="248"/>
      <c r="AXC27" s="248"/>
      <c r="AXD27" s="248"/>
      <c r="AXE27" s="249"/>
      <c r="AXF27" s="247" t="s">
        <v>73</v>
      </c>
      <c r="AXG27" s="248"/>
      <c r="AXH27" s="248"/>
      <c r="AXI27" s="248"/>
      <c r="AXJ27" s="249"/>
      <c r="AXK27" s="247" t="s">
        <v>73</v>
      </c>
      <c r="AXL27" s="248"/>
      <c r="AXM27" s="248"/>
      <c r="AXN27" s="248"/>
      <c r="AXO27" s="249"/>
      <c r="AXP27" s="247" t="s">
        <v>73</v>
      </c>
      <c r="AXQ27" s="248"/>
      <c r="AXR27" s="248"/>
      <c r="AXS27" s="248"/>
      <c r="AXT27" s="249"/>
      <c r="AXU27" s="247" t="s">
        <v>73</v>
      </c>
      <c r="AXV27" s="248"/>
      <c r="AXW27" s="248"/>
      <c r="AXX27" s="248"/>
      <c r="AXY27" s="249"/>
      <c r="AXZ27" s="247" t="s">
        <v>73</v>
      </c>
      <c r="AYA27" s="248"/>
      <c r="AYB27" s="248"/>
      <c r="AYC27" s="248"/>
      <c r="AYD27" s="249"/>
      <c r="AYE27" s="247" t="s">
        <v>73</v>
      </c>
      <c r="AYF27" s="248"/>
      <c r="AYG27" s="248"/>
      <c r="AYH27" s="248"/>
      <c r="AYI27" s="249"/>
      <c r="AYJ27" s="247" t="s">
        <v>73</v>
      </c>
      <c r="AYK27" s="248"/>
      <c r="AYL27" s="248"/>
      <c r="AYM27" s="248"/>
      <c r="AYN27" s="249"/>
      <c r="AYO27" s="247" t="s">
        <v>73</v>
      </c>
      <c r="AYP27" s="248"/>
      <c r="AYQ27" s="248"/>
      <c r="AYR27" s="248"/>
      <c r="AYS27" s="249"/>
      <c r="AYT27" s="247" t="s">
        <v>73</v>
      </c>
      <c r="AYU27" s="248"/>
      <c r="AYV27" s="248"/>
      <c r="AYW27" s="248"/>
      <c r="AYX27" s="249"/>
      <c r="AYY27" s="247" t="s">
        <v>73</v>
      </c>
      <c r="AYZ27" s="248"/>
      <c r="AZA27" s="248"/>
      <c r="AZB27" s="248"/>
      <c r="AZC27" s="249"/>
      <c r="AZD27" s="247" t="s">
        <v>73</v>
      </c>
      <c r="AZE27" s="248"/>
      <c r="AZF27" s="248"/>
      <c r="AZG27" s="248"/>
      <c r="AZH27" s="249"/>
      <c r="AZI27" s="247" t="s">
        <v>73</v>
      </c>
      <c r="AZJ27" s="248"/>
      <c r="AZK27" s="248"/>
      <c r="AZL27" s="248"/>
      <c r="AZM27" s="249"/>
      <c r="AZN27" s="247" t="s">
        <v>73</v>
      </c>
      <c r="AZO27" s="248"/>
      <c r="AZP27" s="248"/>
      <c r="AZQ27" s="248"/>
      <c r="AZR27" s="249"/>
      <c r="AZS27" s="247" t="s">
        <v>73</v>
      </c>
      <c r="AZT27" s="248"/>
      <c r="AZU27" s="248"/>
      <c r="AZV27" s="248"/>
      <c r="AZW27" s="249"/>
      <c r="AZX27" s="247" t="s">
        <v>73</v>
      </c>
      <c r="AZY27" s="248"/>
      <c r="AZZ27" s="248"/>
      <c r="BAA27" s="248"/>
      <c r="BAB27" s="249"/>
      <c r="BAC27" s="247" t="s">
        <v>73</v>
      </c>
      <c r="BAD27" s="248"/>
      <c r="BAE27" s="248"/>
      <c r="BAF27" s="248"/>
      <c r="BAG27" s="249"/>
      <c r="BAH27" s="247" t="s">
        <v>73</v>
      </c>
      <c r="BAI27" s="248"/>
      <c r="BAJ27" s="248"/>
      <c r="BAK27" s="248"/>
      <c r="BAL27" s="249"/>
      <c r="BAM27" s="247" t="s">
        <v>73</v>
      </c>
      <c r="BAN27" s="248"/>
      <c r="BAO27" s="248"/>
      <c r="BAP27" s="248"/>
      <c r="BAQ27" s="249"/>
      <c r="BAR27" s="247" t="s">
        <v>73</v>
      </c>
      <c r="BAS27" s="248"/>
      <c r="BAT27" s="248"/>
      <c r="BAU27" s="248"/>
      <c r="BAV27" s="249"/>
      <c r="BAW27" s="247" t="s">
        <v>73</v>
      </c>
      <c r="BAX27" s="248"/>
      <c r="BAY27" s="248"/>
      <c r="BAZ27" s="248"/>
      <c r="BBA27" s="249"/>
      <c r="BBB27" s="247" t="s">
        <v>73</v>
      </c>
      <c r="BBC27" s="248"/>
      <c r="BBD27" s="248"/>
      <c r="BBE27" s="248"/>
      <c r="BBF27" s="249"/>
      <c r="BBG27" s="247" t="s">
        <v>73</v>
      </c>
      <c r="BBH27" s="248"/>
      <c r="BBI27" s="248"/>
      <c r="BBJ27" s="248"/>
      <c r="BBK27" s="249"/>
      <c r="BBL27" s="247" t="s">
        <v>73</v>
      </c>
      <c r="BBM27" s="248"/>
      <c r="BBN27" s="248"/>
      <c r="BBO27" s="248"/>
      <c r="BBP27" s="249"/>
      <c r="BBQ27" s="247" t="s">
        <v>73</v>
      </c>
      <c r="BBR27" s="248"/>
      <c r="BBS27" s="248"/>
      <c r="BBT27" s="248"/>
      <c r="BBU27" s="249"/>
      <c r="BBV27" s="247" t="s">
        <v>73</v>
      </c>
      <c r="BBW27" s="248"/>
      <c r="BBX27" s="248"/>
      <c r="BBY27" s="248"/>
      <c r="BBZ27" s="249"/>
      <c r="BCA27" s="247" t="s">
        <v>73</v>
      </c>
      <c r="BCB27" s="248"/>
      <c r="BCC27" s="248"/>
      <c r="BCD27" s="248"/>
      <c r="BCE27" s="249"/>
      <c r="BCF27" s="247" t="s">
        <v>73</v>
      </c>
      <c r="BCG27" s="248"/>
      <c r="BCH27" s="248"/>
      <c r="BCI27" s="248"/>
      <c r="BCJ27" s="249"/>
      <c r="BCK27" s="247" t="s">
        <v>73</v>
      </c>
      <c r="BCL27" s="248"/>
      <c r="BCM27" s="248"/>
      <c r="BCN27" s="248"/>
      <c r="BCO27" s="249"/>
      <c r="BCP27" s="247" t="s">
        <v>73</v>
      </c>
      <c r="BCQ27" s="248"/>
      <c r="BCR27" s="248"/>
      <c r="BCS27" s="248"/>
      <c r="BCT27" s="249"/>
      <c r="BCU27" s="247" t="s">
        <v>73</v>
      </c>
      <c r="BCV27" s="248"/>
      <c r="BCW27" s="248"/>
      <c r="BCX27" s="248"/>
      <c r="BCY27" s="249"/>
      <c r="BCZ27" s="247" t="s">
        <v>73</v>
      </c>
      <c r="BDA27" s="248"/>
      <c r="BDB27" s="248"/>
      <c r="BDC27" s="248"/>
      <c r="BDD27" s="249"/>
      <c r="BDE27" s="247" t="s">
        <v>73</v>
      </c>
      <c r="BDF27" s="248"/>
      <c r="BDG27" s="248"/>
      <c r="BDH27" s="248"/>
      <c r="BDI27" s="249"/>
      <c r="BDJ27" s="247" t="s">
        <v>73</v>
      </c>
      <c r="BDK27" s="248"/>
      <c r="BDL27" s="248"/>
      <c r="BDM27" s="248"/>
      <c r="BDN27" s="249"/>
      <c r="BDO27" s="247" t="s">
        <v>73</v>
      </c>
      <c r="BDP27" s="248"/>
      <c r="BDQ27" s="248"/>
      <c r="BDR27" s="248"/>
      <c r="BDS27" s="249"/>
      <c r="BDT27" s="247" t="s">
        <v>73</v>
      </c>
      <c r="BDU27" s="248"/>
      <c r="BDV27" s="248"/>
      <c r="BDW27" s="248"/>
      <c r="BDX27" s="249"/>
      <c r="BDY27" s="247" t="s">
        <v>73</v>
      </c>
      <c r="BDZ27" s="248"/>
      <c r="BEA27" s="248"/>
      <c r="BEB27" s="248"/>
      <c r="BEC27" s="249"/>
      <c r="BED27" s="247" t="s">
        <v>73</v>
      </c>
      <c r="BEE27" s="248"/>
      <c r="BEF27" s="248"/>
      <c r="BEG27" s="248"/>
      <c r="BEH27" s="249"/>
      <c r="BEI27" s="247" t="s">
        <v>73</v>
      </c>
      <c r="BEJ27" s="248"/>
      <c r="BEK27" s="248"/>
      <c r="BEL27" s="248"/>
      <c r="BEM27" s="249"/>
      <c r="BEN27" s="247" t="s">
        <v>73</v>
      </c>
      <c r="BEO27" s="248"/>
      <c r="BEP27" s="248"/>
      <c r="BEQ27" s="248"/>
      <c r="BER27" s="249"/>
      <c r="BES27" s="247" t="s">
        <v>73</v>
      </c>
      <c r="BET27" s="248"/>
      <c r="BEU27" s="248"/>
      <c r="BEV27" s="248"/>
      <c r="BEW27" s="249"/>
      <c r="BEX27" s="247" t="s">
        <v>73</v>
      </c>
      <c r="BEY27" s="248"/>
      <c r="BEZ27" s="248"/>
      <c r="BFA27" s="248"/>
      <c r="BFB27" s="249"/>
      <c r="BFC27" s="247" t="s">
        <v>73</v>
      </c>
      <c r="BFD27" s="248"/>
      <c r="BFE27" s="248"/>
      <c r="BFF27" s="248"/>
      <c r="BFG27" s="249"/>
      <c r="BFH27" s="247" t="s">
        <v>73</v>
      </c>
      <c r="BFI27" s="248"/>
      <c r="BFJ27" s="248"/>
      <c r="BFK27" s="248"/>
      <c r="BFL27" s="249"/>
      <c r="BFM27" s="247" t="s">
        <v>73</v>
      </c>
      <c r="BFN27" s="248"/>
      <c r="BFO27" s="248"/>
      <c r="BFP27" s="248"/>
      <c r="BFQ27" s="249"/>
      <c r="BFR27" s="247" t="s">
        <v>73</v>
      </c>
      <c r="BFS27" s="248"/>
      <c r="BFT27" s="248"/>
      <c r="BFU27" s="248"/>
      <c r="BFV27" s="249"/>
      <c r="BFW27" s="247" t="s">
        <v>73</v>
      </c>
      <c r="BFX27" s="248"/>
      <c r="BFY27" s="248"/>
      <c r="BFZ27" s="248"/>
      <c r="BGA27" s="249"/>
      <c r="BGB27" s="247" t="s">
        <v>73</v>
      </c>
      <c r="BGC27" s="248"/>
      <c r="BGD27" s="248"/>
      <c r="BGE27" s="248"/>
      <c r="BGF27" s="249"/>
      <c r="BGG27" s="247" t="s">
        <v>73</v>
      </c>
      <c r="BGH27" s="248"/>
      <c r="BGI27" s="248"/>
      <c r="BGJ27" s="248"/>
      <c r="BGK27" s="249"/>
      <c r="BGL27" s="247" t="s">
        <v>73</v>
      </c>
      <c r="BGM27" s="248"/>
      <c r="BGN27" s="248"/>
      <c r="BGO27" s="248"/>
      <c r="BGP27" s="249"/>
      <c r="BGQ27" s="247" t="s">
        <v>73</v>
      </c>
      <c r="BGR27" s="248"/>
      <c r="BGS27" s="248"/>
      <c r="BGT27" s="248"/>
      <c r="BGU27" s="249"/>
      <c r="BGV27" s="247" t="s">
        <v>73</v>
      </c>
      <c r="BGW27" s="248"/>
      <c r="BGX27" s="248"/>
      <c r="BGY27" s="248"/>
      <c r="BGZ27" s="249"/>
      <c r="BHA27" s="247" t="s">
        <v>73</v>
      </c>
      <c r="BHB27" s="248"/>
      <c r="BHC27" s="248"/>
      <c r="BHD27" s="248"/>
      <c r="BHE27" s="249"/>
      <c r="BHF27" s="247" t="s">
        <v>73</v>
      </c>
      <c r="BHG27" s="248"/>
      <c r="BHH27" s="248"/>
      <c r="BHI27" s="248"/>
      <c r="BHJ27" s="249"/>
      <c r="BHK27" s="247" t="s">
        <v>73</v>
      </c>
      <c r="BHL27" s="248"/>
      <c r="BHM27" s="248"/>
      <c r="BHN27" s="248"/>
      <c r="BHO27" s="249"/>
      <c r="BHP27" s="247" t="s">
        <v>73</v>
      </c>
      <c r="BHQ27" s="248"/>
      <c r="BHR27" s="248"/>
      <c r="BHS27" s="248"/>
      <c r="BHT27" s="249"/>
      <c r="BHU27" s="247" t="s">
        <v>73</v>
      </c>
      <c r="BHV27" s="248"/>
      <c r="BHW27" s="248"/>
      <c r="BHX27" s="248"/>
      <c r="BHY27" s="249"/>
      <c r="BHZ27" s="247" t="s">
        <v>73</v>
      </c>
      <c r="BIA27" s="248"/>
      <c r="BIB27" s="248"/>
      <c r="BIC27" s="248"/>
      <c r="BID27" s="249"/>
      <c r="BIE27" s="247" t="s">
        <v>73</v>
      </c>
      <c r="BIF27" s="248"/>
      <c r="BIG27" s="248"/>
      <c r="BIH27" s="248"/>
      <c r="BII27" s="249"/>
      <c r="BIJ27" s="247" t="s">
        <v>73</v>
      </c>
      <c r="BIK27" s="248"/>
      <c r="BIL27" s="248"/>
      <c r="BIM27" s="248"/>
      <c r="BIN27" s="249"/>
      <c r="BIO27" s="247" t="s">
        <v>73</v>
      </c>
      <c r="BIP27" s="248"/>
      <c r="BIQ27" s="248"/>
      <c r="BIR27" s="248"/>
      <c r="BIS27" s="249"/>
      <c r="BIT27" s="247" t="s">
        <v>73</v>
      </c>
      <c r="BIU27" s="248"/>
      <c r="BIV27" s="248"/>
      <c r="BIW27" s="248"/>
      <c r="BIX27" s="249"/>
      <c r="BIY27" s="247" t="s">
        <v>73</v>
      </c>
      <c r="BIZ27" s="248"/>
      <c r="BJA27" s="248"/>
      <c r="BJB27" s="248"/>
      <c r="BJC27" s="249"/>
      <c r="BJD27" s="247" t="s">
        <v>73</v>
      </c>
      <c r="BJE27" s="248"/>
      <c r="BJF27" s="248"/>
      <c r="BJG27" s="248"/>
      <c r="BJH27" s="249"/>
      <c r="BJI27" s="247" t="s">
        <v>73</v>
      </c>
      <c r="BJJ27" s="248"/>
      <c r="BJK27" s="248"/>
      <c r="BJL27" s="248"/>
      <c r="BJM27" s="249"/>
      <c r="BJN27" s="247" t="s">
        <v>73</v>
      </c>
      <c r="BJO27" s="248"/>
      <c r="BJP27" s="248"/>
      <c r="BJQ27" s="248"/>
      <c r="BJR27" s="249"/>
      <c r="BJS27" s="247" t="s">
        <v>73</v>
      </c>
      <c r="BJT27" s="248"/>
      <c r="BJU27" s="248"/>
      <c r="BJV27" s="248"/>
      <c r="BJW27" s="249"/>
      <c r="BJX27" s="247" t="s">
        <v>73</v>
      </c>
      <c r="BJY27" s="248"/>
      <c r="BJZ27" s="248"/>
      <c r="BKA27" s="248"/>
      <c r="BKB27" s="249"/>
      <c r="BKC27" s="247" t="s">
        <v>73</v>
      </c>
      <c r="BKD27" s="248"/>
      <c r="BKE27" s="248"/>
      <c r="BKF27" s="248"/>
      <c r="BKG27" s="249"/>
      <c r="BKH27" s="247" t="s">
        <v>73</v>
      </c>
      <c r="BKI27" s="248"/>
      <c r="BKJ27" s="248"/>
      <c r="BKK27" s="248"/>
      <c r="BKL27" s="249"/>
      <c r="BKM27" s="247" t="s">
        <v>73</v>
      </c>
      <c r="BKN27" s="248"/>
      <c r="BKO27" s="248"/>
      <c r="BKP27" s="248"/>
      <c r="BKQ27" s="249"/>
      <c r="BKR27" s="247" t="s">
        <v>73</v>
      </c>
      <c r="BKS27" s="248"/>
      <c r="BKT27" s="248"/>
      <c r="BKU27" s="248"/>
      <c r="BKV27" s="249"/>
      <c r="BKW27" s="247" t="s">
        <v>73</v>
      </c>
      <c r="BKX27" s="248"/>
      <c r="BKY27" s="248"/>
      <c r="BKZ27" s="248"/>
      <c r="BLA27" s="249"/>
      <c r="BLB27" s="247" t="s">
        <v>73</v>
      </c>
      <c r="BLC27" s="248"/>
      <c r="BLD27" s="248"/>
      <c r="BLE27" s="248"/>
      <c r="BLF27" s="249"/>
      <c r="BLG27" s="247" t="s">
        <v>73</v>
      </c>
      <c r="BLH27" s="248"/>
      <c r="BLI27" s="248"/>
      <c r="BLJ27" s="248"/>
      <c r="BLK27" s="249"/>
      <c r="BLL27" s="247" t="s">
        <v>73</v>
      </c>
      <c r="BLM27" s="248"/>
      <c r="BLN27" s="248"/>
      <c r="BLO27" s="248"/>
      <c r="BLP27" s="249"/>
      <c r="BLQ27" s="247" t="s">
        <v>73</v>
      </c>
      <c r="BLR27" s="248"/>
      <c r="BLS27" s="248"/>
      <c r="BLT27" s="248"/>
      <c r="BLU27" s="249"/>
      <c r="BLV27" s="247" t="s">
        <v>73</v>
      </c>
      <c r="BLW27" s="248"/>
      <c r="BLX27" s="248"/>
      <c r="BLY27" s="248"/>
      <c r="BLZ27" s="249"/>
      <c r="BMA27" s="247" t="s">
        <v>73</v>
      </c>
      <c r="BMB27" s="248"/>
      <c r="BMC27" s="248"/>
      <c r="BMD27" s="248"/>
      <c r="BME27" s="249"/>
      <c r="BMF27" s="247" t="s">
        <v>73</v>
      </c>
      <c r="BMG27" s="248"/>
      <c r="BMH27" s="248"/>
      <c r="BMI27" s="248"/>
      <c r="BMJ27" s="249"/>
      <c r="BMK27" s="247" t="s">
        <v>73</v>
      </c>
      <c r="BML27" s="248"/>
      <c r="BMM27" s="248"/>
      <c r="BMN27" s="248"/>
      <c r="BMO27" s="249"/>
      <c r="BMP27" s="247" t="s">
        <v>73</v>
      </c>
      <c r="BMQ27" s="248"/>
      <c r="BMR27" s="248"/>
      <c r="BMS27" s="248"/>
      <c r="BMT27" s="249"/>
      <c r="BMU27" s="247" t="s">
        <v>73</v>
      </c>
      <c r="BMV27" s="248"/>
      <c r="BMW27" s="248"/>
      <c r="BMX27" s="248"/>
      <c r="BMY27" s="249"/>
      <c r="BMZ27" s="247" t="s">
        <v>73</v>
      </c>
      <c r="BNA27" s="248"/>
      <c r="BNB27" s="248"/>
      <c r="BNC27" s="248"/>
      <c r="BND27" s="249"/>
      <c r="BNE27" s="247" t="s">
        <v>73</v>
      </c>
      <c r="BNF27" s="248"/>
      <c r="BNG27" s="248"/>
      <c r="BNH27" s="248"/>
      <c r="BNI27" s="249"/>
      <c r="BNJ27" s="247" t="s">
        <v>73</v>
      </c>
      <c r="BNK27" s="248"/>
      <c r="BNL27" s="248"/>
      <c r="BNM27" s="248"/>
      <c r="BNN27" s="249"/>
      <c r="BNO27" s="247" t="s">
        <v>73</v>
      </c>
      <c r="BNP27" s="248"/>
      <c r="BNQ27" s="248"/>
      <c r="BNR27" s="248"/>
      <c r="BNS27" s="249"/>
      <c r="BNT27" s="247" t="s">
        <v>73</v>
      </c>
      <c r="BNU27" s="248"/>
      <c r="BNV27" s="248"/>
      <c r="BNW27" s="248"/>
      <c r="BNX27" s="249"/>
      <c r="BNY27" s="247" t="s">
        <v>73</v>
      </c>
      <c r="BNZ27" s="248"/>
      <c r="BOA27" s="248"/>
      <c r="BOB27" s="248"/>
      <c r="BOC27" s="249"/>
      <c r="BOD27" s="247" t="s">
        <v>73</v>
      </c>
      <c r="BOE27" s="248"/>
      <c r="BOF27" s="248"/>
      <c r="BOG27" s="248"/>
      <c r="BOH27" s="249"/>
      <c r="BOI27" s="247" t="s">
        <v>73</v>
      </c>
      <c r="BOJ27" s="248"/>
      <c r="BOK27" s="248"/>
      <c r="BOL27" s="248"/>
      <c r="BOM27" s="249"/>
      <c r="BON27" s="247" t="s">
        <v>73</v>
      </c>
      <c r="BOO27" s="248"/>
      <c r="BOP27" s="248"/>
      <c r="BOQ27" s="248"/>
      <c r="BOR27" s="249"/>
      <c r="BOS27" s="247" t="s">
        <v>73</v>
      </c>
      <c r="BOT27" s="248"/>
      <c r="BOU27" s="248"/>
      <c r="BOV27" s="248"/>
      <c r="BOW27" s="249"/>
      <c r="BOX27" s="247" t="s">
        <v>73</v>
      </c>
      <c r="BOY27" s="248"/>
      <c r="BOZ27" s="248"/>
      <c r="BPA27" s="248"/>
      <c r="BPB27" s="249"/>
      <c r="BPC27" s="247" t="s">
        <v>73</v>
      </c>
      <c r="BPD27" s="248"/>
      <c r="BPE27" s="248"/>
      <c r="BPF27" s="248"/>
      <c r="BPG27" s="249"/>
      <c r="BPH27" s="247" t="s">
        <v>73</v>
      </c>
      <c r="BPI27" s="248"/>
      <c r="BPJ27" s="248"/>
      <c r="BPK27" s="248"/>
      <c r="BPL27" s="249"/>
      <c r="BPM27" s="247" t="s">
        <v>73</v>
      </c>
      <c r="BPN27" s="248"/>
      <c r="BPO27" s="248"/>
      <c r="BPP27" s="248"/>
      <c r="BPQ27" s="249"/>
      <c r="BPR27" s="247" t="s">
        <v>73</v>
      </c>
      <c r="BPS27" s="248"/>
      <c r="BPT27" s="248"/>
      <c r="BPU27" s="248"/>
      <c r="BPV27" s="249"/>
      <c r="BPW27" s="247" t="s">
        <v>73</v>
      </c>
      <c r="BPX27" s="248"/>
      <c r="BPY27" s="248"/>
      <c r="BPZ27" s="248"/>
      <c r="BQA27" s="249"/>
      <c r="BQB27" s="247" t="s">
        <v>73</v>
      </c>
      <c r="BQC27" s="248"/>
      <c r="BQD27" s="248"/>
      <c r="BQE27" s="248"/>
      <c r="BQF27" s="249"/>
      <c r="BQG27" s="247" t="s">
        <v>73</v>
      </c>
      <c r="BQH27" s="248"/>
      <c r="BQI27" s="248"/>
      <c r="BQJ27" s="248"/>
      <c r="BQK27" s="249"/>
      <c r="BQL27" s="247" t="s">
        <v>73</v>
      </c>
      <c r="BQM27" s="248"/>
      <c r="BQN27" s="248"/>
      <c r="BQO27" s="248"/>
      <c r="BQP27" s="249"/>
      <c r="BQQ27" s="247" t="s">
        <v>73</v>
      </c>
      <c r="BQR27" s="248"/>
      <c r="BQS27" s="248"/>
      <c r="BQT27" s="248"/>
      <c r="BQU27" s="249"/>
      <c r="BQV27" s="247" t="s">
        <v>73</v>
      </c>
      <c r="BQW27" s="248"/>
      <c r="BQX27" s="248"/>
      <c r="BQY27" s="248"/>
      <c r="BQZ27" s="249"/>
      <c r="BRA27" s="247" t="s">
        <v>73</v>
      </c>
      <c r="BRB27" s="248"/>
      <c r="BRC27" s="248"/>
      <c r="BRD27" s="248"/>
      <c r="BRE27" s="249"/>
      <c r="BRF27" s="247" t="s">
        <v>73</v>
      </c>
      <c r="BRG27" s="248"/>
      <c r="BRH27" s="248"/>
      <c r="BRI27" s="248"/>
      <c r="BRJ27" s="249"/>
      <c r="BRK27" s="247" t="s">
        <v>73</v>
      </c>
      <c r="BRL27" s="248"/>
      <c r="BRM27" s="248"/>
      <c r="BRN27" s="248"/>
      <c r="BRO27" s="249"/>
      <c r="BRP27" s="247" t="s">
        <v>73</v>
      </c>
      <c r="BRQ27" s="248"/>
      <c r="BRR27" s="248"/>
      <c r="BRS27" s="248"/>
      <c r="BRT27" s="249"/>
      <c r="BRU27" s="247" t="s">
        <v>73</v>
      </c>
      <c r="BRV27" s="248"/>
      <c r="BRW27" s="248"/>
      <c r="BRX27" s="248"/>
      <c r="BRY27" s="249"/>
      <c r="BRZ27" s="247" t="s">
        <v>73</v>
      </c>
      <c r="BSA27" s="248"/>
      <c r="BSB27" s="248"/>
      <c r="BSC27" s="248"/>
      <c r="BSD27" s="249"/>
      <c r="BSE27" s="247" t="s">
        <v>73</v>
      </c>
      <c r="BSF27" s="248"/>
      <c r="BSG27" s="248"/>
      <c r="BSH27" s="248"/>
      <c r="BSI27" s="249"/>
      <c r="BSJ27" s="247" t="s">
        <v>73</v>
      </c>
      <c r="BSK27" s="248"/>
      <c r="BSL27" s="248"/>
      <c r="BSM27" s="248"/>
      <c r="BSN27" s="249"/>
      <c r="BSO27" s="247" t="s">
        <v>73</v>
      </c>
      <c r="BSP27" s="248"/>
      <c r="BSQ27" s="248"/>
      <c r="BSR27" s="248"/>
      <c r="BSS27" s="249"/>
      <c r="BST27" s="247" t="s">
        <v>73</v>
      </c>
      <c r="BSU27" s="248"/>
      <c r="BSV27" s="248"/>
      <c r="BSW27" s="248"/>
      <c r="BSX27" s="249"/>
      <c r="BSY27" s="247" t="s">
        <v>73</v>
      </c>
      <c r="BSZ27" s="248"/>
      <c r="BTA27" s="248"/>
      <c r="BTB27" s="248"/>
      <c r="BTC27" s="249"/>
      <c r="BTD27" s="247" t="s">
        <v>73</v>
      </c>
      <c r="BTE27" s="248"/>
      <c r="BTF27" s="248"/>
      <c r="BTG27" s="248"/>
      <c r="BTH27" s="249"/>
      <c r="BTI27" s="247" t="s">
        <v>73</v>
      </c>
      <c r="BTJ27" s="248"/>
      <c r="BTK27" s="248"/>
      <c r="BTL27" s="248"/>
      <c r="BTM27" s="249"/>
      <c r="BTN27" s="247" t="s">
        <v>73</v>
      </c>
      <c r="BTO27" s="248"/>
      <c r="BTP27" s="248"/>
      <c r="BTQ27" s="248"/>
      <c r="BTR27" s="249"/>
      <c r="BTS27" s="247" t="s">
        <v>73</v>
      </c>
      <c r="BTT27" s="248"/>
      <c r="BTU27" s="248"/>
      <c r="BTV27" s="248"/>
      <c r="BTW27" s="249"/>
      <c r="BTX27" s="247" t="s">
        <v>73</v>
      </c>
      <c r="BTY27" s="248"/>
      <c r="BTZ27" s="248"/>
      <c r="BUA27" s="248"/>
      <c r="BUB27" s="249"/>
      <c r="BUC27" s="247" t="s">
        <v>73</v>
      </c>
      <c r="BUD27" s="248"/>
      <c r="BUE27" s="248"/>
      <c r="BUF27" s="248"/>
      <c r="BUG27" s="249"/>
      <c r="BUH27" s="247" t="s">
        <v>73</v>
      </c>
      <c r="BUI27" s="248"/>
      <c r="BUJ27" s="248"/>
      <c r="BUK27" s="248"/>
      <c r="BUL27" s="249"/>
      <c r="BUM27" s="247" t="s">
        <v>73</v>
      </c>
      <c r="BUN27" s="248"/>
      <c r="BUO27" s="248"/>
      <c r="BUP27" s="248"/>
      <c r="BUQ27" s="249"/>
      <c r="BUR27" s="247" t="s">
        <v>73</v>
      </c>
      <c r="BUS27" s="248"/>
      <c r="BUT27" s="248"/>
      <c r="BUU27" s="248"/>
      <c r="BUV27" s="249"/>
      <c r="BUW27" s="247" t="s">
        <v>73</v>
      </c>
      <c r="BUX27" s="248"/>
      <c r="BUY27" s="248"/>
      <c r="BUZ27" s="248"/>
      <c r="BVA27" s="249"/>
      <c r="BVB27" s="247" t="s">
        <v>73</v>
      </c>
      <c r="BVC27" s="248"/>
      <c r="BVD27" s="248"/>
      <c r="BVE27" s="248"/>
      <c r="BVF27" s="249"/>
      <c r="BVG27" s="247" t="s">
        <v>73</v>
      </c>
      <c r="BVH27" s="248"/>
      <c r="BVI27" s="248"/>
      <c r="BVJ27" s="248"/>
      <c r="BVK27" s="249"/>
      <c r="BVL27" s="247" t="s">
        <v>73</v>
      </c>
      <c r="BVM27" s="248"/>
      <c r="BVN27" s="248"/>
      <c r="BVO27" s="248"/>
      <c r="BVP27" s="249"/>
      <c r="BVQ27" s="247" t="s">
        <v>73</v>
      </c>
      <c r="BVR27" s="248"/>
      <c r="BVS27" s="248"/>
      <c r="BVT27" s="248"/>
      <c r="BVU27" s="249"/>
      <c r="BVV27" s="247" t="s">
        <v>73</v>
      </c>
      <c r="BVW27" s="248"/>
      <c r="BVX27" s="248"/>
      <c r="BVY27" s="248"/>
      <c r="BVZ27" s="249"/>
      <c r="BWA27" s="247" t="s">
        <v>73</v>
      </c>
      <c r="BWB27" s="248"/>
      <c r="BWC27" s="248"/>
      <c r="BWD27" s="248"/>
      <c r="BWE27" s="249"/>
      <c r="BWF27" s="247" t="s">
        <v>73</v>
      </c>
      <c r="BWG27" s="248"/>
      <c r="BWH27" s="248"/>
      <c r="BWI27" s="248"/>
      <c r="BWJ27" s="249"/>
      <c r="BWK27" s="247" t="s">
        <v>73</v>
      </c>
      <c r="BWL27" s="248"/>
      <c r="BWM27" s="248"/>
      <c r="BWN27" s="248"/>
      <c r="BWO27" s="249"/>
      <c r="BWP27" s="247" t="s">
        <v>73</v>
      </c>
      <c r="BWQ27" s="248"/>
      <c r="BWR27" s="248"/>
      <c r="BWS27" s="248"/>
      <c r="BWT27" s="249"/>
      <c r="BWU27" s="247" t="s">
        <v>73</v>
      </c>
      <c r="BWV27" s="248"/>
      <c r="BWW27" s="248"/>
      <c r="BWX27" s="248"/>
      <c r="BWY27" s="249"/>
      <c r="BWZ27" s="247" t="s">
        <v>73</v>
      </c>
      <c r="BXA27" s="248"/>
      <c r="BXB27" s="248"/>
      <c r="BXC27" s="248"/>
      <c r="BXD27" s="249"/>
      <c r="BXE27" s="247" t="s">
        <v>73</v>
      </c>
      <c r="BXF27" s="248"/>
      <c r="BXG27" s="248"/>
      <c r="BXH27" s="248"/>
      <c r="BXI27" s="249"/>
      <c r="BXJ27" s="247" t="s">
        <v>73</v>
      </c>
      <c r="BXK27" s="248"/>
      <c r="BXL27" s="248"/>
      <c r="BXM27" s="248"/>
      <c r="BXN27" s="249"/>
      <c r="BXO27" s="247" t="s">
        <v>73</v>
      </c>
      <c r="BXP27" s="248"/>
      <c r="BXQ27" s="248"/>
      <c r="BXR27" s="248"/>
      <c r="BXS27" s="249"/>
      <c r="BXT27" s="247" t="s">
        <v>73</v>
      </c>
      <c r="BXU27" s="248"/>
      <c r="BXV27" s="248"/>
      <c r="BXW27" s="248"/>
      <c r="BXX27" s="249"/>
      <c r="BXY27" s="247" t="s">
        <v>73</v>
      </c>
      <c r="BXZ27" s="248"/>
      <c r="BYA27" s="248"/>
      <c r="BYB27" s="248"/>
      <c r="BYC27" s="249"/>
      <c r="BYD27" s="247" t="s">
        <v>73</v>
      </c>
      <c r="BYE27" s="248"/>
      <c r="BYF27" s="248"/>
      <c r="BYG27" s="248"/>
      <c r="BYH27" s="249"/>
      <c r="BYI27" s="247" t="s">
        <v>73</v>
      </c>
      <c r="BYJ27" s="248"/>
      <c r="BYK27" s="248"/>
      <c r="BYL27" s="248"/>
      <c r="BYM27" s="249"/>
      <c r="BYN27" s="247" t="s">
        <v>73</v>
      </c>
      <c r="BYO27" s="248"/>
      <c r="BYP27" s="248"/>
      <c r="BYQ27" s="248"/>
      <c r="BYR27" s="249"/>
      <c r="BYS27" s="247" t="s">
        <v>73</v>
      </c>
      <c r="BYT27" s="248"/>
      <c r="BYU27" s="248"/>
      <c r="BYV27" s="248"/>
      <c r="BYW27" s="249"/>
      <c r="BYX27" s="247" t="s">
        <v>73</v>
      </c>
      <c r="BYY27" s="248"/>
      <c r="BYZ27" s="248"/>
      <c r="BZA27" s="248"/>
      <c r="BZB27" s="249"/>
      <c r="BZC27" s="247" t="s">
        <v>73</v>
      </c>
      <c r="BZD27" s="248"/>
      <c r="BZE27" s="248"/>
      <c r="BZF27" s="248"/>
      <c r="BZG27" s="249"/>
      <c r="BZH27" s="247" t="s">
        <v>73</v>
      </c>
      <c r="BZI27" s="248"/>
      <c r="BZJ27" s="248"/>
      <c r="BZK27" s="248"/>
      <c r="BZL27" s="249"/>
      <c r="BZM27" s="247" t="s">
        <v>73</v>
      </c>
      <c r="BZN27" s="248"/>
      <c r="BZO27" s="248"/>
      <c r="BZP27" s="248"/>
      <c r="BZQ27" s="249"/>
      <c r="BZR27" s="247" t="s">
        <v>73</v>
      </c>
      <c r="BZS27" s="248"/>
      <c r="BZT27" s="248"/>
      <c r="BZU27" s="248"/>
      <c r="BZV27" s="249"/>
      <c r="BZW27" s="247" t="s">
        <v>73</v>
      </c>
      <c r="BZX27" s="248"/>
      <c r="BZY27" s="248"/>
      <c r="BZZ27" s="248"/>
      <c r="CAA27" s="249"/>
      <c r="CAB27" s="247" t="s">
        <v>73</v>
      </c>
      <c r="CAC27" s="248"/>
      <c r="CAD27" s="248"/>
      <c r="CAE27" s="248"/>
      <c r="CAF27" s="249"/>
      <c r="CAG27" s="247" t="s">
        <v>73</v>
      </c>
      <c r="CAH27" s="248"/>
      <c r="CAI27" s="248"/>
      <c r="CAJ27" s="248"/>
      <c r="CAK27" s="249"/>
      <c r="CAL27" s="247" t="s">
        <v>73</v>
      </c>
      <c r="CAM27" s="248"/>
      <c r="CAN27" s="248"/>
      <c r="CAO27" s="248"/>
      <c r="CAP27" s="249"/>
      <c r="CAQ27" s="247" t="s">
        <v>73</v>
      </c>
      <c r="CAR27" s="248"/>
      <c r="CAS27" s="248"/>
      <c r="CAT27" s="248"/>
      <c r="CAU27" s="249"/>
      <c r="CAV27" s="247" t="s">
        <v>73</v>
      </c>
      <c r="CAW27" s="248"/>
      <c r="CAX27" s="248"/>
      <c r="CAY27" s="248"/>
      <c r="CAZ27" s="249"/>
      <c r="CBA27" s="247" t="s">
        <v>73</v>
      </c>
      <c r="CBB27" s="248"/>
      <c r="CBC27" s="248"/>
      <c r="CBD27" s="248"/>
      <c r="CBE27" s="249"/>
      <c r="CBF27" s="247" t="s">
        <v>73</v>
      </c>
      <c r="CBG27" s="248"/>
      <c r="CBH27" s="248"/>
      <c r="CBI27" s="248"/>
      <c r="CBJ27" s="249"/>
      <c r="CBK27" s="247" t="s">
        <v>73</v>
      </c>
      <c r="CBL27" s="248"/>
      <c r="CBM27" s="248"/>
      <c r="CBN27" s="248"/>
      <c r="CBO27" s="249"/>
      <c r="CBP27" s="247" t="s">
        <v>73</v>
      </c>
      <c r="CBQ27" s="248"/>
      <c r="CBR27" s="248"/>
      <c r="CBS27" s="248"/>
      <c r="CBT27" s="249"/>
      <c r="CBU27" s="247" t="s">
        <v>73</v>
      </c>
      <c r="CBV27" s="248"/>
      <c r="CBW27" s="248"/>
      <c r="CBX27" s="248"/>
      <c r="CBY27" s="249"/>
      <c r="CBZ27" s="247" t="s">
        <v>73</v>
      </c>
      <c r="CCA27" s="248"/>
      <c r="CCB27" s="248"/>
      <c r="CCC27" s="248"/>
      <c r="CCD27" s="249"/>
      <c r="CCE27" s="247" t="s">
        <v>73</v>
      </c>
      <c r="CCF27" s="248"/>
      <c r="CCG27" s="248"/>
      <c r="CCH27" s="248"/>
      <c r="CCI27" s="249"/>
      <c r="CCJ27" s="247" t="s">
        <v>73</v>
      </c>
      <c r="CCK27" s="248"/>
      <c r="CCL27" s="248"/>
      <c r="CCM27" s="248"/>
      <c r="CCN27" s="249"/>
      <c r="CCO27" s="247" t="s">
        <v>73</v>
      </c>
      <c r="CCP27" s="248"/>
      <c r="CCQ27" s="248"/>
      <c r="CCR27" s="248"/>
      <c r="CCS27" s="249"/>
      <c r="CCT27" s="247" t="s">
        <v>73</v>
      </c>
      <c r="CCU27" s="248"/>
      <c r="CCV27" s="248"/>
      <c r="CCW27" s="248"/>
      <c r="CCX27" s="249"/>
      <c r="CCY27" s="247" t="s">
        <v>73</v>
      </c>
      <c r="CCZ27" s="248"/>
      <c r="CDA27" s="248"/>
      <c r="CDB27" s="248"/>
      <c r="CDC27" s="249"/>
      <c r="CDD27" s="247" t="s">
        <v>73</v>
      </c>
      <c r="CDE27" s="248"/>
      <c r="CDF27" s="248"/>
      <c r="CDG27" s="248"/>
      <c r="CDH27" s="249"/>
      <c r="CDI27" s="247" t="s">
        <v>73</v>
      </c>
      <c r="CDJ27" s="248"/>
      <c r="CDK27" s="248"/>
      <c r="CDL27" s="248"/>
      <c r="CDM27" s="249"/>
      <c r="CDN27" s="247" t="s">
        <v>73</v>
      </c>
      <c r="CDO27" s="248"/>
      <c r="CDP27" s="248"/>
      <c r="CDQ27" s="248"/>
      <c r="CDR27" s="249"/>
      <c r="CDS27" s="247" t="s">
        <v>73</v>
      </c>
      <c r="CDT27" s="248"/>
      <c r="CDU27" s="248"/>
      <c r="CDV27" s="248"/>
      <c r="CDW27" s="249"/>
      <c r="CDX27" s="247" t="s">
        <v>73</v>
      </c>
      <c r="CDY27" s="248"/>
      <c r="CDZ27" s="248"/>
      <c r="CEA27" s="248"/>
      <c r="CEB27" s="249"/>
      <c r="CEC27" s="247" t="s">
        <v>73</v>
      </c>
      <c r="CED27" s="248"/>
      <c r="CEE27" s="248"/>
      <c r="CEF27" s="248"/>
      <c r="CEG27" s="249"/>
      <c r="CEH27" s="247" t="s">
        <v>73</v>
      </c>
      <c r="CEI27" s="248"/>
      <c r="CEJ27" s="248"/>
      <c r="CEK27" s="248"/>
      <c r="CEL27" s="249"/>
      <c r="CEM27" s="247" t="s">
        <v>73</v>
      </c>
      <c r="CEN27" s="248"/>
      <c r="CEO27" s="248"/>
      <c r="CEP27" s="248"/>
      <c r="CEQ27" s="249"/>
      <c r="CER27" s="247" t="s">
        <v>73</v>
      </c>
      <c r="CES27" s="248"/>
      <c r="CET27" s="248"/>
      <c r="CEU27" s="248"/>
      <c r="CEV27" s="249"/>
      <c r="CEW27" s="247" t="s">
        <v>73</v>
      </c>
      <c r="CEX27" s="248"/>
      <c r="CEY27" s="248"/>
      <c r="CEZ27" s="248"/>
      <c r="CFA27" s="249"/>
      <c r="CFB27" s="247" t="s">
        <v>73</v>
      </c>
      <c r="CFC27" s="248"/>
      <c r="CFD27" s="248"/>
      <c r="CFE27" s="248"/>
      <c r="CFF27" s="249"/>
      <c r="CFG27" s="247" t="s">
        <v>73</v>
      </c>
      <c r="CFH27" s="248"/>
      <c r="CFI27" s="248"/>
      <c r="CFJ27" s="248"/>
      <c r="CFK27" s="249"/>
      <c r="CFL27" s="247" t="s">
        <v>73</v>
      </c>
      <c r="CFM27" s="248"/>
      <c r="CFN27" s="248"/>
      <c r="CFO27" s="248"/>
      <c r="CFP27" s="249"/>
      <c r="CFQ27" s="247" t="s">
        <v>73</v>
      </c>
      <c r="CFR27" s="248"/>
      <c r="CFS27" s="248"/>
      <c r="CFT27" s="248"/>
      <c r="CFU27" s="249"/>
      <c r="CFV27" s="247" t="s">
        <v>73</v>
      </c>
      <c r="CFW27" s="248"/>
      <c r="CFX27" s="248"/>
      <c r="CFY27" s="248"/>
      <c r="CFZ27" s="249"/>
      <c r="CGA27" s="247" t="s">
        <v>73</v>
      </c>
      <c r="CGB27" s="248"/>
      <c r="CGC27" s="248"/>
      <c r="CGD27" s="248"/>
      <c r="CGE27" s="249"/>
      <c r="CGF27" s="247" t="s">
        <v>73</v>
      </c>
      <c r="CGG27" s="248"/>
      <c r="CGH27" s="248"/>
      <c r="CGI27" s="248"/>
      <c r="CGJ27" s="249"/>
      <c r="CGK27" s="247" t="s">
        <v>73</v>
      </c>
      <c r="CGL27" s="248"/>
      <c r="CGM27" s="248"/>
      <c r="CGN27" s="248"/>
      <c r="CGO27" s="249"/>
      <c r="CGP27" s="247" t="s">
        <v>73</v>
      </c>
      <c r="CGQ27" s="248"/>
      <c r="CGR27" s="248"/>
      <c r="CGS27" s="248"/>
      <c r="CGT27" s="249"/>
      <c r="CGU27" s="247" t="s">
        <v>73</v>
      </c>
      <c r="CGV27" s="248"/>
      <c r="CGW27" s="248"/>
      <c r="CGX27" s="248"/>
      <c r="CGY27" s="249"/>
      <c r="CGZ27" s="247" t="s">
        <v>73</v>
      </c>
      <c r="CHA27" s="248"/>
      <c r="CHB27" s="248"/>
      <c r="CHC27" s="248"/>
      <c r="CHD27" s="249"/>
      <c r="CHE27" s="247" t="s">
        <v>73</v>
      </c>
      <c r="CHF27" s="248"/>
      <c r="CHG27" s="248"/>
      <c r="CHH27" s="248"/>
      <c r="CHI27" s="249"/>
      <c r="CHJ27" s="247" t="s">
        <v>73</v>
      </c>
      <c r="CHK27" s="248"/>
      <c r="CHL27" s="248"/>
      <c r="CHM27" s="248"/>
      <c r="CHN27" s="249"/>
      <c r="CHO27" s="247" t="s">
        <v>73</v>
      </c>
      <c r="CHP27" s="248"/>
      <c r="CHQ27" s="248"/>
      <c r="CHR27" s="248"/>
      <c r="CHS27" s="249"/>
      <c r="CHT27" s="247" t="s">
        <v>73</v>
      </c>
      <c r="CHU27" s="248"/>
      <c r="CHV27" s="248"/>
      <c r="CHW27" s="248"/>
      <c r="CHX27" s="249"/>
      <c r="CHY27" s="247" t="s">
        <v>73</v>
      </c>
      <c r="CHZ27" s="248"/>
      <c r="CIA27" s="248"/>
      <c r="CIB27" s="248"/>
      <c r="CIC27" s="249"/>
      <c r="CID27" s="247" t="s">
        <v>73</v>
      </c>
      <c r="CIE27" s="248"/>
      <c r="CIF27" s="248"/>
      <c r="CIG27" s="248"/>
      <c r="CIH27" s="249"/>
      <c r="CII27" s="247" t="s">
        <v>73</v>
      </c>
      <c r="CIJ27" s="248"/>
      <c r="CIK27" s="248"/>
      <c r="CIL27" s="248"/>
      <c r="CIM27" s="249"/>
      <c r="CIN27" s="247" t="s">
        <v>73</v>
      </c>
      <c r="CIO27" s="248"/>
      <c r="CIP27" s="248"/>
      <c r="CIQ27" s="248"/>
      <c r="CIR27" s="249"/>
      <c r="CIS27" s="247" t="s">
        <v>73</v>
      </c>
      <c r="CIT27" s="248"/>
      <c r="CIU27" s="248"/>
      <c r="CIV27" s="248"/>
      <c r="CIW27" s="249"/>
      <c r="CIX27" s="247" t="s">
        <v>73</v>
      </c>
      <c r="CIY27" s="248"/>
      <c r="CIZ27" s="248"/>
      <c r="CJA27" s="248"/>
      <c r="CJB27" s="249"/>
      <c r="CJC27" s="247" t="s">
        <v>73</v>
      </c>
      <c r="CJD27" s="248"/>
      <c r="CJE27" s="248"/>
      <c r="CJF27" s="248"/>
      <c r="CJG27" s="249"/>
      <c r="CJH27" s="247" t="s">
        <v>73</v>
      </c>
      <c r="CJI27" s="248"/>
      <c r="CJJ27" s="248"/>
      <c r="CJK27" s="248"/>
      <c r="CJL27" s="249"/>
      <c r="CJM27" s="247" t="s">
        <v>73</v>
      </c>
      <c r="CJN27" s="248"/>
      <c r="CJO27" s="248"/>
      <c r="CJP27" s="248"/>
      <c r="CJQ27" s="249"/>
      <c r="CJR27" s="247" t="s">
        <v>73</v>
      </c>
      <c r="CJS27" s="248"/>
      <c r="CJT27" s="248"/>
      <c r="CJU27" s="248"/>
      <c r="CJV27" s="249"/>
      <c r="CJW27" s="247" t="s">
        <v>73</v>
      </c>
      <c r="CJX27" s="248"/>
      <c r="CJY27" s="248"/>
      <c r="CJZ27" s="248"/>
      <c r="CKA27" s="249"/>
      <c r="CKB27" s="247" t="s">
        <v>73</v>
      </c>
      <c r="CKC27" s="248"/>
      <c r="CKD27" s="248"/>
      <c r="CKE27" s="248"/>
      <c r="CKF27" s="249"/>
      <c r="CKG27" s="247" t="s">
        <v>73</v>
      </c>
      <c r="CKH27" s="248"/>
      <c r="CKI27" s="248"/>
      <c r="CKJ27" s="248"/>
      <c r="CKK27" s="249"/>
      <c r="CKL27" s="247" t="s">
        <v>73</v>
      </c>
      <c r="CKM27" s="248"/>
      <c r="CKN27" s="248"/>
      <c r="CKO27" s="248"/>
      <c r="CKP27" s="249"/>
      <c r="CKQ27" s="247" t="s">
        <v>73</v>
      </c>
      <c r="CKR27" s="248"/>
      <c r="CKS27" s="248"/>
      <c r="CKT27" s="248"/>
      <c r="CKU27" s="249"/>
      <c r="CKV27" s="247" t="s">
        <v>73</v>
      </c>
      <c r="CKW27" s="248"/>
      <c r="CKX27" s="248"/>
      <c r="CKY27" s="248"/>
      <c r="CKZ27" s="249"/>
      <c r="CLA27" s="247" t="s">
        <v>73</v>
      </c>
      <c r="CLB27" s="248"/>
      <c r="CLC27" s="248"/>
      <c r="CLD27" s="248"/>
      <c r="CLE27" s="249"/>
      <c r="CLF27" s="247" t="s">
        <v>73</v>
      </c>
      <c r="CLG27" s="248"/>
      <c r="CLH27" s="248"/>
      <c r="CLI27" s="248"/>
      <c r="CLJ27" s="249"/>
      <c r="CLK27" s="247" t="s">
        <v>73</v>
      </c>
      <c r="CLL27" s="248"/>
      <c r="CLM27" s="248"/>
      <c r="CLN27" s="248"/>
      <c r="CLO27" s="249"/>
      <c r="CLP27" s="247" t="s">
        <v>73</v>
      </c>
      <c r="CLQ27" s="248"/>
      <c r="CLR27" s="248"/>
      <c r="CLS27" s="248"/>
      <c r="CLT27" s="249"/>
      <c r="CLU27" s="247" t="s">
        <v>73</v>
      </c>
      <c r="CLV27" s="248"/>
      <c r="CLW27" s="248"/>
      <c r="CLX27" s="248"/>
      <c r="CLY27" s="249"/>
      <c r="CLZ27" s="247" t="s">
        <v>73</v>
      </c>
      <c r="CMA27" s="248"/>
      <c r="CMB27" s="248"/>
      <c r="CMC27" s="248"/>
      <c r="CMD27" s="249"/>
      <c r="CME27" s="247" t="s">
        <v>73</v>
      </c>
      <c r="CMF27" s="248"/>
      <c r="CMG27" s="248"/>
      <c r="CMH27" s="248"/>
      <c r="CMI27" s="249"/>
      <c r="CMJ27" s="247" t="s">
        <v>73</v>
      </c>
      <c r="CMK27" s="248"/>
      <c r="CML27" s="248"/>
      <c r="CMM27" s="248"/>
      <c r="CMN27" s="249"/>
      <c r="CMO27" s="247" t="s">
        <v>73</v>
      </c>
      <c r="CMP27" s="248"/>
      <c r="CMQ27" s="248"/>
      <c r="CMR27" s="248"/>
      <c r="CMS27" s="249"/>
      <c r="CMT27" s="247" t="s">
        <v>73</v>
      </c>
      <c r="CMU27" s="248"/>
      <c r="CMV27" s="248"/>
      <c r="CMW27" s="248"/>
      <c r="CMX27" s="249"/>
      <c r="CMY27" s="247" t="s">
        <v>73</v>
      </c>
      <c r="CMZ27" s="248"/>
      <c r="CNA27" s="248"/>
      <c r="CNB27" s="248"/>
      <c r="CNC27" s="249"/>
      <c r="CND27" s="247" t="s">
        <v>73</v>
      </c>
      <c r="CNE27" s="248"/>
      <c r="CNF27" s="248"/>
      <c r="CNG27" s="248"/>
      <c r="CNH27" s="249"/>
      <c r="CNI27" s="247" t="s">
        <v>73</v>
      </c>
      <c r="CNJ27" s="248"/>
      <c r="CNK27" s="248"/>
      <c r="CNL27" s="248"/>
      <c r="CNM27" s="249"/>
      <c r="CNN27" s="247" t="s">
        <v>73</v>
      </c>
      <c r="CNO27" s="248"/>
      <c r="CNP27" s="248"/>
      <c r="CNQ27" s="248"/>
      <c r="CNR27" s="249"/>
      <c r="CNS27" s="247" t="s">
        <v>73</v>
      </c>
      <c r="CNT27" s="248"/>
      <c r="CNU27" s="248"/>
      <c r="CNV27" s="248"/>
      <c r="CNW27" s="249"/>
      <c r="CNX27" s="247" t="s">
        <v>73</v>
      </c>
      <c r="CNY27" s="248"/>
      <c r="CNZ27" s="248"/>
      <c r="COA27" s="248"/>
      <c r="COB27" s="249"/>
      <c r="COC27" s="247" t="s">
        <v>73</v>
      </c>
      <c r="COD27" s="248"/>
      <c r="COE27" s="248"/>
      <c r="COF27" s="248"/>
      <c r="COG27" s="249"/>
      <c r="COH27" s="247" t="s">
        <v>73</v>
      </c>
      <c r="COI27" s="248"/>
      <c r="COJ27" s="248"/>
      <c r="COK27" s="248"/>
      <c r="COL27" s="249"/>
      <c r="COM27" s="247" t="s">
        <v>73</v>
      </c>
      <c r="CON27" s="248"/>
      <c r="COO27" s="248"/>
      <c r="COP27" s="248"/>
      <c r="COQ27" s="249"/>
      <c r="COR27" s="247" t="s">
        <v>73</v>
      </c>
      <c r="COS27" s="248"/>
      <c r="COT27" s="248"/>
      <c r="COU27" s="248"/>
      <c r="COV27" s="249"/>
      <c r="COW27" s="247" t="s">
        <v>73</v>
      </c>
      <c r="COX27" s="248"/>
      <c r="COY27" s="248"/>
      <c r="COZ27" s="248"/>
      <c r="CPA27" s="249"/>
      <c r="CPB27" s="247" t="s">
        <v>73</v>
      </c>
      <c r="CPC27" s="248"/>
      <c r="CPD27" s="248"/>
      <c r="CPE27" s="248"/>
      <c r="CPF27" s="249"/>
      <c r="CPG27" s="247" t="s">
        <v>73</v>
      </c>
      <c r="CPH27" s="248"/>
      <c r="CPI27" s="248"/>
      <c r="CPJ27" s="248"/>
      <c r="CPK27" s="249"/>
      <c r="CPL27" s="247" t="s">
        <v>73</v>
      </c>
      <c r="CPM27" s="248"/>
      <c r="CPN27" s="248"/>
      <c r="CPO27" s="248"/>
      <c r="CPP27" s="249"/>
      <c r="CPQ27" s="247" t="s">
        <v>73</v>
      </c>
      <c r="CPR27" s="248"/>
      <c r="CPS27" s="248"/>
      <c r="CPT27" s="248"/>
      <c r="CPU27" s="249"/>
      <c r="CPV27" s="247" t="s">
        <v>73</v>
      </c>
      <c r="CPW27" s="248"/>
      <c r="CPX27" s="248"/>
      <c r="CPY27" s="248"/>
      <c r="CPZ27" s="249"/>
      <c r="CQA27" s="247" t="s">
        <v>73</v>
      </c>
      <c r="CQB27" s="248"/>
      <c r="CQC27" s="248"/>
      <c r="CQD27" s="248"/>
      <c r="CQE27" s="249"/>
      <c r="CQF27" s="247" t="s">
        <v>73</v>
      </c>
      <c r="CQG27" s="248"/>
      <c r="CQH27" s="248"/>
      <c r="CQI27" s="248"/>
      <c r="CQJ27" s="249"/>
      <c r="CQK27" s="247" t="s">
        <v>73</v>
      </c>
      <c r="CQL27" s="248"/>
      <c r="CQM27" s="248"/>
      <c r="CQN27" s="248"/>
      <c r="CQO27" s="249"/>
      <c r="CQP27" s="247" t="s">
        <v>73</v>
      </c>
      <c r="CQQ27" s="248"/>
      <c r="CQR27" s="248"/>
      <c r="CQS27" s="248"/>
      <c r="CQT27" s="249"/>
      <c r="CQU27" s="247" t="s">
        <v>73</v>
      </c>
      <c r="CQV27" s="248"/>
      <c r="CQW27" s="248"/>
      <c r="CQX27" s="248"/>
      <c r="CQY27" s="249"/>
      <c r="CQZ27" s="247" t="s">
        <v>73</v>
      </c>
      <c r="CRA27" s="248"/>
      <c r="CRB27" s="248"/>
      <c r="CRC27" s="248"/>
      <c r="CRD27" s="249"/>
      <c r="CRE27" s="10" t="s">
        <v>14</v>
      </c>
      <c r="CRF27" s="4"/>
      <c r="CRG27" s="5"/>
      <c r="CRH27" s="315" t="s">
        <v>31</v>
      </c>
      <c r="CRI27" s="316"/>
      <c r="CRJ27" s="10" t="s">
        <v>14</v>
      </c>
      <c r="CRK27" s="4"/>
      <c r="CRL27" s="5"/>
      <c r="CRM27" s="315" t="s">
        <v>31</v>
      </c>
      <c r="CRN27" s="316"/>
      <c r="CRO27" s="10" t="s">
        <v>14</v>
      </c>
      <c r="CRP27" s="4"/>
      <c r="CRQ27" s="5"/>
      <c r="CRR27" s="315" t="s">
        <v>31</v>
      </c>
      <c r="CRS27" s="316"/>
      <c r="CRT27" s="10" t="s">
        <v>14</v>
      </c>
      <c r="CRU27" s="4"/>
      <c r="CRV27" s="5"/>
      <c r="CRW27" s="315" t="s">
        <v>31</v>
      </c>
      <c r="CRX27" s="316"/>
      <c r="CRY27" s="10" t="s">
        <v>14</v>
      </c>
      <c r="CRZ27" s="4"/>
      <c r="CSA27" s="5"/>
      <c r="CSB27" s="17" t="s">
        <v>31</v>
      </c>
      <c r="CSC27" s="10" t="s">
        <v>57</v>
      </c>
      <c r="CSD27" s="4"/>
      <c r="CSE27" s="5"/>
      <c r="CSF27" s="17" t="s">
        <v>61</v>
      </c>
      <c r="CSG27" s="10" t="s">
        <v>57</v>
      </c>
      <c r="CSH27" s="4"/>
      <c r="CSI27" s="5"/>
      <c r="CSJ27" s="17" t="s">
        <v>31</v>
      </c>
      <c r="CSK27" s="10" t="s">
        <v>57</v>
      </c>
      <c r="CSL27" s="4"/>
      <c r="CSM27" s="5"/>
      <c r="CSN27" s="17" t="s">
        <v>31</v>
      </c>
      <c r="CSO27" s="10" t="s">
        <v>57</v>
      </c>
      <c r="CSP27" s="4"/>
      <c r="CSQ27" s="5"/>
      <c r="CSR27" s="17" t="s">
        <v>31</v>
      </c>
      <c r="CSS27" s="10" t="s">
        <v>57</v>
      </c>
      <c r="CST27" s="4"/>
      <c r="CSU27" s="5"/>
      <c r="CSV27" s="17" t="s">
        <v>61</v>
      </c>
      <c r="CSW27" s="10" t="s">
        <v>57</v>
      </c>
      <c r="CSX27" s="4"/>
      <c r="CSY27" s="5"/>
      <c r="CSZ27" s="17" t="s">
        <v>31</v>
      </c>
      <c r="CTA27" s="10" t="s">
        <v>57</v>
      </c>
      <c r="CTB27" s="4"/>
      <c r="CTC27" s="5"/>
      <c r="CTD27" s="17" t="s">
        <v>31</v>
      </c>
      <c r="CTE27" s="10" t="s">
        <v>57</v>
      </c>
      <c r="CTF27" s="4"/>
      <c r="CTG27" s="5"/>
      <c r="CTH27" s="17" t="s">
        <v>31</v>
      </c>
      <c r="CTI27" s="10" t="s">
        <v>57</v>
      </c>
      <c r="CTJ27" s="4"/>
      <c r="CTK27" s="5"/>
      <c r="CTL27" s="17" t="s">
        <v>61</v>
      </c>
      <c r="CTM27" s="10" t="s">
        <v>57</v>
      </c>
      <c r="CTN27" s="4"/>
      <c r="CTO27" s="5"/>
      <c r="CTP27" s="17" t="s">
        <v>31</v>
      </c>
      <c r="CTQ27" s="10" t="s">
        <v>57</v>
      </c>
      <c r="CTR27" s="4"/>
      <c r="CTS27" s="5"/>
      <c r="CTT27" s="17" t="s">
        <v>31</v>
      </c>
      <c r="CTU27" s="10" t="s">
        <v>57</v>
      </c>
      <c r="CTV27" s="4"/>
      <c r="CTW27" s="5"/>
      <c r="CTX27" s="17" t="s">
        <v>31</v>
      </c>
      <c r="CTY27" s="10" t="s">
        <v>57</v>
      </c>
      <c r="CTZ27" s="4"/>
      <c r="CUA27" s="5"/>
      <c r="CUB27" s="17" t="s">
        <v>31</v>
      </c>
      <c r="CUC27" s="10" t="s">
        <v>57</v>
      </c>
      <c r="CUD27" s="4"/>
      <c r="CUE27" s="5"/>
      <c r="CUF27" s="17" t="s">
        <v>61</v>
      </c>
      <c r="CUG27" s="10" t="s">
        <v>57</v>
      </c>
      <c r="CUH27" s="4"/>
      <c r="CUI27" s="5"/>
      <c r="CUJ27" s="17" t="s">
        <v>31</v>
      </c>
      <c r="CUK27" s="10" t="s">
        <v>57</v>
      </c>
      <c r="CUL27" s="4"/>
      <c r="CUM27" s="5"/>
      <c r="CUN27" s="17" t="s">
        <v>31</v>
      </c>
      <c r="CUO27" s="10" t="s">
        <v>57</v>
      </c>
      <c r="CUP27" s="4"/>
      <c r="CUQ27" s="5"/>
      <c r="CUR27" s="17" t="s">
        <v>31</v>
      </c>
      <c r="CUS27" s="10" t="s">
        <v>57</v>
      </c>
      <c r="CUT27" s="4"/>
      <c r="CUU27" s="5"/>
      <c r="CUV27" s="17" t="s">
        <v>61</v>
      </c>
      <c r="CUW27" s="10" t="s">
        <v>57</v>
      </c>
      <c r="CUX27" s="4"/>
      <c r="CUY27" s="5"/>
      <c r="CUZ27" s="17" t="s">
        <v>31</v>
      </c>
      <c r="CVA27" s="10" t="s">
        <v>57</v>
      </c>
      <c r="CVB27" s="4"/>
      <c r="CVC27" s="5"/>
      <c r="CVD27" s="17" t="s">
        <v>31</v>
      </c>
      <c r="CVE27" s="10" t="s">
        <v>57</v>
      </c>
      <c r="CVF27" s="4"/>
      <c r="CVG27" s="5"/>
      <c r="CVH27" s="17"/>
      <c r="CVI27" s="10" t="s">
        <v>57</v>
      </c>
      <c r="CVJ27" s="4"/>
      <c r="CVK27" s="5"/>
      <c r="CVL27" s="17" t="s">
        <v>31</v>
      </c>
      <c r="CVM27" s="10" t="s">
        <v>57</v>
      </c>
      <c r="CVN27" s="4"/>
      <c r="CVO27" s="5"/>
      <c r="CVP27" s="17" t="s">
        <v>31</v>
      </c>
      <c r="CVQ27" s="10" t="s">
        <v>57</v>
      </c>
      <c r="CVR27" s="4"/>
      <c r="CVS27" s="5"/>
      <c r="CVT27" s="17" t="s">
        <v>31</v>
      </c>
      <c r="CVU27" s="10" t="s">
        <v>57</v>
      </c>
      <c r="CVV27" s="4"/>
      <c r="CVW27" s="5"/>
      <c r="CVX27" s="17"/>
      <c r="CVY27" s="10" t="s">
        <v>57</v>
      </c>
      <c r="CVZ27" s="4"/>
      <c r="CWA27" s="5"/>
      <c r="CWB27" s="17" t="s">
        <v>61</v>
      </c>
      <c r="CWC27" s="10" t="s">
        <v>57</v>
      </c>
      <c r="CWD27" s="4"/>
      <c r="CWE27" s="5"/>
      <c r="CWF27" s="17" t="s">
        <v>31</v>
      </c>
      <c r="CWG27" s="10" t="s">
        <v>57</v>
      </c>
      <c r="CWH27" s="4"/>
      <c r="CWI27" s="5"/>
      <c r="CWJ27" s="17" t="s">
        <v>31</v>
      </c>
      <c r="CWK27" s="10" t="s">
        <v>57</v>
      </c>
      <c r="CWL27" s="4"/>
      <c r="CWM27" s="5"/>
      <c r="CWN27" s="17" t="s">
        <v>31</v>
      </c>
      <c r="CWO27" s="10" t="s">
        <v>57</v>
      </c>
      <c r="CWP27" s="4"/>
      <c r="CWQ27" s="5"/>
      <c r="CWR27" s="17" t="s">
        <v>31</v>
      </c>
      <c r="CWS27" s="10" t="s">
        <v>57</v>
      </c>
      <c r="CWT27" s="4"/>
      <c r="CWU27" s="5"/>
      <c r="CWV27" s="17"/>
      <c r="CWW27" s="10" t="s">
        <v>57</v>
      </c>
      <c r="CWX27" s="4"/>
      <c r="CWY27" s="5"/>
      <c r="CWZ27" s="17" t="s">
        <v>31</v>
      </c>
      <c r="CXA27" s="43" t="s">
        <v>57</v>
      </c>
      <c r="CXB27" s="44"/>
      <c r="CXC27" s="45"/>
      <c r="CXD27" s="46" t="s">
        <v>31</v>
      </c>
      <c r="CXE27" s="43" t="s">
        <v>57</v>
      </c>
      <c r="CXF27" s="44"/>
      <c r="CXG27" s="45"/>
      <c r="CXH27" s="46" t="s">
        <v>31</v>
      </c>
      <c r="CXI27" s="43" t="s">
        <v>57</v>
      </c>
      <c r="CXJ27" s="44"/>
      <c r="CXK27" s="45"/>
      <c r="CXL27" s="46" t="s">
        <v>31</v>
      </c>
      <c r="CXM27" s="43" t="s">
        <v>57</v>
      </c>
      <c r="CXN27" s="44"/>
      <c r="CXO27" s="45"/>
      <c r="CXP27" s="46" t="s">
        <v>31</v>
      </c>
      <c r="CXQ27" s="43" t="s">
        <v>57</v>
      </c>
      <c r="CXR27" s="44"/>
      <c r="CXS27" s="45"/>
      <c r="CXT27" s="46" t="s">
        <v>31</v>
      </c>
      <c r="CXU27" s="26" t="s">
        <v>13</v>
      </c>
      <c r="CXX27" s="26" t="s">
        <v>31</v>
      </c>
      <c r="CXY27" s="26" t="s">
        <v>13</v>
      </c>
      <c r="CYB27" s="26" t="s">
        <v>31</v>
      </c>
      <c r="CYC27" s="26" t="s">
        <v>13</v>
      </c>
      <c r="CYF27" s="26" t="s">
        <v>31</v>
      </c>
      <c r="CYG27" s="26" t="s">
        <v>44</v>
      </c>
      <c r="CYJ27" s="26" t="s">
        <v>31</v>
      </c>
      <c r="CYK27" s="26" t="s">
        <v>44</v>
      </c>
      <c r="CYN27" s="26" t="s">
        <v>31</v>
      </c>
      <c r="CYO27" s="26" t="s">
        <v>44</v>
      </c>
      <c r="CYR27" s="26" t="s">
        <v>31</v>
      </c>
      <c r="CYS27" s="26" t="s">
        <v>44</v>
      </c>
      <c r="CYV27" s="26" t="s">
        <v>31</v>
      </c>
      <c r="CYW27" s="26" t="s">
        <v>44</v>
      </c>
      <c r="CYZ27" s="26" t="s">
        <v>31</v>
      </c>
      <c r="CZA27" s="26" t="s">
        <v>44</v>
      </c>
      <c r="CZD27" s="26" t="s">
        <v>31</v>
      </c>
      <c r="CZE27" s="26" t="s">
        <v>44</v>
      </c>
      <c r="CZH27" s="26" t="s">
        <v>31</v>
      </c>
      <c r="CZI27" s="26" t="s">
        <v>44</v>
      </c>
      <c r="CZL27" s="26" t="s">
        <v>31</v>
      </c>
      <c r="CZM27" s="26" t="s">
        <v>44</v>
      </c>
      <c r="CZP27" s="26" t="s">
        <v>31</v>
      </c>
      <c r="CZQ27" s="26" t="s">
        <v>44</v>
      </c>
      <c r="CZT27" s="26" t="s">
        <v>31</v>
      </c>
      <c r="CZU27" s="26" t="s">
        <v>44</v>
      </c>
      <c r="CZX27" s="26" t="s">
        <v>31</v>
      </c>
      <c r="CZY27" s="26" t="s">
        <v>44</v>
      </c>
      <c r="DAB27" s="26" t="s">
        <v>31</v>
      </c>
      <c r="DAC27" s="26" t="s">
        <v>44</v>
      </c>
      <c r="DAF27" s="26" t="s">
        <v>31</v>
      </c>
      <c r="DAG27" s="26" t="s">
        <v>44</v>
      </c>
      <c r="DAJ27" s="26" t="s">
        <v>31</v>
      </c>
      <c r="DAK27" s="26" t="s">
        <v>44</v>
      </c>
      <c r="DAN27" s="26" t="s">
        <v>31</v>
      </c>
      <c r="DAO27" s="26" t="s">
        <v>44</v>
      </c>
      <c r="DAR27" s="26" t="s">
        <v>31</v>
      </c>
      <c r="DAS27" s="26" t="s">
        <v>44</v>
      </c>
      <c r="DAV27" s="26" t="s">
        <v>31</v>
      </c>
      <c r="DAW27" s="26" t="s">
        <v>44</v>
      </c>
      <c r="DAZ27" s="26" t="s">
        <v>31</v>
      </c>
      <c r="DBA27" s="26" t="s">
        <v>44</v>
      </c>
      <c r="DBD27" s="26" t="s">
        <v>31</v>
      </c>
      <c r="DBE27" s="26" t="s">
        <v>44</v>
      </c>
      <c r="DBH27" s="26" t="s">
        <v>31</v>
      </c>
      <c r="DBI27" s="26" t="s">
        <v>44</v>
      </c>
      <c r="DBL27" s="26" t="s">
        <v>31</v>
      </c>
      <c r="DBM27" s="26" t="s">
        <v>44</v>
      </c>
      <c r="DBP27" s="26" t="s">
        <v>31</v>
      </c>
      <c r="DBQ27" s="26" t="s">
        <v>44</v>
      </c>
      <c r="DBT27" s="26" t="s">
        <v>31</v>
      </c>
      <c r="DBU27" s="26" t="s">
        <v>44</v>
      </c>
      <c r="DBX27" s="26" t="s">
        <v>31</v>
      </c>
      <c r="DBY27" s="26" t="s">
        <v>44</v>
      </c>
      <c r="DCB27" s="26" t="s">
        <v>31</v>
      </c>
      <c r="DCC27" s="26" t="s">
        <v>44</v>
      </c>
      <c r="DCF27" s="26" t="s">
        <v>31</v>
      </c>
      <c r="DCG27" s="26" t="s">
        <v>44</v>
      </c>
      <c r="DCJ27" s="26" t="s">
        <v>31</v>
      </c>
      <c r="DCK27" s="26" t="s">
        <v>44</v>
      </c>
      <c r="DCN27" s="26" t="s">
        <v>31</v>
      </c>
      <c r="DCO27" s="26" t="s">
        <v>44</v>
      </c>
      <c r="DCR27" s="26" t="s">
        <v>31</v>
      </c>
      <c r="DCS27" s="26" t="s">
        <v>44</v>
      </c>
      <c r="DCV27" s="26" t="s">
        <v>31</v>
      </c>
      <c r="DCW27" s="26" t="s">
        <v>44</v>
      </c>
      <c r="DCZ27" s="26" t="s">
        <v>31</v>
      </c>
      <c r="DDA27" s="26" t="s">
        <v>44</v>
      </c>
      <c r="DDD27" s="26" t="s">
        <v>31</v>
      </c>
    </row>
    <row r="28" spans="1:2828" ht="39.75" customHeight="1" x14ac:dyDescent="0.3">
      <c r="A28" s="241" t="s">
        <v>544</v>
      </c>
      <c r="B28" s="242"/>
      <c r="C28" s="242"/>
      <c r="D28" s="242"/>
      <c r="E28" s="243"/>
      <c r="F28" s="241" t="s">
        <v>542</v>
      </c>
      <c r="G28" s="242"/>
      <c r="H28" s="242"/>
      <c r="I28" s="242"/>
      <c r="J28" s="243"/>
      <c r="K28" s="241" t="s">
        <v>541</v>
      </c>
      <c r="L28" s="242"/>
      <c r="M28" s="242"/>
      <c r="N28" s="242"/>
      <c r="O28" s="243"/>
      <c r="P28" s="241" t="s">
        <v>540</v>
      </c>
      <c r="Q28" s="242"/>
      <c r="R28" s="242"/>
      <c r="S28" s="242"/>
      <c r="T28" s="243"/>
      <c r="U28" s="241" t="s">
        <v>539</v>
      </c>
      <c r="V28" s="242"/>
      <c r="W28" s="242"/>
      <c r="X28" s="242"/>
      <c r="Y28" s="243"/>
      <c r="Z28" s="241" t="s">
        <v>538</v>
      </c>
      <c r="AA28" s="242"/>
      <c r="AB28" s="242"/>
      <c r="AC28" s="242"/>
      <c r="AD28" s="243"/>
      <c r="AE28" s="241" t="s">
        <v>537</v>
      </c>
      <c r="AF28" s="242"/>
      <c r="AG28" s="242"/>
      <c r="AH28" s="242"/>
      <c r="AI28" s="243"/>
      <c r="AJ28" s="241" t="s">
        <v>536</v>
      </c>
      <c r="AK28" s="242"/>
      <c r="AL28" s="242"/>
      <c r="AM28" s="242"/>
      <c r="AN28" s="243"/>
      <c r="AO28" s="241" t="s">
        <v>535</v>
      </c>
      <c r="AP28" s="242"/>
      <c r="AQ28" s="242"/>
      <c r="AR28" s="242"/>
      <c r="AS28" s="243"/>
      <c r="AT28" s="241" t="s">
        <v>534</v>
      </c>
      <c r="AU28" s="242"/>
      <c r="AV28" s="242"/>
      <c r="AW28" s="242"/>
      <c r="AX28" s="243"/>
      <c r="AY28" s="241" t="s">
        <v>533</v>
      </c>
      <c r="AZ28" s="242"/>
      <c r="BA28" s="242"/>
      <c r="BB28" s="242"/>
      <c r="BC28" s="243"/>
      <c r="BD28" s="241" t="s">
        <v>532</v>
      </c>
      <c r="BE28" s="242"/>
      <c r="BF28" s="242"/>
      <c r="BG28" s="242"/>
      <c r="BH28" s="243"/>
      <c r="BI28" s="241" t="s">
        <v>531</v>
      </c>
      <c r="BJ28" s="242"/>
      <c r="BK28" s="242"/>
      <c r="BL28" s="242"/>
      <c r="BM28" s="243"/>
      <c r="BN28" s="241" t="s">
        <v>530</v>
      </c>
      <c r="BO28" s="242"/>
      <c r="BP28" s="242"/>
      <c r="BQ28" s="242"/>
      <c r="BR28" s="243"/>
      <c r="BS28" s="241" t="s">
        <v>529</v>
      </c>
      <c r="BT28" s="242"/>
      <c r="BU28" s="242"/>
      <c r="BV28" s="242"/>
      <c r="BW28" s="243"/>
      <c r="BX28" s="241" t="s">
        <v>528</v>
      </c>
      <c r="BY28" s="242"/>
      <c r="BZ28" s="242"/>
      <c r="CA28" s="242"/>
      <c r="CB28" s="243"/>
      <c r="CC28" s="241" t="s">
        <v>527</v>
      </c>
      <c r="CD28" s="242"/>
      <c r="CE28" s="242"/>
      <c r="CF28" s="242"/>
      <c r="CG28" s="243"/>
      <c r="CH28" s="241" t="s">
        <v>526</v>
      </c>
      <c r="CI28" s="242"/>
      <c r="CJ28" s="242"/>
      <c r="CK28" s="242"/>
      <c r="CL28" s="243"/>
      <c r="CM28" s="241" t="s">
        <v>525</v>
      </c>
      <c r="CN28" s="242"/>
      <c r="CO28" s="242"/>
      <c r="CP28" s="242"/>
      <c r="CQ28" s="243"/>
      <c r="CR28" s="241" t="s">
        <v>524</v>
      </c>
      <c r="CS28" s="242"/>
      <c r="CT28" s="242"/>
      <c r="CU28" s="242"/>
      <c r="CV28" s="243"/>
      <c r="CW28" s="241" t="s">
        <v>523</v>
      </c>
      <c r="CX28" s="242"/>
      <c r="CY28" s="242"/>
      <c r="CZ28" s="242"/>
      <c r="DA28" s="243"/>
      <c r="DB28" s="241" t="s">
        <v>522</v>
      </c>
      <c r="DC28" s="242"/>
      <c r="DD28" s="242"/>
      <c r="DE28" s="242"/>
      <c r="DF28" s="243"/>
      <c r="DG28" s="241" t="s">
        <v>521</v>
      </c>
      <c r="DH28" s="242"/>
      <c r="DI28" s="242"/>
      <c r="DJ28" s="242"/>
      <c r="DK28" s="243"/>
      <c r="DL28" s="241" t="s">
        <v>520</v>
      </c>
      <c r="DM28" s="242"/>
      <c r="DN28" s="242"/>
      <c r="DO28" s="242"/>
      <c r="DP28" s="243"/>
      <c r="DQ28" s="241" t="s">
        <v>519</v>
      </c>
      <c r="DR28" s="242"/>
      <c r="DS28" s="242"/>
      <c r="DT28" s="242"/>
      <c r="DU28" s="243"/>
      <c r="DV28" s="241" t="s">
        <v>518</v>
      </c>
      <c r="DW28" s="242"/>
      <c r="DX28" s="242"/>
      <c r="DY28" s="242"/>
      <c r="DZ28" s="243"/>
      <c r="EA28" s="241" t="s">
        <v>517</v>
      </c>
      <c r="EB28" s="242"/>
      <c r="EC28" s="242"/>
      <c r="ED28" s="242"/>
      <c r="EE28" s="243"/>
      <c r="EF28" s="241" t="s">
        <v>516</v>
      </c>
      <c r="EG28" s="242"/>
      <c r="EH28" s="242"/>
      <c r="EI28" s="242"/>
      <c r="EJ28" s="243"/>
      <c r="EK28" s="241" t="s">
        <v>515</v>
      </c>
      <c r="EL28" s="242"/>
      <c r="EM28" s="242"/>
      <c r="EN28" s="242"/>
      <c r="EO28" s="243"/>
      <c r="EP28" s="241" t="s">
        <v>514</v>
      </c>
      <c r="EQ28" s="242"/>
      <c r="ER28" s="242"/>
      <c r="ES28" s="242"/>
      <c r="ET28" s="243"/>
      <c r="EU28" s="241" t="s">
        <v>513</v>
      </c>
      <c r="EV28" s="242"/>
      <c r="EW28" s="242"/>
      <c r="EX28" s="242"/>
      <c r="EY28" s="243"/>
      <c r="EZ28" s="241" t="s">
        <v>512</v>
      </c>
      <c r="FA28" s="242"/>
      <c r="FB28" s="242"/>
      <c r="FC28" s="242"/>
      <c r="FD28" s="243"/>
      <c r="FE28" s="241" t="s">
        <v>511</v>
      </c>
      <c r="FF28" s="242"/>
      <c r="FG28" s="242"/>
      <c r="FH28" s="242"/>
      <c r="FI28" s="243"/>
      <c r="FJ28" s="241" t="s">
        <v>510</v>
      </c>
      <c r="FK28" s="242"/>
      <c r="FL28" s="242"/>
      <c r="FM28" s="242"/>
      <c r="FN28" s="243"/>
      <c r="FO28" s="241" t="s">
        <v>509</v>
      </c>
      <c r="FP28" s="242"/>
      <c r="FQ28" s="242"/>
      <c r="FR28" s="242"/>
      <c r="FS28" s="243"/>
      <c r="FT28" s="241" t="s">
        <v>508</v>
      </c>
      <c r="FU28" s="242"/>
      <c r="FV28" s="242"/>
      <c r="FW28" s="242"/>
      <c r="FX28" s="243"/>
      <c r="FY28" s="241" t="s">
        <v>507</v>
      </c>
      <c r="FZ28" s="242"/>
      <c r="GA28" s="242"/>
      <c r="GB28" s="242"/>
      <c r="GC28" s="243"/>
      <c r="GD28" s="241" t="s">
        <v>506</v>
      </c>
      <c r="GE28" s="242"/>
      <c r="GF28" s="242"/>
      <c r="GG28" s="242"/>
      <c r="GH28" s="243"/>
      <c r="GI28" s="241" t="s">
        <v>505</v>
      </c>
      <c r="GJ28" s="242"/>
      <c r="GK28" s="242"/>
      <c r="GL28" s="242"/>
      <c r="GM28" s="243"/>
      <c r="GN28" s="241" t="s">
        <v>504</v>
      </c>
      <c r="GO28" s="242"/>
      <c r="GP28" s="242"/>
      <c r="GQ28" s="242"/>
      <c r="GR28" s="243"/>
      <c r="GS28" s="241" t="s">
        <v>503</v>
      </c>
      <c r="GT28" s="242"/>
      <c r="GU28" s="242"/>
      <c r="GV28" s="242"/>
      <c r="GW28" s="243"/>
      <c r="GX28" s="241" t="s">
        <v>502</v>
      </c>
      <c r="GY28" s="242"/>
      <c r="GZ28" s="242"/>
      <c r="HA28" s="242"/>
      <c r="HB28" s="243"/>
      <c r="HC28" s="241" t="s">
        <v>501</v>
      </c>
      <c r="HD28" s="242"/>
      <c r="HE28" s="242"/>
      <c r="HF28" s="242"/>
      <c r="HG28" s="243"/>
      <c r="HH28" s="241" t="s">
        <v>500</v>
      </c>
      <c r="HI28" s="242"/>
      <c r="HJ28" s="242"/>
      <c r="HK28" s="242"/>
      <c r="HL28" s="243"/>
      <c r="HM28" s="241" t="s">
        <v>499</v>
      </c>
      <c r="HN28" s="242"/>
      <c r="HO28" s="242"/>
      <c r="HP28" s="242"/>
      <c r="HQ28" s="243"/>
      <c r="HR28" s="241" t="s">
        <v>498</v>
      </c>
      <c r="HS28" s="242"/>
      <c r="HT28" s="242"/>
      <c r="HU28" s="242"/>
      <c r="HV28" s="243"/>
      <c r="HW28" s="241" t="s">
        <v>497</v>
      </c>
      <c r="HX28" s="242"/>
      <c r="HY28" s="242"/>
      <c r="HZ28" s="242"/>
      <c r="IA28" s="243"/>
      <c r="IB28" s="241" t="s">
        <v>496</v>
      </c>
      <c r="IC28" s="242"/>
      <c r="ID28" s="242"/>
      <c r="IE28" s="242"/>
      <c r="IF28" s="243"/>
      <c r="IG28" s="241" t="s">
        <v>495</v>
      </c>
      <c r="IH28" s="242"/>
      <c r="II28" s="242"/>
      <c r="IJ28" s="242"/>
      <c r="IK28" s="243"/>
      <c r="IL28" s="241" t="s">
        <v>494</v>
      </c>
      <c r="IM28" s="242"/>
      <c r="IN28" s="242"/>
      <c r="IO28" s="242"/>
      <c r="IP28" s="243"/>
      <c r="IQ28" s="241" t="s">
        <v>493</v>
      </c>
      <c r="IR28" s="242"/>
      <c r="IS28" s="242"/>
      <c r="IT28" s="242"/>
      <c r="IU28" s="243"/>
      <c r="IV28" s="241" t="s">
        <v>492</v>
      </c>
      <c r="IW28" s="242"/>
      <c r="IX28" s="242"/>
      <c r="IY28" s="242"/>
      <c r="IZ28" s="243"/>
      <c r="JA28" s="241" t="s">
        <v>491</v>
      </c>
      <c r="JB28" s="242"/>
      <c r="JC28" s="242"/>
      <c r="JD28" s="242"/>
      <c r="JE28" s="243"/>
      <c r="JF28" s="241" t="s">
        <v>490</v>
      </c>
      <c r="JG28" s="242"/>
      <c r="JH28" s="242"/>
      <c r="JI28" s="242"/>
      <c r="JJ28" s="243"/>
      <c r="JK28" s="241" t="s">
        <v>489</v>
      </c>
      <c r="JL28" s="242"/>
      <c r="JM28" s="242"/>
      <c r="JN28" s="242"/>
      <c r="JO28" s="243"/>
      <c r="JP28" s="241" t="s">
        <v>488</v>
      </c>
      <c r="JQ28" s="242"/>
      <c r="JR28" s="242"/>
      <c r="JS28" s="242"/>
      <c r="JT28" s="243"/>
      <c r="JU28" s="241" t="s">
        <v>487</v>
      </c>
      <c r="JV28" s="242"/>
      <c r="JW28" s="242"/>
      <c r="JX28" s="242"/>
      <c r="JY28" s="243"/>
      <c r="JZ28" s="241" t="s">
        <v>486</v>
      </c>
      <c r="KA28" s="242"/>
      <c r="KB28" s="242"/>
      <c r="KC28" s="242"/>
      <c r="KD28" s="243"/>
      <c r="KE28" s="241" t="s">
        <v>485</v>
      </c>
      <c r="KF28" s="242"/>
      <c r="KG28" s="242"/>
      <c r="KH28" s="242"/>
      <c r="KI28" s="243"/>
      <c r="KJ28" s="241" t="s">
        <v>484</v>
      </c>
      <c r="KK28" s="242"/>
      <c r="KL28" s="242"/>
      <c r="KM28" s="242"/>
      <c r="KN28" s="243"/>
      <c r="KO28" s="241" t="s">
        <v>483</v>
      </c>
      <c r="KP28" s="242"/>
      <c r="KQ28" s="242"/>
      <c r="KR28" s="242"/>
      <c r="KS28" s="243"/>
      <c r="KT28" s="241" t="s">
        <v>482</v>
      </c>
      <c r="KU28" s="242"/>
      <c r="KV28" s="242"/>
      <c r="KW28" s="242"/>
      <c r="KX28" s="243"/>
      <c r="KY28" s="241" t="s">
        <v>481</v>
      </c>
      <c r="KZ28" s="242"/>
      <c r="LA28" s="242"/>
      <c r="LB28" s="242"/>
      <c r="LC28" s="243"/>
      <c r="LD28" s="241" t="s">
        <v>480</v>
      </c>
      <c r="LE28" s="242"/>
      <c r="LF28" s="242"/>
      <c r="LG28" s="242"/>
      <c r="LH28" s="243"/>
      <c r="LI28" s="241" t="s">
        <v>479</v>
      </c>
      <c r="LJ28" s="242"/>
      <c r="LK28" s="242"/>
      <c r="LL28" s="242"/>
      <c r="LM28" s="243"/>
      <c r="LN28" s="241" t="s">
        <v>478</v>
      </c>
      <c r="LO28" s="242"/>
      <c r="LP28" s="242"/>
      <c r="LQ28" s="242"/>
      <c r="LR28" s="243"/>
      <c r="LS28" s="241" t="s">
        <v>477</v>
      </c>
      <c r="LT28" s="242"/>
      <c r="LU28" s="242"/>
      <c r="LV28" s="242"/>
      <c r="LW28" s="243"/>
      <c r="LX28" s="241" t="s">
        <v>476</v>
      </c>
      <c r="LY28" s="242"/>
      <c r="LZ28" s="242"/>
      <c r="MA28" s="242"/>
      <c r="MB28" s="243"/>
      <c r="MC28" s="241" t="s">
        <v>475</v>
      </c>
      <c r="MD28" s="242"/>
      <c r="ME28" s="242"/>
      <c r="MF28" s="242"/>
      <c r="MG28" s="243"/>
      <c r="MH28" s="241" t="s">
        <v>474</v>
      </c>
      <c r="MI28" s="242"/>
      <c r="MJ28" s="242"/>
      <c r="MK28" s="242"/>
      <c r="ML28" s="243"/>
      <c r="MM28" s="241" t="s">
        <v>473</v>
      </c>
      <c r="MN28" s="242"/>
      <c r="MO28" s="242"/>
      <c r="MP28" s="242"/>
      <c r="MQ28" s="243"/>
      <c r="MR28" s="241" t="s">
        <v>472</v>
      </c>
      <c r="MS28" s="242"/>
      <c r="MT28" s="242"/>
      <c r="MU28" s="242"/>
      <c r="MV28" s="243"/>
      <c r="MW28" s="241" t="s">
        <v>471</v>
      </c>
      <c r="MX28" s="242"/>
      <c r="MY28" s="242"/>
      <c r="MZ28" s="242"/>
      <c r="NA28" s="243"/>
      <c r="NB28" s="241" t="s">
        <v>470</v>
      </c>
      <c r="NC28" s="242"/>
      <c r="ND28" s="242"/>
      <c r="NE28" s="242"/>
      <c r="NF28" s="243"/>
      <c r="NG28" s="241" t="s">
        <v>469</v>
      </c>
      <c r="NH28" s="242"/>
      <c r="NI28" s="242"/>
      <c r="NJ28" s="242"/>
      <c r="NK28" s="243"/>
      <c r="NL28" s="241" t="s">
        <v>468</v>
      </c>
      <c r="NM28" s="242"/>
      <c r="NN28" s="242"/>
      <c r="NO28" s="242"/>
      <c r="NP28" s="243"/>
      <c r="NQ28" s="241" t="s">
        <v>467</v>
      </c>
      <c r="NR28" s="242"/>
      <c r="NS28" s="242"/>
      <c r="NT28" s="242"/>
      <c r="NU28" s="243"/>
      <c r="NV28" s="241" t="s">
        <v>466</v>
      </c>
      <c r="NW28" s="242"/>
      <c r="NX28" s="242"/>
      <c r="NY28" s="242"/>
      <c r="NZ28" s="243"/>
      <c r="OA28" s="241" t="s">
        <v>465</v>
      </c>
      <c r="OB28" s="242"/>
      <c r="OC28" s="242"/>
      <c r="OD28" s="242"/>
      <c r="OE28" s="243"/>
      <c r="OF28" s="241" t="s">
        <v>464</v>
      </c>
      <c r="OG28" s="242"/>
      <c r="OH28" s="242"/>
      <c r="OI28" s="242"/>
      <c r="OJ28" s="243"/>
      <c r="OK28" s="241" t="s">
        <v>463</v>
      </c>
      <c r="OL28" s="242"/>
      <c r="OM28" s="242"/>
      <c r="ON28" s="242"/>
      <c r="OO28" s="243"/>
      <c r="OP28" s="241" t="s">
        <v>462</v>
      </c>
      <c r="OQ28" s="242"/>
      <c r="OR28" s="242"/>
      <c r="OS28" s="242"/>
      <c r="OT28" s="243"/>
      <c r="OU28" s="241" t="s">
        <v>461</v>
      </c>
      <c r="OV28" s="242"/>
      <c r="OW28" s="242"/>
      <c r="OX28" s="242"/>
      <c r="OY28" s="243"/>
      <c r="OZ28" s="241" t="s">
        <v>460</v>
      </c>
      <c r="PA28" s="242"/>
      <c r="PB28" s="242"/>
      <c r="PC28" s="242"/>
      <c r="PD28" s="243"/>
      <c r="PE28" s="241" t="s">
        <v>459</v>
      </c>
      <c r="PF28" s="242"/>
      <c r="PG28" s="242"/>
      <c r="PH28" s="242"/>
      <c r="PI28" s="243"/>
      <c r="PJ28" s="241" t="s">
        <v>458</v>
      </c>
      <c r="PK28" s="242"/>
      <c r="PL28" s="242"/>
      <c r="PM28" s="242"/>
      <c r="PN28" s="243"/>
      <c r="PO28" s="241" t="s">
        <v>457</v>
      </c>
      <c r="PP28" s="242"/>
      <c r="PQ28" s="242"/>
      <c r="PR28" s="242"/>
      <c r="PS28" s="243"/>
      <c r="PT28" s="241" t="s">
        <v>456</v>
      </c>
      <c r="PU28" s="242"/>
      <c r="PV28" s="242"/>
      <c r="PW28" s="242"/>
      <c r="PX28" s="243"/>
      <c r="PY28" s="241" t="s">
        <v>455</v>
      </c>
      <c r="PZ28" s="242"/>
      <c r="QA28" s="242"/>
      <c r="QB28" s="242"/>
      <c r="QC28" s="243"/>
      <c r="QD28" s="241" t="s">
        <v>454</v>
      </c>
      <c r="QE28" s="242"/>
      <c r="QF28" s="242"/>
      <c r="QG28" s="242"/>
      <c r="QH28" s="243"/>
      <c r="QI28" s="241" t="s">
        <v>453</v>
      </c>
      <c r="QJ28" s="242"/>
      <c r="QK28" s="242"/>
      <c r="QL28" s="242"/>
      <c r="QM28" s="243"/>
      <c r="QN28" s="241" t="s">
        <v>453</v>
      </c>
      <c r="QO28" s="242"/>
      <c r="QP28" s="242"/>
      <c r="QQ28" s="242"/>
      <c r="QR28" s="243"/>
      <c r="QS28" s="241" t="s">
        <v>452</v>
      </c>
      <c r="QT28" s="242"/>
      <c r="QU28" s="242"/>
      <c r="QV28" s="242"/>
      <c r="QW28" s="243"/>
      <c r="QX28" s="241" t="s">
        <v>451</v>
      </c>
      <c r="QY28" s="242"/>
      <c r="QZ28" s="242"/>
      <c r="RA28" s="242"/>
      <c r="RB28" s="243"/>
      <c r="RC28" s="241" t="s">
        <v>450</v>
      </c>
      <c r="RD28" s="242"/>
      <c r="RE28" s="242"/>
      <c r="RF28" s="242"/>
      <c r="RG28" s="243"/>
      <c r="RH28" s="241" t="s">
        <v>449</v>
      </c>
      <c r="RI28" s="242"/>
      <c r="RJ28" s="242"/>
      <c r="RK28" s="242"/>
      <c r="RL28" s="243"/>
      <c r="RM28" s="241" t="s">
        <v>448</v>
      </c>
      <c r="RN28" s="242"/>
      <c r="RO28" s="242"/>
      <c r="RP28" s="242"/>
      <c r="RQ28" s="243"/>
      <c r="RR28" s="241" t="s">
        <v>447</v>
      </c>
      <c r="RS28" s="242"/>
      <c r="RT28" s="242"/>
      <c r="RU28" s="242"/>
      <c r="RV28" s="243"/>
      <c r="RW28" s="241" t="s">
        <v>446</v>
      </c>
      <c r="RX28" s="242"/>
      <c r="RY28" s="242"/>
      <c r="RZ28" s="242"/>
      <c r="SA28" s="243"/>
      <c r="SB28" s="241" t="s">
        <v>445</v>
      </c>
      <c r="SC28" s="242"/>
      <c r="SD28" s="242"/>
      <c r="SE28" s="242"/>
      <c r="SF28" s="243"/>
      <c r="SG28" s="241" t="s">
        <v>444</v>
      </c>
      <c r="SH28" s="242"/>
      <c r="SI28" s="242"/>
      <c r="SJ28" s="242"/>
      <c r="SK28" s="243"/>
      <c r="SL28" s="241" t="s">
        <v>443</v>
      </c>
      <c r="SM28" s="242"/>
      <c r="SN28" s="242"/>
      <c r="SO28" s="242"/>
      <c r="SP28" s="243"/>
      <c r="SQ28" s="241" t="s">
        <v>442</v>
      </c>
      <c r="SR28" s="242"/>
      <c r="SS28" s="242"/>
      <c r="ST28" s="242"/>
      <c r="SU28" s="243"/>
      <c r="SV28" s="241" t="s">
        <v>441</v>
      </c>
      <c r="SW28" s="242"/>
      <c r="SX28" s="242"/>
      <c r="SY28" s="242"/>
      <c r="SZ28" s="243"/>
      <c r="TA28" s="241" t="s">
        <v>440</v>
      </c>
      <c r="TB28" s="242"/>
      <c r="TC28" s="242"/>
      <c r="TD28" s="242"/>
      <c r="TE28" s="243"/>
      <c r="TF28" s="241" t="s">
        <v>439</v>
      </c>
      <c r="TG28" s="242"/>
      <c r="TH28" s="242"/>
      <c r="TI28" s="242"/>
      <c r="TJ28" s="243"/>
      <c r="TK28" s="241" t="s">
        <v>438</v>
      </c>
      <c r="TL28" s="242"/>
      <c r="TM28" s="242"/>
      <c r="TN28" s="242"/>
      <c r="TO28" s="243"/>
      <c r="TP28" s="241" t="s">
        <v>437</v>
      </c>
      <c r="TQ28" s="242"/>
      <c r="TR28" s="242"/>
      <c r="TS28" s="242"/>
      <c r="TT28" s="243"/>
      <c r="TU28" s="241" t="s">
        <v>436</v>
      </c>
      <c r="TV28" s="242"/>
      <c r="TW28" s="242"/>
      <c r="TX28" s="242"/>
      <c r="TY28" s="243"/>
      <c r="TZ28" s="241" t="s">
        <v>435</v>
      </c>
      <c r="UA28" s="242"/>
      <c r="UB28" s="242"/>
      <c r="UC28" s="242"/>
      <c r="UD28" s="243"/>
      <c r="UE28" s="241" t="s">
        <v>434</v>
      </c>
      <c r="UF28" s="242"/>
      <c r="UG28" s="242"/>
      <c r="UH28" s="242"/>
      <c r="UI28" s="243"/>
      <c r="UJ28" s="241" t="s">
        <v>433</v>
      </c>
      <c r="UK28" s="242"/>
      <c r="UL28" s="242"/>
      <c r="UM28" s="242"/>
      <c r="UN28" s="243"/>
      <c r="UO28" s="241" t="s">
        <v>432</v>
      </c>
      <c r="UP28" s="242"/>
      <c r="UQ28" s="242"/>
      <c r="UR28" s="242"/>
      <c r="US28" s="243"/>
      <c r="UT28" s="241" t="s">
        <v>431</v>
      </c>
      <c r="UU28" s="242"/>
      <c r="UV28" s="242"/>
      <c r="UW28" s="242"/>
      <c r="UX28" s="243"/>
      <c r="UY28" s="241" t="s">
        <v>430</v>
      </c>
      <c r="UZ28" s="242"/>
      <c r="VA28" s="242"/>
      <c r="VB28" s="242"/>
      <c r="VC28" s="243"/>
      <c r="VD28" s="241" t="s">
        <v>429</v>
      </c>
      <c r="VE28" s="242"/>
      <c r="VF28" s="242"/>
      <c r="VG28" s="242"/>
      <c r="VH28" s="243"/>
      <c r="VI28" s="241" t="s">
        <v>428</v>
      </c>
      <c r="VJ28" s="242"/>
      <c r="VK28" s="242"/>
      <c r="VL28" s="242"/>
      <c r="VM28" s="243"/>
      <c r="VN28" s="241" t="s">
        <v>427</v>
      </c>
      <c r="VO28" s="242"/>
      <c r="VP28" s="242"/>
      <c r="VQ28" s="242"/>
      <c r="VR28" s="243"/>
      <c r="VS28" s="241" t="s">
        <v>426</v>
      </c>
      <c r="VT28" s="242"/>
      <c r="VU28" s="242"/>
      <c r="VV28" s="242"/>
      <c r="VW28" s="243"/>
      <c r="VX28" s="241" t="s">
        <v>425</v>
      </c>
      <c r="VY28" s="242"/>
      <c r="VZ28" s="242"/>
      <c r="WA28" s="242"/>
      <c r="WB28" s="243"/>
      <c r="WC28" s="241" t="s">
        <v>424</v>
      </c>
      <c r="WD28" s="242"/>
      <c r="WE28" s="242"/>
      <c r="WF28" s="242"/>
      <c r="WG28" s="243"/>
      <c r="WH28" s="241" t="s">
        <v>423</v>
      </c>
      <c r="WI28" s="242"/>
      <c r="WJ28" s="242"/>
      <c r="WK28" s="242"/>
      <c r="WL28" s="243"/>
      <c r="WM28" s="241" t="s">
        <v>422</v>
      </c>
      <c r="WN28" s="242"/>
      <c r="WO28" s="242"/>
      <c r="WP28" s="242"/>
      <c r="WQ28" s="243"/>
      <c r="WR28" s="241" t="s">
        <v>421</v>
      </c>
      <c r="WS28" s="242"/>
      <c r="WT28" s="242"/>
      <c r="WU28" s="242"/>
      <c r="WV28" s="243"/>
      <c r="WW28" s="241" t="s">
        <v>420</v>
      </c>
      <c r="WX28" s="242"/>
      <c r="WY28" s="242"/>
      <c r="WZ28" s="242"/>
      <c r="XA28" s="243"/>
      <c r="XB28" s="241" t="s">
        <v>419</v>
      </c>
      <c r="XC28" s="242"/>
      <c r="XD28" s="242"/>
      <c r="XE28" s="242"/>
      <c r="XF28" s="243"/>
      <c r="XG28" s="241" t="s">
        <v>418</v>
      </c>
      <c r="XH28" s="242"/>
      <c r="XI28" s="242"/>
      <c r="XJ28" s="242"/>
      <c r="XK28" s="243"/>
      <c r="XL28" s="241" t="s">
        <v>417</v>
      </c>
      <c r="XM28" s="242"/>
      <c r="XN28" s="242"/>
      <c r="XO28" s="242"/>
      <c r="XP28" s="243"/>
      <c r="XQ28" s="241" t="s">
        <v>416</v>
      </c>
      <c r="XR28" s="242"/>
      <c r="XS28" s="242"/>
      <c r="XT28" s="242"/>
      <c r="XU28" s="243"/>
      <c r="XV28" s="241" t="s">
        <v>415</v>
      </c>
      <c r="XW28" s="242"/>
      <c r="XX28" s="242"/>
      <c r="XY28" s="242"/>
      <c r="XZ28" s="243"/>
      <c r="YA28" s="241" t="s">
        <v>414</v>
      </c>
      <c r="YB28" s="242"/>
      <c r="YC28" s="242"/>
      <c r="YD28" s="242"/>
      <c r="YE28" s="243"/>
      <c r="YF28" s="241" t="s">
        <v>413</v>
      </c>
      <c r="YG28" s="242"/>
      <c r="YH28" s="242"/>
      <c r="YI28" s="242"/>
      <c r="YJ28" s="243"/>
      <c r="YK28" s="241" t="s">
        <v>412</v>
      </c>
      <c r="YL28" s="242"/>
      <c r="YM28" s="242"/>
      <c r="YN28" s="242"/>
      <c r="YO28" s="243"/>
      <c r="YP28" s="241" t="s">
        <v>411</v>
      </c>
      <c r="YQ28" s="242"/>
      <c r="YR28" s="242"/>
      <c r="YS28" s="242"/>
      <c r="YT28" s="243"/>
      <c r="YU28" s="241" t="s">
        <v>410</v>
      </c>
      <c r="YV28" s="242"/>
      <c r="YW28" s="242"/>
      <c r="YX28" s="242"/>
      <c r="YY28" s="243"/>
      <c r="YZ28" s="241" t="s">
        <v>409</v>
      </c>
      <c r="ZA28" s="242"/>
      <c r="ZB28" s="242"/>
      <c r="ZC28" s="242"/>
      <c r="ZD28" s="243"/>
      <c r="ZE28" s="241" t="s">
        <v>408</v>
      </c>
      <c r="ZF28" s="242"/>
      <c r="ZG28" s="242"/>
      <c r="ZH28" s="242"/>
      <c r="ZI28" s="243"/>
      <c r="ZJ28" s="241" t="s">
        <v>407</v>
      </c>
      <c r="ZK28" s="242"/>
      <c r="ZL28" s="242"/>
      <c r="ZM28" s="242"/>
      <c r="ZN28" s="243"/>
      <c r="ZO28" s="241" t="s">
        <v>406</v>
      </c>
      <c r="ZP28" s="242"/>
      <c r="ZQ28" s="242"/>
      <c r="ZR28" s="242"/>
      <c r="ZS28" s="243"/>
      <c r="ZT28" s="241" t="s">
        <v>405</v>
      </c>
      <c r="ZU28" s="242"/>
      <c r="ZV28" s="242"/>
      <c r="ZW28" s="242"/>
      <c r="ZX28" s="243"/>
      <c r="ZY28" s="241" t="s">
        <v>404</v>
      </c>
      <c r="ZZ28" s="242"/>
      <c r="AAA28" s="242"/>
      <c r="AAB28" s="242"/>
      <c r="AAC28" s="243"/>
      <c r="AAD28" s="241" t="s">
        <v>403</v>
      </c>
      <c r="AAE28" s="242"/>
      <c r="AAF28" s="242"/>
      <c r="AAG28" s="242"/>
      <c r="AAH28" s="243"/>
      <c r="AAI28" s="241" t="s">
        <v>401</v>
      </c>
      <c r="AAJ28" s="242"/>
      <c r="AAK28" s="242"/>
      <c r="AAL28" s="242"/>
      <c r="AAM28" s="243"/>
      <c r="AAN28" s="241" t="s">
        <v>400</v>
      </c>
      <c r="AAO28" s="242"/>
      <c r="AAP28" s="242"/>
      <c r="AAQ28" s="242"/>
      <c r="AAR28" s="243"/>
      <c r="AAS28" s="241" t="s">
        <v>399</v>
      </c>
      <c r="AAT28" s="242"/>
      <c r="AAU28" s="242"/>
      <c r="AAV28" s="242"/>
      <c r="AAW28" s="243"/>
      <c r="AAX28" s="241" t="s">
        <v>398</v>
      </c>
      <c r="AAY28" s="242"/>
      <c r="AAZ28" s="242"/>
      <c r="ABA28" s="242"/>
      <c r="ABB28" s="243"/>
      <c r="ABC28" s="241" t="s">
        <v>397</v>
      </c>
      <c r="ABD28" s="242"/>
      <c r="ABE28" s="242"/>
      <c r="ABF28" s="242"/>
      <c r="ABG28" s="243"/>
      <c r="ABH28" s="241" t="s">
        <v>396</v>
      </c>
      <c r="ABI28" s="242"/>
      <c r="ABJ28" s="242"/>
      <c r="ABK28" s="242"/>
      <c r="ABL28" s="243"/>
      <c r="ABM28" s="241" t="s">
        <v>395</v>
      </c>
      <c r="ABN28" s="242"/>
      <c r="ABO28" s="242"/>
      <c r="ABP28" s="242"/>
      <c r="ABQ28" s="243"/>
      <c r="ABR28" s="241" t="s">
        <v>394</v>
      </c>
      <c r="ABS28" s="242"/>
      <c r="ABT28" s="242"/>
      <c r="ABU28" s="242"/>
      <c r="ABV28" s="243"/>
      <c r="ABW28" s="241" t="s">
        <v>393</v>
      </c>
      <c r="ABX28" s="242"/>
      <c r="ABY28" s="242"/>
      <c r="ABZ28" s="242"/>
      <c r="ACA28" s="243"/>
      <c r="ACB28" s="241" t="s">
        <v>392</v>
      </c>
      <c r="ACC28" s="242"/>
      <c r="ACD28" s="242"/>
      <c r="ACE28" s="242"/>
      <c r="ACF28" s="243"/>
      <c r="ACG28" s="241" t="s">
        <v>391</v>
      </c>
      <c r="ACH28" s="242"/>
      <c r="ACI28" s="242"/>
      <c r="ACJ28" s="242"/>
      <c r="ACK28" s="243"/>
      <c r="ACL28" s="241" t="s">
        <v>390</v>
      </c>
      <c r="ACM28" s="242"/>
      <c r="ACN28" s="242"/>
      <c r="ACO28" s="242"/>
      <c r="ACP28" s="243"/>
      <c r="ACQ28" s="241" t="s">
        <v>389</v>
      </c>
      <c r="ACR28" s="242"/>
      <c r="ACS28" s="242"/>
      <c r="ACT28" s="242"/>
      <c r="ACU28" s="243"/>
      <c r="ACV28" s="241" t="s">
        <v>388</v>
      </c>
      <c r="ACW28" s="242"/>
      <c r="ACX28" s="242"/>
      <c r="ACY28" s="242"/>
      <c r="ACZ28" s="243"/>
      <c r="ADA28" s="241" t="s">
        <v>387</v>
      </c>
      <c r="ADB28" s="242"/>
      <c r="ADC28" s="242"/>
      <c r="ADD28" s="242"/>
      <c r="ADE28" s="243"/>
      <c r="ADF28" s="241" t="s">
        <v>386</v>
      </c>
      <c r="ADG28" s="242"/>
      <c r="ADH28" s="242"/>
      <c r="ADI28" s="242"/>
      <c r="ADJ28" s="243"/>
      <c r="ADK28" s="241" t="s">
        <v>383</v>
      </c>
      <c r="ADL28" s="242"/>
      <c r="ADM28" s="242"/>
      <c r="ADN28" s="242"/>
      <c r="ADO28" s="243"/>
      <c r="ADP28" s="241" t="s">
        <v>382</v>
      </c>
      <c r="ADQ28" s="242"/>
      <c r="ADR28" s="242"/>
      <c r="ADS28" s="242"/>
      <c r="ADT28" s="243"/>
      <c r="ADU28" s="241" t="s">
        <v>381</v>
      </c>
      <c r="ADV28" s="242"/>
      <c r="ADW28" s="242"/>
      <c r="ADX28" s="242"/>
      <c r="ADY28" s="243"/>
      <c r="ADZ28" s="241" t="s">
        <v>380</v>
      </c>
      <c r="AEA28" s="242"/>
      <c r="AEB28" s="242"/>
      <c r="AEC28" s="242"/>
      <c r="AED28" s="243"/>
      <c r="AEE28" s="241" t="s">
        <v>379</v>
      </c>
      <c r="AEF28" s="242"/>
      <c r="AEG28" s="242"/>
      <c r="AEH28" s="242"/>
      <c r="AEI28" s="243"/>
      <c r="AEJ28" s="241" t="s">
        <v>378</v>
      </c>
      <c r="AEK28" s="242"/>
      <c r="AEL28" s="242"/>
      <c r="AEM28" s="242"/>
      <c r="AEN28" s="243"/>
      <c r="AEO28" s="241" t="s">
        <v>376</v>
      </c>
      <c r="AEP28" s="242"/>
      <c r="AEQ28" s="242"/>
      <c r="AER28" s="242"/>
      <c r="AES28" s="243"/>
      <c r="AET28" s="241" t="s">
        <v>375</v>
      </c>
      <c r="AEU28" s="242"/>
      <c r="AEV28" s="242"/>
      <c r="AEW28" s="242"/>
      <c r="AEX28" s="243"/>
      <c r="AEY28" s="241" t="s">
        <v>374</v>
      </c>
      <c r="AEZ28" s="242"/>
      <c r="AFA28" s="242"/>
      <c r="AFB28" s="242"/>
      <c r="AFC28" s="243"/>
      <c r="AFD28" s="241" t="s">
        <v>373</v>
      </c>
      <c r="AFE28" s="242"/>
      <c r="AFF28" s="242"/>
      <c r="AFG28" s="242"/>
      <c r="AFH28" s="243"/>
      <c r="AFI28" s="241" t="s">
        <v>372</v>
      </c>
      <c r="AFJ28" s="242"/>
      <c r="AFK28" s="242"/>
      <c r="AFL28" s="242"/>
      <c r="AFM28" s="243"/>
      <c r="AFN28" s="241" t="s">
        <v>371</v>
      </c>
      <c r="AFO28" s="242"/>
      <c r="AFP28" s="242"/>
      <c r="AFQ28" s="242"/>
      <c r="AFR28" s="243"/>
      <c r="AFS28" s="241" t="s">
        <v>370</v>
      </c>
      <c r="AFT28" s="242"/>
      <c r="AFU28" s="242"/>
      <c r="AFV28" s="242"/>
      <c r="AFW28" s="243"/>
      <c r="AFX28" s="241" t="s">
        <v>369</v>
      </c>
      <c r="AFY28" s="242"/>
      <c r="AFZ28" s="242"/>
      <c r="AGA28" s="242"/>
      <c r="AGB28" s="243"/>
      <c r="AGC28" s="241" t="s">
        <v>368</v>
      </c>
      <c r="AGD28" s="242"/>
      <c r="AGE28" s="242"/>
      <c r="AGF28" s="242"/>
      <c r="AGG28" s="243"/>
      <c r="AGH28" s="241" t="s">
        <v>367</v>
      </c>
      <c r="AGI28" s="242"/>
      <c r="AGJ28" s="242"/>
      <c r="AGK28" s="242"/>
      <c r="AGL28" s="243"/>
      <c r="AGM28" s="241" t="s">
        <v>366</v>
      </c>
      <c r="AGN28" s="242"/>
      <c r="AGO28" s="242"/>
      <c r="AGP28" s="242"/>
      <c r="AGQ28" s="243"/>
      <c r="AGR28" s="241" t="s">
        <v>365</v>
      </c>
      <c r="AGS28" s="242"/>
      <c r="AGT28" s="242"/>
      <c r="AGU28" s="242"/>
      <c r="AGV28" s="243"/>
      <c r="AGW28" s="241" t="s">
        <v>364</v>
      </c>
      <c r="AGX28" s="242"/>
      <c r="AGY28" s="242"/>
      <c r="AGZ28" s="242"/>
      <c r="AHA28" s="243"/>
      <c r="AHB28" s="241" t="s">
        <v>363</v>
      </c>
      <c r="AHC28" s="242"/>
      <c r="AHD28" s="242"/>
      <c r="AHE28" s="242"/>
      <c r="AHF28" s="243"/>
      <c r="AHG28" s="241" t="s">
        <v>362</v>
      </c>
      <c r="AHH28" s="242"/>
      <c r="AHI28" s="242"/>
      <c r="AHJ28" s="242"/>
      <c r="AHK28" s="243"/>
      <c r="AHL28" s="241" t="s">
        <v>361</v>
      </c>
      <c r="AHM28" s="242"/>
      <c r="AHN28" s="242"/>
      <c r="AHO28" s="242"/>
      <c r="AHP28" s="243"/>
      <c r="AHQ28" s="241" t="s">
        <v>360</v>
      </c>
      <c r="AHR28" s="242"/>
      <c r="AHS28" s="242"/>
      <c r="AHT28" s="242"/>
      <c r="AHU28" s="243"/>
      <c r="AHV28" s="241" t="s">
        <v>359</v>
      </c>
      <c r="AHW28" s="242"/>
      <c r="AHX28" s="242"/>
      <c r="AHY28" s="242"/>
      <c r="AHZ28" s="243"/>
      <c r="AIA28" s="241" t="s">
        <v>358</v>
      </c>
      <c r="AIB28" s="242"/>
      <c r="AIC28" s="242"/>
      <c r="AID28" s="242"/>
      <c r="AIE28" s="243"/>
      <c r="AIF28" s="241" t="s">
        <v>357</v>
      </c>
      <c r="AIG28" s="242"/>
      <c r="AIH28" s="242"/>
      <c r="AII28" s="242"/>
      <c r="AIJ28" s="243"/>
      <c r="AIK28" s="241" t="s">
        <v>356</v>
      </c>
      <c r="AIL28" s="242"/>
      <c r="AIM28" s="242"/>
      <c r="AIN28" s="242"/>
      <c r="AIO28" s="243"/>
      <c r="AIP28" s="241" t="s">
        <v>355</v>
      </c>
      <c r="AIQ28" s="242"/>
      <c r="AIR28" s="242"/>
      <c r="AIS28" s="242"/>
      <c r="AIT28" s="243"/>
      <c r="AIU28" s="241" t="s">
        <v>354</v>
      </c>
      <c r="AIV28" s="242"/>
      <c r="AIW28" s="242"/>
      <c r="AIX28" s="242"/>
      <c r="AIY28" s="243"/>
      <c r="AIZ28" s="241" t="s">
        <v>353</v>
      </c>
      <c r="AJA28" s="242"/>
      <c r="AJB28" s="242"/>
      <c r="AJC28" s="242"/>
      <c r="AJD28" s="243"/>
      <c r="AJE28" s="241" t="s">
        <v>352</v>
      </c>
      <c r="AJF28" s="242"/>
      <c r="AJG28" s="242"/>
      <c r="AJH28" s="242"/>
      <c r="AJI28" s="243"/>
      <c r="AJJ28" s="241" t="s">
        <v>351</v>
      </c>
      <c r="AJK28" s="242"/>
      <c r="AJL28" s="242"/>
      <c r="AJM28" s="242"/>
      <c r="AJN28" s="243"/>
      <c r="AJO28" s="241" t="s">
        <v>350</v>
      </c>
      <c r="AJP28" s="242"/>
      <c r="AJQ28" s="242"/>
      <c r="AJR28" s="242"/>
      <c r="AJS28" s="243"/>
      <c r="AJT28" s="241" t="s">
        <v>349</v>
      </c>
      <c r="AJU28" s="242"/>
      <c r="AJV28" s="242"/>
      <c r="AJW28" s="242"/>
      <c r="AJX28" s="243"/>
      <c r="AJY28" s="241" t="s">
        <v>348</v>
      </c>
      <c r="AJZ28" s="242"/>
      <c r="AKA28" s="242"/>
      <c r="AKB28" s="242"/>
      <c r="AKC28" s="243"/>
      <c r="AKD28" s="241" t="s">
        <v>347</v>
      </c>
      <c r="AKE28" s="242"/>
      <c r="AKF28" s="242"/>
      <c r="AKG28" s="242"/>
      <c r="AKH28" s="243"/>
      <c r="AKI28" s="241" t="s">
        <v>346</v>
      </c>
      <c r="AKJ28" s="242"/>
      <c r="AKK28" s="242"/>
      <c r="AKL28" s="242"/>
      <c r="AKM28" s="243"/>
      <c r="AKN28" s="241" t="s">
        <v>345</v>
      </c>
      <c r="AKO28" s="242"/>
      <c r="AKP28" s="242"/>
      <c r="AKQ28" s="242"/>
      <c r="AKR28" s="243"/>
      <c r="AKS28" s="241" t="s">
        <v>344</v>
      </c>
      <c r="AKT28" s="242"/>
      <c r="AKU28" s="242"/>
      <c r="AKV28" s="242"/>
      <c r="AKW28" s="243"/>
      <c r="AKX28" s="241" t="s">
        <v>343</v>
      </c>
      <c r="AKY28" s="242"/>
      <c r="AKZ28" s="242"/>
      <c r="ALA28" s="242"/>
      <c r="ALB28" s="243"/>
      <c r="ALC28" s="241" t="s">
        <v>342</v>
      </c>
      <c r="ALD28" s="242"/>
      <c r="ALE28" s="242"/>
      <c r="ALF28" s="242"/>
      <c r="ALG28" s="243"/>
      <c r="ALH28" s="241" t="s">
        <v>341</v>
      </c>
      <c r="ALI28" s="242"/>
      <c r="ALJ28" s="242"/>
      <c r="ALK28" s="242"/>
      <c r="ALL28" s="243"/>
      <c r="ALM28" s="241" t="s">
        <v>339</v>
      </c>
      <c r="ALN28" s="242"/>
      <c r="ALO28" s="242"/>
      <c r="ALP28" s="242"/>
      <c r="ALQ28" s="243"/>
      <c r="ALR28" s="241" t="s">
        <v>338</v>
      </c>
      <c r="ALS28" s="242"/>
      <c r="ALT28" s="242"/>
      <c r="ALU28" s="242"/>
      <c r="ALV28" s="243"/>
      <c r="ALW28" s="241" t="s">
        <v>337</v>
      </c>
      <c r="ALX28" s="242"/>
      <c r="ALY28" s="242"/>
      <c r="ALZ28" s="242"/>
      <c r="AMA28" s="243"/>
      <c r="AMB28" s="241" t="s">
        <v>336</v>
      </c>
      <c r="AMC28" s="242"/>
      <c r="AMD28" s="242"/>
      <c r="AME28" s="242"/>
      <c r="AMF28" s="243"/>
      <c r="AMG28" s="241" t="s">
        <v>335</v>
      </c>
      <c r="AMH28" s="242"/>
      <c r="AMI28" s="242"/>
      <c r="AMJ28" s="242"/>
      <c r="AMK28" s="243"/>
      <c r="AML28" s="241" t="s">
        <v>334</v>
      </c>
      <c r="AMM28" s="242"/>
      <c r="AMN28" s="242"/>
      <c r="AMO28" s="242"/>
      <c r="AMP28" s="243"/>
      <c r="AMQ28" s="241" t="s">
        <v>333</v>
      </c>
      <c r="AMR28" s="242"/>
      <c r="AMS28" s="242"/>
      <c r="AMT28" s="242"/>
      <c r="AMU28" s="243"/>
      <c r="AMV28" s="241" t="s">
        <v>332</v>
      </c>
      <c r="AMW28" s="242"/>
      <c r="AMX28" s="242"/>
      <c r="AMY28" s="242"/>
      <c r="AMZ28" s="243"/>
      <c r="ANA28" s="241" t="s">
        <v>331</v>
      </c>
      <c r="ANB28" s="242"/>
      <c r="ANC28" s="242"/>
      <c r="AND28" s="242"/>
      <c r="ANE28" s="243"/>
      <c r="ANF28" s="241" t="s">
        <v>329</v>
      </c>
      <c r="ANG28" s="242"/>
      <c r="ANH28" s="242"/>
      <c r="ANI28" s="242"/>
      <c r="ANJ28" s="243"/>
      <c r="ANK28" s="241" t="s">
        <v>328</v>
      </c>
      <c r="ANL28" s="242"/>
      <c r="ANM28" s="242"/>
      <c r="ANN28" s="242"/>
      <c r="ANO28" s="243"/>
      <c r="ANP28" s="241" t="s">
        <v>327</v>
      </c>
      <c r="ANQ28" s="242"/>
      <c r="ANR28" s="242"/>
      <c r="ANS28" s="242"/>
      <c r="ANT28" s="243"/>
      <c r="ANU28" s="241" t="s">
        <v>326</v>
      </c>
      <c r="ANV28" s="242"/>
      <c r="ANW28" s="242"/>
      <c r="ANX28" s="242"/>
      <c r="ANY28" s="243"/>
      <c r="ANZ28" s="241" t="s">
        <v>324</v>
      </c>
      <c r="AOA28" s="242"/>
      <c r="AOB28" s="242"/>
      <c r="AOC28" s="242"/>
      <c r="AOD28" s="243"/>
      <c r="AOE28" s="241" t="s">
        <v>323</v>
      </c>
      <c r="AOF28" s="242"/>
      <c r="AOG28" s="242"/>
      <c r="AOH28" s="242"/>
      <c r="AOI28" s="243"/>
      <c r="AOJ28" s="241" t="s">
        <v>322</v>
      </c>
      <c r="AOK28" s="242"/>
      <c r="AOL28" s="242"/>
      <c r="AOM28" s="242"/>
      <c r="AON28" s="243"/>
      <c r="AOO28" s="241" t="s">
        <v>321</v>
      </c>
      <c r="AOP28" s="242"/>
      <c r="AOQ28" s="242"/>
      <c r="AOR28" s="242"/>
      <c r="AOS28" s="243"/>
      <c r="AOT28" s="241" t="s">
        <v>320</v>
      </c>
      <c r="AOU28" s="242"/>
      <c r="AOV28" s="242"/>
      <c r="AOW28" s="242"/>
      <c r="AOX28" s="243"/>
      <c r="AOY28" s="241" t="s">
        <v>319</v>
      </c>
      <c r="AOZ28" s="242"/>
      <c r="APA28" s="242"/>
      <c r="APB28" s="242"/>
      <c r="APC28" s="243"/>
      <c r="APD28" s="241" t="s">
        <v>318</v>
      </c>
      <c r="APE28" s="242"/>
      <c r="APF28" s="242"/>
      <c r="APG28" s="242"/>
      <c r="APH28" s="243"/>
      <c r="API28" s="241" t="s">
        <v>316</v>
      </c>
      <c r="APJ28" s="242"/>
      <c r="APK28" s="242"/>
      <c r="APL28" s="242"/>
      <c r="APM28" s="243"/>
      <c r="APN28" s="241" t="s">
        <v>315</v>
      </c>
      <c r="APO28" s="242"/>
      <c r="APP28" s="242"/>
      <c r="APQ28" s="242"/>
      <c r="APR28" s="243"/>
      <c r="APS28" s="241" t="s">
        <v>313</v>
      </c>
      <c r="APT28" s="242"/>
      <c r="APU28" s="242"/>
      <c r="APV28" s="242"/>
      <c r="APW28" s="243"/>
      <c r="APX28" s="241" t="s">
        <v>312</v>
      </c>
      <c r="APY28" s="242"/>
      <c r="APZ28" s="242"/>
      <c r="AQA28" s="242"/>
      <c r="AQB28" s="243"/>
      <c r="AQC28" s="241" t="s">
        <v>311</v>
      </c>
      <c r="AQD28" s="242"/>
      <c r="AQE28" s="242"/>
      <c r="AQF28" s="242"/>
      <c r="AQG28" s="243"/>
      <c r="AQH28" s="241" t="s">
        <v>310</v>
      </c>
      <c r="AQI28" s="242"/>
      <c r="AQJ28" s="242"/>
      <c r="AQK28" s="242"/>
      <c r="AQL28" s="243"/>
      <c r="AQM28" s="241" t="s">
        <v>308</v>
      </c>
      <c r="AQN28" s="242"/>
      <c r="AQO28" s="242"/>
      <c r="AQP28" s="242"/>
      <c r="AQQ28" s="243"/>
      <c r="AQR28" s="241" t="s">
        <v>306</v>
      </c>
      <c r="AQS28" s="242"/>
      <c r="AQT28" s="242"/>
      <c r="AQU28" s="242"/>
      <c r="AQV28" s="243"/>
      <c r="AQW28" s="241" t="s">
        <v>305</v>
      </c>
      <c r="AQX28" s="242"/>
      <c r="AQY28" s="242"/>
      <c r="AQZ28" s="242"/>
      <c r="ARA28" s="243"/>
      <c r="ARB28" s="241" t="s">
        <v>304</v>
      </c>
      <c r="ARC28" s="242"/>
      <c r="ARD28" s="242"/>
      <c r="ARE28" s="242"/>
      <c r="ARF28" s="243"/>
      <c r="ARG28" s="241" t="s">
        <v>302</v>
      </c>
      <c r="ARH28" s="242"/>
      <c r="ARI28" s="242"/>
      <c r="ARJ28" s="242"/>
      <c r="ARK28" s="243"/>
      <c r="ARL28" s="241" t="s">
        <v>301</v>
      </c>
      <c r="ARM28" s="242"/>
      <c r="ARN28" s="242"/>
      <c r="ARO28" s="242"/>
      <c r="ARP28" s="243"/>
      <c r="ARQ28" s="241" t="s">
        <v>300</v>
      </c>
      <c r="ARR28" s="242"/>
      <c r="ARS28" s="242"/>
      <c r="ART28" s="242"/>
      <c r="ARU28" s="243"/>
      <c r="ARV28" s="241" t="s">
        <v>299</v>
      </c>
      <c r="ARW28" s="242"/>
      <c r="ARX28" s="242"/>
      <c r="ARY28" s="242"/>
      <c r="ARZ28" s="243"/>
      <c r="ASA28" s="241" t="s">
        <v>298</v>
      </c>
      <c r="ASB28" s="242"/>
      <c r="ASC28" s="242"/>
      <c r="ASD28" s="242"/>
      <c r="ASE28" s="243"/>
      <c r="ASF28" s="241" t="s">
        <v>296</v>
      </c>
      <c r="ASG28" s="242"/>
      <c r="ASH28" s="242"/>
      <c r="ASI28" s="242"/>
      <c r="ASJ28" s="243"/>
      <c r="ASK28" s="241" t="s">
        <v>295</v>
      </c>
      <c r="ASL28" s="242"/>
      <c r="ASM28" s="242"/>
      <c r="ASN28" s="242"/>
      <c r="ASO28" s="243"/>
      <c r="ASP28" s="241" t="s">
        <v>294</v>
      </c>
      <c r="ASQ28" s="242"/>
      <c r="ASR28" s="242"/>
      <c r="ASS28" s="242"/>
      <c r="AST28" s="243"/>
      <c r="ASU28" s="241" t="s">
        <v>293</v>
      </c>
      <c r="ASV28" s="242"/>
      <c r="ASW28" s="242"/>
      <c r="ASX28" s="242"/>
      <c r="ASY28" s="243"/>
      <c r="ASZ28" s="241" t="s">
        <v>291</v>
      </c>
      <c r="ATA28" s="242"/>
      <c r="ATB28" s="242"/>
      <c r="ATC28" s="242"/>
      <c r="ATD28" s="243"/>
      <c r="ATE28" s="241" t="s">
        <v>287</v>
      </c>
      <c r="ATF28" s="242"/>
      <c r="ATG28" s="242"/>
      <c r="ATH28" s="242"/>
      <c r="ATI28" s="243"/>
      <c r="ATJ28" s="241" t="s">
        <v>281</v>
      </c>
      <c r="ATK28" s="242"/>
      <c r="ATL28" s="242"/>
      <c r="ATM28" s="242"/>
      <c r="ATN28" s="243"/>
      <c r="ATO28" s="241" t="s">
        <v>278</v>
      </c>
      <c r="ATP28" s="242"/>
      <c r="ATQ28" s="242"/>
      <c r="ATR28" s="242"/>
      <c r="ATS28" s="243"/>
      <c r="ATT28" s="241" t="s">
        <v>41</v>
      </c>
      <c r="ATU28" s="242"/>
      <c r="ATV28" s="242"/>
      <c r="ATW28" s="242"/>
      <c r="ATX28" s="243"/>
      <c r="ATY28" s="241" t="s">
        <v>41</v>
      </c>
      <c r="ATZ28" s="242"/>
      <c r="AUA28" s="242"/>
      <c r="AUB28" s="242"/>
      <c r="AUC28" s="243"/>
      <c r="AUD28" s="241" t="s">
        <v>41</v>
      </c>
      <c r="AUE28" s="242"/>
      <c r="AUF28" s="242"/>
      <c r="AUG28" s="242"/>
      <c r="AUH28" s="243"/>
      <c r="AUI28" s="241" t="s">
        <v>41</v>
      </c>
      <c r="AUJ28" s="242"/>
      <c r="AUK28" s="242"/>
      <c r="AUL28" s="242"/>
      <c r="AUM28" s="243"/>
      <c r="AUN28" s="241" t="s">
        <v>276</v>
      </c>
      <c r="AUO28" s="242"/>
      <c r="AUP28" s="242"/>
      <c r="AUQ28" s="242"/>
      <c r="AUR28" s="243"/>
      <c r="AUS28" s="241" t="s">
        <v>275</v>
      </c>
      <c r="AUT28" s="242"/>
      <c r="AUU28" s="242"/>
      <c r="AUV28" s="242"/>
      <c r="AUW28" s="243"/>
      <c r="AUX28" s="241" t="s">
        <v>274</v>
      </c>
      <c r="AUY28" s="242"/>
      <c r="AUZ28" s="242"/>
      <c r="AVA28" s="242"/>
      <c r="AVB28" s="243"/>
      <c r="AVC28" s="241" t="s">
        <v>273</v>
      </c>
      <c r="AVD28" s="242"/>
      <c r="AVE28" s="242"/>
      <c r="AVF28" s="242"/>
      <c r="AVG28" s="243"/>
      <c r="AVH28" s="241" t="s">
        <v>272</v>
      </c>
      <c r="AVI28" s="242"/>
      <c r="AVJ28" s="242"/>
      <c r="AVK28" s="242"/>
      <c r="AVL28" s="243"/>
      <c r="AVM28" s="241" t="s">
        <v>270</v>
      </c>
      <c r="AVN28" s="242"/>
      <c r="AVO28" s="242"/>
      <c r="AVP28" s="242"/>
      <c r="AVQ28" s="243"/>
      <c r="AVR28" s="241" t="s">
        <v>41</v>
      </c>
      <c r="AVS28" s="242"/>
      <c r="AVT28" s="242"/>
      <c r="AVU28" s="242"/>
      <c r="AVV28" s="243"/>
      <c r="AVW28" s="241" t="s">
        <v>269</v>
      </c>
      <c r="AVX28" s="242"/>
      <c r="AVY28" s="242"/>
      <c r="AVZ28" s="242"/>
      <c r="AWA28" s="243"/>
      <c r="AWB28" s="241" t="s">
        <v>268</v>
      </c>
      <c r="AWC28" s="242"/>
      <c r="AWD28" s="242"/>
      <c r="AWE28" s="242"/>
      <c r="AWF28" s="243"/>
      <c r="AWG28" s="241" t="s">
        <v>41</v>
      </c>
      <c r="AWH28" s="242"/>
      <c r="AWI28" s="242"/>
      <c r="AWJ28" s="242"/>
      <c r="AWK28" s="243"/>
      <c r="AWL28" s="241" t="s">
        <v>41</v>
      </c>
      <c r="AWM28" s="242"/>
      <c r="AWN28" s="242"/>
      <c r="AWO28" s="242"/>
      <c r="AWP28" s="243"/>
      <c r="AWQ28" s="241" t="s">
        <v>41</v>
      </c>
      <c r="AWR28" s="242"/>
      <c r="AWS28" s="242"/>
      <c r="AWT28" s="242"/>
      <c r="AWU28" s="243"/>
      <c r="AWV28" s="241" t="s">
        <v>41</v>
      </c>
      <c r="AWW28" s="242"/>
      <c r="AWX28" s="242"/>
      <c r="AWY28" s="242"/>
      <c r="AWZ28" s="243"/>
      <c r="AXA28" s="241" t="s">
        <v>41</v>
      </c>
      <c r="AXB28" s="242"/>
      <c r="AXC28" s="242"/>
      <c r="AXD28" s="242"/>
      <c r="AXE28" s="243"/>
      <c r="AXF28" s="241" t="s">
        <v>266</v>
      </c>
      <c r="AXG28" s="242"/>
      <c r="AXH28" s="242"/>
      <c r="AXI28" s="242"/>
      <c r="AXJ28" s="243"/>
      <c r="AXK28" s="241" t="s">
        <v>265</v>
      </c>
      <c r="AXL28" s="242"/>
      <c r="AXM28" s="242"/>
      <c r="AXN28" s="242"/>
      <c r="AXO28" s="243"/>
      <c r="AXP28" s="241" t="s">
        <v>264</v>
      </c>
      <c r="AXQ28" s="242"/>
      <c r="AXR28" s="242"/>
      <c r="AXS28" s="242"/>
      <c r="AXT28" s="243"/>
      <c r="AXU28" s="241" t="s">
        <v>41</v>
      </c>
      <c r="AXV28" s="242"/>
      <c r="AXW28" s="242"/>
      <c r="AXX28" s="242"/>
      <c r="AXY28" s="243"/>
      <c r="AXZ28" s="241" t="s">
        <v>41</v>
      </c>
      <c r="AYA28" s="242"/>
      <c r="AYB28" s="242"/>
      <c r="AYC28" s="242"/>
      <c r="AYD28" s="243"/>
      <c r="AYE28" s="241" t="s">
        <v>41</v>
      </c>
      <c r="AYF28" s="242"/>
      <c r="AYG28" s="242"/>
      <c r="AYH28" s="242"/>
      <c r="AYI28" s="243"/>
      <c r="AYJ28" s="241" t="s">
        <v>41</v>
      </c>
      <c r="AYK28" s="242"/>
      <c r="AYL28" s="242"/>
      <c r="AYM28" s="242"/>
      <c r="AYN28" s="243"/>
      <c r="AYO28" s="241" t="s">
        <v>263</v>
      </c>
      <c r="AYP28" s="242"/>
      <c r="AYQ28" s="242"/>
      <c r="AYR28" s="242"/>
      <c r="AYS28" s="243"/>
      <c r="AYT28" s="241" t="s">
        <v>262</v>
      </c>
      <c r="AYU28" s="242"/>
      <c r="AYV28" s="242"/>
      <c r="AYW28" s="242"/>
      <c r="AYX28" s="243"/>
      <c r="AYY28" s="241" t="s">
        <v>261</v>
      </c>
      <c r="AYZ28" s="242"/>
      <c r="AZA28" s="242"/>
      <c r="AZB28" s="242"/>
      <c r="AZC28" s="243"/>
      <c r="AZD28" s="241" t="s">
        <v>260</v>
      </c>
      <c r="AZE28" s="242"/>
      <c r="AZF28" s="242"/>
      <c r="AZG28" s="242"/>
      <c r="AZH28" s="243"/>
      <c r="AZI28" s="241" t="s">
        <v>259</v>
      </c>
      <c r="AZJ28" s="242"/>
      <c r="AZK28" s="242"/>
      <c r="AZL28" s="242"/>
      <c r="AZM28" s="243"/>
      <c r="AZN28" s="241" t="s">
        <v>258</v>
      </c>
      <c r="AZO28" s="242"/>
      <c r="AZP28" s="242"/>
      <c r="AZQ28" s="242"/>
      <c r="AZR28" s="243"/>
      <c r="AZS28" s="241" t="s">
        <v>256</v>
      </c>
      <c r="AZT28" s="242"/>
      <c r="AZU28" s="242"/>
      <c r="AZV28" s="242"/>
      <c r="AZW28" s="243"/>
      <c r="AZX28" s="241" t="s">
        <v>255</v>
      </c>
      <c r="AZY28" s="242"/>
      <c r="AZZ28" s="242"/>
      <c r="BAA28" s="242"/>
      <c r="BAB28" s="243"/>
      <c r="BAC28" s="241" t="s">
        <v>254</v>
      </c>
      <c r="BAD28" s="242"/>
      <c r="BAE28" s="242"/>
      <c r="BAF28" s="242"/>
      <c r="BAG28" s="243"/>
      <c r="BAH28" s="241" t="s">
        <v>252</v>
      </c>
      <c r="BAI28" s="242"/>
      <c r="BAJ28" s="242"/>
      <c r="BAK28" s="242"/>
      <c r="BAL28" s="243"/>
      <c r="BAM28" s="241" t="s">
        <v>251</v>
      </c>
      <c r="BAN28" s="242"/>
      <c r="BAO28" s="242"/>
      <c r="BAP28" s="242"/>
      <c r="BAQ28" s="243"/>
      <c r="BAR28" s="241" t="s">
        <v>250</v>
      </c>
      <c r="BAS28" s="242"/>
      <c r="BAT28" s="242"/>
      <c r="BAU28" s="242"/>
      <c r="BAV28" s="243"/>
      <c r="BAW28" s="241" t="s">
        <v>249</v>
      </c>
      <c r="BAX28" s="242"/>
      <c r="BAY28" s="242"/>
      <c r="BAZ28" s="242"/>
      <c r="BBA28" s="243"/>
      <c r="BBB28" s="241" t="s">
        <v>246</v>
      </c>
      <c r="BBC28" s="242"/>
      <c r="BBD28" s="242"/>
      <c r="BBE28" s="242"/>
      <c r="BBF28" s="243"/>
      <c r="BBG28" s="241" t="s">
        <v>245</v>
      </c>
      <c r="BBH28" s="242"/>
      <c r="BBI28" s="242"/>
      <c r="BBJ28" s="242"/>
      <c r="BBK28" s="243"/>
      <c r="BBL28" s="241" t="s">
        <v>242</v>
      </c>
      <c r="BBM28" s="242"/>
      <c r="BBN28" s="242"/>
      <c r="BBO28" s="242"/>
      <c r="BBP28" s="243"/>
      <c r="BBQ28" s="241" t="s">
        <v>241</v>
      </c>
      <c r="BBR28" s="242"/>
      <c r="BBS28" s="242"/>
      <c r="BBT28" s="242"/>
      <c r="BBU28" s="243"/>
      <c r="BBV28" s="241" t="s">
        <v>239</v>
      </c>
      <c r="BBW28" s="242"/>
      <c r="BBX28" s="242"/>
      <c r="BBY28" s="242"/>
      <c r="BBZ28" s="243"/>
      <c r="BCA28" s="241" t="s">
        <v>237</v>
      </c>
      <c r="BCB28" s="242"/>
      <c r="BCC28" s="242"/>
      <c r="BCD28" s="242"/>
      <c r="BCE28" s="243"/>
      <c r="BCF28" s="241" t="s">
        <v>236</v>
      </c>
      <c r="BCG28" s="242"/>
      <c r="BCH28" s="242"/>
      <c r="BCI28" s="242"/>
      <c r="BCJ28" s="243"/>
      <c r="BCK28" s="241" t="s">
        <v>235</v>
      </c>
      <c r="BCL28" s="242"/>
      <c r="BCM28" s="242"/>
      <c r="BCN28" s="242"/>
      <c r="BCO28" s="243"/>
      <c r="BCP28" s="241" t="s">
        <v>234</v>
      </c>
      <c r="BCQ28" s="242"/>
      <c r="BCR28" s="242"/>
      <c r="BCS28" s="242"/>
      <c r="BCT28" s="243"/>
      <c r="BCU28" s="241" t="s">
        <v>232</v>
      </c>
      <c r="BCV28" s="242"/>
      <c r="BCW28" s="242"/>
      <c r="BCX28" s="242"/>
      <c r="BCY28" s="243"/>
      <c r="BCZ28" s="241" t="s">
        <v>41</v>
      </c>
      <c r="BDA28" s="242"/>
      <c r="BDB28" s="242"/>
      <c r="BDC28" s="242"/>
      <c r="BDD28" s="243"/>
      <c r="BDE28" s="241" t="s">
        <v>230</v>
      </c>
      <c r="BDF28" s="242"/>
      <c r="BDG28" s="242"/>
      <c r="BDH28" s="242"/>
      <c r="BDI28" s="243"/>
      <c r="BDJ28" s="241" t="s">
        <v>229</v>
      </c>
      <c r="BDK28" s="242"/>
      <c r="BDL28" s="242"/>
      <c r="BDM28" s="242"/>
      <c r="BDN28" s="243"/>
      <c r="BDO28" s="241" t="s">
        <v>228</v>
      </c>
      <c r="BDP28" s="242"/>
      <c r="BDQ28" s="242"/>
      <c r="BDR28" s="242"/>
      <c r="BDS28" s="243"/>
      <c r="BDT28" s="241" t="s">
        <v>227</v>
      </c>
      <c r="BDU28" s="242"/>
      <c r="BDV28" s="242"/>
      <c r="BDW28" s="242"/>
      <c r="BDX28" s="243"/>
      <c r="BDY28" s="241" t="s">
        <v>41</v>
      </c>
      <c r="BDZ28" s="242"/>
      <c r="BEA28" s="242"/>
      <c r="BEB28" s="242"/>
      <c r="BEC28" s="243"/>
      <c r="BED28" s="241" t="s">
        <v>41</v>
      </c>
      <c r="BEE28" s="242"/>
      <c r="BEF28" s="242"/>
      <c r="BEG28" s="242"/>
      <c r="BEH28" s="243"/>
      <c r="BEI28" s="241" t="s">
        <v>41</v>
      </c>
      <c r="BEJ28" s="242"/>
      <c r="BEK28" s="242"/>
      <c r="BEL28" s="242"/>
      <c r="BEM28" s="243"/>
      <c r="BEN28" s="241" t="s">
        <v>41</v>
      </c>
      <c r="BEO28" s="242"/>
      <c r="BEP28" s="242"/>
      <c r="BEQ28" s="242"/>
      <c r="BER28" s="243"/>
      <c r="BES28" s="241" t="s">
        <v>211</v>
      </c>
      <c r="BET28" s="242"/>
      <c r="BEU28" s="242"/>
      <c r="BEV28" s="242"/>
      <c r="BEW28" s="243"/>
      <c r="BEX28" s="241" t="s">
        <v>226</v>
      </c>
      <c r="BEY28" s="242"/>
      <c r="BEZ28" s="242"/>
      <c r="BFA28" s="242"/>
      <c r="BFB28" s="243"/>
      <c r="BFC28" s="241" t="s">
        <v>224</v>
      </c>
      <c r="BFD28" s="242"/>
      <c r="BFE28" s="242"/>
      <c r="BFF28" s="242"/>
      <c r="BFG28" s="243"/>
      <c r="BFH28" s="241" t="s">
        <v>222</v>
      </c>
      <c r="BFI28" s="242"/>
      <c r="BFJ28" s="242"/>
      <c r="BFK28" s="242"/>
      <c r="BFL28" s="243"/>
      <c r="BFM28" s="241" t="s">
        <v>221</v>
      </c>
      <c r="BFN28" s="242"/>
      <c r="BFO28" s="242"/>
      <c r="BFP28" s="242"/>
      <c r="BFQ28" s="243"/>
      <c r="BFR28" s="241" t="s">
        <v>41</v>
      </c>
      <c r="BFS28" s="242"/>
      <c r="BFT28" s="242"/>
      <c r="BFU28" s="242"/>
      <c r="BFV28" s="243"/>
      <c r="BFW28" s="241" t="s">
        <v>41</v>
      </c>
      <c r="BFX28" s="242"/>
      <c r="BFY28" s="242"/>
      <c r="BFZ28" s="242"/>
      <c r="BGA28" s="243"/>
      <c r="BGB28" s="241" t="s">
        <v>219</v>
      </c>
      <c r="BGC28" s="242"/>
      <c r="BGD28" s="242"/>
      <c r="BGE28" s="242"/>
      <c r="BGF28" s="243"/>
      <c r="BGG28" s="241" t="s">
        <v>216</v>
      </c>
      <c r="BGH28" s="242"/>
      <c r="BGI28" s="242"/>
      <c r="BGJ28" s="242"/>
      <c r="BGK28" s="243"/>
      <c r="BGL28" s="241" t="s">
        <v>41</v>
      </c>
      <c r="BGM28" s="242"/>
      <c r="BGN28" s="242"/>
      <c r="BGO28" s="242"/>
      <c r="BGP28" s="243"/>
      <c r="BGQ28" s="241" t="s">
        <v>41</v>
      </c>
      <c r="BGR28" s="242"/>
      <c r="BGS28" s="242"/>
      <c r="BGT28" s="242"/>
      <c r="BGU28" s="243"/>
      <c r="BGV28" s="241" t="s">
        <v>215</v>
      </c>
      <c r="BGW28" s="242"/>
      <c r="BGX28" s="242"/>
      <c r="BGY28" s="242"/>
      <c r="BGZ28" s="243"/>
      <c r="BHA28" s="241" t="s">
        <v>214</v>
      </c>
      <c r="BHB28" s="242"/>
      <c r="BHC28" s="242"/>
      <c r="BHD28" s="242"/>
      <c r="BHE28" s="243"/>
      <c r="BHF28" s="241" t="s">
        <v>211</v>
      </c>
      <c r="BHG28" s="242"/>
      <c r="BHH28" s="242"/>
      <c r="BHI28" s="242"/>
      <c r="BHJ28" s="243"/>
      <c r="BHK28" s="241" t="s">
        <v>210</v>
      </c>
      <c r="BHL28" s="242"/>
      <c r="BHM28" s="242"/>
      <c r="BHN28" s="242"/>
      <c r="BHO28" s="243"/>
      <c r="BHP28" s="241" t="s">
        <v>208</v>
      </c>
      <c r="BHQ28" s="242"/>
      <c r="BHR28" s="242"/>
      <c r="BHS28" s="242"/>
      <c r="BHT28" s="243"/>
      <c r="BHU28" s="241" t="s">
        <v>207</v>
      </c>
      <c r="BHV28" s="242"/>
      <c r="BHW28" s="242"/>
      <c r="BHX28" s="242"/>
      <c r="BHY28" s="243"/>
      <c r="BHZ28" s="241" t="s">
        <v>206</v>
      </c>
      <c r="BIA28" s="242"/>
      <c r="BIB28" s="242"/>
      <c r="BIC28" s="242"/>
      <c r="BID28" s="243"/>
      <c r="BIE28" s="241" t="s">
        <v>204</v>
      </c>
      <c r="BIF28" s="242"/>
      <c r="BIG28" s="242"/>
      <c r="BIH28" s="242"/>
      <c r="BII28" s="243"/>
      <c r="BIJ28" s="241" t="s">
        <v>202</v>
      </c>
      <c r="BIK28" s="242"/>
      <c r="BIL28" s="242"/>
      <c r="BIM28" s="242"/>
      <c r="BIN28" s="243"/>
      <c r="BIO28" s="241" t="s">
        <v>200</v>
      </c>
      <c r="BIP28" s="242"/>
      <c r="BIQ28" s="242"/>
      <c r="BIR28" s="242"/>
      <c r="BIS28" s="243"/>
      <c r="BIT28" s="241" t="s">
        <v>199</v>
      </c>
      <c r="BIU28" s="242"/>
      <c r="BIV28" s="242"/>
      <c r="BIW28" s="242"/>
      <c r="BIX28" s="243"/>
      <c r="BIY28" s="241" t="s">
        <v>198</v>
      </c>
      <c r="BIZ28" s="242"/>
      <c r="BJA28" s="242"/>
      <c r="BJB28" s="242"/>
      <c r="BJC28" s="243"/>
      <c r="BJD28" s="241" t="s">
        <v>197</v>
      </c>
      <c r="BJE28" s="242"/>
      <c r="BJF28" s="242"/>
      <c r="BJG28" s="242"/>
      <c r="BJH28" s="243"/>
      <c r="BJI28" s="241" t="s">
        <v>196</v>
      </c>
      <c r="BJJ28" s="242"/>
      <c r="BJK28" s="242"/>
      <c r="BJL28" s="242"/>
      <c r="BJM28" s="243"/>
      <c r="BJN28" s="241" t="s">
        <v>195</v>
      </c>
      <c r="BJO28" s="242"/>
      <c r="BJP28" s="242"/>
      <c r="BJQ28" s="242"/>
      <c r="BJR28" s="243"/>
      <c r="BJS28" s="241" t="s">
        <v>194</v>
      </c>
      <c r="BJT28" s="242"/>
      <c r="BJU28" s="242"/>
      <c r="BJV28" s="242"/>
      <c r="BJW28" s="243"/>
      <c r="BJX28" s="241" t="s">
        <v>193</v>
      </c>
      <c r="BJY28" s="242"/>
      <c r="BJZ28" s="242"/>
      <c r="BKA28" s="242"/>
      <c r="BKB28" s="243"/>
      <c r="BKC28" s="241" t="s">
        <v>41</v>
      </c>
      <c r="BKD28" s="242"/>
      <c r="BKE28" s="242"/>
      <c r="BKF28" s="242"/>
      <c r="BKG28" s="243"/>
      <c r="BKH28" s="241" t="s">
        <v>192</v>
      </c>
      <c r="BKI28" s="242"/>
      <c r="BKJ28" s="242"/>
      <c r="BKK28" s="242"/>
      <c r="BKL28" s="243"/>
      <c r="BKM28" s="241" t="s">
        <v>41</v>
      </c>
      <c r="BKN28" s="242"/>
      <c r="BKO28" s="242"/>
      <c r="BKP28" s="242"/>
      <c r="BKQ28" s="243"/>
      <c r="BKR28" s="241" t="s">
        <v>191</v>
      </c>
      <c r="BKS28" s="242"/>
      <c r="BKT28" s="242"/>
      <c r="BKU28" s="242"/>
      <c r="BKV28" s="243"/>
      <c r="BKW28" s="241" t="s">
        <v>190</v>
      </c>
      <c r="BKX28" s="242"/>
      <c r="BKY28" s="242"/>
      <c r="BKZ28" s="242"/>
      <c r="BLA28" s="243"/>
      <c r="BLB28" s="241" t="s">
        <v>189</v>
      </c>
      <c r="BLC28" s="242"/>
      <c r="BLD28" s="242"/>
      <c r="BLE28" s="242"/>
      <c r="BLF28" s="243"/>
      <c r="BLG28" s="241" t="s">
        <v>41</v>
      </c>
      <c r="BLH28" s="242"/>
      <c r="BLI28" s="242"/>
      <c r="BLJ28" s="242"/>
      <c r="BLK28" s="243"/>
      <c r="BLL28" s="241" t="s">
        <v>188</v>
      </c>
      <c r="BLM28" s="242"/>
      <c r="BLN28" s="242"/>
      <c r="BLO28" s="242"/>
      <c r="BLP28" s="243"/>
      <c r="BLQ28" s="241" t="s">
        <v>187</v>
      </c>
      <c r="BLR28" s="242"/>
      <c r="BLS28" s="242"/>
      <c r="BLT28" s="242"/>
      <c r="BLU28" s="243"/>
      <c r="BLV28" s="241" t="s">
        <v>186</v>
      </c>
      <c r="BLW28" s="242"/>
      <c r="BLX28" s="242"/>
      <c r="BLY28" s="242"/>
      <c r="BLZ28" s="243"/>
      <c r="BMA28" s="241" t="s">
        <v>185</v>
      </c>
      <c r="BMB28" s="242"/>
      <c r="BMC28" s="242"/>
      <c r="BMD28" s="242"/>
      <c r="BME28" s="243"/>
      <c r="BMF28" s="241" t="s">
        <v>41</v>
      </c>
      <c r="BMG28" s="242"/>
      <c r="BMH28" s="242"/>
      <c r="BMI28" s="242"/>
      <c r="BMJ28" s="243"/>
      <c r="BMK28" s="241" t="s">
        <v>184</v>
      </c>
      <c r="BML28" s="242"/>
      <c r="BMM28" s="242"/>
      <c r="BMN28" s="242"/>
      <c r="BMO28" s="243"/>
      <c r="BMP28" s="241" t="s">
        <v>183</v>
      </c>
      <c r="BMQ28" s="242"/>
      <c r="BMR28" s="242"/>
      <c r="BMS28" s="242"/>
      <c r="BMT28" s="243"/>
      <c r="BMU28" s="241" t="s">
        <v>182</v>
      </c>
      <c r="BMV28" s="242"/>
      <c r="BMW28" s="242"/>
      <c r="BMX28" s="242"/>
      <c r="BMY28" s="243"/>
      <c r="BMZ28" s="241" t="s">
        <v>181</v>
      </c>
      <c r="BNA28" s="242"/>
      <c r="BNB28" s="242"/>
      <c r="BNC28" s="242"/>
      <c r="BND28" s="243"/>
      <c r="BNE28" s="241" t="s">
        <v>41</v>
      </c>
      <c r="BNF28" s="242"/>
      <c r="BNG28" s="242"/>
      <c r="BNH28" s="242"/>
      <c r="BNI28" s="243"/>
      <c r="BNJ28" s="241" t="s">
        <v>41</v>
      </c>
      <c r="BNK28" s="242"/>
      <c r="BNL28" s="242"/>
      <c r="BNM28" s="242"/>
      <c r="BNN28" s="243"/>
      <c r="BNO28" s="241" t="s">
        <v>41</v>
      </c>
      <c r="BNP28" s="242"/>
      <c r="BNQ28" s="242"/>
      <c r="BNR28" s="242"/>
      <c r="BNS28" s="243"/>
      <c r="BNT28" s="241" t="s">
        <v>180</v>
      </c>
      <c r="BNU28" s="242"/>
      <c r="BNV28" s="242"/>
      <c r="BNW28" s="242"/>
      <c r="BNX28" s="243"/>
      <c r="BNY28" s="241" t="s">
        <v>179</v>
      </c>
      <c r="BNZ28" s="242"/>
      <c r="BOA28" s="242"/>
      <c r="BOB28" s="242"/>
      <c r="BOC28" s="243"/>
      <c r="BOD28" s="241" t="s">
        <v>178</v>
      </c>
      <c r="BOE28" s="242"/>
      <c r="BOF28" s="242"/>
      <c r="BOG28" s="242"/>
      <c r="BOH28" s="243"/>
      <c r="BOI28" s="241" t="s">
        <v>177</v>
      </c>
      <c r="BOJ28" s="242"/>
      <c r="BOK28" s="242"/>
      <c r="BOL28" s="242"/>
      <c r="BOM28" s="243"/>
      <c r="BON28" s="241" t="s">
        <v>41</v>
      </c>
      <c r="BOO28" s="242"/>
      <c r="BOP28" s="242"/>
      <c r="BOQ28" s="242"/>
      <c r="BOR28" s="243"/>
      <c r="BOS28" s="241" t="s">
        <v>176</v>
      </c>
      <c r="BOT28" s="242"/>
      <c r="BOU28" s="242"/>
      <c r="BOV28" s="242"/>
      <c r="BOW28" s="243"/>
      <c r="BOX28" s="241" t="s">
        <v>175</v>
      </c>
      <c r="BOY28" s="242"/>
      <c r="BOZ28" s="242"/>
      <c r="BPA28" s="242"/>
      <c r="BPB28" s="243"/>
      <c r="BPC28" s="241" t="s">
        <v>41</v>
      </c>
      <c r="BPD28" s="242"/>
      <c r="BPE28" s="242"/>
      <c r="BPF28" s="242"/>
      <c r="BPG28" s="243"/>
      <c r="BPH28" s="241" t="s">
        <v>41</v>
      </c>
      <c r="BPI28" s="242"/>
      <c r="BPJ28" s="242"/>
      <c r="BPK28" s="242"/>
      <c r="BPL28" s="243"/>
      <c r="BPM28" s="241" t="s">
        <v>41</v>
      </c>
      <c r="BPN28" s="242"/>
      <c r="BPO28" s="242"/>
      <c r="BPP28" s="242"/>
      <c r="BPQ28" s="243"/>
      <c r="BPR28" s="241" t="s">
        <v>41</v>
      </c>
      <c r="BPS28" s="242"/>
      <c r="BPT28" s="242"/>
      <c r="BPU28" s="242"/>
      <c r="BPV28" s="243"/>
      <c r="BPW28" s="241" t="s">
        <v>174</v>
      </c>
      <c r="BPX28" s="242"/>
      <c r="BPY28" s="242"/>
      <c r="BPZ28" s="242"/>
      <c r="BQA28" s="243"/>
      <c r="BQB28" s="241" t="s">
        <v>171</v>
      </c>
      <c r="BQC28" s="242"/>
      <c r="BQD28" s="242"/>
      <c r="BQE28" s="242"/>
      <c r="BQF28" s="243"/>
      <c r="BQG28" s="241" t="s">
        <v>41</v>
      </c>
      <c r="BQH28" s="242"/>
      <c r="BQI28" s="242"/>
      <c r="BQJ28" s="242"/>
      <c r="BQK28" s="243"/>
      <c r="BQL28" s="241" t="s">
        <v>41</v>
      </c>
      <c r="BQM28" s="242"/>
      <c r="BQN28" s="242"/>
      <c r="BQO28" s="242"/>
      <c r="BQP28" s="243"/>
      <c r="BQQ28" s="241" t="s">
        <v>173</v>
      </c>
      <c r="BQR28" s="242"/>
      <c r="BQS28" s="242"/>
      <c r="BQT28" s="242"/>
      <c r="BQU28" s="243"/>
      <c r="BQV28" s="241" t="s">
        <v>172</v>
      </c>
      <c r="BQW28" s="242"/>
      <c r="BQX28" s="242"/>
      <c r="BQY28" s="242"/>
      <c r="BQZ28" s="243"/>
      <c r="BRA28" s="241" t="s">
        <v>41</v>
      </c>
      <c r="BRB28" s="242"/>
      <c r="BRC28" s="242"/>
      <c r="BRD28" s="242"/>
      <c r="BRE28" s="243"/>
      <c r="BRF28" s="241" t="s">
        <v>168</v>
      </c>
      <c r="BRG28" s="242"/>
      <c r="BRH28" s="242"/>
      <c r="BRI28" s="242"/>
      <c r="BRJ28" s="243"/>
      <c r="BRK28" s="241" t="s">
        <v>167</v>
      </c>
      <c r="BRL28" s="242"/>
      <c r="BRM28" s="242"/>
      <c r="BRN28" s="242"/>
      <c r="BRO28" s="243"/>
      <c r="BRP28" s="241" t="s">
        <v>41</v>
      </c>
      <c r="BRQ28" s="242"/>
      <c r="BRR28" s="242"/>
      <c r="BRS28" s="242"/>
      <c r="BRT28" s="243"/>
      <c r="BRU28" s="241" t="s">
        <v>41</v>
      </c>
      <c r="BRV28" s="242"/>
      <c r="BRW28" s="242"/>
      <c r="BRX28" s="242"/>
      <c r="BRY28" s="243"/>
      <c r="BRZ28" s="241" t="s">
        <v>41</v>
      </c>
      <c r="BSA28" s="242"/>
      <c r="BSB28" s="242"/>
      <c r="BSC28" s="242"/>
      <c r="BSD28" s="243"/>
      <c r="BSE28" s="241" t="s">
        <v>41</v>
      </c>
      <c r="BSF28" s="242"/>
      <c r="BSG28" s="242"/>
      <c r="BSH28" s="242"/>
      <c r="BSI28" s="243"/>
      <c r="BSJ28" s="241" t="s">
        <v>41</v>
      </c>
      <c r="BSK28" s="242"/>
      <c r="BSL28" s="242"/>
      <c r="BSM28" s="242"/>
      <c r="BSN28" s="243"/>
      <c r="BSO28" s="241" t="s">
        <v>166</v>
      </c>
      <c r="BSP28" s="242"/>
      <c r="BSQ28" s="242"/>
      <c r="BSR28" s="242"/>
      <c r="BSS28" s="243"/>
      <c r="BST28" s="241" t="s">
        <v>41</v>
      </c>
      <c r="BSU28" s="242"/>
      <c r="BSV28" s="242"/>
      <c r="BSW28" s="242"/>
      <c r="BSX28" s="243"/>
      <c r="BSY28" s="241" t="s">
        <v>41</v>
      </c>
      <c r="BSZ28" s="242"/>
      <c r="BTA28" s="242"/>
      <c r="BTB28" s="242"/>
      <c r="BTC28" s="243"/>
      <c r="BTD28" s="241" t="s">
        <v>41</v>
      </c>
      <c r="BTE28" s="242"/>
      <c r="BTF28" s="242"/>
      <c r="BTG28" s="242"/>
      <c r="BTH28" s="243"/>
      <c r="BTI28" s="241" t="s">
        <v>41</v>
      </c>
      <c r="BTJ28" s="242"/>
      <c r="BTK28" s="242"/>
      <c r="BTL28" s="242"/>
      <c r="BTM28" s="243"/>
      <c r="BTN28" s="241" t="s">
        <v>41</v>
      </c>
      <c r="BTO28" s="242"/>
      <c r="BTP28" s="242"/>
      <c r="BTQ28" s="242"/>
      <c r="BTR28" s="243"/>
      <c r="BTS28" s="241" t="s">
        <v>164</v>
      </c>
      <c r="BTT28" s="242"/>
      <c r="BTU28" s="242"/>
      <c r="BTV28" s="242"/>
      <c r="BTW28" s="243"/>
      <c r="BTX28" s="241" t="s">
        <v>163</v>
      </c>
      <c r="BTY28" s="242"/>
      <c r="BTZ28" s="242"/>
      <c r="BUA28" s="242"/>
      <c r="BUB28" s="243"/>
      <c r="BUC28" s="241" t="s">
        <v>162</v>
      </c>
      <c r="BUD28" s="242"/>
      <c r="BUE28" s="242"/>
      <c r="BUF28" s="242"/>
      <c r="BUG28" s="243"/>
      <c r="BUH28" s="241" t="s">
        <v>160</v>
      </c>
      <c r="BUI28" s="242"/>
      <c r="BUJ28" s="242"/>
      <c r="BUK28" s="242"/>
      <c r="BUL28" s="243"/>
      <c r="BUM28" s="241" t="s">
        <v>41</v>
      </c>
      <c r="BUN28" s="242"/>
      <c r="BUO28" s="242"/>
      <c r="BUP28" s="242"/>
      <c r="BUQ28" s="243"/>
      <c r="BUR28" s="241" t="s">
        <v>41</v>
      </c>
      <c r="BUS28" s="242"/>
      <c r="BUT28" s="242"/>
      <c r="BUU28" s="242"/>
      <c r="BUV28" s="243"/>
      <c r="BUW28" s="241" t="s">
        <v>41</v>
      </c>
      <c r="BUX28" s="242"/>
      <c r="BUY28" s="242"/>
      <c r="BUZ28" s="242"/>
      <c r="BVA28" s="243"/>
      <c r="BVB28" s="241" t="s">
        <v>41</v>
      </c>
      <c r="BVC28" s="242"/>
      <c r="BVD28" s="242"/>
      <c r="BVE28" s="242"/>
      <c r="BVF28" s="243"/>
      <c r="BVG28" s="241" t="s">
        <v>41</v>
      </c>
      <c r="BVH28" s="242"/>
      <c r="BVI28" s="242"/>
      <c r="BVJ28" s="242"/>
      <c r="BVK28" s="243"/>
      <c r="BVL28" s="241" t="s">
        <v>41</v>
      </c>
      <c r="BVM28" s="242"/>
      <c r="BVN28" s="242"/>
      <c r="BVO28" s="242"/>
      <c r="BVP28" s="243"/>
      <c r="BVQ28" s="241" t="s">
        <v>41</v>
      </c>
      <c r="BVR28" s="242"/>
      <c r="BVS28" s="242"/>
      <c r="BVT28" s="242"/>
      <c r="BVU28" s="243"/>
      <c r="BVV28" s="241" t="s">
        <v>154</v>
      </c>
      <c r="BVW28" s="242"/>
      <c r="BVX28" s="242"/>
      <c r="BVY28" s="242"/>
      <c r="BVZ28" s="243"/>
      <c r="BWA28" s="241" t="s">
        <v>41</v>
      </c>
      <c r="BWB28" s="242"/>
      <c r="BWC28" s="242"/>
      <c r="BWD28" s="242"/>
      <c r="BWE28" s="243"/>
      <c r="BWF28" s="241" t="s">
        <v>41</v>
      </c>
      <c r="BWG28" s="242"/>
      <c r="BWH28" s="242"/>
      <c r="BWI28" s="242"/>
      <c r="BWJ28" s="243"/>
      <c r="BWK28" s="241" t="s">
        <v>153</v>
      </c>
      <c r="BWL28" s="242"/>
      <c r="BWM28" s="242"/>
      <c r="BWN28" s="242"/>
      <c r="BWO28" s="243"/>
      <c r="BWP28" s="241" t="s">
        <v>152</v>
      </c>
      <c r="BWQ28" s="242"/>
      <c r="BWR28" s="242"/>
      <c r="BWS28" s="242"/>
      <c r="BWT28" s="243"/>
      <c r="BWU28" s="241" t="s">
        <v>151</v>
      </c>
      <c r="BWV28" s="242"/>
      <c r="BWW28" s="242"/>
      <c r="BWX28" s="242"/>
      <c r="BWY28" s="243"/>
      <c r="BWZ28" s="241" t="s">
        <v>41</v>
      </c>
      <c r="BXA28" s="242"/>
      <c r="BXB28" s="242"/>
      <c r="BXC28" s="242"/>
      <c r="BXD28" s="243"/>
      <c r="BXE28" s="241" t="s">
        <v>41</v>
      </c>
      <c r="BXF28" s="242"/>
      <c r="BXG28" s="242"/>
      <c r="BXH28" s="242"/>
      <c r="BXI28" s="243"/>
      <c r="BXJ28" s="241" t="s">
        <v>41</v>
      </c>
      <c r="BXK28" s="242"/>
      <c r="BXL28" s="242"/>
      <c r="BXM28" s="242"/>
      <c r="BXN28" s="243"/>
      <c r="BXO28" s="241" t="s">
        <v>150</v>
      </c>
      <c r="BXP28" s="242"/>
      <c r="BXQ28" s="242"/>
      <c r="BXR28" s="242"/>
      <c r="BXS28" s="243"/>
      <c r="BXT28" s="241" t="s">
        <v>41</v>
      </c>
      <c r="BXU28" s="242"/>
      <c r="BXV28" s="242"/>
      <c r="BXW28" s="242"/>
      <c r="BXX28" s="243"/>
      <c r="BXY28" s="241" t="s">
        <v>41</v>
      </c>
      <c r="BXZ28" s="242"/>
      <c r="BYA28" s="242"/>
      <c r="BYB28" s="242"/>
      <c r="BYC28" s="243"/>
      <c r="BYD28" s="241" t="s">
        <v>149</v>
      </c>
      <c r="BYE28" s="242"/>
      <c r="BYF28" s="242"/>
      <c r="BYG28" s="242"/>
      <c r="BYH28" s="243"/>
      <c r="BYI28" s="241" t="s">
        <v>41</v>
      </c>
      <c r="BYJ28" s="242"/>
      <c r="BYK28" s="242"/>
      <c r="BYL28" s="242"/>
      <c r="BYM28" s="243"/>
      <c r="BYN28" s="241" t="s">
        <v>148</v>
      </c>
      <c r="BYO28" s="242"/>
      <c r="BYP28" s="242"/>
      <c r="BYQ28" s="242"/>
      <c r="BYR28" s="243"/>
      <c r="BYS28" s="241" t="s">
        <v>41</v>
      </c>
      <c r="BYT28" s="242"/>
      <c r="BYU28" s="242"/>
      <c r="BYV28" s="242"/>
      <c r="BYW28" s="243"/>
      <c r="BYX28" s="241" t="s">
        <v>41</v>
      </c>
      <c r="BYY28" s="242"/>
      <c r="BYZ28" s="242"/>
      <c r="BZA28" s="242"/>
      <c r="BZB28" s="243"/>
      <c r="BZC28" s="241" t="s">
        <v>41</v>
      </c>
      <c r="BZD28" s="242"/>
      <c r="BZE28" s="242"/>
      <c r="BZF28" s="242"/>
      <c r="BZG28" s="243"/>
      <c r="BZH28" s="241" t="s">
        <v>41</v>
      </c>
      <c r="BZI28" s="242"/>
      <c r="BZJ28" s="242"/>
      <c r="BZK28" s="242"/>
      <c r="BZL28" s="243"/>
      <c r="BZM28" s="241" t="s">
        <v>41</v>
      </c>
      <c r="BZN28" s="242"/>
      <c r="BZO28" s="242"/>
      <c r="BZP28" s="242"/>
      <c r="BZQ28" s="243"/>
      <c r="BZR28" s="241" t="s">
        <v>147</v>
      </c>
      <c r="BZS28" s="242"/>
      <c r="BZT28" s="242"/>
      <c r="BZU28" s="242"/>
      <c r="BZV28" s="243"/>
      <c r="BZW28" s="241" t="s">
        <v>41</v>
      </c>
      <c r="BZX28" s="242"/>
      <c r="BZY28" s="242"/>
      <c r="BZZ28" s="242"/>
      <c r="CAA28" s="243"/>
      <c r="CAB28" s="241" t="s">
        <v>41</v>
      </c>
      <c r="CAC28" s="242"/>
      <c r="CAD28" s="242"/>
      <c r="CAE28" s="242"/>
      <c r="CAF28" s="243"/>
      <c r="CAG28" s="241" t="s">
        <v>41</v>
      </c>
      <c r="CAH28" s="242"/>
      <c r="CAI28" s="242"/>
      <c r="CAJ28" s="242"/>
      <c r="CAK28" s="243"/>
      <c r="CAL28" s="241" t="s">
        <v>41</v>
      </c>
      <c r="CAM28" s="242"/>
      <c r="CAN28" s="242"/>
      <c r="CAO28" s="242"/>
      <c r="CAP28" s="243"/>
      <c r="CAQ28" s="241" t="s">
        <v>146</v>
      </c>
      <c r="CAR28" s="242"/>
      <c r="CAS28" s="242"/>
      <c r="CAT28" s="242"/>
      <c r="CAU28" s="243"/>
      <c r="CAV28" s="241" t="s">
        <v>41</v>
      </c>
      <c r="CAW28" s="242"/>
      <c r="CAX28" s="242"/>
      <c r="CAY28" s="242"/>
      <c r="CAZ28" s="243"/>
      <c r="CBA28" s="241" t="s">
        <v>41</v>
      </c>
      <c r="CBB28" s="242"/>
      <c r="CBC28" s="242"/>
      <c r="CBD28" s="242"/>
      <c r="CBE28" s="243"/>
      <c r="CBF28" s="241" t="s">
        <v>41</v>
      </c>
      <c r="CBG28" s="242"/>
      <c r="CBH28" s="242"/>
      <c r="CBI28" s="242"/>
      <c r="CBJ28" s="243"/>
      <c r="CBK28" s="241" t="s">
        <v>41</v>
      </c>
      <c r="CBL28" s="242"/>
      <c r="CBM28" s="242"/>
      <c r="CBN28" s="242"/>
      <c r="CBO28" s="243"/>
      <c r="CBP28" s="241" t="s">
        <v>145</v>
      </c>
      <c r="CBQ28" s="242"/>
      <c r="CBR28" s="242"/>
      <c r="CBS28" s="242"/>
      <c r="CBT28" s="243"/>
      <c r="CBU28" s="241" t="s">
        <v>41</v>
      </c>
      <c r="CBV28" s="242"/>
      <c r="CBW28" s="242"/>
      <c r="CBX28" s="242"/>
      <c r="CBY28" s="243"/>
      <c r="CBZ28" s="241" t="s">
        <v>41</v>
      </c>
      <c r="CCA28" s="242"/>
      <c r="CCB28" s="242"/>
      <c r="CCC28" s="242"/>
      <c r="CCD28" s="243"/>
      <c r="CCE28" s="241" t="s">
        <v>144</v>
      </c>
      <c r="CCF28" s="242"/>
      <c r="CCG28" s="242"/>
      <c r="CCH28" s="242"/>
      <c r="CCI28" s="243"/>
      <c r="CCJ28" s="241" t="s">
        <v>143</v>
      </c>
      <c r="CCK28" s="242"/>
      <c r="CCL28" s="242"/>
      <c r="CCM28" s="242"/>
      <c r="CCN28" s="243"/>
      <c r="CCO28" s="241" t="s">
        <v>41</v>
      </c>
      <c r="CCP28" s="242"/>
      <c r="CCQ28" s="242"/>
      <c r="CCR28" s="242"/>
      <c r="CCS28" s="243"/>
      <c r="CCT28" s="241" t="s">
        <v>41</v>
      </c>
      <c r="CCU28" s="242"/>
      <c r="CCV28" s="242"/>
      <c r="CCW28" s="242"/>
      <c r="CCX28" s="243"/>
      <c r="CCY28" s="241" t="s">
        <v>41</v>
      </c>
      <c r="CCZ28" s="242"/>
      <c r="CDA28" s="242"/>
      <c r="CDB28" s="242"/>
      <c r="CDC28" s="243"/>
      <c r="CDD28" s="241" t="s">
        <v>41</v>
      </c>
      <c r="CDE28" s="242"/>
      <c r="CDF28" s="242"/>
      <c r="CDG28" s="242"/>
      <c r="CDH28" s="243"/>
      <c r="CDI28" s="241" t="s">
        <v>41</v>
      </c>
      <c r="CDJ28" s="242"/>
      <c r="CDK28" s="242"/>
      <c r="CDL28" s="242"/>
      <c r="CDM28" s="243"/>
      <c r="CDN28" s="241" t="s">
        <v>41</v>
      </c>
      <c r="CDO28" s="242"/>
      <c r="CDP28" s="242"/>
      <c r="CDQ28" s="242"/>
      <c r="CDR28" s="243"/>
      <c r="CDS28" s="241" t="s">
        <v>41</v>
      </c>
      <c r="CDT28" s="242"/>
      <c r="CDU28" s="242"/>
      <c r="CDV28" s="242"/>
      <c r="CDW28" s="243"/>
      <c r="CDX28" s="241" t="s">
        <v>41</v>
      </c>
      <c r="CDY28" s="242"/>
      <c r="CDZ28" s="242"/>
      <c r="CEA28" s="242"/>
      <c r="CEB28" s="243"/>
      <c r="CEC28" s="241" t="s">
        <v>41</v>
      </c>
      <c r="CED28" s="242"/>
      <c r="CEE28" s="242"/>
      <c r="CEF28" s="242"/>
      <c r="CEG28" s="243"/>
      <c r="CEH28" s="241" t="s">
        <v>141</v>
      </c>
      <c r="CEI28" s="242"/>
      <c r="CEJ28" s="242"/>
      <c r="CEK28" s="242"/>
      <c r="CEL28" s="243"/>
      <c r="CEM28" s="241" t="s">
        <v>41</v>
      </c>
      <c r="CEN28" s="242"/>
      <c r="CEO28" s="242"/>
      <c r="CEP28" s="242"/>
      <c r="CEQ28" s="243"/>
      <c r="CER28" s="241" t="s">
        <v>140</v>
      </c>
      <c r="CES28" s="242"/>
      <c r="CET28" s="242"/>
      <c r="CEU28" s="242"/>
      <c r="CEV28" s="243"/>
      <c r="CEW28" s="241" t="s">
        <v>139</v>
      </c>
      <c r="CEX28" s="242"/>
      <c r="CEY28" s="242"/>
      <c r="CEZ28" s="242"/>
      <c r="CFA28" s="243"/>
      <c r="CFB28" s="241" t="s">
        <v>138</v>
      </c>
      <c r="CFC28" s="242"/>
      <c r="CFD28" s="242"/>
      <c r="CFE28" s="242"/>
      <c r="CFF28" s="243"/>
      <c r="CFG28" s="241" t="s">
        <v>137</v>
      </c>
      <c r="CFH28" s="242"/>
      <c r="CFI28" s="242"/>
      <c r="CFJ28" s="242"/>
      <c r="CFK28" s="243"/>
      <c r="CFL28" s="241" t="s">
        <v>136</v>
      </c>
      <c r="CFM28" s="242"/>
      <c r="CFN28" s="242"/>
      <c r="CFO28" s="242"/>
      <c r="CFP28" s="243"/>
      <c r="CFQ28" s="241" t="s">
        <v>135</v>
      </c>
      <c r="CFR28" s="242"/>
      <c r="CFS28" s="242"/>
      <c r="CFT28" s="242"/>
      <c r="CFU28" s="243"/>
      <c r="CFV28" s="241" t="s">
        <v>41</v>
      </c>
      <c r="CFW28" s="242"/>
      <c r="CFX28" s="242"/>
      <c r="CFY28" s="242"/>
      <c r="CFZ28" s="243"/>
      <c r="CGA28" s="241" t="s">
        <v>134</v>
      </c>
      <c r="CGB28" s="242"/>
      <c r="CGC28" s="242"/>
      <c r="CGD28" s="242"/>
      <c r="CGE28" s="243"/>
      <c r="CGF28" s="241" t="s">
        <v>133</v>
      </c>
      <c r="CGG28" s="242"/>
      <c r="CGH28" s="242"/>
      <c r="CGI28" s="242"/>
      <c r="CGJ28" s="243"/>
      <c r="CGK28" s="241" t="s">
        <v>132</v>
      </c>
      <c r="CGL28" s="242"/>
      <c r="CGM28" s="242"/>
      <c r="CGN28" s="242"/>
      <c r="CGO28" s="243"/>
      <c r="CGP28" s="241" t="s">
        <v>131</v>
      </c>
      <c r="CGQ28" s="242"/>
      <c r="CGR28" s="242"/>
      <c r="CGS28" s="242"/>
      <c r="CGT28" s="243"/>
      <c r="CGU28" s="241" t="s">
        <v>41</v>
      </c>
      <c r="CGV28" s="242"/>
      <c r="CGW28" s="242"/>
      <c r="CGX28" s="242"/>
      <c r="CGY28" s="243"/>
      <c r="CGZ28" s="241" t="s">
        <v>41</v>
      </c>
      <c r="CHA28" s="242"/>
      <c r="CHB28" s="242"/>
      <c r="CHC28" s="242"/>
      <c r="CHD28" s="243"/>
      <c r="CHE28" s="241" t="s">
        <v>41</v>
      </c>
      <c r="CHF28" s="242"/>
      <c r="CHG28" s="242"/>
      <c r="CHH28" s="242"/>
      <c r="CHI28" s="243"/>
      <c r="CHJ28" s="241" t="s">
        <v>41</v>
      </c>
      <c r="CHK28" s="242"/>
      <c r="CHL28" s="242"/>
      <c r="CHM28" s="242"/>
      <c r="CHN28" s="243"/>
      <c r="CHO28" s="241" t="s">
        <v>41</v>
      </c>
      <c r="CHP28" s="242"/>
      <c r="CHQ28" s="242"/>
      <c r="CHR28" s="242"/>
      <c r="CHS28" s="243"/>
      <c r="CHT28" s="241" t="s">
        <v>41</v>
      </c>
      <c r="CHU28" s="242"/>
      <c r="CHV28" s="242"/>
      <c r="CHW28" s="242"/>
      <c r="CHX28" s="243"/>
      <c r="CHY28" s="241" t="s">
        <v>41</v>
      </c>
      <c r="CHZ28" s="242"/>
      <c r="CIA28" s="242"/>
      <c r="CIB28" s="242"/>
      <c r="CIC28" s="243"/>
      <c r="CID28" s="241" t="s">
        <v>130</v>
      </c>
      <c r="CIE28" s="242"/>
      <c r="CIF28" s="242"/>
      <c r="CIG28" s="242"/>
      <c r="CIH28" s="243"/>
      <c r="CII28" s="241" t="s">
        <v>41</v>
      </c>
      <c r="CIJ28" s="242"/>
      <c r="CIK28" s="242"/>
      <c r="CIL28" s="242"/>
      <c r="CIM28" s="243"/>
      <c r="CIN28" s="241" t="s">
        <v>41</v>
      </c>
      <c r="CIO28" s="242"/>
      <c r="CIP28" s="242"/>
      <c r="CIQ28" s="242"/>
      <c r="CIR28" s="243"/>
      <c r="CIS28" s="241" t="s">
        <v>129</v>
      </c>
      <c r="CIT28" s="242"/>
      <c r="CIU28" s="242"/>
      <c r="CIV28" s="242"/>
      <c r="CIW28" s="243"/>
      <c r="CIX28" s="241" t="s">
        <v>41</v>
      </c>
      <c r="CIY28" s="242"/>
      <c r="CIZ28" s="242"/>
      <c r="CJA28" s="242"/>
      <c r="CJB28" s="243"/>
      <c r="CJC28" s="241" t="s">
        <v>128</v>
      </c>
      <c r="CJD28" s="242"/>
      <c r="CJE28" s="242"/>
      <c r="CJF28" s="242"/>
      <c r="CJG28" s="243"/>
      <c r="CJH28" s="241" t="s">
        <v>127</v>
      </c>
      <c r="CJI28" s="242"/>
      <c r="CJJ28" s="242"/>
      <c r="CJK28" s="242"/>
      <c r="CJL28" s="243"/>
      <c r="CJM28" s="241" t="s">
        <v>41</v>
      </c>
      <c r="CJN28" s="242"/>
      <c r="CJO28" s="242"/>
      <c r="CJP28" s="242"/>
      <c r="CJQ28" s="243"/>
      <c r="CJR28" s="241" t="s">
        <v>126</v>
      </c>
      <c r="CJS28" s="242"/>
      <c r="CJT28" s="242"/>
      <c r="CJU28" s="242"/>
      <c r="CJV28" s="243"/>
      <c r="CJW28" s="241" t="s">
        <v>41</v>
      </c>
      <c r="CJX28" s="242"/>
      <c r="CJY28" s="242"/>
      <c r="CJZ28" s="242"/>
      <c r="CKA28" s="243"/>
      <c r="CKB28" s="241" t="s">
        <v>125</v>
      </c>
      <c r="CKC28" s="242"/>
      <c r="CKD28" s="242"/>
      <c r="CKE28" s="242"/>
      <c r="CKF28" s="243"/>
      <c r="CKG28" s="241" t="s">
        <v>41</v>
      </c>
      <c r="CKH28" s="242"/>
      <c r="CKI28" s="242"/>
      <c r="CKJ28" s="242"/>
      <c r="CKK28" s="243"/>
      <c r="CKL28" s="241" t="s">
        <v>122</v>
      </c>
      <c r="CKM28" s="242"/>
      <c r="CKN28" s="242"/>
      <c r="CKO28" s="242"/>
      <c r="CKP28" s="243"/>
      <c r="CKQ28" s="241" t="s">
        <v>121</v>
      </c>
      <c r="CKR28" s="242"/>
      <c r="CKS28" s="242"/>
      <c r="CKT28" s="242"/>
      <c r="CKU28" s="243"/>
      <c r="CKV28" s="241" t="s">
        <v>120</v>
      </c>
      <c r="CKW28" s="242"/>
      <c r="CKX28" s="242"/>
      <c r="CKY28" s="242"/>
      <c r="CKZ28" s="243"/>
      <c r="CLA28" s="241" t="s">
        <v>118</v>
      </c>
      <c r="CLB28" s="242"/>
      <c r="CLC28" s="242"/>
      <c r="CLD28" s="242"/>
      <c r="CLE28" s="243"/>
      <c r="CLF28" s="241" t="s">
        <v>41</v>
      </c>
      <c r="CLG28" s="242"/>
      <c r="CLH28" s="242"/>
      <c r="CLI28" s="242"/>
      <c r="CLJ28" s="243"/>
      <c r="CLK28" s="241" t="s">
        <v>117</v>
      </c>
      <c r="CLL28" s="242"/>
      <c r="CLM28" s="242"/>
      <c r="CLN28" s="242"/>
      <c r="CLO28" s="243"/>
      <c r="CLP28" s="241" t="s">
        <v>115</v>
      </c>
      <c r="CLQ28" s="242"/>
      <c r="CLR28" s="242"/>
      <c r="CLS28" s="242"/>
      <c r="CLT28" s="243"/>
      <c r="CLU28" s="241" t="s">
        <v>114</v>
      </c>
      <c r="CLV28" s="242"/>
      <c r="CLW28" s="242"/>
      <c r="CLX28" s="242"/>
      <c r="CLY28" s="243"/>
      <c r="CLZ28" s="241" t="s">
        <v>113</v>
      </c>
      <c r="CMA28" s="242"/>
      <c r="CMB28" s="242"/>
      <c r="CMC28" s="242"/>
      <c r="CMD28" s="243"/>
      <c r="CME28" s="241" t="s">
        <v>112</v>
      </c>
      <c r="CMF28" s="242"/>
      <c r="CMG28" s="242"/>
      <c r="CMH28" s="242"/>
      <c r="CMI28" s="243"/>
      <c r="CMJ28" s="241" t="s">
        <v>111</v>
      </c>
      <c r="CMK28" s="242"/>
      <c r="CML28" s="242"/>
      <c r="CMM28" s="242"/>
      <c r="CMN28" s="243"/>
      <c r="CMO28" s="241" t="s">
        <v>41</v>
      </c>
      <c r="CMP28" s="242"/>
      <c r="CMQ28" s="242"/>
      <c r="CMR28" s="242"/>
      <c r="CMS28" s="243"/>
      <c r="CMT28" s="241" t="s">
        <v>41</v>
      </c>
      <c r="CMU28" s="242"/>
      <c r="CMV28" s="242"/>
      <c r="CMW28" s="242"/>
      <c r="CMX28" s="243"/>
      <c r="CMY28" s="241" t="s">
        <v>110</v>
      </c>
      <c r="CMZ28" s="242"/>
      <c r="CNA28" s="242"/>
      <c r="CNB28" s="242"/>
      <c r="CNC28" s="243"/>
      <c r="CND28" s="241" t="s">
        <v>41</v>
      </c>
      <c r="CNE28" s="242"/>
      <c r="CNF28" s="242"/>
      <c r="CNG28" s="242"/>
      <c r="CNH28" s="243"/>
      <c r="CNI28" s="241" t="s">
        <v>41</v>
      </c>
      <c r="CNJ28" s="242"/>
      <c r="CNK28" s="242"/>
      <c r="CNL28" s="242"/>
      <c r="CNM28" s="243"/>
      <c r="CNN28" s="241" t="s">
        <v>41</v>
      </c>
      <c r="CNO28" s="242"/>
      <c r="CNP28" s="242"/>
      <c r="CNQ28" s="242"/>
      <c r="CNR28" s="243"/>
      <c r="CNS28" s="241" t="s">
        <v>41</v>
      </c>
      <c r="CNT28" s="242"/>
      <c r="CNU28" s="242"/>
      <c r="CNV28" s="242"/>
      <c r="CNW28" s="243"/>
      <c r="CNX28" s="241" t="s">
        <v>41</v>
      </c>
      <c r="CNY28" s="242"/>
      <c r="CNZ28" s="242"/>
      <c r="COA28" s="242"/>
      <c r="COB28" s="243"/>
      <c r="COC28" s="241" t="s">
        <v>41</v>
      </c>
      <c r="COD28" s="242"/>
      <c r="COE28" s="242"/>
      <c r="COF28" s="242"/>
      <c r="COG28" s="243"/>
      <c r="COH28" s="241" t="s">
        <v>41</v>
      </c>
      <c r="COI28" s="242"/>
      <c r="COJ28" s="242"/>
      <c r="COK28" s="242"/>
      <c r="COL28" s="243"/>
      <c r="COM28" s="241" t="s">
        <v>109</v>
      </c>
      <c r="CON28" s="242"/>
      <c r="COO28" s="242"/>
      <c r="COP28" s="242"/>
      <c r="COQ28" s="243"/>
      <c r="COR28" s="241" t="s">
        <v>41</v>
      </c>
      <c r="COS28" s="242"/>
      <c r="COT28" s="242"/>
      <c r="COU28" s="242"/>
      <c r="COV28" s="243"/>
      <c r="COW28" s="241" t="s">
        <v>108</v>
      </c>
      <c r="COX28" s="242"/>
      <c r="COY28" s="242"/>
      <c r="COZ28" s="242"/>
      <c r="CPA28" s="243"/>
      <c r="CPB28" s="241" t="s">
        <v>107</v>
      </c>
      <c r="CPC28" s="242"/>
      <c r="CPD28" s="242"/>
      <c r="CPE28" s="242"/>
      <c r="CPF28" s="243"/>
      <c r="CPG28" s="241" t="s">
        <v>41</v>
      </c>
      <c r="CPH28" s="242"/>
      <c r="CPI28" s="242"/>
      <c r="CPJ28" s="242"/>
      <c r="CPK28" s="243"/>
      <c r="CPL28" s="241" t="s">
        <v>41</v>
      </c>
      <c r="CPM28" s="242"/>
      <c r="CPN28" s="242"/>
      <c r="CPO28" s="242"/>
      <c r="CPP28" s="243"/>
      <c r="CPQ28" s="241" t="s">
        <v>41</v>
      </c>
      <c r="CPR28" s="242"/>
      <c r="CPS28" s="242"/>
      <c r="CPT28" s="242"/>
      <c r="CPU28" s="243"/>
      <c r="CPV28" s="241" t="s">
        <v>41</v>
      </c>
      <c r="CPW28" s="242"/>
      <c r="CPX28" s="242"/>
      <c r="CPY28" s="242"/>
      <c r="CPZ28" s="243"/>
      <c r="CQA28" s="241" t="s">
        <v>105</v>
      </c>
      <c r="CQB28" s="242"/>
      <c r="CQC28" s="242"/>
      <c r="CQD28" s="242"/>
      <c r="CQE28" s="243"/>
      <c r="CQF28" s="241" t="s">
        <v>104</v>
      </c>
      <c r="CQG28" s="242"/>
      <c r="CQH28" s="242"/>
      <c r="CQI28" s="242"/>
      <c r="CQJ28" s="243"/>
      <c r="CQK28" s="241" t="s">
        <v>41</v>
      </c>
      <c r="CQL28" s="242"/>
      <c r="CQM28" s="242"/>
      <c r="CQN28" s="242"/>
      <c r="CQO28" s="243"/>
      <c r="CQP28" s="241" t="s">
        <v>41</v>
      </c>
      <c r="CQQ28" s="242"/>
      <c r="CQR28" s="242"/>
      <c r="CQS28" s="242"/>
      <c r="CQT28" s="243"/>
      <c r="CQU28" s="241" t="s">
        <v>100</v>
      </c>
      <c r="CQV28" s="242"/>
      <c r="CQW28" s="242"/>
      <c r="CQX28" s="242"/>
      <c r="CQY28" s="243"/>
      <c r="CQZ28" s="241" t="s">
        <v>41</v>
      </c>
      <c r="CRA28" s="242"/>
      <c r="CRB28" s="242"/>
      <c r="CRC28" s="242"/>
      <c r="CRD28" s="243"/>
      <c r="CRE28" s="10" t="s">
        <v>44</v>
      </c>
      <c r="CRF28" s="4"/>
      <c r="CRG28" s="5"/>
      <c r="CRH28" s="315" t="s">
        <v>31</v>
      </c>
      <c r="CRI28" s="316"/>
      <c r="CRJ28" s="10" t="s">
        <v>44</v>
      </c>
      <c r="CRK28" s="4"/>
      <c r="CRL28" s="5"/>
      <c r="CRM28" s="315" t="s">
        <v>31</v>
      </c>
      <c r="CRN28" s="316"/>
      <c r="CRO28" s="10" t="s">
        <v>44</v>
      </c>
      <c r="CRP28" s="4"/>
      <c r="CRQ28" s="5"/>
      <c r="CRR28" s="315" t="s">
        <v>31</v>
      </c>
      <c r="CRS28" s="316"/>
      <c r="CRT28" s="10" t="s">
        <v>44</v>
      </c>
      <c r="CRU28" s="4"/>
      <c r="CRV28" s="5"/>
      <c r="CRW28" s="315" t="s">
        <v>31</v>
      </c>
      <c r="CRX28" s="316"/>
      <c r="CRY28" s="10" t="s">
        <v>44</v>
      </c>
      <c r="CRZ28" s="11"/>
      <c r="CSA28" s="12"/>
      <c r="CSB28" s="18" t="s">
        <v>31</v>
      </c>
      <c r="CSC28" s="10" t="s">
        <v>14</v>
      </c>
      <c r="CSD28" s="4"/>
      <c r="CSE28" s="5"/>
      <c r="CSF28" s="17" t="s">
        <v>61</v>
      </c>
      <c r="CSG28" s="10" t="s">
        <v>14</v>
      </c>
      <c r="CSH28" s="4"/>
      <c r="CSI28" s="5"/>
      <c r="CSJ28" s="17" t="s">
        <v>31</v>
      </c>
      <c r="CSK28" s="10" t="s">
        <v>14</v>
      </c>
      <c r="CSL28" s="4"/>
      <c r="CSM28" s="5"/>
      <c r="CSN28" s="17" t="s">
        <v>31</v>
      </c>
      <c r="CSO28" s="10" t="s">
        <v>14</v>
      </c>
      <c r="CSP28" s="4"/>
      <c r="CSQ28" s="5"/>
      <c r="CSR28" s="17" t="s">
        <v>31</v>
      </c>
      <c r="CSS28" s="10" t="s">
        <v>14</v>
      </c>
      <c r="CST28" s="4"/>
      <c r="CSU28" s="5"/>
      <c r="CSV28" s="17" t="s">
        <v>61</v>
      </c>
      <c r="CSW28" s="10" t="s">
        <v>14</v>
      </c>
      <c r="CSX28" s="4"/>
      <c r="CSY28" s="5"/>
      <c r="CSZ28" s="17" t="s">
        <v>31</v>
      </c>
      <c r="CTA28" s="10" t="s">
        <v>14</v>
      </c>
      <c r="CTB28" s="4"/>
      <c r="CTC28" s="5"/>
      <c r="CTD28" s="17" t="s">
        <v>31</v>
      </c>
      <c r="CTE28" s="10" t="s">
        <v>14</v>
      </c>
      <c r="CTF28" s="4"/>
      <c r="CTG28" s="5"/>
      <c r="CTH28" s="17" t="s">
        <v>31</v>
      </c>
      <c r="CTI28" s="10" t="s">
        <v>14</v>
      </c>
      <c r="CTJ28" s="4"/>
      <c r="CTK28" s="5"/>
      <c r="CTL28" s="17" t="s">
        <v>61</v>
      </c>
      <c r="CTM28" s="10" t="s">
        <v>14</v>
      </c>
      <c r="CTN28" s="4"/>
      <c r="CTO28" s="5"/>
      <c r="CTP28" s="17" t="s">
        <v>31</v>
      </c>
      <c r="CTQ28" s="10" t="s">
        <v>14</v>
      </c>
      <c r="CTR28" s="4"/>
      <c r="CTS28" s="5"/>
      <c r="CTT28" s="17" t="s">
        <v>31</v>
      </c>
      <c r="CTU28" s="10" t="s">
        <v>14</v>
      </c>
      <c r="CTV28" s="4"/>
      <c r="CTW28" s="5"/>
      <c r="CTX28" s="17" t="s">
        <v>31</v>
      </c>
      <c r="CTY28" s="10" t="s">
        <v>14</v>
      </c>
      <c r="CTZ28" s="4"/>
      <c r="CUA28" s="5"/>
      <c r="CUB28" s="17" t="s">
        <v>31</v>
      </c>
      <c r="CUC28" s="10" t="s">
        <v>14</v>
      </c>
      <c r="CUD28" s="4"/>
      <c r="CUE28" s="5"/>
      <c r="CUF28" s="17" t="s">
        <v>61</v>
      </c>
      <c r="CUG28" s="10" t="s">
        <v>14</v>
      </c>
      <c r="CUH28" s="4"/>
      <c r="CUI28" s="5"/>
      <c r="CUJ28" s="17" t="s">
        <v>31</v>
      </c>
      <c r="CUK28" s="10" t="s">
        <v>14</v>
      </c>
      <c r="CUL28" s="4"/>
      <c r="CUM28" s="5"/>
      <c r="CUN28" s="17" t="s">
        <v>31</v>
      </c>
      <c r="CUO28" s="10" t="s">
        <v>14</v>
      </c>
      <c r="CUP28" s="4"/>
      <c r="CUQ28" s="5"/>
      <c r="CUR28" s="17" t="s">
        <v>31</v>
      </c>
      <c r="CUS28" s="10" t="s">
        <v>14</v>
      </c>
      <c r="CUT28" s="4"/>
      <c r="CUU28" s="5"/>
      <c r="CUV28" s="17" t="s">
        <v>61</v>
      </c>
      <c r="CUW28" s="10" t="s">
        <v>14</v>
      </c>
      <c r="CUX28" s="4"/>
      <c r="CUY28" s="5"/>
      <c r="CUZ28" s="17" t="s">
        <v>31</v>
      </c>
      <c r="CVA28" s="10" t="s">
        <v>14</v>
      </c>
      <c r="CVB28" s="4"/>
      <c r="CVC28" s="5"/>
      <c r="CVD28" s="17" t="s">
        <v>31</v>
      </c>
      <c r="CVE28" s="10" t="s">
        <v>14</v>
      </c>
      <c r="CVF28" s="4"/>
      <c r="CVG28" s="5"/>
      <c r="CVH28" s="17"/>
      <c r="CVI28" s="10" t="s">
        <v>14</v>
      </c>
      <c r="CVJ28" s="4"/>
      <c r="CVK28" s="5"/>
      <c r="CVL28" s="17" t="s">
        <v>31</v>
      </c>
      <c r="CVM28" s="10" t="s">
        <v>14</v>
      </c>
      <c r="CVN28" s="4"/>
      <c r="CVO28" s="5"/>
      <c r="CVP28" s="17" t="s">
        <v>31</v>
      </c>
      <c r="CVQ28" s="10" t="s">
        <v>14</v>
      </c>
      <c r="CVR28" s="4"/>
      <c r="CVS28" s="5"/>
      <c r="CVT28" s="17" t="s">
        <v>31</v>
      </c>
      <c r="CVU28" s="10" t="s">
        <v>14</v>
      </c>
      <c r="CVV28" s="4"/>
      <c r="CVW28" s="5"/>
      <c r="CVX28" s="17"/>
      <c r="CVY28" s="10" t="s">
        <v>14</v>
      </c>
      <c r="CVZ28" s="4"/>
      <c r="CWA28" s="5"/>
      <c r="CWB28" s="17" t="s">
        <v>61</v>
      </c>
      <c r="CWC28" s="10" t="s">
        <v>14</v>
      </c>
      <c r="CWD28" s="4"/>
      <c r="CWE28" s="5"/>
      <c r="CWF28" s="17" t="s">
        <v>31</v>
      </c>
      <c r="CWG28" s="10" t="s">
        <v>14</v>
      </c>
      <c r="CWH28" s="4"/>
      <c r="CWI28" s="5"/>
      <c r="CWJ28" s="17" t="s">
        <v>31</v>
      </c>
      <c r="CWK28" s="10" t="s">
        <v>14</v>
      </c>
      <c r="CWL28" s="4"/>
      <c r="CWM28" s="5"/>
      <c r="CWN28" s="17" t="s">
        <v>31</v>
      </c>
      <c r="CWO28" s="10" t="s">
        <v>14</v>
      </c>
      <c r="CWP28" s="4"/>
      <c r="CWQ28" s="5"/>
      <c r="CWR28" s="17" t="s">
        <v>31</v>
      </c>
      <c r="CWS28" s="10" t="s">
        <v>14</v>
      </c>
      <c r="CWT28" s="4"/>
      <c r="CWU28" s="5"/>
      <c r="CWV28" s="17"/>
      <c r="CWW28" s="10" t="s">
        <v>14</v>
      </c>
      <c r="CWX28" s="4"/>
      <c r="CWY28" s="5"/>
      <c r="CWZ28" s="17" t="s">
        <v>31</v>
      </c>
      <c r="CXA28" s="43" t="s">
        <v>14</v>
      </c>
      <c r="CXB28" s="44"/>
      <c r="CXC28" s="45"/>
      <c r="CXD28" s="46" t="s">
        <v>31</v>
      </c>
      <c r="CXE28" s="43" t="s">
        <v>14</v>
      </c>
      <c r="CXF28" s="44"/>
      <c r="CXG28" s="45"/>
      <c r="CXH28" s="46" t="s">
        <v>31</v>
      </c>
      <c r="CXI28" s="43" t="s">
        <v>14</v>
      </c>
      <c r="CXJ28" s="44"/>
      <c r="CXK28" s="45"/>
      <c r="CXL28" s="46" t="s">
        <v>31</v>
      </c>
      <c r="CXM28" s="43" t="s">
        <v>14</v>
      </c>
      <c r="CXN28" s="44"/>
      <c r="CXO28" s="45"/>
      <c r="CXP28" s="46" t="s">
        <v>31</v>
      </c>
      <c r="CXQ28" s="43" t="s">
        <v>14</v>
      </c>
      <c r="CXR28" s="44"/>
      <c r="CXS28" s="45"/>
      <c r="CXT28" s="46" t="s">
        <v>31</v>
      </c>
      <c r="CXU28" s="26" t="s">
        <v>14</v>
      </c>
      <c r="CXX28" s="26" t="s">
        <v>31</v>
      </c>
      <c r="CXY28" s="26" t="s">
        <v>14</v>
      </c>
      <c r="CYB28" s="26" t="s">
        <v>31</v>
      </c>
      <c r="CYC28" s="26" t="s">
        <v>14</v>
      </c>
      <c r="CYF28" s="26" t="s">
        <v>31</v>
      </c>
      <c r="CYG28" s="26" t="s">
        <v>50</v>
      </c>
      <c r="CYK28" s="26" t="s">
        <v>50</v>
      </c>
      <c r="CYO28" s="26" t="s">
        <v>50</v>
      </c>
      <c r="CYS28" s="26" t="s">
        <v>50</v>
      </c>
      <c r="CYW28" s="26" t="s">
        <v>15</v>
      </c>
      <c r="CZA28" s="26" t="s">
        <v>15</v>
      </c>
      <c r="CZD28" s="26" t="s">
        <v>40</v>
      </c>
      <c r="CZE28" s="26" t="s">
        <v>15</v>
      </c>
      <c r="CZH28" s="26" t="s">
        <v>40</v>
      </c>
      <c r="CZI28" s="26" t="s">
        <v>15</v>
      </c>
      <c r="CZL28" s="26" t="s">
        <v>40</v>
      </c>
      <c r="CZM28" s="26" t="s">
        <v>15</v>
      </c>
      <c r="CZP28" s="26" t="s">
        <v>40</v>
      </c>
      <c r="CZQ28" s="26" t="s">
        <v>15</v>
      </c>
      <c r="CZT28" s="26" t="s">
        <v>40</v>
      </c>
      <c r="CZU28" s="26" t="s">
        <v>15</v>
      </c>
      <c r="CZX28" s="26" t="s">
        <v>40</v>
      </c>
      <c r="CZY28" s="26" t="s">
        <v>15</v>
      </c>
      <c r="DAB28" s="26" t="s">
        <v>40</v>
      </c>
      <c r="DAC28" s="26" t="s">
        <v>15</v>
      </c>
      <c r="DAF28" s="26" t="s">
        <v>40</v>
      </c>
      <c r="DAG28" s="26" t="s">
        <v>15</v>
      </c>
      <c r="DAJ28" s="26" t="s">
        <v>40</v>
      </c>
      <c r="DAK28" s="26" t="s">
        <v>15</v>
      </c>
      <c r="DAN28" s="26" t="s">
        <v>40</v>
      </c>
      <c r="DAO28" s="26" t="s">
        <v>15</v>
      </c>
      <c r="DAR28" s="26" t="s">
        <v>40</v>
      </c>
      <c r="DAS28" s="26" t="s">
        <v>15</v>
      </c>
      <c r="DAV28" s="26" t="s">
        <v>40</v>
      </c>
      <c r="DAW28" s="26" t="s">
        <v>15</v>
      </c>
      <c r="DAZ28" s="26" t="s">
        <v>40</v>
      </c>
      <c r="DBA28" s="26" t="s">
        <v>15</v>
      </c>
      <c r="DBD28" s="26" t="s">
        <v>40</v>
      </c>
      <c r="DBE28" s="26" t="s">
        <v>15</v>
      </c>
      <c r="DBH28" s="26" t="s">
        <v>40</v>
      </c>
      <c r="DBI28" s="26" t="s">
        <v>15</v>
      </c>
      <c r="DBL28" s="26" t="s">
        <v>40</v>
      </c>
      <c r="DBM28" s="26" t="s">
        <v>15</v>
      </c>
      <c r="DBP28" s="26" t="s">
        <v>40</v>
      </c>
      <c r="DBQ28" s="26" t="s">
        <v>15</v>
      </c>
      <c r="DBT28" s="26" t="s">
        <v>40</v>
      </c>
      <c r="DBU28" s="26" t="s">
        <v>15</v>
      </c>
      <c r="DBX28" s="26" t="s">
        <v>40</v>
      </c>
      <c r="DBY28" s="26" t="s">
        <v>15</v>
      </c>
      <c r="DCB28" s="26" t="s">
        <v>40</v>
      </c>
      <c r="DCC28" s="26" t="s">
        <v>15</v>
      </c>
      <c r="DCF28" s="26" t="s">
        <v>40</v>
      </c>
      <c r="DCG28" s="26" t="s">
        <v>15</v>
      </c>
      <c r="DCJ28" s="26" t="s">
        <v>40</v>
      </c>
      <c r="DCK28" s="26" t="s">
        <v>15</v>
      </c>
      <c r="DCN28" s="26" t="s">
        <v>40</v>
      </c>
      <c r="DCO28" s="26" t="s">
        <v>15</v>
      </c>
      <c r="DCR28" s="26" t="s">
        <v>40</v>
      </c>
      <c r="DCS28" s="26" t="s">
        <v>15</v>
      </c>
      <c r="DCV28" s="26" t="s">
        <v>40</v>
      </c>
      <c r="DCW28" s="26" t="s">
        <v>15</v>
      </c>
      <c r="DCZ28" s="26" t="s">
        <v>40</v>
      </c>
      <c r="DDA28" s="26" t="s">
        <v>15</v>
      </c>
      <c r="DDD28" s="26" t="s">
        <v>40</v>
      </c>
    </row>
    <row r="29" spans="1:2828" ht="39.75" customHeight="1" thickBot="1" x14ac:dyDescent="0.35">
      <c r="A29" s="244"/>
      <c r="B29" s="245"/>
      <c r="C29" s="245"/>
      <c r="D29" s="245"/>
      <c r="E29" s="246"/>
      <c r="F29" s="244"/>
      <c r="G29" s="245"/>
      <c r="H29" s="245"/>
      <c r="I29" s="245"/>
      <c r="J29" s="246"/>
      <c r="K29" s="244"/>
      <c r="L29" s="245"/>
      <c r="M29" s="245"/>
      <c r="N29" s="245"/>
      <c r="O29" s="246"/>
      <c r="P29" s="244"/>
      <c r="Q29" s="245"/>
      <c r="R29" s="245"/>
      <c r="S29" s="245"/>
      <c r="T29" s="246"/>
      <c r="U29" s="244"/>
      <c r="V29" s="245"/>
      <c r="W29" s="245"/>
      <c r="X29" s="245"/>
      <c r="Y29" s="246"/>
      <c r="Z29" s="244"/>
      <c r="AA29" s="245"/>
      <c r="AB29" s="245"/>
      <c r="AC29" s="245"/>
      <c r="AD29" s="246"/>
      <c r="AE29" s="244"/>
      <c r="AF29" s="245"/>
      <c r="AG29" s="245"/>
      <c r="AH29" s="245"/>
      <c r="AI29" s="246"/>
      <c r="AJ29" s="244"/>
      <c r="AK29" s="245"/>
      <c r="AL29" s="245"/>
      <c r="AM29" s="245"/>
      <c r="AN29" s="246"/>
      <c r="AO29" s="244"/>
      <c r="AP29" s="245"/>
      <c r="AQ29" s="245"/>
      <c r="AR29" s="245"/>
      <c r="AS29" s="246"/>
      <c r="AT29" s="244"/>
      <c r="AU29" s="245"/>
      <c r="AV29" s="245"/>
      <c r="AW29" s="245"/>
      <c r="AX29" s="246"/>
      <c r="AY29" s="244"/>
      <c r="AZ29" s="245"/>
      <c r="BA29" s="245"/>
      <c r="BB29" s="245"/>
      <c r="BC29" s="246"/>
      <c r="BD29" s="244"/>
      <c r="BE29" s="245"/>
      <c r="BF29" s="245"/>
      <c r="BG29" s="245"/>
      <c r="BH29" s="246"/>
      <c r="BI29" s="244"/>
      <c r="BJ29" s="245"/>
      <c r="BK29" s="245"/>
      <c r="BL29" s="245"/>
      <c r="BM29" s="246"/>
      <c r="BN29" s="244"/>
      <c r="BO29" s="245"/>
      <c r="BP29" s="245"/>
      <c r="BQ29" s="245"/>
      <c r="BR29" s="246"/>
      <c r="BS29" s="244"/>
      <c r="BT29" s="245"/>
      <c r="BU29" s="245"/>
      <c r="BV29" s="245"/>
      <c r="BW29" s="246"/>
      <c r="BX29" s="244"/>
      <c r="BY29" s="245"/>
      <c r="BZ29" s="245"/>
      <c r="CA29" s="245"/>
      <c r="CB29" s="246"/>
      <c r="CC29" s="244"/>
      <c r="CD29" s="245"/>
      <c r="CE29" s="245"/>
      <c r="CF29" s="245"/>
      <c r="CG29" s="246"/>
      <c r="CH29" s="244"/>
      <c r="CI29" s="245"/>
      <c r="CJ29" s="245"/>
      <c r="CK29" s="245"/>
      <c r="CL29" s="246"/>
      <c r="CM29" s="244"/>
      <c r="CN29" s="245"/>
      <c r="CO29" s="245"/>
      <c r="CP29" s="245"/>
      <c r="CQ29" s="246"/>
      <c r="CR29" s="244"/>
      <c r="CS29" s="245"/>
      <c r="CT29" s="245"/>
      <c r="CU29" s="245"/>
      <c r="CV29" s="246"/>
      <c r="CW29" s="244"/>
      <c r="CX29" s="245"/>
      <c r="CY29" s="245"/>
      <c r="CZ29" s="245"/>
      <c r="DA29" s="246"/>
      <c r="DB29" s="244"/>
      <c r="DC29" s="245"/>
      <c r="DD29" s="245"/>
      <c r="DE29" s="245"/>
      <c r="DF29" s="246"/>
      <c r="DG29" s="244"/>
      <c r="DH29" s="245"/>
      <c r="DI29" s="245"/>
      <c r="DJ29" s="245"/>
      <c r="DK29" s="246"/>
      <c r="DL29" s="244"/>
      <c r="DM29" s="245"/>
      <c r="DN29" s="245"/>
      <c r="DO29" s="245"/>
      <c r="DP29" s="246"/>
      <c r="DQ29" s="244"/>
      <c r="DR29" s="245"/>
      <c r="DS29" s="245"/>
      <c r="DT29" s="245"/>
      <c r="DU29" s="246"/>
      <c r="DV29" s="244"/>
      <c r="DW29" s="245"/>
      <c r="DX29" s="245"/>
      <c r="DY29" s="245"/>
      <c r="DZ29" s="246"/>
      <c r="EA29" s="244"/>
      <c r="EB29" s="245"/>
      <c r="EC29" s="245"/>
      <c r="ED29" s="245"/>
      <c r="EE29" s="246"/>
      <c r="EF29" s="244"/>
      <c r="EG29" s="245"/>
      <c r="EH29" s="245"/>
      <c r="EI29" s="245"/>
      <c r="EJ29" s="246"/>
      <c r="EK29" s="244"/>
      <c r="EL29" s="245"/>
      <c r="EM29" s="245"/>
      <c r="EN29" s="245"/>
      <c r="EO29" s="246"/>
      <c r="EP29" s="244"/>
      <c r="EQ29" s="245"/>
      <c r="ER29" s="245"/>
      <c r="ES29" s="245"/>
      <c r="ET29" s="246"/>
      <c r="EU29" s="244"/>
      <c r="EV29" s="245"/>
      <c r="EW29" s="245"/>
      <c r="EX29" s="245"/>
      <c r="EY29" s="246"/>
      <c r="EZ29" s="244"/>
      <c r="FA29" s="245"/>
      <c r="FB29" s="245"/>
      <c r="FC29" s="245"/>
      <c r="FD29" s="246"/>
      <c r="FE29" s="244"/>
      <c r="FF29" s="245"/>
      <c r="FG29" s="245"/>
      <c r="FH29" s="245"/>
      <c r="FI29" s="246"/>
      <c r="FJ29" s="244"/>
      <c r="FK29" s="245"/>
      <c r="FL29" s="245"/>
      <c r="FM29" s="245"/>
      <c r="FN29" s="246"/>
      <c r="FO29" s="244"/>
      <c r="FP29" s="245"/>
      <c r="FQ29" s="245"/>
      <c r="FR29" s="245"/>
      <c r="FS29" s="246"/>
      <c r="FT29" s="244"/>
      <c r="FU29" s="245"/>
      <c r="FV29" s="245"/>
      <c r="FW29" s="245"/>
      <c r="FX29" s="246"/>
      <c r="FY29" s="244"/>
      <c r="FZ29" s="245"/>
      <c r="GA29" s="245"/>
      <c r="GB29" s="245"/>
      <c r="GC29" s="246"/>
      <c r="GD29" s="244"/>
      <c r="GE29" s="245"/>
      <c r="GF29" s="245"/>
      <c r="GG29" s="245"/>
      <c r="GH29" s="246"/>
      <c r="GI29" s="244"/>
      <c r="GJ29" s="245"/>
      <c r="GK29" s="245"/>
      <c r="GL29" s="245"/>
      <c r="GM29" s="246"/>
      <c r="GN29" s="244"/>
      <c r="GO29" s="245"/>
      <c r="GP29" s="245"/>
      <c r="GQ29" s="245"/>
      <c r="GR29" s="246"/>
      <c r="GS29" s="244"/>
      <c r="GT29" s="245"/>
      <c r="GU29" s="245"/>
      <c r="GV29" s="245"/>
      <c r="GW29" s="246"/>
      <c r="GX29" s="244"/>
      <c r="GY29" s="245"/>
      <c r="GZ29" s="245"/>
      <c r="HA29" s="245"/>
      <c r="HB29" s="246"/>
      <c r="HC29" s="244"/>
      <c r="HD29" s="245"/>
      <c r="HE29" s="245"/>
      <c r="HF29" s="245"/>
      <c r="HG29" s="246"/>
      <c r="HH29" s="244"/>
      <c r="HI29" s="245"/>
      <c r="HJ29" s="245"/>
      <c r="HK29" s="245"/>
      <c r="HL29" s="246"/>
      <c r="HM29" s="244"/>
      <c r="HN29" s="245"/>
      <c r="HO29" s="245"/>
      <c r="HP29" s="245"/>
      <c r="HQ29" s="246"/>
      <c r="HR29" s="244"/>
      <c r="HS29" s="245"/>
      <c r="HT29" s="245"/>
      <c r="HU29" s="245"/>
      <c r="HV29" s="246"/>
      <c r="HW29" s="244"/>
      <c r="HX29" s="245"/>
      <c r="HY29" s="245"/>
      <c r="HZ29" s="245"/>
      <c r="IA29" s="246"/>
      <c r="IB29" s="244"/>
      <c r="IC29" s="245"/>
      <c r="ID29" s="245"/>
      <c r="IE29" s="245"/>
      <c r="IF29" s="246"/>
      <c r="IG29" s="244"/>
      <c r="IH29" s="245"/>
      <c r="II29" s="245"/>
      <c r="IJ29" s="245"/>
      <c r="IK29" s="246"/>
      <c r="IL29" s="244"/>
      <c r="IM29" s="245"/>
      <c r="IN29" s="245"/>
      <c r="IO29" s="245"/>
      <c r="IP29" s="246"/>
      <c r="IQ29" s="244"/>
      <c r="IR29" s="245"/>
      <c r="IS29" s="245"/>
      <c r="IT29" s="245"/>
      <c r="IU29" s="246"/>
      <c r="IV29" s="244"/>
      <c r="IW29" s="245"/>
      <c r="IX29" s="245"/>
      <c r="IY29" s="245"/>
      <c r="IZ29" s="246"/>
      <c r="JA29" s="244"/>
      <c r="JB29" s="245"/>
      <c r="JC29" s="245"/>
      <c r="JD29" s="245"/>
      <c r="JE29" s="246"/>
      <c r="JF29" s="244"/>
      <c r="JG29" s="245"/>
      <c r="JH29" s="245"/>
      <c r="JI29" s="245"/>
      <c r="JJ29" s="246"/>
      <c r="JK29" s="244"/>
      <c r="JL29" s="245"/>
      <c r="JM29" s="245"/>
      <c r="JN29" s="245"/>
      <c r="JO29" s="246"/>
      <c r="JP29" s="244"/>
      <c r="JQ29" s="245"/>
      <c r="JR29" s="245"/>
      <c r="JS29" s="245"/>
      <c r="JT29" s="246"/>
      <c r="JU29" s="244"/>
      <c r="JV29" s="245"/>
      <c r="JW29" s="245"/>
      <c r="JX29" s="245"/>
      <c r="JY29" s="246"/>
      <c r="JZ29" s="244"/>
      <c r="KA29" s="245"/>
      <c r="KB29" s="245"/>
      <c r="KC29" s="245"/>
      <c r="KD29" s="246"/>
      <c r="KE29" s="244"/>
      <c r="KF29" s="245"/>
      <c r="KG29" s="245"/>
      <c r="KH29" s="245"/>
      <c r="KI29" s="246"/>
      <c r="KJ29" s="244"/>
      <c r="KK29" s="245"/>
      <c r="KL29" s="245"/>
      <c r="KM29" s="245"/>
      <c r="KN29" s="246"/>
      <c r="KO29" s="244"/>
      <c r="KP29" s="245"/>
      <c r="KQ29" s="245"/>
      <c r="KR29" s="245"/>
      <c r="KS29" s="246"/>
      <c r="KT29" s="244"/>
      <c r="KU29" s="245"/>
      <c r="KV29" s="245"/>
      <c r="KW29" s="245"/>
      <c r="KX29" s="246"/>
      <c r="KY29" s="244"/>
      <c r="KZ29" s="245"/>
      <c r="LA29" s="245"/>
      <c r="LB29" s="245"/>
      <c r="LC29" s="246"/>
      <c r="LD29" s="244"/>
      <c r="LE29" s="245"/>
      <c r="LF29" s="245"/>
      <c r="LG29" s="245"/>
      <c r="LH29" s="246"/>
      <c r="LI29" s="244"/>
      <c r="LJ29" s="245"/>
      <c r="LK29" s="245"/>
      <c r="LL29" s="245"/>
      <c r="LM29" s="246"/>
      <c r="LN29" s="244"/>
      <c r="LO29" s="245"/>
      <c r="LP29" s="245"/>
      <c r="LQ29" s="245"/>
      <c r="LR29" s="246"/>
      <c r="LS29" s="244"/>
      <c r="LT29" s="245"/>
      <c r="LU29" s="245"/>
      <c r="LV29" s="245"/>
      <c r="LW29" s="246"/>
      <c r="LX29" s="244"/>
      <c r="LY29" s="245"/>
      <c r="LZ29" s="245"/>
      <c r="MA29" s="245"/>
      <c r="MB29" s="246"/>
      <c r="MC29" s="244"/>
      <c r="MD29" s="245"/>
      <c r="ME29" s="245"/>
      <c r="MF29" s="245"/>
      <c r="MG29" s="246"/>
      <c r="MH29" s="244"/>
      <c r="MI29" s="245"/>
      <c r="MJ29" s="245"/>
      <c r="MK29" s="245"/>
      <c r="ML29" s="246"/>
      <c r="MM29" s="244"/>
      <c r="MN29" s="245"/>
      <c r="MO29" s="245"/>
      <c r="MP29" s="245"/>
      <c r="MQ29" s="246"/>
      <c r="MR29" s="244"/>
      <c r="MS29" s="245"/>
      <c r="MT29" s="245"/>
      <c r="MU29" s="245"/>
      <c r="MV29" s="246"/>
      <c r="MW29" s="244"/>
      <c r="MX29" s="245"/>
      <c r="MY29" s="245"/>
      <c r="MZ29" s="245"/>
      <c r="NA29" s="246"/>
      <c r="NB29" s="244"/>
      <c r="NC29" s="245"/>
      <c r="ND29" s="245"/>
      <c r="NE29" s="245"/>
      <c r="NF29" s="246"/>
      <c r="NG29" s="244"/>
      <c r="NH29" s="245"/>
      <c r="NI29" s="245"/>
      <c r="NJ29" s="245"/>
      <c r="NK29" s="246"/>
      <c r="NL29" s="244"/>
      <c r="NM29" s="245"/>
      <c r="NN29" s="245"/>
      <c r="NO29" s="245"/>
      <c r="NP29" s="246"/>
      <c r="NQ29" s="244"/>
      <c r="NR29" s="245"/>
      <c r="NS29" s="245"/>
      <c r="NT29" s="245"/>
      <c r="NU29" s="246"/>
      <c r="NV29" s="244"/>
      <c r="NW29" s="245"/>
      <c r="NX29" s="245"/>
      <c r="NY29" s="245"/>
      <c r="NZ29" s="246"/>
      <c r="OA29" s="244"/>
      <c r="OB29" s="245"/>
      <c r="OC29" s="245"/>
      <c r="OD29" s="245"/>
      <c r="OE29" s="246"/>
      <c r="OF29" s="244"/>
      <c r="OG29" s="245"/>
      <c r="OH29" s="245"/>
      <c r="OI29" s="245"/>
      <c r="OJ29" s="246"/>
      <c r="OK29" s="244"/>
      <c r="OL29" s="245"/>
      <c r="OM29" s="245"/>
      <c r="ON29" s="245"/>
      <c r="OO29" s="246"/>
      <c r="OP29" s="244"/>
      <c r="OQ29" s="245"/>
      <c r="OR29" s="245"/>
      <c r="OS29" s="245"/>
      <c r="OT29" s="246"/>
      <c r="OU29" s="244"/>
      <c r="OV29" s="245"/>
      <c r="OW29" s="245"/>
      <c r="OX29" s="245"/>
      <c r="OY29" s="246"/>
      <c r="OZ29" s="244"/>
      <c r="PA29" s="245"/>
      <c r="PB29" s="245"/>
      <c r="PC29" s="245"/>
      <c r="PD29" s="246"/>
      <c r="PE29" s="244"/>
      <c r="PF29" s="245"/>
      <c r="PG29" s="245"/>
      <c r="PH29" s="245"/>
      <c r="PI29" s="246"/>
      <c r="PJ29" s="244"/>
      <c r="PK29" s="245"/>
      <c r="PL29" s="245"/>
      <c r="PM29" s="245"/>
      <c r="PN29" s="246"/>
      <c r="PO29" s="244"/>
      <c r="PP29" s="245"/>
      <c r="PQ29" s="245"/>
      <c r="PR29" s="245"/>
      <c r="PS29" s="246"/>
      <c r="PT29" s="244"/>
      <c r="PU29" s="245"/>
      <c r="PV29" s="245"/>
      <c r="PW29" s="245"/>
      <c r="PX29" s="246"/>
      <c r="PY29" s="244"/>
      <c r="PZ29" s="245"/>
      <c r="QA29" s="245"/>
      <c r="QB29" s="245"/>
      <c r="QC29" s="246"/>
      <c r="QD29" s="244"/>
      <c r="QE29" s="245"/>
      <c r="QF29" s="245"/>
      <c r="QG29" s="245"/>
      <c r="QH29" s="246"/>
      <c r="QI29" s="244"/>
      <c r="QJ29" s="245"/>
      <c r="QK29" s="245"/>
      <c r="QL29" s="245"/>
      <c r="QM29" s="246"/>
      <c r="QN29" s="244"/>
      <c r="QO29" s="245"/>
      <c r="QP29" s="245"/>
      <c r="QQ29" s="245"/>
      <c r="QR29" s="246"/>
      <c r="QS29" s="244"/>
      <c r="QT29" s="245"/>
      <c r="QU29" s="245"/>
      <c r="QV29" s="245"/>
      <c r="QW29" s="246"/>
      <c r="QX29" s="244"/>
      <c r="QY29" s="245"/>
      <c r="QZ29" s="245"/>
      <c r="RA29" s="245"/>
      <c r="RB29" s="246"/>
      <c r="RC29" s="244"/>
      <c r="RD29" s="245"/>
      <c r="RE29" s="245"/>
      <c r="RF29" s="245"/>
      <c r="RG29" s="246"/>
      <c r="RH29" s="244"/>
      <c r="RI29" s="245"/>
      <c r="RJ29" s="245"/>
      <c r="RK29" s="245"/>
      <c r="RL29" s="246"/>
      <c r="RM29" s="244"/>
      <c r="RN29" s="245"/>
      <c r="RO29" s="245"/>
      <c r="RP29" s="245"/>
      <c r="RQ29" s="246"/>
      <c r="RR29" s="244"/>
      <c r="RS29" s="245"/>
      <c r="RT29" s="245"/>
      <c r="RU29" s="245"/>
      <c r="RV29" s="246"/>
      <c r="RW29" s="244"/>
      <c r="RX29" s="245"/>
      <c r="RY29" s="245"/>
      <c r="RZ29" s="245"/>
      <c r="SA29" s="246"/>
      <c r="SB29" s="244"/>
      <c r="SC29" s="245"/>
      <c r="SD29" s="245"/>
      <c r="SE29" s="245"/>
      <c r="SF29" s="246"/>
      <c r="SG29" s="244"/>
      <c r="SH29" s="245"/>
      <c r="SI29" s="245"/>
      <c r="SJ29" s="245"/>
      <c r="SK29" s="246"/>
      <c r="SL29" s="244"/>
      <c r="SM29" s="245"/>
      <c r="SN29" s="245"/>
      <c r="SO29" s="245"/>
      <c r="SP29" s="246"/>
      <c r="SQ29" s="244"/>
      <c r="SR29" s="245"/>
      <c r="SS29" s="245"/>
      <c r="ST29" s="245"/>
      <c r="SU29" s="246"/>
      <c r="SV29" s="244"/>
      <c r="SW29" s="245"/>
      <c r="SX29" s="245"/>
      <c r="SY29" s="245"/>
      <c r="SZ29" s="246"/>
      <c r="TA29" s="244"/>
      <c r="TB29" s="245"/>
      <c r="TC29" s="245"/>
      <c r="TD29" s="245"/>
      <c r="TE29" s="246"/>
      <c r="TF29" s="244"/>
      <c r="TG29" s="245"/>
      <c r="TH29" s="245"/>
      <c r="TI29" s="245"/>
      <c r="TJ29" s="246"/>
      <c r="TK29" s="244"/>
      <c r="TL29" s="245"/>
      <c r="TM29" s="245"/>
      <c r="TN29" s="245"/>
      <c r="TO29" s="246"/>
      <c r="TP29" s="244"/>
      <c r="TQ29" s="245"/>
      <c r="TR29" s="245"/>
      <c r="TS29" s="245"/>
      <c r="TT29" s="246"/>
      <c r="TU29" s="244"/>
      <c r="TV29" s="245"/>
      <c r="TW29" s="245"/>
      <c r="TX29" s="245"/>
      <c r="TY29" s="246"/>
      <c r="TZ29" s="244"/>
      <c r="UA29" s="245"/>
      <c r="UB29" s="245"/>
      <c r="UC29" s="245"/>
      <c r="UD29" s="246"/>
      <c r="UE29" s="244"/>
      <c r="UF29" s="245"/>
      <c r="UG29" s="245"/>
      <c r="UH29" s="245"/>
      <c r="UI29" s="246"/>
      <c r="UJ29" s="244"/>
      <c r="UK29" s="245"/>
      <c r="UL29" s="245"/>
      <c r="UM29" s="245"/>
      <c r="UN29" s="246"/>
      <c r="UO29" s="244"/>
      <c r="UP29" s="245"/>
      <c r="UQ29" s="245"/>
      <c r="UR29" s="245"/>
      <c r="US29" s="246"/>
      <c r="UT29" s="244"/>
      <c r="UU29" s="245"/>
      <c r="UV29" s="245"/>
      <c r="UW29" s="245"/>
      <c r="UX29" s="246"/>
      <c r="UY29" s="244"/>
      <c r="UZ29" s="245"/>
      <c r="VA29" s="245"/>
      <c r="VB29" s="245"/>
      <c r="VC29" s="246"/>
      <c r="VD29" s="244"/>
      <c r="VE29" s="245"/>
      <c r="VF29" s="245"/>
      <c r="VG29" s="245"/>
      <c r="VH29" s="246"/>
      <c r="VI29" s="244"/>
      <c r="VJ29" s="245"/>
      <c r="VK29" s="245"/>
      <c r="VL29" s="245"/>
      <c r="VM29" s="246"/>
      <c r="VN29" s="244"/>
      <c r="VO29" s="245"/>
      <c r="VP29" s="245"/>
      <c r="VQ29" s="245"/>
      <c r="VR29" s="246"/>
      <c r="VS29" s="244"/>
      <c r="VT29" s="245"/>
      <c r="VU29" s="245"/>
      <c r="VV29" s="245"/>
      <c r="VW29" s="246"/>
      <c r="VX29" s="244"/>
      <c r="VY29" s="245"/>
      <c r="VZ29" s="245"/>
      <c r="WA29" s="245"/>
      <c r="WB29" s="246"/>
      <c r="WC29" s="244"/>
      <c r="WD29" s="245"/>
      <c r="WE29" s="245"/>
      <c r="WF29" s="245"/>
      <c r="WG29" s="246"/>
      <c r="WH29" s="244"/>
      <c r="WI29" s="245"/>
      <c r="WJ29" s="245"/>
      <c r="WK29" s="245"/>
      <c r="WL29" s="246"/>
      <c r="WM29" s="244"/>
      <c r="WN29" s="245"/>
      <c r="WO29" s="245"/>
      <c r="WP29" s="245"/>
      <c r="WQ29" s="246"/>
      <c r="WR29" s="244"/>
      <c r="WS29" s="245"/>
      <c r="WT29" s="245"/>
      <c r="WU29" s="245"/>
      <c r="WV29" s="246"/>
      <c r="WW29" s="244"/>
      <c r="WX29" s="245"/>
      <c r="WY29" s="245"/>
      <c r="WZ29" s="245"/>
      <c r="XA29" s="246"/>
      <c r="XB29" s="244"/>
      <c r="XC29" s="245"/>
      <c r="XD29" s="245"/>
      <c r="XE29" s="245"/>
      <c r="XF29" s="246"/>
      <c r="XG29" s="244"/>
      <c r="XH29" s="245"/>
      <c r="XI29" s="245"/>
      <c r="XJ29" s="245"/>
      <c r="XK29" s="246"/>
      <c r="XL29" s="244"/>
      <c r="XM29" s="245"/>
      <c r="XN29" s="245"/>
      <c r="XO29" s="245"/>
      <c r="XP29" s="246"/>
      <c r="XQ29" s="244"/>
      <c r="XR29" s="245"/>
      <c r="XS29" s="245"/>
      <c r="XT29" s="245"/>
      <c r="XU29" s="246"/>
      <c r="XV29" s="244"/>
      <c r="XW29" s="245"/>
      <c r="XX29" s="245"/>
      <c r="XY29" s="245"/>
      <c r="XZ29" s="246"/>
      <c r="YA29" s="244"/>
      <c r="YB29" s="245"/>
      <c r="YC29" s="245"/>
      <c r="YD29" s="245"/>
      <c r="YE29" s="246"/>
      <c r="YF29" s="244"/>
      <c r="YG29" s="245"/>
      <c r="YH29" s="245"/>
      <c r="YI29" s="245"/>
      <c r="YJ29" s="246"/>
      <c r="YK29" s="244"/>
      <c r="YL29" s="245"/>
      <c r="YM29" s="245"/>
      <c r="YN29" s="245"/>
      <c r="YO29" s="246"/>
      <c r="YP29" s="244"/>
      <c r="YQ29" s="245"/>
      <c r="YR29" s="245"/>
      <c r="YS29" s="245"/>
      <c r="YT29" s="246"/>
      <c r="YU29" s="244"/>
      <c r="YV29" s="245"/>
      <c r="YW29" s="245"/>
      <c r="YX29" s="245"/>
      <c r="YY29" s="246"/>
      <c r="YZ29" s="244"/>
      <c r="ZA29" s="245"/>
      <c r="ZB29" s="245"/>
      <c r="ZC29" s="245"/>
      <c r="ZD29" s="246"/>
      <c r="ZE29" s="244"/>
      <c r="ZF29" s="245"/>
      <c r="ZG29" s="245"/>
      <c r="ZH29" s="245"/>
      <c r="ZI29" s="246"/>
      <c r="ZJ29" s="244"/>
      <c r="ZK29" s="245"/>
      <c r="ZL29" s="245"/>
      <c r="ZM29" s="245"/>
      <c r="ZN29" s="246"/>
      <c r="ZO29" s="244"/>
      <c r="ZP29" s="245"/>
      <c r="ZQ29" s="245"/>
      <c r="ZR29" s="245"/>
      <c r="ZS29" s="246"/>
      <c r="ZT29" s="244"/>
      <c r="ZU29" s="245"/>
      <c r="ZV29" s="245"/>
      <c r="ZW29" s="245"/>
      <c r="ZX29" s="246"/>
      <c r="ZY29" s="244"/>
      <c r="ZZ29" s="245"/>
      <c r="AAA29" s="245"/>
      <c r="AAB29" s="245"/>
      <c r="AAC29" s="246"/>
      <c r="AAD29" s="244"/>
      <c r="AAE29" s="245"/>
      <c r="AAF29" s="245"/>
      <c r="AAG29" s="245"/>
      <c r="AAH29" s="246"/>
      <c r="AAI29" s="244"/>
      <c r="AAJ29" s="245"/>
      <c r="AAK29" s="245"/>
      <c r="AAL29" s="245"/>
      <c r="AAM29" s="246"/>
      <c r="AAN29" s="244"/>
      <c r="AAO29" s="245"/>
      <c r="AAP29" s="245"/>
      <c r="AAQ29" s="245"/>
      <c r="AAR29" s="246"/>
      <c r="AAS29" s="244"/>
      <c r="AAT29" s="245"/>
      <c r="AAU29" s="245"/>
      <c r="AAV29" s="245"/>
      <c r="AAW29" s="246"/>
      <c r="AAX29" s="244"/>
      <c r="AAY29" s="245"/>
      <c r="AAZ29" s="245"/>
      <c r="ABA29" s="245"/>
      <c r="ABB29" s="246"/>
      <c r="ABC29" s="244"/>
      <c r="ABD29" s="245"/>
      <c r="ABE29" s="245"/>
      <c r="ABF29" s="245"/>
      <c r="ABG29" s="246"/>
      <c r="ABH29" s="244"/>
      <c r="ABI29" s="245"/>
      <c r="ABJ29" s="245"/>
      <c r="ABK29" s="245"/>
      <c r="ABL29" s="246"/>
      <c r="ABM29" s="244"/>
      <c r="ABN29" s="245"/>
      <c r="ABO29" s="245"/>
      <c r="ABP29" s="245"/>
      <c r="ABQ29" s="246"/>
      <c r="ABR29" s="244"/>
      <c r="ABS29" s="245"/>
      <c r="ABT29" s="245"/>
      <c r="ABU29" s="245"/>
      <c r="ABV29" s="246"/>
      <c r="ABW29" s="244"/>
      <c r="ABX29" s="245"/>
      <c r="ABY29" s="245"/>
      <c r="ABZ29" s="245"/>
      <c r="ACA29" s="246"/>
      <c r="ACB29" s="244"/>
      <c r="ACC29" s="245"/>
      <c r="ACD29" s="245"/>
      <c r="ACE29" s="245"/>
      <c r="ACF29" s="246"/>
      <c r="ACG29" s="244"/>
      <c r="ACH29" s="245"/>
      <c r="ACI29" s="245"/>
      <c r="ACJ29" s="245"/>
      <c r="ACK29" s="246"/>
      <c r="ACL29" s="244"/>
      <c r="ACM29" s="245"/>
      <c r="ACN29" s="245"/>
      <c r="ACO29" s="245"/>
      <c r="ACP29" s="246"/>
      <c r="ACQ29" s="244"/>
      <c r="ACR29" s="245"/>
      <c r="ACS29" s="245"/>
      <c r="ACT29" s="245"/>
      <c r="ACU29" s="246"/>
      <c r="ACV29" s="244"/>
      <c r="ACW29" s="245"/>
      <c r="ACX29" s="245"/>
      <c r="ACY29" s="245"/>
      <c r="ACZ29" s="246"/>
      <c r="ADA29" s="244"/>
      <c r="ADB29" s="245"/>
      <c r="ADC29" s="245"/>
      <c r="ADD29" s="245"/>
      <c r="ADE29" s="246"/>
      <c r="ADF29" s="244"/>
      <c r="ADG29" s="245"/>
      <c r="ADH29" s="245"/>
      <c r="ADI29" s="245"/>
      <c r="ADJ29" s="246"/>
      <c r="ADK29" s="244"/>
      <c r="ADL29" s="245"/>
      <c r="ADM29" s="245"/>
      <c r="ADN29" s="245"/>
      <c r="ADO29" s="246"/>
      <c r="ADP29" s="244"/>
      <c r="ADQ29" s="245"/>
      <c r="ADR29" s="245"/>
      <c r="ADS29" s="245"/>
      <c r="ADT29" s="246"/>
      <c r="ADU29" s="244"/>
      <c r="ADV29" s="245"/>
      <c r="ADW29" s="245"/>
      <c r="ADX29" s="245"/>
      <c r="ADY29" s="246"/>
      <c r="ADZ29" s="244"/>
      <c r="AEA29" s="245"/>
      <c r="AEB29" s="245"/>
      <c r="AEC29" s="245"/>
      <c r="AED29" s="246"/>
      <c r="AEE29" s="244"/>
      <c r="AEF29" s="245"/>
      <c r="AEG29" s="245"/>
      <c r="AEH29" s="245"/>
      <c r="AEI29" s="246"/>
      <c r="AEJ29" s="244"/>
      <c r="AEK29" s="245"/>
      <c r="AEL29" s="245"/>
      <c r="AEM29" s="245"/>
      <c r="AEN29" s="246"/>
      <c r="AEO29" s="244"/>
      <c r="AEP29" s="245"/>
      <c r="AEQ29" s="245"/>
      <c r="AER29" s="245"/>
      <c r="AES29" s="246"/>
      <c r="AET29" s="244"/>
      <c r="AEU29" s="245"/>
      <c r="AEV29" s="245"/>
      <c r="AEW29" s="245"/>
      <c r="AEX29" s="246"/>
      <c r="AEY29" s="244"/>
      <c r="AEZ29" s="245"/>
      <c r="AFA29" s="245"/>
      <c r="AFB29" s="245"/>
      <c r="AFC29" s="246"/>
      <c r="AFD29" s="244"/>
      <c r="AFE29" s="245"/>
      <c r="AFF29" s="245"/>
      <c r="AFG29" s="245"/>
      <c r="AFH29" s="246"/>
      <c r="AFI29" s="244"/>
      <c r="AFJ29" s="245"/>
      <c r="AFK29" s="245"/>
      <c r="AFL29" s="245"/>
      <c r="AFM29" s="246"/>
      <c r="AFN29" s="244"/>
      <c r="AFO29" s="245"/>
      <c r="AFP29" s="245"/>
      <c r="AFQ29" s="245"/>
      <c r="AFR29" s="246"/>
      <c r="AFS29" s="244"/>
      <c r="AFT29" s="245"/>
      <c r="AFU29" s="245"/>
      <c r="AFV29" s="245"/>
      <c r="AFW29" s="246"/>
      <c r="AFX29" s="244"/>
      <c r="AFY29" s="245"/>
      <c r="AFZ29" s="245"/>
      <c r="AGA29" s="245"/>
      <c r="AGB29" s="246"/>
      <c r="AGC29" s="244"/>
      <c r="AGD29" s="245"/>
      <c r="AGE29" s="245"/>
      <c r="AGF29" s="245"/>
      <c r="AGG29" s="246"/>
      <c r="AGH29" s="244"/>
      <c r="AGI29" s="245"/>
      <c r="AGJ29" s="245"/>
      <c r="AGK29" s="245"/>
      <c r="AGL29" s="246"/>
      <c r="AGM29" s="244"/>
      <c r="AGN29" s="245"/>
      <c r="AGO29" s="245"/>
      <c r="AGP29" s="245"/>
      <c r="AGQ29" s="246"/>
      <c r="AGR29" s="244"/>
      <c r="AGS29" s="245"/>
      <c r="AGT29" s="245"/>
      <c r="AGU29" s="245"/>
      <c r="AGV29" s="246"/>
      <c r="AGW29" s="244"/>
      <c r="AGX29" s="245"/>
      <c r="AGY29" s="245"/>
      <c r="AGZ29" s="245"/>
      <c r="AHA29" s="246"/>
      <c r="AHB29" s="244"/>
      <c r="AHC29" s="245"/>
      <c r="AHD29" s="245"/>
      <c r="AHE29" s="245"/>
      <c r="AHF29" s="246"/>
      <c r="AHG29" s="244"/>
      <c r="AHH29" s="245"/>
      <c r="AHI29" s="245"/>
      <c r="AHJ29" s="245"/>
      <c r="AHK29" s="246"/>
      <c r="AHL29" s="244"/>
      <c r="AHM29" s="245"/>
      <c r="AHN29" s="245"/>
      <c r="AHO29" s="245"/>
      <c r="AHP29" s="246"/>
      <c r="AHQ29" s="244"/>
      <c r="AHR29" s="245"/>
      <c r="AHS29" s="245"/>
      <c r="AHT29" s="245"/>
      <c r="AHU29" s="246"/>
      <c r="AHV29" s="244"/>
      <c r="AHW29" s="245"/>
      <c r="AHX29" s="245"/>
      <c r="AHY29" s="245"/>
      <c r="AHZ29" s="246"/>
      <c r="AIA29" s="244"/>
      <c r="AIB29" s="245"/>
      <c r="AIC29" s="245"/>
      <c r="AID29" s="245"/>
      <c r="AIE29" s="246"/>
      <c r="AIF29" s="244"/>
      <c r="AIG29" s="245"/>
      <c r="AIH29" s="245"/>
      <c r="AII29" s="245"/>
      <c r="AIJ29" s="246"/>
      <c r="AIK29" s="244"/>
      <c r="AIL29" s="245"/>
      <c r="AIM29" s="245"/>
      <c r="AIN29" s="245"/>
      <c r="AIO29" s="246"/>
      <c r="AIP29" s="244"/>
      <c r="AIQ29" s="245"/>
      <c r="AIR29" s="245"/>
      <c r="AIS29" s="245"/>
      <c r="AIT29" s="246"/>
      <c r="AIU29" s="244"/>
      <c r="AIV29" s="245"/>
      <c r="AIW29" s="245"/>
      <c r="AIX29" s="245"/>
      <c r="AIY29" s="246"/>
      <c r="AIZ29" s="244"/>
      <c r="AJA29" s="245"/>
      <c r="AJB29" s="245"/>
      <c r="AJC29" s="245"/>
      <c r="AJD29" s="246"/>
      <c r="AJE29" s="244"/>
      <c r="AJF29" s="245"/>
      <c r="AJG29" s="245"/>
      <c r="AJH29" s="245"/>
      <c r="AJI29" s="246"/>
      <c r="AJJ29" s="244"/>
      <c r="AJK29" s="245"/>
      <c r="AJL29" s="245"/>
      <c r="AJM29" s="245"/>
      <c r="AJN29" s="246"/>
      <c r="AJO29" s="244"/>
      <c r="AJP29" s="245"/>
      <c r="AJQ29" s="245"/>
      <c r="AJR29" s="245"/>
      <c r="AJS29" s="246"/>
      <c r="AJT29" s="244"/>
      <c r="AJU29" s="245"/>
      <c r="AJV29" s="245"/>
      <c r="AJW29" s="245"/>
      <c r="AJX29" s="246"/>
      <c r="AJY29" s="244"/>
      <c r="AJZ29" s="245"/>
      <c r="AKA29" s="245"/>
      <c r="AKB29" s="245"/>
      <c r="AKC29" s="246"/>
      <c r="AKD29" s="244"/>
      <c r="AKE29" s="245"/>
      <c r="AKF29" s="245"/>
      <c r="AKG29" s="245"/>
      <c r="AKH29" s="246"/>
      <c r="AKI29" s="244"/>
      <c r="AKJ29" s="245"/>
      <c r="AKK29" s="245"/>
      <c r="AKL29" s="245"/>
      <c r="AKM29" s="246"/>
      <c r="AKN29" s="244"/>
      <c r="AKO29" s="245"/>
      <c r="AKP29" s="245"/>
      <c r="AKQ29" s="245"/>
      <c r="AKR29" s="246"/>
      <c r="AKS29" s="244"/>
      <c r="AKT29" s="245"/>
      <c r="AKU29" s="245"/>
      <c r="AKV29" s="245"/>
      <c r="AKW29" s="246"/>
      <c r="AKX29" s="244"/>
      <c r="AKY29" s="245"/>
      <c r="AKZ29" s="245"/>
      <c r="ALA29" s="245"/>
      <c r="ALB29" s="246"/>
      <c r="ALC29" s="244"/>
      <c r="ALD29" s="245"/>
      <c r="ALE29" s="245"/>
      <c r="ALF29" s="245"/>
      <c r="ALG29" s="246"/>
      <c r="ALH29" s="244"/>
      <c r="ALI29" s="245"/>
      <c r="ALJ29" s="245"/>
      <c r="ALK29" s="245"/>
      <c r="ALL29" s="246"/>
      <c r="ALM29" s="244"/>
      <c r="ALN29" s="245"/>
      <c r="ALO29" s="245"/>
      <c r="ALP29" s="245"/>
      <c r="ALQ29" s="246"/>
      <c r="ALR29" s="244"/>
      <c r="ALS29" s="245"/>
      <c r="ALT29" s="245"/>
      <c r="ALU29" s="245"/>
      <c r="ALV29" s="246"/>
      <c r="ALW29" s="244"/>
      <c r="ALX29" s="245"/>
      <c r="ALY29" s="245"/>
      <c r="ALZ29" s="245"/>
      <c r="AMA29" s="246"/>
      <c r="AMB29" s="244"/>
      <c r="AMC29" s="245"/>
      <c r="AMD29" s="245"/>
      <c r="AME29" s="245"/>
      <c r="AMF29" s="246"/>
      <c r="AMG29" s="244"/>
      <c r="AMH29" s="245"/>
      <c r="AMI29" s="245"/>
      <c r="AMJ29" s="245"/>
      <c r="AMK29" s="246"/>
      <c r="AML29" s="244"/>
      <c r="AMM29" s="245"/>
      <c r="AMN29" s="245"/>
      <c r="AMO29" s="245"/>
      <c r="AMP29" s="246"/>
      <c r="AMQ29" s="244"/>
      <c r="AMR29" s="245"/>
      <c r="AMS29" s="245"/>
      <c r="AMT29" s="245"/>
      <c r="AMU29" s="246"/>
      <c r="AMV29" s="244"/>
      <c r="AMW29" s="245"/>
      <c r="AMX29" s="245"/>
      <c r="AMY29" s="245"/>
      <c r="AMZ29" s="246"/>
      <c r="ANA29" s="244"/>
      <c r="ANB29" s="245"/>
      <c r="ANC29" s="245"/>
      <c r="AND29" s="245"/>
      <c r="ANE29" s="246"/>
      <c r="ANF29" s="244"/>
      <c r="ANG29" s="245"/>
      <c r="ANH29" s="245"/>
      <c r="ANI29" s="245"/>
      <c r="ANJ29" s="246"/>
      <c r="ANK29" s="244"/>
      <c r="ANL29" s="245"/>
      <c r="ANM29" s="245"/>
      <c r="ANN29" s="245"/>
      <c r="ANO29" s="246"/>
      <c r="ANP29" s="244"/>
      <c r="ANQ29" s="245"/>
      <c r="ANR29" s="245"/>
      <c r="ANS29" s="245"/>
      <c r="ANT29" s="246"/>
      <c r="ANU29" s="244"/>
      <c r="ANV29" s="245"/>
      <c r="ANW29" s="245"/>
      <c r="ANX29" s="245"/>
      <c r="ANY29" s="246"/>
      <c r="ANZ29" s="244"/>
      <c r="AOA29" s="245"/>
      <c r="AOB29" s="245"/>
      <c r="AOC29" s="245"/>
      <c r="AOD29" s="246"/>
      <c r="AOE29" s="244"/>
      <c r="AOF29" s="245"/>
      <c r="AOG29" s="245"/>
      <c r="AOH29" s="245"/>
      <c r="AOI29" s="246"/>
      <c r="AOJ29" s="244"/>
      <c r="AOK29" s="245"/>
      <c r="AOL29" s="245"/>
      <c r="AOM29" s="245"/>
      <c r="AON29" s="246"/>
      <c r="AOO29" s="244"/>
      <c r="AOP29" s="245"/>
      <c r="AOQ29" s="245"/>
      <c r="AOR29" s="245"/>
      <c r="AOS29" s="246"/>
      <c r="AOT29" s="244"/>
      <c r="AOU29" s="245"/>
      <c r="AOV29" s="245"/>
      <c r="AOW29" s="245"/>
      <c r="AOX29" s="246"/>
      <c r="AOY29" s="244"/>
      <c r="AOZ29" s="245"/>
      <c r="APA29" s="245"/>
      <c r="APB29" s="245"/>
      <c r="APC29" s="246"/>
      <c r="APD29" s="244"/>
      <c r="APE29" s="245"/>
      <c r="APF29" s="245"/>
      <c r="APG29" s="245"/>
      <c r="APH29" s="246"/>
      <c r="API29" s="244"/>
      <c r="APJ29" s="245"/>
      <c r="APK29" s="245"/>
      <c r="APL29" s="245"/>
      <c r="APM29" s="246"/>
      <c r="APN29" s="244"/>
      <c r="APO29" s="245"/>
      <c r="APP29" s="245"/>
      <c r="APQ29" s="245"/>
      <c r="APR29" s="246"/>
      <c r="APS29" s="244"/>
      <c r="APT29" s="245"/>
      <c r="APU29" s="245"/>
      <c r="APV29" s="245"/>
      <c r="APW29" s="246"/>
      <c r="APX29" s="244"/>
      <c r="APY29" s="245"/>
      <c r="APZ29" s="245"/>
      <c r="AQA29" s="245"/>
      <c r="AQB29" s="246"/>
      <c r="AQC29" s="244"/>
      <c r="AQD29" s="245"/>
      <c r="AQE29" s="245"/>
      <c r="AQF29" s="245"/>
      <c r="AQG29" s="246"/>
      <c r="AQH29" s="244"/>
      <c r="AQI29" s="245"/>
      <c r="AQJ29" s="245"/>
      <c r="AQK29" s="245"/>
      <c r="AQL29" s="246"/>
      <c r="AQM29" s="244"/>
      <c r="AQN29" s="245"/>
      <c r="AQO29" s="245"/>
      <c r="AQP29" s="245"/>
      <c r="AQQ29" s="246"/>
      <c r="AQR29" s="244"/>
      <c r="AQS29" s="245"/>
      <c r="AQT29" s="245"/>
      <c r="AQU29" s="245"/>
      <c r="AQV29" s="246"/>
      <c r="AQW29" s="244"/>
      <c r="AQX29" s="245"/>
      <c r="AQY29" s="245"/>
      <c r="AQZ29" s="245"/>
      <c r="ARA29" s="246"/>
      <c r="ARB29" s="244"/>
      <c r="ARC29" s="245"/>
      <c r="ARD29" s="245"/>
      <c r="ARE29" s="245"/>
      <c r="ARF29" s="246"/>
      <c r="ARG29" s="244"/>
      <c r="ARH29" s="245"/>
      <c r="ARI29" s="245"/>
      <c r="ARJ29" s="245"/>
      <c r="ARK29" s="246"/>
      <c r="ARL29" s="244"/>
      <c r="ARM29" s="245"/>
      <c r="ARN29" s="245"/>
      <c r="ARO29" s="245"/>
      <c r="ARP29" s="246"/>
      <c r="ARQ29" s="244"/>
      <c r="ARR29" s="245"/>
      <c r="ARS29" s="245"/>
      <c r="ART29" s="245"/>
      <c r="ARU29" s="246"/>
      <c r="ARV29" s="244"/>
      <c r="ARW29" s="245"/>
      <c r="ARX29" s="245"/>
      <c r="ARY29" s="245"/>
      <c r="ARZ29" s="246"/>
      <c r="ASA29" s="244"/>
      <c r="ASB29" s="245"/>
      <c r="ASC29" s="245"/>
      <c r="ASD29" s="245"/>
      <c r="ASE29" s="246"/>
      <c r="ASF29" s="244"/>
      <c r="ASG29" s="245"/>
      <c r="ASH29" s="245"/>
      <c r="ASI29" s="245"/>
      <c r="ASJ29" s="246"/>
      <c r="ASK29" s="244"/>
      <c r="ASL29" s="245"/>
      <c r="ASM29" s="245"/>
      <c r="ASN29" s="245"/>
      <c r="ASO29" s="246"/>
      <c r="ASP29" s="244"/>
      <c r="ASQ29" s="245"/>
      <c r="ASR29" s="245"/>
      <c r="ASS29" s="245"/>
      <c r="AST29" s="246"/>
      <c r="ASU29" s="244"/>
      <c r="ASV29" s="245"/>
      <c r="ASW29" s="245"/>
      <c r="ASX29" s="245"/>
      <c r="ASY29" s="246"/>
      <c r="ASZ29" s="244"/>
      <c r="ATA29" s="245"/>
      <c r="ATB29" s="245"/>
      <c r="ATC29" s="245"/>
      <c r="ATD29" s="246"/>
      <c r="ATE29" s="244"/>
      <c r="ATF29" s="245"/>
      <c r="ATG29" s="245"/>
      <c r="ATH29" s="245"/>
      <c r="ATI29" s="246"/>
      <c r="ATJ29" s="244"/>
      <c r="ATK29" s="245"/>
      <c r="ATL29" s="245"/>
      <c r="ATM29" s="245"/>
      <c r="ATN29" s="246"/>
      <c r="ATO29" s="244"/>
      <c r="ATP29" s="245"/>
      <c r="ATQ29" s="245"/>
      <c r="ATR29" s="245"/>
      <c r="ATS29" s="246"/>
      <c r="ATT29" s="244"/>
      <c r="ATU29" s="245"/>
      <c r="ATV29" s="245"/>
      <c r="ATW29" s="245"/>
      <c r="ATX29" s="246"/>
      <c r="ATY29" s="244"/>
      <c r="ATZ29" s="245"/>
      <c r="AUA29" s="245"/>
      <c r="AUB29" s="245"/>
      <c r="AUC29" s="246"/>
      <c r="AUD29" s="244"/>
      <c r="AUE29" s="245"/>
      <c r="AUF29" s="245"/>
      <c r="AUG29" s="245"/>
      <c r="AUH29" s="246"/>
      <c r="AUI29" s="244"/>
      <c r="AUJ29" s="245"/>
      <c r="AUK29" s="245"/>
      <c r="AUL29" s="245"/>
      <c r="AUM29" s="246"/>
      <c r="AUN29" s="244"/>
      <c r="AUO29" s="245"/>
      <c r="AUP29" s="245"/>
      <c r="AUQ29" s="245"/>
      <c r="AUR29" s="246"/>
      <c r="AUS29" s="244"/>
      <c r="AUT29" s="245"/>
      <c r="AUU29" s="245"/>
      <c r="AUV29" s="245"/>
      <c r="AUW29" s="246"/>
      <c r="AUX29" s="244"/>
      <c r="AUY29" s="245"/>
      <c r="AUZ29" s="245"/>
      <c r="AVA29" s="245"/>
      <c r="AVB29" s="246"/>
      <c r="AVC29" s="244"/>
      <c r="AVD29" s="245"/>
      <c r="AVE29" s="245"/>
      <c r="AVF29" s="245"/>
      <c r="AVG29" s="246"/>
      <c r="AVH29" s="244"/>
      <c r="AVI29" s="245"/>
      <c r="AVJ29" s="245"/>
      <c r="AVK29" s="245"/>
      <c r="AVL29" s="246"/>
      <c r="AVM29" s="244"/>
      <c r="AVN29" s="245"/>
      <c r="AVO29" s="245"/>
      <c r="AVP29" s="245"/>
      <c r="AVQ29" s="246"/>
      <c r="AVR29" s="244"/>
      <c r="AVS29" s="245"/>
      <c r="AVT29" s="245"/>
      <c r="AVU29" s="245"/>
      <c r="AVV29" s="246"/>
      <c r="AVW29" s="244"/>
      <c r="AVX29" s="245"/>
      <c r="AVY29" s="245"/>
      <c r="AVZ29" s="245"/>
      <c r="AWA29" s="246"/>
      <c r="AWB29" s="244"/>
      <c r="AWC29" s="245"/>
      <c r="AWD29" s="245"/>
      <c r="AWE29" s="245"/>
      <c r="AWF29" s="246"/>
      <c r="AWG29" s="244"/>
      <c r="AWH29" s="245"/>
      <c r="AWI29" s="245"/>
      <c r="AWJ29" s="245"/>
      <c r="AWK29" s="246"/>
      <c r="AWL29" s="244"/>
      <c r="AWM29" s="245"/>
      <c r="AWN29" s="245"/>
      <c r="AWO29" s="245"/>
      <c r="AWP29" s="246"/>
      <c r="AWQ29" s="244"/>
      <c r="AWR29" s="245"/>
      <c r="AWS29" s="245"/>
      <c r="AWT29" s="245"/>
      <c r="AWU29" s="246"/>
      <c r="AWV29" s="244"/>
      <c r="AWW29" s="245"/>
      <c r="AWX29" s="245"/>
      <c r="AWY29" s="245"/>
      <c r="AWZ29" s="246"/>
      <c r="AXA29" s="244"/>
      <c r="AXB29" s="245"/>
      <c r="AXC29" s="245"/>
      <c r="AXD29" s="245"/>
      <c r="AXE29" s="246"/>
      <c r="AXF29" s="244"/>
      <c r="AXG29" s="245"/>
      <c r="AXH29" s="245"/>
      <c r="AXI29" s="245"/>
      <c r="AXJ29" s="246"/>
      <c r="AXK29" s="244"/>
      <c r="AXL29" s="245"/>
      <c r="AXM29" s="245"/>
      <c r="AXN29" s="245"/>
      <c r="AXO29" s="246"/>
      <c r="AXP29" s="244"/>
      <c r="AXQ29" s="245"/>
      <c r="AXR29" s="245"/>
      <c r="AXS29" s="245"/>
      <c r="AXT29" s="246"/>
      <c r="AXU29" s="244"/>
      <c r="AXV29" s="245"/>
      <c r="AXW29" s="245"/>
      <c r="AXX29" s="245"/>
      <c r="AXY29" s="246"/>
      <c r="AXZ29" s="244"/>
      <c r="AYA29" s="245"/>
      <c r="AYB29" s="245"/>
      <c r="AYC29" s="245"/>
      <c r="AYD29" s="246"/>
      <c r="AYE29" s="244"/>
      <c r="AYF29" s="245"/>
      <c r="AYG29" s="245"/>
      <c r="AYH29" s="245"/>
      <c r="AYI29" s="246"/>
      <c r="AYJ29" s="244"/>
      <c r="AYK29" s="245"/>
      <c r="AYL29" s="245"/>
      <c r="AYM29" s="245"/>
      <c r="AYN29" s="246"/>
      <c r="AYO29" s="244"/>
      <c r="AYP29" s="245"/>
      <c r="AYQ29" s="245"/>
      <c r="AYR29" s="245"/>
      <c r="AYS29" s="246"/>
      <c r="AYT29" s="244"/>
      <c r="AYU29" s="245"/>
      <c r="AYV29" s="245"/>
      <c r="AYW29" s="245"/>
      <c r="AYX29" s="246"/>
      <c r="AYY29" s="244"/>
      <c r="AYZ29" s="245"/>
      <c r="AZA29" s="245"/>
      <c r="AZB29" s="245"/>
      <c r="AZC29" s="246"/>
      <c r="AZD29" s="244"/>
      <c r="AZE29" s="245"/>
      <c r="AZF29" s="245"/>
      <c r="AZG29" s="245"/>
      <c r="AZH29" s="246"/>
      <c r="AZI29" s="244"/>
      <c r="AZJ29" s="245"/>
      <c r="AZK29" s="245"/>
      <c r="AZL29" s="245"/>
      <c r="AZM29" s="246"/>
      <c r="AZN29" s="244"/>
      <c r="AZO29" s="245"/>
      <c r="AZP29" s="245"/>
      <c r="AZQ29" s="245"/>
      <c r="AZR29" s="246"/>
      <c r="AZS29" s="244"/>
      <c r="AZT29" s="245"/>
      <c r="AZU29" s="245"/>
      <c r="AZV29" s="245"/>
      <c r="AZW29" s="246"/>
      <c r="AZX29" s="244"/>
      <c r="AZY29" s="245"/>
      <c r="AZZ29" s="245"/>
      <c r="BAA29" s="245"/>
      <c r="BAB29" s="246"/>
      <c r="BAC29" s="244"/>
      <c r="BAD29" s="245"/>
      <c r="BAE29" s="245"/>
      <c r="BAF29" s="245"/>
      <c r="BAG29" s="246"/>
      <c r="BAH29" s="244"/>
      <c r="BAI29" s="245"/>
      <c r="BAJ29" s="245"/>
      <c r="BAK29" s="245"/>
      <c r="BAL29" s="246"/>
      <c r="BAM29" s="244"/>
      <c r="BAN29" s="245"/>
      <c r="BAO29" s="245"/>
      <c r="BAP29" s="245"/>
      <c r="BAQ29" s="246"/>
      <c r="BAR29" s="244"/>
      <c r="BAS29" s="245"/>
      <c r="BAT29" s="245"/>
      <c r="BAU29" s="245"/>
      <c r="BAV29" s="246"/>
      <c r="BAW29" s="244"/>
      <c r="BAX29" s="245"/>
      <c r="BAY29" s="245"/>
      <c r="BAZ29" s="245"/>
      <c r="BBA29" s="246"/>
      <c r="BBB29" s="244"/>
      <c r="BBC29" s="245"/>
      <c r="BBD29" s="245"/>
      <c r="BBE29" s="245"/>
      <c r="BBF29" s="246"/>
      <c r="BBG29" s="244"/>
      <c r="BBH29" s="245"/>
      <c r="BBI29" s="245"/>
      <c r="BBJ29" s="245"/>
      <c r="BBK29" s="246"/>
      <c r="BBL29" s="244"/>
      <c r="BBM29" s="245"/>
      <c r="BBN29" s="245"/>
      <c r="BBO29" s="245"/>
      <c r="BBP29" s="246"/>
      <c r="BBQ29" s="244"/>
      <c r="BBR29" s="245"/>
      <c r="BBS29" s="245"/>
      <c r="BBT29" s="245"/>
      <c r="BBU29" s="246"/>
      <c r="BBV29" s="244"/>
      <c r="BBW29" s="245"/>
      <c r="BBX29" s="245"/>
      <c r="BBY29" s="245"/>
      <c r="BBZ29" s="246"/>
      <c r="BCA29" s="244"/>
      <c r="BCB29" s="245"/>
      <c r="BCC29" s="245"/>
      <c r="BCD29" s="245"/>
      <c r="BCE29" s="246"/>
      <c r="BCF29" s="244"/>
      <c r="BCG29" s="245"/>
      <c r="BCH29" s="245"/>
      <c r="BCI29" s="245"/>
      <c r="BCJ29" s="246"/>
      <c r="BCK29" s="244"/>
      <c r="BCL29" s="245"/>
      <c r="BCM29" s="245"/>
      <c r="BCN29" s="245"/>
      <c r="BCO29" s="246"/>
      <c r="BCP29" s="244"/>
      <c r="BCQ29" s="245"/>
      <c r="BCR29" s="245"/>
      <c r="BCS29" s="245"/>
      <c r="BCT29" s="246"/>
      <c r="BCU29" s="244"/>
      <c r="BCV29" s="245"/>
      <c r="BCW29" s="245"/>
      <c r="BCX29" s="245"/>
      <c r="BCY29" s="246"/>
      <c r="BCZ29" s="244"/>
      <c r="BDA29" s="245"/>
      <c r="BDB29" s="245"/>
      <c r="BDC29" s="245"/>
      <c r="BDD29" s="246"/>
      <c r="BDE29" s="244"/>
      <c r="BDF29" s="245"/>
      <c r="BDG29" s="245"/>
      <c r="BDH29" s="245"/>
      <c r="BDI29" s="246"/>
      <c r="BDJ29" s="244"/>
      <c r="BDK29" s="245"/>
      <c r="BDL29" s="245"/>
      <c r="BDM29" s="245"/>
      <c r="BDN29" s="246"/>
      <c r="BDO29" s="244"/>
      <c r="BDP29" s="245"/>
      <c r="BDQ29" s="245"/>
      <c r="BDR29" s="245"/>
      <c r="BDS29" s="246"/>
      <c r="BDT29" s="244"/>
      <c r="BDU29" s="245"/>
      <c r="BDV29" s="245"/>
      <c r="BDW29" s="245"/>
      <c r="BDX29" s="246"/>
      <c r="BDY29" s="244"/>
      <c r="BDZ29" s="245"/>
      <c r="BEA29" s="245"/>
      <c r="BEB29" s="245"/>
      <c r="BEC29" s="246"/>
      <c r="BED29" s="244"/>
      <c r="BEE29" s="245"/>
      <c r="BEF29" s="245"/>
      <c r="BEG29" s="245"/>
      <c r="BEH29" s="246"/>
      <c r="BEI29" s="244"/>
      <c r="BEJ29" s="245"/>
      <c r="BEK29" s="245"/>
      <c r="BEL29" s="245"/>
      <c r="BEM29" s="246"/>
      <c r="BEN29" s="244"/>
      <c r="BEO29" s="245"/>
      <c r="BEP29" s="245"/>
      <c r="BEQ29" s="245"/>
      <c r="BER29" s="246"/>
      <c r="BES29" s="244"/>
      <c r="BET29" s="245"/>
      <c r="BEU29" s="245"/>
      <c r="BEV29" s="245"/>
      <c r="BEW29" s="246"/>
      <c r="BEX29" s="244"/>
      <c r="BEY29" s="245"/>
      <c r="BEZ29" s="245"/>
      <c r="BFA29" s="245"/>
      <c r="BFB29" s="246"/>
      <c r="BFC29" s="244"/>
      <c r="BFD29" s="245"/>
      <c r="BFE29" s="245"/>
      <c r="BFF29" s="245"/>
      <c r="BFG29" s="246"/>
      <c r="BFH29" s="244"/>
      <c r="BFI29" s="245"/>
      <c r="BFJ29" s="245"/>
      <c r="BFK29" s="245"/>
      <c r="BFL29" s="246"/>
      <c r="BFM29" s="244"/>
      <c r="BFN29" s="245"/>
      <c r="BFO29" s="245"/>
      <c r="BFP29" s="245"/>
      <c r="BFQ29" s="246"/>
      <c r="BFR29" s="244"/>
      <c r="BFS29" s="245"/>
      <c r="BFT29" s="245"/>
      <c r="BFU29" s="245"/>
      <c r="BFV29" s="246"/>
      <c r="BFW29" s="244"/>
      <c r="BFX29" s="245"/>
      <c r="BFY29" s="245"/>
      <c r="BFZ29" s="245"/>
      <c r="BGA29" s="246"/>
      <c r="BGB29" s="244"/>
      <c r="BGC29" s="245"/>
      <c r="BGD29" s="245"/>
      <c r="BGE29" s="245"/>
      <c r="BGF29" s="246"/>
      <c r="BGG29" s="244"/>
      <c r="BGH29" s="245"/>
      <c r="BGI29" s="245"/>
      <c r="BGJ29" s="245"/>
      <c r="BGK29" s="246"/>
      <c r="BGL29" s="244"/>
      <c r="BGM29" s="245"/>
      <c r="BGN29" s="245"/>
      <c r="BGO29" s="245"/>
      <c r="BGP29" s="246"/>
      <c r="BGQ29" s="244"/>
      <c r="BGR29" s="245"/>
      <c r="BGS29" s="245"/>
      <c r="BGT29" s="245"/>
      <c r="BGU29" s="246"/>
      <c r="BGV29" s="244"/>
      <c r="BGW29" s="245"/>
      <c r="BGX29" s="245"/>
      <c r="BGY29" s="245"/>
      <c r="BGZ29" s="246"/>
      <c r="BHA29" s="244"/>
      <c r="BHB29" s="245"/>
      <c r="BHC29" s="245"/>
      <c r="BHD29" s="245"/>
      <c r="BHE29" s="246"/>
      <c r="BHF29" s="244"/>
      <c r="BHG29" s="245"/>
      <c r="BHH29" s="245"/>
      <c r="BHI29" s="245"/>
      <c r="BHJ29" s="246"/>
      <c r="BHK29" s="244"/>
      <c r="BHL29" s="245"/>
      <c r="BHM29" s="245"/>
      <c r="BHN29" s="245"/>
      <c r="BHO29" s="246"/>
      <c r="BHP29" s="244"/>
      <c r="BHQ29" s="245"/>
      <c r="BHR29" s="245"/>
      <c r="BHS29" s="245"/>
      <c r="BHT29" s="246"/>
      <c r="BHU29" s="244"/>
      <c r="BHV29" s="245"/>
      <c r="BHW29" s="245"/>
      <c r="BHX29" s="245"/>
      <c r="BHY29" s="246"/>
      <c r="BHZ29" s="244"/>
      <c r="BIA29" s="245"/>
      <c r="BIB29" s="245"/>
      <c r="BIC29" s="245"/>
      <c r="BID29" s="246"/>
      <c r="BIE29" s="244"/>
      <c r="BIF29" s="245"/>
      <c r="BIG29" s="245"/>
      <c r="BIH29" s="245"/>
      <c r="BII29" s="246"/>
      <c r="BIJ29" s="244"/>
      <c r="BIK29" s="245"/>
      <c r="BIL29" s="245"/>
      <c r="BIM29" s="245"/>
      <c r="BIN29" s="246"/>
      <c r="BIO29" s="244"/>
      <c r="BIP29" s="245"/>
      <c r="BIQ29" s="245"/>
      <c r="BIR29" s="245"/>
      <c r="BIS29" s="246"/>
      <c r="BIT29" s="244"/>
      <c r="BIU29" s="245"/>
      <c r="BIV29" s="245"/>
      <c r="BIW29" s="245"/>
      <c r="BIX29" s="246"/>
      <c r="BIY29" s="244"/>
      <c r="BIZ29" s="245"/>
      <c r="BJA29" s="245"/>
      <c r="BJB29" s="245"/>
      <c r="BJC29" s="246"/>
      <c r="BJD29" s="244"/>
      <c r="BJE29" s="245"/>
      <c r="BJF29" s="245"/>
      <c r="BJG29" s="245"/>
      <c r="BJH29" s="246"/>
      <c r="BJI29" s="244"/>
      <c r="BJJ29" s="245"/>
      <c r="BJK29" s="245"/>
      <c r="BJL29" s="245"/>
      <c r="BJM29" s="246"/>
      <c r="BJN29" s="244"/>
      <c r="BJO29" s="245"/>
      <c r="BJP29" s="245"/>
      <c r="BJQ29" s="245"/>
      <c r="BJR29" s="246"/>
      <c r="BJS29" s="244"/>
      <c r="BJT29" s="245"/>
      <c r="BJU29" s="245"/>
      <c r="BJV29" s="245"/>
      <c r="BJW29" s="246"/>
      <c r="BJX29" s="244"/>
      <c r="BJY29" s="245"/>
      <c r="BJZ29" s="245"/>
      <c r="BKA29" s="245"/>
      <c r="BKB29" s="246"/>
      <c r="BKC29" s="244"/>
      <c r="BKD29" s="245"/>
      <c r="BKE29" s="245"/>
      <c r="BKF29" s="245"/>
      <c r="BKG29" s="246"/>
      <c r="BKH29" s="244"/>
      <c r="BKI29" s="245"/>
      <c r="BKJ29" s="245"/>
      <c r="BKK29" s="245"/>
      <c r="BKL29" s="246"/>
      <c r="BKM29" s="244"/>
      <c r="BKN29" s="245"/>
      <c r="BKO29" s="245"/>
      <c r="BKP29" s="245"/>
      <c r="BKQ29" s="246"/>
      <c r="BKR29" s="244"/>
      <c r="BKS29" s="245"/>
      <c r="BKT29" s="245"/>
      <c r="BKU29" s="245"/>
      <c r="BKV29" s="246"/>
      <c r="BKW29" s="244"/>
      <c r="BKX29" s="245"/>
      <c r="BKY29" s="245"/>
      <c r="BKZ29" s="245"/>
      <c r="BLA29" s="246"/>
      <c r="BLB29" s="244"/>
      <c r="BLC29" s="245"/>
      <c r="BLD29" s="245"/>
      <c r="BLE29" s="245"/>
      <c r="BLF29" s="246"/>
      <c r="BLG29" s="244"/>
      <c r="BLH29" s="245"/>
      <c r="BLI29" s="245"/>
      <c r="BLJ29" s="245"/>
      <c r="BLK29" s="246"/>
      <c r="BLL29" s="244"/>
      <c r="BLM29" s="245"/>
      <c r="BLN29" s="245"/>
      <c r="BLO29" s="245"/>
      <c r="BLP29" s="246"/>
      <c r="BLQ29" s="244"/>
      <c r="BLR29" s="245"/>
      <c r="BLS29" s="245"/>
      <c r="BLT29" s="245"/>
      <c r="BLU29" s="246"/>
      <c r="BLV29" s="244"/>
      <c r="BLW29" s="245"/>
      <c r="BLX29" s="245"/>
      <c r="BLY29" s="245"/>
      <c r="BLZ29" s="246"/>
      <c r="BMA29" s="244"/>
      <c r="BMB29" s="245"/>
      <c r="BMC29" s="245"/>
      <c r="BMD29" s="245"/>
      <c r="BME29" s="246"/>
      <c r="BMF29" s="244"/>
      <c r="BMG29" s="245"/>
      <c r="BMH29" s="245"/>
      <c r="BMI29" s="245"/>
      <c r="BMJ29" s="246"/>
      <c r="BMK29" s="244"/>
      <c r="BML29" s="245"/>
      <c r="BMM29" s="245"/>
      <c r="BMN29" s="245"/>
      <c r="BMO29" s="246"/>
      <c r="BMP29" s="244"/>
      <c r="BMQ29" s="245"/>
      <c r="BMR29" s="245"/>
      <c r="BMS29" s="245"/>
      <c r="BMT29" s="246"/>
      <c r="BMU29" s="244"/>
      <c r="BMV29" s="245"/>
      <c r="BMW29" s="245"/>
      <c r="BMX29" s="245"/>
      <c r="BMY29" s="246"/>
      <c r="BMZ29" s="244"/>
      <c r="BNA29" s="245"/>
      <c r="BNB29" s="245"/>
      <c r="BNC29" s="245"/>
      <c r="BND29" s="246"/>
      <c r="BNE29" s="244"/>
      <c r="BNF29" s="245"/>
      <c r="BNG29" s="245"/>
      <c r="BNH29" s="245"/>
      <c r="BNI29" s="246"/>
      <c r="BNJ29" s="244"/>
      <c r="BNK29" s="245"/>
      <c r="BNL29" s="245"/>
      <c r="BNM29" s="245"/>
      <c r="BNN29" s="246"/>
      <c r="BNO29" s="244"/>
      <c r="BNP29" s="245"/>
      <c r="BNQ29" s="245"/>
      <c r="BNR29" s="245"/>
      <c r="BNS29" s="246"/>
      <c r="BNT29" s="244"/>
      <c r="BNU29" s="245"/>
      <c r="BNV29" s="245"/>
      <c r="BNW29" s="245"/>
      <c r="BNX29" s="246"/>
      <c r="BNY29" s="244"/>
      <c r="BNZ29" s="245"/>
      <c r="BOA29" s="245"/>
      <c r="BOB29" s="245"/>
      <c r="BOC29" s="246"/>
      <c r="BOD29" s="244"/>
      <c r="BOE29" s="245"/>
      <c r="BOF29" s="245"/>
      <c r="BOG29" s="245"/>
      <c r="BOH29" s="246"/>
      <c r="BOI29" s="244"/>
      <c r="BOJ29" s="245"/>
      <c r="BOK29" s="245"/>
      <c r="BOL29" s="245"/>
      <c r="BOM29" s="246"/>
      <c r="BON29" s="244"/>
      <c r="BOO29" s="245"/>
      <c r="BOP29" s="245"/>
      <c r="BOQ29" s="245"/>
      <c r="BOR29" s="246"/>
      <c r="BOS29" s="244"/>
      <c r="BOT29" s="245"/>
      <c r="BOU29" s="245"/>
      <c r="BOV29" s="245"/>
      <c r="BOW29" s="246"/>
      <c r="BOX29" s="244"/>
      <c r="BOY29" s="245"/>
      <c r="BOZ29" s="245"/>
      <c r="BPA29" s="245"/>
      <c r="BPB29" s="246"/>
      <c r="BPC29" s="244"/>
      <c r="BPD29" s="245"/>
      <c r="BPE29" s="245"/>
      <c r="BPF29" s="245"/>
      <c r="BPG29" s="246"/>
      <c r="BPH29" s="244"/>
      <c r="BPI29" s="245"/>
      <c r="BPJ29" s="245"/>
      <c r="BPK29" s="245"/>
      <c r="BPL29" s="246"/>
      <c r="BPM29" s="244"/>
      <c r="BPN29" s="245"/>
      <c r="BPO29" s="245"/>
      <c r="BPP29" s="245"/>
      <c r="BPQ29" s="246"/>
      <c r="BPR29" s="244"/>
      <c r="BPS29" s="245"/>
      <c r="BPT29" s="245"/>
      <c r="BPU29" s="245"/>
      <c r="BPV29" s="246"/>
      <c r="BPW29" s="244"/>
      <c r="BPX29" s="245"/>
      <c r="BPY29" s="245"/>
      <c r="BPZ29" s="245"/>
      <c r="BQA29" s="246"/>
      <c r="BQB29" s="244"/>
      <c r="BQC29" s="245"/>
      <c r="BQD29" s="245"/>
      <c r="BQE29" s="245"/>
      <c r="BQF29" s="246"/>
      <c r="BQG29" s="244"/>
      <c r="BQH29" s="245"/>
      <c r="BQI29" s="245"/>
      <c r="BQJ29" s="245"/>
      <c r="BQK29" s="246"/>
      <c r="BQL29" s="244"/>
      <c r="BQM29" s="245"/>
      <c r="BQN29" s="245"/>
      <c r="BQO29" s="245"/>
      <c r="BQP29" s="246"/>
      <c r="BQQ29" s="244"/>
      <c r="BQR29" s="245"/>
      <c r="BQS29" s="245"/>
      <c r="BQT29" s="245"/>
      <c r="BQU29" s="246"/>
      <c r="BQV29" s="244"/>
      <c r="BQW29" s="245"/>
      <c r="BQX29" s="245"/>
      <c r="BQY29" s="245"/>
      <c r="BQZ29" s="246"/>
      <c r="BRA29" s="244"/>
      <c r="BRB29" s="245"/>
      <c r="BRC29" s="245"/>
      <c r="BRD29" s="245"/>
      <c r="BRE29" s="246"/>
      <c r="BRF29" s="244"/>
      <c r="BRG29" s="245"/>
      <c r="BRH29" s="245"/>
      <c r="BRI29" s="245"/>
      <c r="BRJ29" s="246"/>
      <c r="BRK29" s="244"/>
      <c r="BRL29" s="245"/>
      <c r="BRM29" s="245"/>
      <c r="BRN29" s="245"/>
      <c r="BRO29" s="246"/>
      <c r="BRP29" s="244"/>
      <c r="BRQ29" s="245"/>
      <c r="BRR29" s="245"/>
      <c r="BRS29" s="245"/>
      <c r="BRT29" s="246"/>
      <c r="BRU29" s="244"/>
      <c r="BRV29" s="245"/>
      <c r="BRW29" s="245"/>
      <c r="BRX29" s="245"/>
      <c r="BRY29" s="246"/>
      <c r="BRZ29" s="244"/>
      <c r="BSA29" s="245"/>
      <c r="BSB29" s="245"/>
      <c r="BSC29" s="245"/>
      <c r="BSD29" s="246"/>
      <c r="BSE29" s="244"/>
      <c r="BSF29" s="245"/>
      <c r="BSG29" s="245"/>
      <c r="BSH29" s="245"/>
      <c r="BSI29" s="246"/>
      <c r="BSJ29" s="244"/>
      <c r="BSK29" s="245"/>
      <c r="BSL29" s="245"/>
      <c r="BSM29" s="245"/>
      <c r="BSN29" s="246"/>
      <c r="BSO29" s="244"/>
      <c r="BSP29" s="245"/>
      <c r="BSQ29" s="245"/>
      <c r="BSR29" s="245"/>
      <c r="BSS29" s="246"/>
      <c r="BST29" s="244"/>
      <c r="BSU29" s="245"/>
      <c r="BSV29" s="245"/>
      <c r="BSW29" s="245"/>
      <c r="BSX29" s="246"/>
      <c r="BSY29" s="244"/>
      <c r="BSZ29" s="245"/>
      <c r="BTA29" s="245"/>
      <c r="BTB29" s="245"/>
      <c r="BTC29" s="246"/>
      <c r="BTD29" s="244"/>
      <c r="BTE29" s="245"/>
      <c r="BTF29" s="245"/>
      <c r="BTG29" s="245"/>
      <c r="BTH29" s="246"/>
      <c r="BTI29" s="244"/>
      <c r="BTJ29" s="245"/>
      <c r="BTK29" s="245"/>
      <c r="BTL29" s="245"/>
      <c r="BTM29" s="246"/>
      <c r="BTN29" s="244"/>
      <c r="BTO29" s="245"/>
      <c r="BTP29" s="245"/>
      <c r="BTQ29" s="245"/>
      <c r="BTR29" s="246"/>
      <c r="BTS29" s="244"/>
      <c r="BTT29" s="245"/>
      <c r="BTU29" s="245"/>
      <c r="BTV29" s="245"/>
      <c r="BTW29" s="246"/>
      <c r="BTX29" s="244"/>
      <c r="BTY29" s="245"/>
      <c r="BTZ29" s="245"/>
      <c r="BUA29" s="245"/>
      <c r="BUB29" s="246"/>
      <c r="BUC29" s="244"/>
      <c r="BUD29" s="245"/>
      <c r="BUE29" s="245"/>
      <c r="BUF29" s="245"/>
      <c r="BUG29" s="246"/>
      <c r="BUH29" s="244"/>
      <c r="BUI29" s="245"/>
      <c r="BUJ29" s="245"/>
      <c r="BUK29" s="245"/>
      <c r="BUL29" s="246"/>
      <c r="BUM29" s="244"/>
      <c r="BUN29" s="245"/>
      <c r="BUO29" s="245"/>
      <c r="BUP29" s="245"/>
      <c r="BUQ29" s="246"/>
      <c r="BUR29" s="244"/>
      <c r="BUS29" s="245"/>
      <c r="BUT29" s="245"/>
      <c r="BUU29" s="245"/>
      <c r="BUV29" s="246"/>
      <c r="BUW29" s="244"/>
      <c r="BUX29" s="245"/>
      <c r="BUY29" s="245"/>
      <c r="BUZ29" s="245"/>
      <c r="BVA29" s="246"/>
      <c r="BVB29" s="244"/>
      <c r="BVC29" s="245"/>
      <c r="BVD29" s="245"/>
      <c r="BVE29" s="245"/>
      <c r="BVF29" s="246"/>
      <c r="BVG29" s="244"/>
      <c r="BVH29" s="245"/>
      <c r="BVI29" s="245"/>
      <c r="BVJ29" s="245"/>
      <c r="BVK29" s="246"/>
      <c r="BVL29" s="244"/>
      <c r="BVM29" s="245"/>
      <c r="BVN29" s="245"/>
      <c r="BVO29" s="245"/>
      <c r="BVP29" s="246"/>
      <c r="BVQ29" s="244"/>
      <c r="BVR29" s="245"/>
      <c r="BVS29" s="245"/>
      <c r="BVT29" s="245"/>
      <c r="BVU29" s="246"/>
      <c r="BVV29" s="244"/>
      <c r="BVW29" s="245"/>
      <c r="BVX29" s="245"/>
      <c r="BVY29" s="245"/>
      <c r="BVZ29" s="246"/>
      <c r="BWA29" s="244"/>
      <c r="BWB29" s="245"/>
      <c r="BWC29" s="245"/>
      <c r="BWD29" s="245"/>
      <c r="BWE29" s="246"/>
      <c r="BWF29" s="244"/>
      <c r="BWG29" s="245"/>
      <c r="BWH29" s="245"/>
      <c r="BWI29" s="245"/>
      <c r="BWJ29" s="246"/>
      <c r="BWK29" s="244"/>
      <c r="BWL29" s="245"/>
      <c r="BWM29" s="245"/>
      <c r="BWN29" s="245"/>
      <c r="BWO29" s="246"/>
      <c r="BWP29" s="244"/>
      <c r="BWQ29" s="245"/>
      <c r="BWR29" s="245"/>
      <c r="BWS29" s="245"/>
      <c r="BWT29" s="246"/>
      <c r="BWU29" s="244"/>
      <c r="BWV29" s="245"/>
      <c r="BWW29" s="245"/>
      <c r="BWX29" s="245"/>
      <c r="BWY29" s="246"/>
      <c r="BWZ29" s="244"/>
      <c r="BXA29" s="245"/>
      <c r="BXB29" s="245"/>
      <c r="BXC29" s="245"/>
      <c r="BXD29" s="246"/>
      <c r="BXE29" s="244"/>
      <c r="BXF29" s="245"/>
      <c r="BXG29" s="245"/>
      <c r="BXH29" s="245"/>
      <c r="BXI29" s="246"/>
      <c r="BXJ29" s="244"/>
      <c r="BXK29" s="245"/>
      <c r="BXL29" s="245"/>
      <c r="BXM29" s="245"/>
      <c r="BXN29" s="246"/>
      <c r="BXO29" s="244"/>
      <c r="BXP29" s="245"/>
      <c r="BXQ29" s="245"/>
      <c r="BXR29" s="245"/>
      <c r="BXS29" s="246"/>
      <c r="BXT29" s="244"/>
      <c r="BXU29" s="245"/>
      <c r="BXV29" s="245"/>
      <c r="BXW29" s="245"/>
      <c r="BXX29" s="246"/>
      <c r="BXY29" s="244"/>
      <c r="BXZ29" s="245"/>
      <c r="BYA29" s="245"/>
      <c r="BYB29" s="245"/>
      <c r="BYC29" s="246"/>
      <c r="BYD29" s="244"/>
      <c r="BYE29" s="245"/>
      <c r="BYF29" s="245"/>
      <c r="BYG29" s="245"/>
      <c r="BYH29" s="246"/>
      <c r="BYI29" s="244"/>
      <c r="BYJ29" s="245"/>
      <c r="BYK29" s="245"/>
      <c r="BYL29" s="245"/>
      <c r="BYM29" s="246"/>
      <c r="BYN29" s="244"/>
      <c r="BYO29" s="245"/>
      <c r="BYP29" s="245"/>
      <c r="BYQ29" s="245"/>
      <c r="BYR29" s="246"/>
      <c r="BYS29" s="244"/>
      <c r="BYT29" s="245"/>
      <c r="BYU29" s="245"/>
      <c r="BYV29" s="245"/>
      <c r="BYW29" s="246"/>
      <c r="BYX29" s="244"/>
      <c r="BYY29" s="245"/>
      <c r="BYZ29" s="245"/>
      <c r="BZA29" s="245"/>
      <c r="BZB29" s="246"/>
      <c r="BZC29" s="244"/>
      <c r="BZD29" s="245"/>
      <c r="BZE29" s="245"/>
      <c r="BZF29" s="245"/>
      <c r="BZG29" s="246"/>
      <c r="BZH29" s="244"/>
      <c r="BZI29" s="245"/>
      <c r="BZJ29" s="245"/>
      <c r="BZK29" s="245"/>
      <c r="BZL29" s="246"/>
      <c r="BZM29" s="244"/>
      <c r="BZN29" s="245"/>
      <c r="BZO29" s="245"/>
      <c r="BZP29" s="245"/>
      <c r="BZQ29" s="246"/>
      <c r="BZR29" s="244"/>
      <c r="BZS29" s="245"/>
      <c r="BZT29" s="245"/>
      <c r="BZU29" s="245"/>
      <c r="BZV29" s="246"/>
      <c r="BZW29" s="244"/>
      <c r="BZX29" s="245"/>
      <c r="BZY29" s="245"/>
      <c r="BZZ29" s="245"/>
      <c r="CAA29" s="246"/>
      <c r="CAB29" s="244"/>
      <c r="CAC29" s="245"/>
      <c r="CAD29" s="245"/>
      <c r="CAE29" s="245"/>
      <c r="CAF29" s="246"/>
      <c r="CAG29" s="244"/>
      <c r="CAH29" s="245"/>
      <c r="CAI29" s="245"/>
      <c r="CAJ29" s="245"/>
      <c r="CAK29" s="246"/>
      <c r="CAL29" s="244"/>
      <c r="CAM29" s="245"/>
      <c r="CAN29" s="245"/>
      <c r="CAO29" s="245"/>
      <c r="CAP29" s="246"/>
      <c r="CAQ29" s="244"/>
      <c r="CAR29" s="245"/>
      <c r="CAS29" s="245"/>
      <c r="CAT29" s="245"/>
      <c r="CAU29" s="246"/>
      <c r="CAV29" s="244"/>
      <c r="CAW29" s="245"/>
      <c r="CAX29" s="245"/>
      <c r="CAY29" s="245"/>
      <c r="CAZ29" s="246"/>
      <c r="CBA29" s="244"/>
      <c r="CBB29" s="245"/>
      <c r="CBC29" s="245"/>
      <c r="CBD29" s="245"/>
      <c r="CBE29" s="246"/>
      <c r="CBF29" s="244"/>
      <c r="CBG29" s="245"/>
      <c r="CBH29" s="245"/>
      <c r="CBI29" s="245"/>
      <c r="CBJ29" s="246"/>
      <c r="CBK29" s="244"/>
      <c r="CBL29" s="245"/>
      <c r="CBM29" s="245"/>
      <c r="CBN29" s="245"/>
      <c r="CBO29" s="246"/>
      <c r="CBP29" s="244"/>
      <c r="CBQ29" s="245"/>
      <c r="CBR29" s="245"/>
      <c r="CBS29" s="245"/>
      <c r="CBT29" s="246"/>
      <c r="CBU29" s="244"/>
      <c r="CBV29" s="245"/>
      <c r="CBW29" s="245"/>
      <c r="CBX29" s="245"/>
      <c r="CBY29" s="246"/>
      <c r="CBZ29" s="244"/>
      <c r="CCA29" s="245"/>
      <c r="CCB29" s="245"/>
      <c r="CCC29" s="245"/>
      <c r="CCD29" s="246"/>
      <c r="CCE29" s="244"/>
      <c r="CCF29" s="245"/>
      <c r="CCG29" s="245"/>
      <c r="CCH29" s="245"/>
      <c r="CCI29" s="246"/>
      <c r="CCJ29" s="244"/>
      <c r="CCK29" s="245"/>
      <c r="CCL29" s="245"/>
      <c r="CCM29" s="245"/>
      <c r="CCN29" s="246"/>
      <c r="CCO29" s="244"/>
      <c r="CCP29" s="245"/>
      <c r="CCQ29" s="245"/>
      <c r="CCR29" s="245"/>
      <c r="CCS29" s="246"/>
      <c r="CCT29" s="244"/>
      <c r="CCU29" s="245"/>
      <c r="CCV29" s="245"/>
      <c r="CCW29" s="245"/>
      <c r="CCX29" s="246"/>
      <c r="CCY29" s="244"/>
      <c r="CCZ29" s="245"/>
      <c r="CDA29" s="245"/>
      <c r="CDB29" s="245"/>
      <c r="CDC29" s="246"/>
      <c r="CDD29" s="244"/>
      <c r="CDE29" s="245"/>
      <c r="CDF29" s="245"/>
      <c r="CDG29" s="245"/>
      <c r="CDH29" s="246"/>
      <c r="CDI29" s="244"/>
      <c r="CDJ29" s="245"/>
      <c r="CDK29" s="245"/>
      <c r="CDL29" s="245"/>
      <c r="CDM29" s="246"/>
      <c r="CDN29" s="244"/>
      <c r="CDO29" s="245"/>
      <c r="CDP29" s="245"/>
      <c r="CDQ29" s="245"/>
      <c r="CDR29" s="246"/>
      <c r="CDS29" s="244"/>
      <c r="CDT29" s="245"/>
      <c r="CDU29" s="245"/>
      <c r="CDV29" s="245"/>
      <c r="CDW29" s="246"/>
      <c r="CDX29" s="244"/>
      <c r="CDY29" s="245"/>
      <c r="CDZ29" s="245"/>
      <c r="CEA29" s="245"/>
      <c r="CEB29" s="246"/>
      <c r="CEC29" s="244"/>
      <c r="CED29" s="245"/>
      <c r="CEE29" s="245"/>
      <c r="CEF29" s="245"/>
      <c r="CEG29" s="246"/>
      <c r="CEH29" s="244"/>
      <c r="CEI29" s="245"/>
      <c r="CEJ29" s="245"/>
      <c r="CEK29" s="245"/>
      <c r="CEL29" s="246"/>
      <c r="CEM29" s="244"/>
      <c r="CEN29" s="245"/>
      <c r="CEO29" s="245"/>
      <c r="CEP29" s="245"/>
      <c r="CEQ29" s="246"/>
      <c r="CER29" s="244"/>
      <c r="CES29" s="245"/>
      <c r="CET29" s="245"/>
      <c r="CEU29" s="245"/>
      <c r="CEV29" s="246"/>
      <c r="CEW29" s="244"/>
      <c r="CEX29" s="245"/>
      <c r="CEY29" s="245"/>
      <c r="CEZ29" s="245"/>
      <c r="CFA29" s="246"/>
      <c r="CFB29" s="244"/>
      <c r="CFC29" s="245"/>
      <c r="CFD29" s="245"/>
      <c r="CFE29" s="245"/>
      <c r="CFF29" s="246"/>
      <c r="CFG29" s="244"/>
      <c r="CFH29" s="245"/>
      <c r="CFI29" s="245"/>
      <c r="CFJ29" s="245"/>
      <c r="CFK29" s="246"/>
      <c r="CFL29" s="244"/>
      <c r="CFM29" s="245"/>
      <c r="CFN29" s="245"/>
      <c r="CFO29" s="245"/>
      <c r="CFP29" s="246"/>
      <c r="CFQ29" s="244"/>
      <c r="CFR29" s="245"/>
      <c r="CFS29" s="245"/>
      <c r="CFT29" s="245"/>
      <c r="CFU29" s="246"/>
      <c r="CFV29" s="244"/>
      <c r="CFW29" s="245"/>
      <c r="CFX29" s="245"/>
      <c r="CFY29" s="245"/>
      <c r="CFZ29" s="246"/>
      <c r="CGA29" s="244"/>
      <c r="CGB29" s="245"/>
      <c r="CGC29" s="245"/>
      <c r="CGD29" s="245"/>
      <c r="CGE29" s="246"/>
      <c r="CGF29" s="244"/>
      <c r="CGG29" s="245"/>
      <c r="CGH29" s="245"/>
      <c r="CGI29" s="245"/>
      <c r="CGJ29" s="246"/>
      <c r="CGK29" s="244"/>
      <c r="CGL29" s="245"/>
      <c r="CGM29" s="245"/>
      <c r="CGN29" s="245"/>
      <c r="CGO29" s="246"/>
      <c r="CGP29" s="244"/>
      <c r="CGQ29" s="245"/>
      <c r="CGR29" s="245"/>
      <c r="CGS29" s="245"/>
      <c r="CGT29" s="246"/>
      <c r="CGU29" s="244"/>
      <c r="CGV29" s="245"/>
      <c r="CGW29" s="245"/>
      <c r="CGX29" s="245"/>
      <c r="CGY29" s="246"/>
      <c r="CGZ29" s="244"/>
      <c r="CHA29" s="245"/>
      <c r="CHB29" s="245"/>
      <c r="CHC29" s="245"/>
      <c r="CHD29" s="246"/>
      <c r="CHE29" s="244"/>
      <c r="CHF29" s="245"/>
      <c r="CHG29" s="245"/>
      <c r="CHH29" s="245"/>
      <c r="CHI29" s="246"/>
      <c r="CHJ29" s="244"/>
      <c r="CHK29" s="245"/>
      <c r="CHL29" s="245"/>
      <c r="CHM29" s="245"/>
      <c r="CHN29" s="246"/>
      <c r="CHO29" s="244"/>
      <c r="CHP29" s="245"/>
      <c r="CHQ29" s="245"/>
      <c r="CHR29" s="245"/>
      <c r="CHS29" s="246"/>
      <c r="CHT29" s="244"/>
      <c r="CHU29" s="245"/>
      <c r="CHV29" s="245"/>
      <c r="CHW29" s="245"/>
      <c r="CHX29" s="246"/>
      <c r="CHY29" s="244"/>
      <c r="CHZ29" s="245"/>
      <c r="CIA29" s="245"/>
      <c r="CIB29" s="245"/>
      <c r="CIC29" s="246"/>
      <c r="CID29" s="244"/>
      <c r="CIE29" s="245"/>
      <c r="CIF29" s="245"/>
      <c r="CIG29" s="245"/>
      <c r="CIH29" s="246"/>
      <c r="CII29" s="244"/>
      <c r="CIJ29" s="245"/>
      <c r="CIK29" s="245"/>
      <c r="CIL29" s="245"/>
      <c r="CIM29" s="246"/>
      <c r="CIN29" s="244"/>
      <c r="CIO29" s="245"/>
      <c r="CIP29" s="245"/>
      <c r="CIQ29" s="245"/>
      <c r="CIR29" s="246"/>
      <c r="CIS29" s="244"/>
      <c r="CIT29" s="245"/>
      <c r="CIU29" s="245"/>
      <c r="CIV29" s="245"/>
      <c r="CIW29" s="246"/>
      <c r="CIX29" s="244"/>
      <c r="CIY29" s="245"/>
      <c r="CIZ29" s="245"/>
      <c r="CJA29" s="245"/>
      <c r="CJB29" s="246"/>
      <c r="CJC29" s="244"/>
      <c r="CJD29" s="245"/>
      <c r="CJE29" s="245"/>
      <c r="CJF29" s="245"/>
      <c r="CJG29" s="246"/>
      <c r="CJH29" s="244"/>
      <c r="CJI29" s="245"/>
      <c r="CJJ29" s="245"/>
      <c r="CJK29" s="245"/>
      <c r="CJL29" s="246"/>
      <c r="CJM29" s="244"/>
      <c r="CJN29" s="245"/>
      <c r="CJO29" s="245"/>
      <c r="CJP29" s="245"/>
      <c r="CJQ29" s="246"/>
      <c r="CJR29" s="244"/>
      <c r="CJS29" s="245"/>
      <c r="CJT29" s="245"/>
      <c r="CJU29" s="245"/>
      <c r="CJV29" s="246"/>
      <c r="CJW29" s="244"/>
      <c r="CJX29" s="245"/>
      <c r="CJY29" s="245"/>
      <c r="CJZ29" s="245"/>
      <c r="CKA29" s="246"/>
      <c r="CKB29" s="244"/>
      <c r="CKC29" s="245"/>
      <c r="CKD29" s="245"/>
      <c r="CKE29" s="245"/>
      <c r="CKF29" s="246"/>
      <c r="CKG29" s="244"/>
      <c r="CKH29" s="245"/>
      <c r="CKI29" s="245"/>
      <c r="CKJ29" s="245"/>
      <c r="CKK29" s="246"/>
      <c r="CKL29" s="244"/>
      <c r="CKM29" s="245"/>
      <c r="CKN29" s="245"/>
      <c r="CKO29" s="245"/>
      <c r="CKP29" s="246"/>
      <c r="CKQ29" s="244"/>
      <c r="CKR29" s="245"/>
      <c r="CKS29" s="245"/>
      <c r="CKT29" s="245"/>
      <c r="CKU29" s="246"/>
      <c r="CKV29" s="244"/>
      <c r="CKW29" s="245"/>
      <c r="CKX29" s="245"/>
      <c r="CKY29" s="245"/>
      <c r="CKZ29" s="246"/>
      <c r="CLA29" s="244"/>
      <c r="CLB29" s="245"/>
      <c r="CLC29" s="245"/>
      <c r="CLD29" s="245"/>
      <c r="CLE29" s="246"/>
      <c r="CLF29" s="244"/>
      <c r="CLG29" s="245"/>
      <c r="CLH29" s="245"/>
      <c r="CLI29" s="245"/>
      <c r="CLJ29" s="246"/>
      <c r="CLK29" s="244"/>
      <c r="CLL29" s="245"/>
      <c r="CLM29" s="245"/>
      <c r="CLN29" s="245"/>
      <c r="CLO29" s="246"/>
      <c r="CLP29" s="244"/>
      <c r="CLQ29" s="245"/>
      <c r="CLR29" s="245"/>
      <c r="CLS29" s="245"/>
      <c r="CLT29" s="246"/>
      <c r="CLU29" s="244"/>
      <c r="CLV29" s="245"/>
      <c r="CLW29" s="245"/>
      <c r="CLX29" s="245"/>
      <c r="CLY29" s="246"/>
      <c r="CLZ29" s="244"/>
      <c r="CMA29" s="245"/>
      <c r="CMB29" s="245"/>
      <c r="CMC29" s="245"/>
      <c r="CMD29" s="246"/>
      <c r="CME29" s="244"/>
      <c r="CMF29" s="245"/>
      <c r="CMG29" s="245"/>
      <c r="CMH29" s="245"/>
      <c r="CMI29" s="246"/>
      <c r="CMJ29" s="244"/>
      <c r="CMK29" s="245"/>
      <c r="CML29" s="245"/>
      <c r="CMM29" s="245"/>
      <c r="CMN29" s="246"/>
      <c r="CMO29" s="244"/>
      <c r="CMP29" s="245"/>
      <c r="CMQ29" s="245"/>
      <c r="CMR29" s="245"/>
      <c r="CMS29" s="246"/>
      <c r="CMT29" s="244"/>
      <c r="CMU29" s="245"/>
      <c r="CMV29" s="245"/>
      <c r="CMW29" s="245"/>
      <c r="CMX29" s="246"/>
      <c r="CMY29" s="244"/>
      <c r="CMZ29" s="245"/>
      <c r="CNA29" s="245"/>
      <c r="CNB29" s="245"/>
      <c r="CNC29" s="246"/>
      <c r="CND29" s="244"/>
      <c r="CNE29" s="245"/>
      <c r="CNF29" s="245"/>
      <c r="CNG29" s="245"/>
      <c r="CNH29" s="246"/>
      <c r="CNI29" s="244"/>
      <c r="CNJ29" s="245"/>
      <c r="CNK29" s="245"/>
      <c r="CNL29" s="245"/>
      <c r="CNM29" s="246"/>
      <c r="CNN29" s="244"/>
      <c r="CNO29" s="245"/>
      <c r="CNP29" s="245"/>
      <c r="CNQ29" s="245"/>
      <c r="CNR29" s="246"/>
      <c r="CNS29" s="244"/>
      <c r="CNT29" s="245"/>
      <c r="CNU29" s="245"/>
      <c r="CNV29" s="245"/>
      <c r="CNW29" s="246"/>
      <c r="CNX29" s="244"/>
      <c r="CNY29" s="245"/>
      <c r="CNZ29" s="245"/>
      <c r="COA29" s="245"/>
      <c r="COB29" s="246"/>
      <c r="COC29" s="244"/>
      <c r="COD29" s="245"/>
      <c r="COE29" s="245"/>
      <c r="COF29" s="245"/>
      <c r="COG29" s="246"/>
      <c r="COH29" s="244"/>
      <c r="COI29" s="245"/>
      <c r="COJ29" s="245"/>
      <c r="COK29" s="245"/>
      <c r="COL29" s="246"/>
      <c r="COM29" s="244"/>
      <c r="CON29" s="245"/>
      <c r="COO29" s="245"/>
      <c r="COP29" s="245"/>
      <c r="COQ29" s="246"/>
      <c r="COR29" s="244"/>
      <c r="COS29" s="245"/>
      <c r="COT29" s="245"/>
      <c r="COU29" s="245"/>
      <c r="COV29" s="246"/>
      <c r="COW29" s="244"/>
      <c r="COX29" s="245"/>
      <c r="COY29" s="245"/>
      <c r="COZ29" s="245"/>
      <c r="CPA29" s="246"/>
      <c r="CPB29" s="244"/>
      <c r="CPC29" s="245"/>
      <c r="CPD29" s="245"/>
      <c r="CPE29" s="245"/>
      <c r="CPF29" s="246"/>
      <c r="CPG29" s="244"/>
      <c r="CPH29" s="245"/>
      <c r="CPI29" s="245"/>
      <c r="CPJ29" s="245"/>
      <c r="CPK29" s="246"/>
      <c r="CPL29" s="244"/>
      <c r="CPM29" s="245"/>
      <c r="CPN29" s="245"/>
      <c r="CPO29" s="245"/>
      <c r="CPP29" s="246"/>
      <c r="CPQ29" s="244"/>
      <c r="CPR29" s="245"/>
      <c r="CPS29" s="245"/>
      <c r="CPT29" s="245"/>
      <c r="CPU29" s="246"/>
      <c r="CPV29" s="244"/>
      <c r="CPW29" s="245"/>
      <c r="CPX29" s="245"/>
      <c r="CPY29" s="245"/>
      <c r="CPZ29" s="246"/>
      <c r="CQA29" s="244"/>
      <c r="CQB29" s="245"/>
      <c r="CQC29" s="245"/>
      <c r="CQD29" s="245"/>
      <c r="CQE29" s="246"/>
      <c r="CQF29" s="244"/>
      <c r="CQG29" s="245"/>
      <c r="CQH29" s="245"/>
      <c r="CQI29" s="245"/>
      <c r="CQJ29" s="246"/>
      <c r="CQK29" s="244"/>
      <c r="CQL29" s="245"/>
      <c r="CQM29" s="245"/>
      <c r="CQN29" s="245"/>
      <c r="CQO29" s="246"/>
      <c r="CQP29" s="244"/>
      <c r="CQQ29" s="245"/>
      <c r="CQR29" s="245"/>
      <c r="CQS29" s="245"/>
      <c r="CQT29" s="246"/>
      <c r="CQU29" s="244"/>
      <c r="CQV29" s="245"/>
      <c r="CQW29" s="245"/>
      <c r="CQX29" s="245"/>
      <c r="CQY29" s="246"/>
      <c r="CQZ29" s="244"/>
      <c r="CRA29" s="245"/>
      <c r="CRB29" s="245"/>
      <c r="CRC29" s="245"/>
      <c r="CRD29" s="246"/>
      <c r="CRE29" s="317" t="s">
        <v>73</v>
      </c>
      <c r="CRF29" s="318"/>
      <c r="CRG29" s="318"/>
      <c r="CRH29" s="318"/>
      <c r="CRI29" s="319"/>
      <c r="CRJ29" s="317" t="s">
        <v>73</v>
      </c>
      <c r="CRK29" s="318"/>
      <c r="CRL29" s="318"/>
      <c r="CRM29" s="318"/>
      <c r="CRN29" s="319"/>
      <c r="CRO29" s="317" t="s">
        <v>73</v>
      </c>
      <c r="CRP29" s="318"/>
      <c r="CRQ29" s="318"/>
      <c r="CRR29" s="318"/>
      <c r="CRS29" s="319"/>
      <c r="CRT29" s="317" t="s">
        <v>73</v>
      </c>
      <c r="CRU29" s="318"/>
      <c r="CRV29" s="318"/>
      <c r="CRW29" s="318"/>
      <c r="CRX29" s="319"/>
      <c r="CRY29" s="317" t="s">
        <v>50</v>
      </c>
      <c r="CRZ29" s="318"/>
      <c r="CSA29" s="318"/>
      <c r="CSB29" s="319"/>
      <c r="CSC29" s="10" t="s">
        <v>44</v>
      </c>
      <c r="CSD29" s="11"/>
      <c r="CSE29" s="12"/>
      <c r="CSF29" s="18" t="s">
        <v>61</v>
      </c>
      <c r="CSG29" s="10" t="s">
        <v>44</v>
      </c>
      <c r="CSH29" s="11"/>
      <c r="CSI29" s="12"/>
      <c r="CSJ29" s="18" t="s">
        <v>31</v>
      </c>
      <c r="CSK29" s="10" t="s">
        <v>44</v>
      </c>
      <c r="CSL29" s="11"/>
      <c r="CSM29" s="12"/>
      <c r="CSN29" s="18" t="s">
        <v>31</v>
      </c>
      <c r="CSO29" s="10" t="s">
        <v>44</v>
      </c>
      <c r="CSP29" s="11"/>
      <c r="CSQ29" s="12"/>
      <c r="CSR29" s="18" t="s">
        <v>31</v>
      </c>
      <c r="CSS29" s="10" t="s">
        <v>44</v>
      </c>
      <c r="CST29" s="11"/>
      <c r="CSU29" s="12"/>
      <c r="CSV29" s="18" t="s">
        <v>61</v>
      </c>
      <c r="CSW29" s="10" t="s">
        <v>44</v>
      </c>
      <c r="CSX29" s="11"/>
      <c r="CSY29" s="12"/>
      <c r="CSZ29" s="18" t="s">
        <v>31</v>
      </c>
      <c r="CTA29" s="10" t="s">
        <v>44</v>
      </c>
      <c r="CTB29" s="11"/>
      <c r="CTC29" s="12"/>
      <c r="CTD29" s="18" t="s">
        <v>31</v>
      </c>
      <c r="CTE29" s="10" t="s">
        <v>44</v>
      </c>
      <c r="CTF29" s="11"/>
      <c r="CTG29" s="12"/>
      <c r="CTH29" s="18" t="s">
        <v>31</v>
      </c>
      <c r="CTI29" s="10" t="s">
        <v>44</v>
      </c>
      <c r="CTJ29" s="11"/>
      <c r="CTK29" s="12"/>
      <c r="CTL29" s="18" t="s">
        <v>61</v>
      </c>
      <c r="CTM29" s="10" t="s">
        <v>44</v>
      </c>
      <c r="CTN29" s="11"/>
      <c r="CTO29" s="12"/>
      <c r="CTP29" s="18" t="s">
        <v>31</v>
      </c>
      <c r="CTQ29" s="10" t="s">
        <v>44</v>
      </c>
      <c r="CTR29" s="11"/>
      <c r="CTS29" s="12"/>
      <c r="CTT29" s="18" t="s">
        <v>31</v>
      </c>
      <c r="CTU29" s="10" t="s">
        <v>44</v>
      </c>
      <c r="CTV29" s="11"/>
      <c r="CTW29" s="12"/>
      <c r="CTX29" s="18" t="s">
        <v>31</v>
      </c>
      <c r="CTY29" s="10" t="s">
        <v>44</v>
      </c>
      <c r="CTZ29" s="11"/>
      <c r="CUA29" s="12"/>
      <c r="CUB29" s="18" t="s">
        <v>31</v>
      </c>
      <c r="CUC29" s="10" t="s">
        <v>44</v>
      </c>
      <c r="CUD29" s="11"/>
      <c r="CUE29" s="12"/>
      <c r="CUF29" s="18" t="s">
        <v>61</v>
      </c>
      <c r="CUG29" s="10" t="s">
        <v>44</v>
      </c>
      <c r="CUH29" s="11"/>
      <c r="CUI29" s="12"/>
      <c r="CUJ29" s="18" t="s">
        <v>31</v>
      </c>
      <c r="CUK29" s="10" t="s">
        <v>44</v>
      </c>
      <c r="CUL29" s="11"/>
      <c r="CUM29" s="12"/>
      <c r="CUN29" s="18" t="s">
        <v>31</v>
      </c>
      <c r="CUO29" s="10" t="s">
        <v>44</v>
      </c>
      <c r="CUP29" s="11"/>
      <c r="CUQ29" s="12"/>
      <c r="CUR29" s="18" t="s">
        <v>31</v>
      </c>
      <c r="CUS29" s="10" t="s">
        <v>44</v>
      </c>
      <c r="CUT29" s="11"/>
      <c r="CUU29" s="12"/>
      <c r="CUV29" s="18" t="s">
        <v>31</v>
      </c>
      <c r="CUW29" s="10" t="s">
        <v>44</v>
      </c>
      <c r="CUX29" s="11"/>
      <c r="CUY29" s="12"/>
      <c r="CUZ29" s="18" t="s">
        <v>31</v>
      </c>
      <c r="CVA29" s="10" t="s">
        <v>44</v>
      </c>
      <c r="CVB29" s="11"/>
      <c r="CVC29" s="12"/>
      <c r="CVD29" s="18" t="s">
        <v>31</v>
      </c>
      <c r="CVE29" s="10" t="s">
        <v>44</v>
      </c>
      <c r="CVF29" s="11"/>
      <c r="CVG29" s="12"/>
      <c r="CVH29" s="18"/>
      <c r="CVI29" s="10" t="s">
        <v>44</v>
      </c>
      <c r="CVJ29" s="11"/>
      <c r="CVK29" s="12"/>
      <c r="CVL29" s="18" t="s">
        <v>31</v>
      </c>
      <c r="CVM29" s="10" t="s">
        <v>44</v>
      </c>
      <c r="CVN29" s="11"/>
      <c r="CVO29" s="12"/>
      <c r="CVP29" s="18" t="s">
        <v>31</v>
      </c>
      <c r="CVQ29" s="10" t="s">
        <v>44</v>
      </c>
      <c r="CVR29" s="11"/>
      <c r="CVS29" s="12"/>
      <c r="CVT29" s="18" t="s">
        <v>31</v>
      </c>
      <c r="CVU29" s="10" t="s">
        <v>44</v>
      </c>
      <c r="CVV29" s="11"/>
      <c r="CVW29" s="12"/>
      <c r="CVX29" s="18"/>
      <c r="CVY29" s="10" t="s">
        <v>44</v>
      </c>
      <c r="CVZ29" s="11"/>
      <c r="CWA29" s="12"/>
      <c r="CWB29" s="18" t="s">
        <v>61</v>
      </c>
      <c r="CWC29" s="10" t="s">
        <v>44</v>
      </c>
      <c r="CWD29" s="11"/>
      <c r="CWE29" s="12"/>
      <c r="CWF29" s="18" t="s">
        <v>31</v>
      </c>
      <c r="CWG29" s="10" t="s">
        <v>44</v>
      </c>
      <c r="CWH29" s="11"/>
      <c r="CWI29" s="12"/>
      <c r="CWJ29" s="18" t="s">
        <v>31</v>
      </c>
      <c r="CWK29" s="10" t="s">
        <v>44</v>
      </c>
      <c r="CWL29" s="11"/>
      <c r="CWM29" s="12"/>
      <c r="CWN29" s="18" t="s">
        <v>31</v>
      </c>
      <c r="CWO29" s="10" t="s">
        <v>44</v>
      </c>
      <c r="CWP29" s="11"/>
      <c r="CWQ29" s="12"/>
      <c r="CWR29" s="18" t="s">
        <v>31</v>
      </c>
      <c r="CWS29" s="10" t="s">
        <v>44</v>
      </c>
      <c r="CWT29" s="11"/>
      <c r="CWU29" s="12"/>
      <c r="CWV29" s="18"/>
      <c r="CWW29" s="10" t="s">
        <v>44</v>
      </c>
      <c r="CWX29" s="11"/>
      <c r="CWY29" s="12"/>
      <c r="CWZ29" s="18" t="s">
        <v>31</v>
      </c>
      <c r="CXA29" s="43" t="s">
        <v>44</v>
      </c>
      <c r="CXB29" s="47"/>
      <c r="CXC29" s="48"/>
      <c r="CXD29" s="49" t="s">
        <v>31</v>
      </c>
      <c r="CXE29" s="43" t="s">
        <v>44</v>
      </c>
      <c r="CXF29" s="47"/>
      <c r="CXG29" s="48"/>
      <c r="CXH29" s="49" t="s">
        <v>31</v>
      </c>
      <c r="CXI29" s="43" t="s">
        <v>44</v>
      </c>
      <c r="CXJ29" s="47"/>
      <c r="CXK29" s="48"/>
      <c r="CXL29" s="49" t="s">
        <v>31</v>
      </c>
      <c r="CXM29" s="43" t="s">
        <v>44</v>
      </c>
      <c r="CXN29" s="47"/>
      <c r="CXO29" s="48"/>
      <c r="CXP29" s="49" t="s">
        <v>31</v>
      </c>
      <c r="CXQ29" s="43" t="s">
        <v>44</v>
      </c>
      <c r="CXR29" s="47"/>
      <c r="CXS29" s="48"/>
      <c r="CXT29" s="49" t="s">
        <v>31</v>
      </c>
      <c r="CXU29" s="26" t="s">
        <v>44</v>
      </c>
      <c r="CXX29" s="26" t="s">
        <v>31</v>
      </c>
      <c r="CXY29" s="26" t="s">
        <v>44</v>
      </c>
      <c r="CYB29" s="26" t="s">
        <v>31</v>
      </c>
      <c r="CYC29" s="26" t="s">
        <v>44</v>
      </c>
      <c r="CYF29" s="26" t="s">
        <v>31</v>
      </c>
    </row>
    <row r="30" spans="1:2828" ht="15.6" x14ac:dyDescent="0.3">
      <c r="CRE30" s="320"/>
      <c r="CRF30" s="321"/>
      <c r="CRG30" s="321"/>
      <c r="CRH30" s="321"/>
      <c r="CRI30" s="322"/>
      <c r="CRJ30" s="320"/>
      <c r="CRK30" s="321"/>
      <c r="CRL30" s="321"/>
      <c r="CRM30" s="321"/>
      <c r="CRN30" s="322"/>
      <c r="CRO30" s="320"/>
      <c r="CRP30" s="321"/>
      <c r="CRQ30" s="321"/>
      <c r="CRR30" s="321"/>
      <c r="CRS30" s="322"/>
      <c r="CRT30" s="320"/>
      <c r="CRU30" s="321"/>
      <c r="CRV30" s="321"/>
      <c r="CRW30" s="321"/>
      <c r="CRX30" s="322"/>
      <c r="CRY30" s="349"/>
      <c r="CRZ30" s="350"/>
      <c r="CSA30" s="350"/>
      <c r="CSB30" s="351"/>
      <c r="CSC30" s="317" t="s">
        <v>50</v>
      </c>
      <c r="CSD30" s="318"/>
      <c r="CSE30" s="318"/>
      <c r="CSF30" s="319"/>
      <c r="CSG30" s="317" t="s">
        <v>50</v>
      </c>
      <c r="CSH30" s="318"/>
      <c r="CSI30" s="318"/>
      <c r="CSJ30" s="319"/>
      <c r="CSK30" s="317" t="s">
        <v>50</v>
      </c>
      <c r="CSL30" s="318"/>
      <c r="CSM30" s="318"/>
      <c r="CSN30" s="319"/>
      <c r="CSO30" s="317" t="s">
        <v>50</v>
      </c>
      <c r="CSP30" s="318"/>
      <c r="CSQ30" s="318"/>
      <c r="CSR30" s="319"/>
      <c r="CSS30" s="317" t="s">
        <v>50</v>
      </c>
      <c r="CST30" s="318"/>
      <c r="CSU30" s="318"/>
      <c r="CSV30" s="319"/>
      <c r="CSW30" s="317" t="s">
        <v>50</v>
      </c>
      <c r="CSX30" s="318"/>
      <c r="CSY30" s="318"/>
      <c r="CSZ30" s="319"/>
      <c r="CTA30" s="317" t="s">
        <v>50</v>
      </c>
      <c r="CTB30" s="318"/>
      <c r="CTC30" s="318"/>
      <c r="CTD30" s="319"/>
      <c r="CTE30" s="317" t="s">
        <v>50</v>
      </c>
      <c r="CTF30" s="318"/>
      <c r="CTG30" s="318"/>
      <c r="CTH30" s="319"/>
      <c r="CTI30" s="317" t="s">
        <v>50</v>
      </c>
      <c r="CTJ30" s="318"/>
      <c r="CTK30" s="318"/>
      <c r="CTL30" s="319"/>
      <c r="CTM30" s="317" t="s">
        <v>50</v>
      </c>
      <c r="CTN30" s="318"/>
      <c r="CTO30" s="318"/>
      <c r="CTP30" s="319"/>
      <c r="CTQ30" s="317" t="s">
        <v>50</v>
      </c>
      <c r="CTR30" s="318"/>
      <c r="CTS30" s="318"/>
      <c r="CTT30" s="319"/>
      <c r="CTU30" s="317" t="s">
        <v>50</v>
      </c>
      <c r="CTV30" s="318"/>
      <c r="CTW30" s="318"/>
      <c r="CTX30" s="319"/>
      <c r="CTY30" s="317" t="s">
        <v>50</v>
      </c>
      <c r="CTZ30" s="318"/>
      <c r="CUA30" s="318"/>
      <c r="CUB30" s="319"/>
      <c r="CUC30" s="317" t="s">
        <v>50</v>
      </c>
      <c r="CUD30" s="318"/>
      <c r="CUE30" s="318"/>
      <c r="CUF30" s="319"/>
      <c r="CUG30" s="317" t="s">
        <v>50</v>
      </c>
      <c r="CUH30" s="318"/>
      <c r="CUI30" s="318"/>
      <c r="CUJ30" s="319"/>
      <c r="CUK30" s="317" t="s">
        <v>50</v>
      </c>
      <c r="CUL30" s="318"/>
      <c r="CUM30" s="318"/>
      <c r="CUN30" s="319"/>
      <c r="CUO30" s="317" t="s">
        <v>50</v>
      </c>
      <c r="CUP30" s="318"/>
      <c r="CUQ30" s="318"/>
      <c r="CUR30" s="319"/>
      <c r="CUS30" s="317" t="s">
        <v>50</v>
      </c>
      <c r="CUT30" s="318"/>
      <c r="CUU30" s="318"/>
      <c r="CUV30" s="319"/>
      <c r="CUW30" s="317" t="s">
        <v>50</v>
      </c>
      <c r="CUX30" s="318"/>
      <c r="CUY30" s="318"/>
      <c r="CUZ30" s="319"/>
      <c r="CVA30" s="317" t="s">
        <v>50</v>
      </c>
      <c r="CVB30" s="318"/>
      <c r="CVC30" s="318"/>
      <c r="CVD30" s="319"/>
      <c r="CVE30" s="317" t="s">
        <v>50</v>
      </c>
      <c r="CVF30" s="318"/>
      <c r="CVG30" s="318"/>
      <c r="CVH30" s="319"/>
      <c r="CVI30" s="317" t="s">
        <v>50</v>
      </c>
      <c r="CVJ30" s="318"/>
      <c r="CVK30" s="318"/>
      <c r="CVL30" s="319"/>
      <c r="CVM30" s="317" t="s">
        <v>50</v>
      </c>
      <c r="CVN30" s="318"/>
      <c r="CVO30" s="318"/>
      <c r="CVP30" s="319"/>
      <c r="CVQ30" s="317" t="s">
        <v>50</v>
      </c>
      <c r="CVR30" s="318"/>
      <c r="CVS30" s="318"/>
      <c r="CVT30" s="319"/>
      <c r="CVU30" s="317" t="s">
        <v>50</v>
      </c>
      <c r="CVV30" s="318"/>
      <c r="CVW30" s="318"/>
      <c r="CVX30" s="319"/>
      <c r="CVY30" s="317" t="s">
        <v>50</v>
      </c>
      <c r="CVZ30" s="318"/>
      <c r="CWA30" s="318"/>
      <c r="CWB30" s="319"/>
      <c r="CWC30" s="317" t="s">
        <v>50</v>
      </c>
      <c r="CWD30" s="318"/>
      <c r="CWE30" s="318"/>
      <c r="CWF30" s="319"/>
      <c r="CWG30" s="317" t="s">
        <v>50</v>
      </c>
      <c r="CWH30" s="318"/>
      <c r="CWI30" s="318"/>
      <c r="CWJ30" s="319"/>
      <c r="CWK30" s="317" t="s">
        <v>50</v>
      </c>
      <c r="CWL30" s="318"/>
      <c r="CWM30" s="318"/>
      <c r="CWN30" s="319"/>
      <c r="CWO30" s="317" t="s">
        <v>50</v>
      </c>
      <c r="CWP30" s="318"/>
      <c r="CWQ30" s="318"/>
      <c r="CWR30" s="319"/>
      <c r="CWS30" s="317" t="s">
        <v>50</v>
      </c>
      <c r="CWT30" s="318"/>
      <c r="CWU30" s="318"/>
      <c r="CWV30" s="319"/>
      <c r="CWW30" s="317" t="s">
        <v>50</v>
      </c>
      <c r="CWX30" s="318"/>
      <c r="CWY30" s="318"/>
      <c r="CWZ30" s="319"/>
      <c r="CXA30" s="376" t="s">
        <v>50</v>
      </c>
      <c r="CXB30" s="377"/>
      <c r="CXC30" s="377"/>
      <c r="CXD30" s="378"/>
      <c r="CXE30" s="376" t="s">
        <v>50</v>
      </c>
      <c r="CXF30" s="377"/>
      <c r="CXG30" s="377"/>
      <c r="CXH30" s="378"/>
      <c r="CXI30" s="376" t="s">
        <v>50</v>
      </c>
      <c r="CXJ30" s="377"/>
      <c r="CXK30" s="377"/>
      <c r="CXL30" s="378"/>
      <c r="CXM30" s="376" t="s">
        <v>50</v>
      </c>
      <c r="CXN30" s="377"/>
      <c r="CXO30" s="377"/>
      <c r="CXP30" s="378"/>
      <c r="CXQ30" s="376" t="s">
        <v>50</v>
      </c>
      <c r="CXR30" s="377"/>
      <c r="CXS30" s="377"/>
      <c r="CXT30" s="378"/>
      <c r="CXU30" s="26" t="s">
        <v>50</v>
      </c>
      <c r="CXY30" s="26" t="s">
        <v>50</v>
      </c>
      <c r="CYC30" s="26" t="s">
        <v>50</v>
      </c>
    </row>
    <row r="31" spans="1:2828" ht="26.25" customHeight="1" thickBot="1" x14ac:dyDescent="0.3">
      <c r="CRE31" s="323"/>
      <c r="CRF31" s="324"/>
      <c r="CRG31" s="324"/>
      <c r="CRH31" s="324"/>
      <c r="CRI31" s="325"/>
      <c r="CRJ31" s="323"/>
      <c r="CRK31" s="324"/>
      <c r="CRL31" s="324"/>
      <c r="CRM31" s="324"/>
      <c r="CRN31" s="325"/>
      <c r="CRO31" s="323"/>
      <c r="CRP31" s="324"/>
      <c r="CRQ31" s="324"/>
      <c r="CRR31" s="324"/>
      <c r="CRS31" s="325"/>
      <c r="CRT31" s="323"/>
      <c r="CRU31" s="324"/>
      <c r="CRV31" s="324"/>
      <c r="CRW31" s="324"/>
      <c r="CRX31" s="325"/>
      <c r="CRY31" s="352"/>
      <c r="CRZ31" s="353"/>
      <c r="CSA31" s="353"/>
      <c r="CSB31" s="354"/>
      <c r="CSC31" s="349"/>
      <c r="CSD31" s="350"/>
      <c r="CSE31" s="350"/>
      <c r="CSF31" s="351"/>
      <c r="CSG31" s="349"/>
      <c r="CSH31" s="350"/>
      <c r="CSI31" s="350"/>
      <c r="CSJ31" s="351"/>
      <c r="CSK31" s="349"/>
      <c r="CSL31" s="350"/>
      <c r="CSM31" s="350"/>
      <c r="CSN31" s="351"/>
      <c r="CSO31" s="349" t="s">
        <v>72</v>
      </c>
      <c r="CSP31" s="350"/>
      <c r="CSQ31" s="350"/>
      <c r="CSR31" s="351"/>
      <c r="CSS31" s="349" t="s">
        <v>71</v>
      </c>
      <c r="CST31" s="350"/>
      <c r="CSU31" s="350"/>
      <c r="CSV31" s="351"/>
      <c r="CSW31" s="349"/>
      <c r="CSX31" s="350"/>
      <c r="CSY31" s="350"/>
      <c r="CSZ31" s="351"/>
      <c r="CTA31" s="349" t="s">
        <v>70</v>
      </c>
      <c r="CTB31" s="350"/>
      <c r="CTC31" s="350"/>
      <c r="CTD31" s="351"/>
      <c r="CTE31" s="349"/>
      <c r="CTF31" s="350"/>
      <c r="CTG31" s="350"/>
      <c r="CTH31" s="351"/>
      <c r="CTI31" s="349" t="s">
        <v>69</v>
      </c>
      <c r="CTJ31" s="350"/>
      <c r="CTK31" s="350"/>
      <c r="CTL31" s="351"/>
      <c r="CTM31" s="349"/>
      <c r="CTN31" s="350"/>
      <c r="CTO31" s="350"/>
      <c r="CTP31" s="351"/>
      <c r="CTQ31" s="349"/>
      <c r="CTR31" s="350"/>
      <c r="CTS31" s="350"/>
      <c r="CTT31" s="351"/>
      <c r="CTU31" s="349"/>
      <c r="CTV31" s="350"/>
      <c r="CTW31" s="350"/>
      <c r="CTX31" s="351"/>
      <c r="CTY31" s="349"/>
      <c r="CTZ31" s="350"/>
      <c r="CUA31" s="350"/>
      <c r="CUB31" s="351"/>
      <c r="CUC31" s="349" t="s">
        <v>66</v>
      </c>
      <c r="CUD31" s="350"/>
      <c r="CUE31" s="350"/>
      <c r="CUF31" s="351"/>
      <c r="CUG31" s="349" t="s">
        <v>65</v>
      </c>
      <c r="CUH31" s="350"/>
      <c r="CUI31" s="350"/>
      <c r="CUJ31" s="351"/>
      <c r="CUK31" s="349"/>
      <c r="CUL31" s="350"/>
      <c r="CUM31" s="350"/>
      <c r="CUN31" s="351"/>
      <c r="CUO31" s="349" t="s">
        <v>63</v>
      </c>
      <c r="CUP31" s="350"/>
      <c r="CUQ31" s="350"/>
      <c r="CUR31" s="351"/>
      <c r="CUS31" s="349"/>
      <c r="CUT31" s="350"/>
      <c r="CUU31" s="350"/>
      <c r="CUV31" s="351"/>
      <c r="CUW31" s="349"/>
      <c r="CUX31" s="350"/>
      <c r="CUY31" s="350"/>
      <c r="CUZ31" s="351"/>
      <c r="CVA31" s="349" t="s">
        <v>62</v>
      </c>
      <c r="CVB31" s="350"/>
      <c r="CVC31" s="350"/>
      <c r="CVD31" s="351"/>
      <c r="CVE31" s="349"/>
      <c r="CVF31" s="350"/>
      <c r="CVG31" s="350"/>
      <c r="CVH31" s="351"/>
      <c r="CVI31" s="349"/>
      <c r="CVJ31" s="350"/>
      <c r="CVK31" s="350"/>
      <c r="CVL31" s="351"/>
      <c r="CVM31" s="349"/>
      <c r="CVN31" s="350"/>
      <c r="CVO31" s="350"/>
      <c r="CVP31" s="351"/>
      <c r="CVQ31" s="349"/>
      <c r="CVR31" s="350"/>
      <c r="CVS31" s="350"/>
      <c r="CVT31" s="351"/>
      <c r="CVU31" s="349"/>
      <c r="CVV31" s="350"/>
      <c r="CVW31" s="350"/>
      <c r="CVX31" s="351"/>
      <c r="CVY31" s="349"/>
      <c r="CVZ31" s="350"/>
      <c r="CWA31" s="350"/>
      <c r="CWB31" s="351"/>
      <c r="CWC31" s="349" t="s">
        <v>60</v>
      </c>
      <c r="CWD31" s="350"/>
      <c r="CWE31" s="350"/>
      <c r="CWF31" s="351"/>
      <c r="CWG31" s="349" t="s">
        <v>59</v>
      </c>
      <c r="CWH31" s="350"/>
      <c r="CWI31" s="350"/>
      <c r="CWJ31" s="351"/>
      <c r="CWK31" s="349" t="s">
        <v>58</v>
      </c>
      <c r="CWL31" s="350"/>
      <c r="CWM31" s="350"/>
      <c r="CWN31" s="351"/>
      <c r="CWO31" s="349"/>
      <c r="CWP31" s="350"/>
      <c r="CWQ31" s="350"/>
      <c r="CWR31" s="351"/>
      <c r="CWS31" s="349"/>
      <c r="CWT31" s="350"/>
      <c r="CWU31" s="350"/>
      <c r="CWV31" s="351"/>
      <c r="CWW31" s="349"/>
      <c r="CWX31" s="350"/>
      <c r="CWY31" s="350"/>
      <c r="CWZ31" s="351"/>
      <c r="CXA31" s="379"/>
      <c r="CXB31" s="380"/>
      <c r="CXC31" s="380"/>
      <c r="CXD31" s="381"/>
      <c r="CXE31" s="379"/>
      <c r="CXF31" s="380"/>
      <c r="CXG31" s="380"/>
      <c r="CXH31" s="381"/>
      <c r="CXI31" s="379"/>
      <c r="CXJ31" s="380"/>
      <c r="CXK31" s="380"/>
      <c r="CXL31" s="381"/>
      <c r="CXM31" s="379"/>
      <c r="CXN31" s="380"/>
      <c r="CXO31" s="380"/>
      <c r="CXP31" s="381"/>
      <c r="CXQ31" s="379"/>
      <c r="CXR31" s="380"/>
      <c r="CXS31" s="380"/>
      <c r="CXT31" s="381"/>
    </row>
    <row r="32" spans="1:2828" ht="26.25" customHeight="1" thickBot="1" x14ac:dyDescent="0.35">
      <c r="CRY32" s="50"/>
      <c r="CRZ32"/>
      <c r="CSA32"/>
      <c r="CSB32" s="1"/>
      <c r="CSC32" s="352"/>
      <c r="CSD32" s="353"/>
      <c r="CSE32" s="353"/>
      <c r="CSF32" s="354"/>
      <c r="CSG32" s="352"/>
      <c r="CSH32" s="353"/>
      <c r="CSI32" s="353"/>
      <c r="CSJ32" s="354"/>
      <c r="CSK32" s="352"/>
      <c r="CSL32" s="353"/>
      <c r="CSM32" s="353"/>
      <c r="CSN32" s="354"/>
      <c r="CSO32" s="352"/>
      <c r="CSP32" s="353"/>
      <c r="CSQ32" s="353"/>
      <c r="CSR32" s="354"/>
      <c r="CSS32" s="352"/>
      <c r="CST32" s="353"/>
      <c r="CSU32" s="353"/>
      <c r="CSV32" s="354"/>
      <c r="CSW32" s="352"/>
      <c r="CSX32" s="353"/>
      <c r="CSY32" s="353"/>
      <c r="CSZ32" s="354"/>
      <c r="CTA32" s="352"/>
      <c r="CTB32" s="353"/>
      <c r="CTC32" s="353"/>
      <c r="CTD32" s="354"/>
      <c r="CTE32" s="352"/>
      <c r="CTF32" s="353"/>
      <c r="CTG32" s="353"/>
      <c r="CTH32" s="354"/>
      <c r="CTI32" s="352"/>
      <c r="CTJ32" s="353"/>
      <c r="CTK32" s="353"/>
      <c r="CTL32" s="354"/>
      <c r="CTM32" s="352"/>
      <c r="CTN32" s="353"/>
      <c r="CTO32" s="353"/>
      <c r="CTP32" s="354"/>
      <c r="CTQ32" s="352"/>
      <c r="CTR32" s="353"/>
      <c r="CTS32" s="353"/>
      <c r="CTT32" s="354"/>
      <c r="CTU32" s="352"/>
      <c r="CTV32" s="353"/>
      <c r="CTW32" s="353"/>
      <c r="CTX32" s="354"/>
      <c r="CTY32" s="352"/>
      <c r="CTZ32" s="353"/>
      <c r="CUA32" s="353"/>
      <c r="CUB32" s="354"/>
      <c r="CUC32" s="352"/>
      <c r="CUD32" s="353"/>
      <c r="CUE32" s="353"/>
      <c r="CUF32" s="354"/>
      <c r="CUG32" s="352"/>
      <c r="CUH32" s="353"/>
      <c r="CUI32" s="353"/>
      <c r="CUJ32" s="354"/>
      <c r="CUK32" s="352"/>
      <c r="CUL32" s="353"/>
      <c r="CUM32" s="353"/>
      <c r="CUN32" s="354"/>
      <c r="CUO32" s="352"/>
      <c r="CUP32" s="353"/>
      <c r="CUQ32" s="353"/>
      <c r="CUR32" s="354"/>
      <c r="CUS32" s="352"/>
      <c r="CUT32" s="353"/>
      <c r="CUU32" s="353"/>
      <c r="CUV32" s="354"/>
      <c r="CUW32" s="352"/>
      <c r="CUX32" s="353"/>
      <c r="CUY32" s="353"/>
      <c r="CUZ32" s="354"/>
      <c r="CVA32" s="352"/>
      <c r="CVB32" s="353"/>
      <c r="CVC32" s="353"/>
      <c r="CVD32" s="354"/>
      <c r="CVE32" s="352"/>
      <c r="CVF32" s="353"/>
      <c r="CVG32" s="353"/>
      <c r="CVH32" s="354"/>
      <c r="CVI32" s="352"/>
      <c r="CVJ32" s="353"/>
      <c r="CVK32" s="353"/>
      <c r="CVL32" s="354"/>
      <c r="CVM32" s="352"/>
      <c r="CVN32" s="353"/>
      <c r="CVO32" s="353"/>
      <c r="CVP32" s="354"/>
      <c r="CVQ32" s="352"/>
      <c r="CVR32" s="353"/>
      <c r="CVS32" s="353"/>
      <c r="CVT32" s="354"/>
      <c r="CVU32" s="352"/>
      <c r="CVV32" s="353"/>
      <c r="CVW32" s="353"/>
      <c r="CVX32" s="354"/>
      <c r="CVY32" s="352"/>
      <c r="CVZ32" s="353"/>
      <c r="CWA32" s="353"/>
      <c r="CWB32" s="354"/>
      <c r="CWC32" s="352"/>
      <c r="CWD32" s="353"/>
      <c r="CWE32" s="353"/>
      <c r="CWF32" s="354"/>
      <c r="CWG32" s="352"/>
      <c r="CWH32" s="353"/>
      <c r="CWI32" s="353"/>
      <c r="CWJ32" s="354"/>
      <c r="CWK32" s="352"/>
      <c r="CWL32" s="353"/>
      <c r="CWM32" s="353"/>
      <c r="CWN32" s="354"/>
      <c r="CWO32" s="352"/>
      <c r="CWP32" s="353"/>
      <c r="CWQ32" s="353"/>
      <c r="CWR32" s="354"/>
      <c r="CWS32" s="352"/>
      <c r="CWT32" s="353"/>
      <c r="CWU32" s="353"/>
      <c r="CWV32" s="354"/>
      <c r="CWW32" s="352"/>
      <c r="CWX32" s="353"/>
      <c r="CWY32" s="353"/>
      <c r="CWZ32" s="354"/>
      <c r="CXA32" s="382"/>
      <c r="CXB32" s="383"/>
      <c r="CXC32" s="383"/>
      <c r="CXD32" s="384"/>
      <c r="CXE32" s="382"/>
      <c r="CXF32" s="383"/>
      <c r="CXG32" s="383"/>
      <c r="CXH32" s="384"/>
      <c r="CXI32" s="382"/>
      <c r="CXJ32" s="383"/>
      <c r="CXK32" s="383"/>
      <c r="CXL32" s="384"/>
      <c r="CXM32" s="382"/>
      <c r="CXN32" s="383"/>
      <c r="CXO32" s="383"/>
      <c r="CXP32" s="384"/>
      <c r="CXQ32" s="382"/>
      <c r="CXR32" s="383"/>
      <c r="CXS32" s="383"/>
      <c r="CXT32" s="384"/>
    </row>
  </sheetData>
  <sheetProtection algorithmName="SHA-512" hashValue="gKDXraswtLkqbpqSSGVmEZltAnO7b91SULKkYXlo12LmhIbOwFpqpJlnJ4OJSwS19yNClzm1UL5O82xfLbu61g==" saltValue="kuKcvTNkDk8D2Ga6kKr+Ig==" spinCount="100000" sheet="1" objects="1" scenarios="1"/>
  <mergeCells count="22085">
    <mergeCell ref="D21:E21"/>
    <mergeCell ref="D22:E22"/>
    <mergeCell ref="D23:E23"/>
    <mergeCell ref="D24:E24"/>
    <mergeCell ref="A25:C25"/>
    <mergeCell ref="D25:E25"/>
    <mergeCell ref="D26:E26"/>
    <mergeCell ref="A27:E27"/>
    <mergeCell ref="A28:E29"/>
    <mergeCell ref="A1:A2"/>
    <mergeCell ref="B1:C2"/>
    <mergeCell ref="D1:D2"/>
    <mergeCell ref="D3:E3"/>
    <mergeCell ref="D4:E4"/>
    <mergeCell ref="D5:E5"/>
    <mergeCell ref="D6:E6"/>
    <mergeCell ref="D7:E7"/>
    <mergeCell ref="D8:E8"/>
    <mergeCell ref="A9:C9"/>
    <mergeCell ref="D9:E9"/>
    <mergeCell ref="A10:B10"/>
    <mergeCell ref="C10:E10"/>
    <mergeCell ref="A11:B11"/>
    <mergeCell ref="C11:E11"/>
    <mergeCell ref="A12:B12"/>
    <mergeCell ref="C12:E12"/>
    <mergeCell ref="A13:B13"/>
    <mergeCell ref="C13:E13"/>
    <mergeCell ref="A14:B14"/>
    <mergeCell ref="C14:E14"/>
    <mergeCell ref="A15:C15"/>
    <mergeCell ref="D15:E15"/>
    <mergeCell ref="A16:B16"/>
    <mergeCell ref="C16:E16"/>
    <mergeCell ref="A17:B17"/>
    <mergeCell ref="C17:E17"/>
    <mergeCell ref="A18:B18"/>
    <mergeCell ref="C18:E18"/>
    <mergeCell ref="A19:B19"/>
    <mergeCell ref="C19:E19"/>
    <mergeCell ref="A20:B20"/>
    <mergeCell ref="C20:E20"/>
    <mergeCell ref="N21:O21"/>
    <mergeCell ref="N22:O22"/>
    <mergeCell ref="N23:O23"/>
    <mergeCell ref="N24:O24"/>
    <mergeCell ref="K25:M25"/>
    <mergeCell ref="N25:O25"/>
    <mergeCell ref="N26:O26"/>
    <mergeCell ref="K27:O27"/>
    <mergeCell ref="K28:O29"/>
    <mergeCell ref="K1:K2"/>
    <mergeCell ref="L1:M2"/>
    <mergeCell ref="N1:N2"/>
    <mergeCell ref="N3:O3"/>
    <mergeCell ref="N4:O4"/>
    <mergeCell ref="N5:O5"/>
    <mergeCell ref="N6:O6"/>
    <mergeCell ref="N7:O7"/>
    <mergeCell ref="N8:O8"/>
    <mergeCell ref="K9:M9"/>
    <mergeCell ref="N9:O9"/>
    <mergeCell ref="K10:L10"/>
    <mergeCell ref="M10:O10"/>
    <mergeCell ref="K11:L11"/>
    <mergeCell ref="M11:O11"/>
    <mergeCell ref="K12:L12"/>
    <mergeCell ref="M12:O12"/>
    <mergeCell ref="K13:L13"/>
    <mergeCell ref="M13:O13"/>
    <mergeCell ref="K14:L14"/>
    <mergeCell ref="M14:O14"/>
    <mergeCell ref="K15:M15"/>
    <mergeCell ref="N15:O15"/>
    <mergeCell ref="K16:L16"/>
    <mergeCell ref="M16:O16"/>
    <mergeCell ref="K17:L17"/>
    <mergeCell ref="M17:O17"/>
    <mergeCell ref="K18:L18"/>
    <mergeCell ref="M18:O18"/>
    <mergeCell ref="K19:L19"/>
    <mergeCell ref="M19:O19"/>
    <mergeCell ref="K20:L20"/>
    <mergeCell ref="M20:O20"/>
    <mergeCell ref="AC21:AD21"/>
    <mergeCell ref="AC22:AD22"/>
    <mergeCell ref="AC23:AD23"/>
    <mergeCell ref="AC24:AD24"/>
    <mergeCell ref="Z25:AB25"/>
    <mergeCell ref="AC25:AD25"/>
    <mergeCell ref="AC26:AD26"/>
    <mergeCell ref="Z27:AD27"/>
    <mergeCell ref="Z28:AD29"/>
    <mergeCell ref="Z1:Z2"/>
    <mergeCell ref="AA1:AB2"/>
    <mergeCell ref="AC1:AC2"/>
    <mergeCell ref="AC3:AD3"/>
    <mergeCell ref="AC4:AD4"/>
    <mergeCell ref="AC5:AD5"/>
    <mergeCell ref="AC6:AD6"/>
    <mergeCell ref="AC7:AD7"/>
    <mergeCell ref="AC8:AD8"/>
    <mergeCell ref="Z9:AB9"/>
    <mergeCell ref="AC9:AD9"/>
    <mergeCell ref="Z10:AA10"/>
    <mergeCell ref="AB10:AD10"/>
    <mergeCell ref="Z11:AA11"/>
    <mergeCell ref="AB11:AD11"/>
    <mergeCell ref="Z12:AA12"/>
    <mergeCell ref="AB12:AD12"/>
    <mergeCell ref="Z13:AA13"/>
    <mergeCell ref="AB13:AD13"/>
    <mergeCell ref="Z14:AA14"/>
    <mergeCell ref="AB14:AD14"/>
    <mergeCell ref="Z15:AB15"/>
    <mergeCell ref="AC15:AD15"/>
    <mergeCell ref="Z16:AA16"/>
    <mergeCell ref="AB16:AD16"/>
    <mergeCell ref="Z17:AA17"/>
    <mergeCell ref="AB17:AD17"/>
    <mergeCell ref="Z18:AA18"/>
    <mergeCell ref="AB18:AD18"/>
    <mergeCell ref="Z19:AA19"/>
    <mergeCell ref="AB19:AD19"/>
    <mergeCell ref="Z20:AA20"/>
    <mergeCell ref="AB20:AD20"/>
    <mergeCell ref="AM21:AN21"/>
    <mergeCell ref="AM22:AN22"/>
    <mergeCell ref="AM23:AN23"/>
    <mergeCell ref="AM24:AN24"/>
    <mergeCell ref="AJ25:AL25"/>
    <mergeCell ref="AM25:AN25"/>
    <mergeCell ref="AM26:AN26"/>
    <mergeCell ref="AJ27:AN27"/>
    <mergeCell ref="AJ28:AN29"/>
    <mergeCell ref="AJ1:AJ2"/>
    <mergeCell ref="AK1:AL2"/>
    <mergeCell ref="AM1:AM2"/>
    <mergeCell ref="AM3:AN3"/>
    <mergeCell ref="AM4:AN4"/>
    <mergeCell ref="AM5:AN5"/>
    <mergeCell ref="AM6:AN6"/>
    <mergeCell ref="AM7:AN7"/>
    <mergeCell ref="AM8:AN8"/>
    <mergeCell ref="AJ9:AL9"/>
    <mergeCell ref="AM9:AN9"/>
    <mergeCell ref="AJ10:AK10"/>
    <mergeCell ref="AL10:AN10"/>
    <mergeCell ref="AJ11:AK11"/>
    <mergeCell ref="AL11:AN11"/>
    <mergeCell ref="AJ12:AK12"/>
    <mergeCell ref="AL12:AN12"/>
    <mergeCell ref="AJ13:AK13"/>
    <mergeCell ref="AL13:AN13"/>
    <mergeCell ref="AJ14:AK14"/>
    <mergeCell ref="AL14:AN14"/>
    <mergeCell ref="AJ15:AL15"/>
    <mergeCell ref="AM15:AN15"/>
    <mergeCell ref="AJ16:AK16"/>
    <mergeCell ref="AL16:AN16"/>
    <mergeCell ref="AJ17:AK17"/>
    <mergeCell ref="AL17:AN17"/>
    <mergeCell ref="AJ18:AK18"/>
    <mergeCell ref="AL18:AN18"/>
    <mergeCell ref="AJ19:AK19"/>
    <mergeCell ref="AL19:AN19"/>
    <mergeCell ref="AJ20:AK20"/>
    <mergeCell ref="AL20:AN20"/>
    <mergeCell ref="AW21:AX21"/>
    <mergeCell ref="AW22:AX22"/>
    <mergeCell ref="AW23:AX23"/>
    <mergeCell ref="AW24:AX24"/>
    <mergeCell ref="AT25:AV25"/>
    <mergeCell ref="AW25:AX25"/>
    <mergeCell ref="AW26:AX26"/>
    <mergeCell ref="AT27:AX27"/>
    <mergeCell ref="AT28:AX29"/>
    <mergeCell ref="AT1:AT2"/>
    <mergeCell ref="AU1:AV2"/>
    <mergeCell ref="AW1:AW2"/>
    <mergeCell ref="AW3:AX3"/>
    <mergeCell ref="AW4:AX4"/>
    <mergeCell ref="AW5:AX5"/>
    <mergeCell ref="AW6:AX6"/>
    <mergeCell ref="AW7:AX7"/>
    <mergeCell ref="AW8:AX8"/>
    <mergeCell ref="AT9:AV9"/>
    <mergeCell ref="AW9:AX9"/>
    <mergeCell ref="AT10:AU10"/>
    <mergeCell ref="AV10:AX10"/>
    <mergeCell ref="AT11:AU11"/>
    <mergeCell ref="AV11:AX11"/>
    <mergeCell ref="AT12:AU12"/>
    <mergeCell ref="AV12:AX12"/>
    <mergeCell ref="AT13:AU13"/>
    <mergeCell ref="AV13:AX13"/>
    <mergeCell ref="AT14:AU14"/>
    <mergeCell ref="AV14:AX14"/>
    <mergeCell ref="AT15:AV15"/>
    <mergeCell ref="AW15:AX15"/>
    <mergeCell ref="AT16:AU16"/>
    <mergeCell ref="AV16:AX16"/>
    <mergeCell ref="AT17:AU17"/>
    <mergeCell ref="AV17:AX17"/>
    <mergeCell ref="AT18:AU18"/>
    <mergeCell ref="AV18:AX18"/>
    <mergeCell ref="AT19:AU19"/>
    <mergeCell ref="AV19:AX19"/>
    <mergeCell ref="AT20:AU20"/>
    <mergeCell ref="AV20:AX20"/>
    <mergeCell ref="BG21:BH21"/>
    <mergeCell ref="BG22:BH22"/>
    <mergeCell ref="BG23:BH23"/>
    <mergeCell ref="BG24:BH24"/>
    <mergeCell ref="BD25:BF25"/>
    <mergeCell ref="BG25:BH25"/>
    <mergeCell ref="BG26:BH26"/>
    <mergeCell ref="BD27:BH27"/>
    <mergeCell ref="BD28:BH29"/>
    <mergeCell ref="BD1:BD2"/>
    <mergeCell ref="BE1:BF2"/>
    <mergeCell ref="BG1:BG2"/>
    <mergeCell ref="BG3:BH3"/>
    <mergeCell ref="BG4:BH4"/>
    <mergeCell ref="BG5:BH5"/>
    <mergeCell ref="BG6:BH6"/>
    <mergeCell ref="BG7:BH7"/>
    <mergeCell ref="BG8:BH8"/>
    <mergeCell ref="BD9:BF9"/>
    <mergeCell ref="BG9:BH9"/>
    <mergeCell ref="BD10:BE10"/>
    <mergeCell ref="BF10:BH10"/>
    <mergeCell ref="BD11:BE11"/>
    <mergeCell ref="BF11:BH11"/>
    <mergeCell ref="BD12:BE12"/>
    <mergeCell ref="BF12:BH12"/>
    <mergeCell ref="BD13:BE13"/>
    <mergeCell ref="BF13:BH13"/>
    <mergeCell ref="BD14:BE14"/>
    <mergeCell ref="BF14:BH14"/>
    <mergeCell ref="BD15:BF15"/>
    <mergeCell ref="BG15:BH15"/>
    <mergeCell ref="BD16:BE16"/>
    <mergeCell ref="BF16:BH16"/>
    <mergeCell ref="BD17:BE17"/>
    <mergeCell ref="BF17:BH17"/>
    <mergeCell ref="BD18:BE18"/>
    <mergeCell ref="BF18:BH18"/>
    <mergeCell ref="BD19:BE19"/>
    <mergeCell ref="BF19:BH19"/>
    <mergeCell ref="BD20:BE20"/>
    <mergeCell ref="BF20:BH20"/>
    <mergeCell ref="BQ21:BR21"/>
    <mergeCell ref="BQ22:BR22"/>
    <mergeCell ref="BQ23:BR23"/>
    <mergeCell ref="BQ24:BR24"/>
    <mergeCell ref="BN25:BP25"/>
    <mergeCell ref="BQ25:BR25"/>
    <mergeCell ref="BQ26:BR26"/>
    <mergeCell ref="BN27:BR27"/>
    <mergeCell ref="BN28:BR29"/>
    <mergeCell ref="BN1:BN2"/>
    <mergeCell ref="BO1:BP2"/>
    <mergeCell ref="BQ1:BQ2"/>
    <mergeCell ref="BQ3:BR3"/>
    <mergeCell ref="BQ4:BR4"/>
    <mergeCell ref="BQ5:BR5"/>
    <mergeCell ref="BQ6:BR6"/>
    <mergeCell ref="BQ7:BR7"/>
    <mergeCell ref="BQ8:BR8"/>
    <mergeCell ref="BN9:BP9"/>
    <mergeCell ref="BQ9:BR9"/>
    <mergeCell ref="BN10:BO10"/>
    <mergeCell ref="BP10:BR10"/>
    <mergeCell ref="BN11:BO11"/>
    <mergeCell ref="BP11:BR11"/>
    <mergeCell ref="BN12:BO12"/>
    <mergeCell ref="BP12:BR12"/>
    <mergeCell ref="BN13:BO13"/>
    <mergeCell ref="BP13:BR13"/>
    <mergeCell ref="BN14:BO14"/>
    <mergeCell ref="BP14:BR14"/>
    <mergeCell ref="BN15:BP15"/>
    <mergeCell ref="BQ15:BR15"/>
    <mergeCell ref="BN16:BO16"/>
    <mergeCell ref="BP16:BR16"/>
    <mergeCell ref="BN17:BO17"/>
    <mergeCell ref="BP17:BR17"/>
    <mergeCell ref="BN18:BO18"/>
    <mergeCell ref="BP18:BR18"/>
    <mergeCell ref="BN19:BO19"/>
    <mergeCell ref="BP19:BR19"/>
    <mergeCell ref="BN20:BO20"/>
    <mergeCell ref="BP20:BR20"/>
    <mergeCell ref="CA21:CB21"/>
    <mergeCell ref="CA22:CB22"/>
    <mergeCell ref="CA23:CB23"/>
    <mergeCell ref="CA24:CB24"/>
    <mergeCell ref="BX25:BZ25"/>
    <mergeCell ref="CA25:CB25"/>
    <mergeCell ref="CA26:CB26"/>
    <mergeCell ref="BX27:CB27"/>
    <mergeCell ref="BX28:CB29"/>
    <mergeCell ref="BX1:BX2"/>
    <mergeCell ref="BY1:BZ2"/>
    <mergeCell ref="CA1:CA2"/>
    <mergeCell ref="CA3:CB3"/>
    <mergeCell ref="CA4:CB4"/>
    <mergeCell ref="CA5:CB5"/>
    <mergeCell ref="CA6:CB6"/>
    <mergeCell ref="CA7:CB7"/>
    <mergeCell ref="CA8:CB8"/>
    <mergeCell ref="BX9:BZ9"/>
    <mergeCell ref="CA9:CB9"/>
    <mergeCell ref="BX10:BY10"/>
    <mergeCell ref="BZ10:CB10"/>
    <mergeCell ref="BX11:BY11"/>
    <mergeCell ref="BZ11:CB11"/>
    <mergeCell ref="BX12:BY12"/>
    <mergeCell ref="BZ12:CB12"/>
    <mergeCell ref="BX13:BY13"/>
    <mergeCell ref="BZ13:CB13"/>
    <mergeCell ref="BX14:BY14"/>
    <mergeCell ref="BZ14:CB14"/>
    <mergeCell ref="BX15:BZ15"/>
    <mergeCell ref="CA15:CB15"/>
    <mergeCell ref="BX16:BY16"/>
    <mergeCell ref="BZ16:CB16"/>
    <mergeCell ref="BX17:BY17"/>
    <mergeCell ref="BZ17:CB17"/>
    <mergeCell ref="BX18:BY18"/>
    <mergeCell ref="BZ18:CB18"/>
    <mergeCell ref="BX19:BY19"/>
    <mergeCell ref="BZ19:CB19"/>
    <mergeCell ref="BX20:BY20"/>
    <mergeCell ref="BZ20:CB20"/>
    <mergeCell ref="CP21:CQ21"/>
    <mergeCell ref="CP22:CQ22"/>
    <mergeCell ref="CP23:CQ23"/>
    <mergeCell ref="CP24:CQ24"/>
    <mergeCell ref="CM25:CO25"/>
    <mergeCell ref="CP25:CQ25"/>
    <mergeCell ref="CP26:CQ26"/>
    <mergeCell ref="CM27:CQ27"/>
    <mergeCell ref="CM28:CQ29"/>
    <mergeCell ref="CM1:CM2"/>
    <mergeCell ref="CN1:CO2"/>
    <mergeCell ref="CP1:CP2"/>
    <mergeCell ref="CP3:CQ3"/>
    <mergeCell ref="CP4:CQ4"/>
    <mergeCell ref="CP5:CQ5"/>
    <mergeCell ref="CP6:CQ6"/>
    <mergeCell ref="CP7:CQ7"/>
    <mergeCell ref="CP8:CQ8"/>
    <mergeCell ref="CM9:CO9"/>
    <mergeCell ref="CP9:CQ9"/>
    <mergeCell ref="CM10:CN10"/>
    <mergeCell ref="CO10:CQ10"/>
    <mergeCell ref="CM11:CN11"/>
    <mergeCell ref="CO11:CQ11"/>
    <mergeCell ref="CM12:CN12"/>
    <mergeCell ref="CO12:CQ12"/>
    <mergeCell ref="CM13:CN13"/>
    <mergeCell ref="CO13:CQ13"/>
    <mergeCell ref="CM14:CN14"/>
    <mergeCell ref="CO14:CQ14"/>
    <mergeCell ref="CM15:CO15"/>
    <mergeCell ref="CP15:CQ15"/>
    <mergeCell ref="CM16:CN16"/>
    <mergeCell ref="CO16:CQ16"/>
    <mergeCell ref="CM17:CN17"/>
    <mergeCell ref="CO17:CQ17"/>
    <mergeCell ref="CM18:CN18"/>
    <mergeCell ref="CO18:CQ18"/>
    <mergeCell ref="CM19:CN19"/>
    <mergeCell ref="CO19:CQ19"/>
    <mergeCell ref="CM20:CN20"/>
    <mergeCell ref="CO20:CQ20"/>
    <mergeCell ref="CZ21:DA21"/>
    <mergeCell ref="CZ22:DA22"/>
    <mergeCell ref="CZ23:DA23"/>
    <mergeCell ref="CZ24:DA24"/>
    <mergeCell ref="CW25:CY25"/>
    <mergeCell ref="CZ25:DA25"/>
    <mergeCell ref="CZ26:DA26"/>
    <mergeCell ref="CW27:DA27"/>
    <mergeCell ref="CW28:DA29"/>
    <mergeCell ref="CW1:CW2"/>
    <mergeCell ref="CX1:CY2"/>
    <mergeCell ref="CZ1:CZ2"/>
    <mergeCell ref="CZ3:DA3"/>
    <mergeCell ref="CZ4:DA4"/>
    <mergeCell ref="CZ5:DA5"/>
    <mergeCell ref="CZ6:DA6"/>
    <mergeCell ref="CZ7:DA7"/>
    <mergeCell ref="CZ8:DA8"/>
    <mergeCell ref="CW9:CY9"/>
    <mergeCell ref="CZ9:DA9"/>
    <mergeCell ref="CW10:CX10"/>
    <mergeCell ref="CY10:DA10"/>
    <mergeCell ref="CW11:CX11"/>
    <mergeCell ref="CY11:DA11"/>
    <mergeCell ref="CW12:CX12"/>
    <mergeCell ref="CY12:DA12"/>
    <mergeCell ref="CW13:CX13"/>
    <mergeCell ref="CY13:DA13"/>
    <mergeCell ref="CW14:CX14"/>
    <mergeCell ref="CY14:DA14"/>
    <mergeCell ref="CW15:CY15"/>
    <mergeCell ref="CZ15:DA15"/>
    <mergeCell ref="CW16:CX16"/>
    <mergeCell ref="CY16:DA16"/>
    <mergeCell ref="CW17:CX17"/>
    <mergeCell ref="CY17:DA17"/>
    <mergeCell ref="CW18:CX18"/>
    <mergeCell ref="CY18:DA18"/>
    <mergeCell ref="CW19:CX19"/>
    <mergeCell ref="CY19:DA19"/>
    <mergeCell ref="CW20:CX20"/>
    <mergeCell ref="CY20:DA20"/>
    <mergeCell ref="DJ21:DK21"/>
    <mergeCell ref="DJ22:DK22"/>
    <mergeCell ref="DJ23:DK23"/>
    <mergeCell ref="DJ24:DK24"/>
    <mergeCell ref="DG25:DI25"/>
    <mergeCell ref="DJ25:DK25"/>
    <mergeCell ref="DJ26:DK26"/>
    <mergeCell ref="DG27:DK27"/>
    <mergeCell ref="DG28:DK29"/>
    <mergeCell ref="DG1:DG2"/>
    <mergeCell ref="DH1:DI2"/>
    <mergeCell ref="DJ1:DJ2"/>
    <mergeCell ref="DJ3:DK3"/>
    <mergeCell ref="DJ4:DK4"/>
    <mergeCell ref="DJ5:DK5"/>
    <mergeCell ref="DJ6:DK6"/>
    <mergeCell ref="DJ7:DK7"/>
    <mergeCell ref="DJ8:DK8"/>
    <mergeCell ref="DG9:DI9"/>
    <mergeCell ref="DJ9:DK9"/>
    <mergeCell ref="DG10:DH10"/>
    <mergeCell ref="DI10:DK10"/>
    <mergeCell ref="DG11:DH11"/>
    <mergeCell ref="DI11:DK11"/>
    <mergeCell ref="DG12:DH12"/>
    <mergeCell ref="DI12:DK12"/>
    <mergeCell ref="DG13:DH13"/>
    <mergeCell ref="DI13:DK13"/>
    <mergeCell ref="DG14:DH14"/>
    <mergeCell ref="DI14:DK14"/>
    <mergeCell ref="DG15:DI15"/>
    <mergeCell ref="DJ15:DK15"/>
    <mergeCell ref="DG16:DH16"/>
    <mergeCell ref="DI16:DK16"/>
    <mergeCell ref="DG17:DH17"/>
    <mergeCell ref="DI17:DK17"/>
    <mergeCell ref="DG18:DH18"/>
    <mergeCell ref="DI18:DK18"/>
    <mergeCell ref="DG19:DH19"/>
    <mergeCell ref="DI19:DK19"/>
    <mergeCell ref="DG20:DH20"/>
    <mergeCell ref="DI20:DK20"/>
    <mergeCell ref="DO21:DP21"/>
    <mergeCell ref="DO22:DP22"/>
    <mergeCell ref="DO23:DP23"/>
    <mergeCell ref="DO24:DP24"/>
    <mergeCell ref="DL25:DN25"/>
    <mergeCell ref="DO25:DP25"/>
    <mergeCell ref="DO26:DP26"/>
    <mergeCell ref="DL27:DP27"/>
    <mergeCell ref="DL28:DP29"/>
    <mergeCell ref="DL1:DL2"/>
    <mergeCell ref="DM1:DN2"/>
    <mergeCell ref="DO1:DO2"/>
    <mergeCell ref="DO3:DP3"/>
    <mergeCell ref="DO4:DP4"/>
    <mergeCell ref="DO5:DP5"/>
    <mergeCell ref="DO6:DP6"/>
    <mergeCell ref="DO7:DP7"/>
    <mergeCell ref="DO8:DP8"/>
    <mergeCell ref="DL9:DN9"/>
    <mergeCell ref="DO9:DP9"/>
    <mergeCell ref="DL10:DM10"/>
    <mergeCell ref="DN10:DP10"/>
    <mergeCell ref="DL11:DM11"/>
    <mergeCell ref="DN11:DP11"/>
    <mergeCell ref="DL12:DM12"/>
    <mergeCell ref="DN12:DP12"/>
    <mergeCell ref="DL13:DM13"/>
    <mergeCell ref="DN13:DP13"/>
    <mergeCell ref="DL14:DM14"/>
    <mergeCell ref="DN14:DP14"/>
    <mergeCell ref="DL15:DN15"/>
    <mergeCell ref="DO15:DP15"/>
    <mergeCell ref="DL16:DM16"/>
    <mergeCell ref="DN16:DP16"/>
    <mergeCell ref="DL17:DM17"/>
    <mergeCell ref="DN17:DP17"/>
    <mergeCell ref="DL18:DM18"/>
    <mergeCell ref="DN18:DP18"/>
    <mergeCell ref="DL19:DM19"/>
    <mergeCell ref="DN19:DP19"/>
    <mergeCell ref="DL20:DM20"/>
    <mergeCell ref="DN20:DP20"/>
    <mergeCell ref="DT21:DU21"/>
    <mergeCell ref="DT22:DU22"/>
    <mergeCell ref="DT23:DU23"/>
    <mergeCell ref="DT24:DU24"/>
    <mergeCell ref="DQ25:DS25"/>
    <mergeCell ref="DT25:DU25"/>
    <mergeCell ref="DT26:DU26"/>
    <mergeCell ref="DQ27:DU27"/>
    <mergeCell ref="DQ28:DU29"/>
    <mergeCell ref="DQ1:DQ2"/>
    <mergeCell ref="DR1:DS2"/>
    <mergeCell ref="DT1:DT2"/>
    <mergeCell ref="DT3:DU3"/>
    <mergeCell ref="DT4:DU4"/>
    <mergeCell ref="DT5:DU5"/>
    <mergeCell ref="DT6:DU6"/>
    <mergeCell ref="DT7:DU7"/>
    <mergeCell ref="DT8:DU8"/>
    <mergeCell ref="DQ9:DS9"/>
    <mergeCell ref="DT9:DU9"/>
    <mergeCell ref="DQ10:DR10"/>
    <mergeCell ref="DS10:DU10"/>
    <mergeCell ref="DQ11:DR11"/>
    <mergeCell ref="DS11:DU11"/>
    <mergeCell ref="DQ12:DR12"/>
    <mergeCell ref="DS12:DU12"/>
    <mergeCell ref="DQ13:DR13"/>
    <mergeCell ref="DS13:DU13"/>
    <mergeCell ref="DQ14:DR14"/>
    <mergeCell ref="DS14:DU14"/>
    <mergeCell ref="DQ15:DS15"/>
    <mergeCell ref="DT15:DU15"/>
    <mergeCell ref="DQ16:DR16"/>
    <mergeCell ref="DS16:DU16"/>
    <mergeCell ref="DQ17:DR17"/>
    <mergeCell ref="DS17:DU17"/>
    <mergeCell ref="DQ18:DR18"/>
    <mergeCell ref="DS18:DU18"/>
    <mergeCell ref="DQ19:DR19"/>
    <mergeCell ref="DS19:DU19"/>
    <mergeCell ref="DQ20:DR20"/>
    <mergeCell ref="DS20:DU20"/>
    <mergeCell ref="DY21:DZ21"/>
    <mergeCell ref="DY22:DZ22"/>
    <mergeCell ref="DY23:DZ23"/>
    <mergeCell ref="DY24:DZ24"/>
    <mergeCell ref="DV25:DX25"/>
    <mergeCell ref="DY25:DZ25"/>
    <mergeCell ref="DY26:DZ26"/>
    <mergeCell ref="DV27:DZ27"/>
    <mergeCell ref="DV28:DZ29"/>
    <mergeCell ref="DV1:DV2"/>
    <mergeCell ref="DW1:DX2"/>
    <mergeCell ref="DY1:DY2"/>
    <mergeCell ref="DY3:DZ3"/>
    <mergeCell ref="DY4:DZ4"/>
    <mergeCell ref="DY5:DZ5"/>
    <mergeCell ref="DY6:DZ6"/>
    <mergeCell ref="DY7:DZ7"/>
    <mergeCell ref="DY8:DZ8"/>
    <mergeCell ref="DV9:DX9"/>
    <mergeCell ref="DY9:DZ9"/>
    <mergeCell ref="DV10:DW10"/>
    <mergeCell ref="DX10:DZ10"/>
    <mergeCell ref="DV11:DW11"/>
    <mergeCell ref="DX11:DZ11"/>
    <mergeCell ref="DV12:DW12"/>
    <mergeCell ref="DX12:DZ12"/>
    <mergeCell ref="DV13:DW13"/>
    <mergeCell ref="DX13:DZ13"/>
    <mergeCell ref="DV14:DW14"/>
    <mergeCell ref="DX14:DZ14"/>
    <mergeCell ref="DV15:DX15"/>
    <mergeCell ref="DY15:DZ15"/>
    <mergeCell ref="DV16:DW16"/>
    <mergeCell ref="DX16:DZ16"/>
    <mergeCell ref="DV17:DW17"/>
    <mergeCell ref="DX17:DZ17"/>
    <mergeCell ref="DV18:DW18"/>
    <mergeCell ref="DX18:DZ18"/>
    <mergeCell ref="DV19:DW19"/>
    <mergeCell ref="DX19:DZ19"/>
    <mergeCell ref="DV20:DW20"/>
    <mergeCell ref="DX20:DZ20"/>
    <mergeCell ref="ED21:EE21"/>
    <mergeCell ref="ED22:EE22"/>
    <mergeCell ref="ED23:EE23"/>
    <mergeCell ref="ED24:EE24"/>
    <mergeCell ref="EA25:EC25"/>
    <mergeCell ref="ED25:EE25"/>
    <mergeCell ref="ED26:EE26"/>
    <mergeCell ref="EA27:EE27"/>
    <mergeCell ref="EA28:EE29"/>
    <mergeCell ref="EA1:EA2"/>
    <mergeCell ref="EB1:EC2"/>
    <mergeCell ref="ED1:ED2"/>
    <mergeCell ref="ED3:EE3"/>
    <mergeCell ref="ED4:EE4"/>
    <mergeCell ref="ED5:EE5"/>
    <mergeCell ref="ED6:EE6"/>
    <mergeCell ref="ED7:EE7"/>
    <mergeCell ref="ED8:EE8"/>
    <mergeCell ref="EA9:EC9"/>
    <mergeCell ref="ED9:EE9"/>
    <mergeCell ref="EA10:EB10"/>
    <mergeCell ref="EC10:EE10"/>
    <mergeCell ref="EA11:EB11"/>
    <mergeCell ref="EC11:EE11"/>
    <mergeCell ref="EA12:EB12"/>
    <mergeCell ref="EC12:EE12"/>
    <mergeCell ref="EA13:EB13"/>
    <mergeCell ref="EC13:EE13"/>
    <mergeCell ref="EA14:EB14"/>
    <mergeCell ref="EC14:EE14"/>
    <mergeCell ref="EA15:EC15"/>
    <mergeCell ref="ED15:EE15"/>
    <mergeCell ref="EA16:EB16"/>
    <mergeCell ref="EC16:EE16"/>
    <mergeCell ref="EA17:EB17"/>
    <mergeCell ref="EC17:EE17"/>
    <mergeCell ref="EA18:EB18"/>
    <mergeCell ref="EC18:EE18"/>
    <mergeCell ref="EA19:EB19"/>
    <mergeCell ref="EC19:EE19"/>
    <mergeCell ref="EA20:EB20"/>
    <mergeCell ref="EC20:EE20"/>
    <mergeCell ref="ES21:ET21"/>
    <mergeCell ref="ES22:ET22"/>
    <mergeCell ref="ES23:ET23"/>
    <mergeCell ref="ES24:ET24"/>
    <mergeCell ref="EP25:ER25"/>
    <mergeCell ref="ES25:ET25"/>
    <mergeCell ref="ES26:ET26"/>
    <mergeCell ref="EP27:ET27"/>
    <mergeCell ref="EP28:ET29"/>
    <mergeCell ref="EP1:EP2"/>
    <mergeCell ref="EQ1:ER2"/>
    <mergeCell ref="ES1:ES2"/>
    <mergeCell ref="ES3:ET3"/>
    <mergeCell ref="ES4:ET4"/>
    <mergeCell ref="ES5:ET5"/>
    <mergeCell ref="ES6:ET6"/>
    <mergeCell ref="ES7:ET7"/>
    <mergeCell ref="ES8:ET8"/>
    <mergeCell ref="EP9:ER9"/>
    <mergeCell ref="ES9:ET9"/>
    <mergeCell ref="EP10:EQ10"/>
    <mergeCell ref="ER10:ET10"/>
    <mergeCell ref="EP11:EQ11"/>
    <mergeCell ref="ER11:ET11"/>
    <mergeCell ref="EP12:EQ12"/>
    <mergeCell ref="ER12:ET12"/>
    <mergeCell ref="EP13:EQ13"/>
    <mergeCell ref="ER13:ET13"/>
    <mergeCell ref="EP14:EQ14"/>
    <mergeCell ref="ER14:ET14"/>
    <mergeCell ref="EP15:ER15"/>
    <mergeCell ref="ES15:ET15"/>
    <mergeCell ref="EP16:EQ16"/>
    <mergeCell ref="ER16:ET16"/>
    <mergeCell ref="EP17:EQ17"/>
    <mergeCell ref="ER17:ET17"/>
    <mergeCell ref="EP18:EQ18"/>
    <mergeCell ref="ER18:ET18"/>
    <mergeCell ref="EP19:EQ19"/>
    <mergeCell ref="ER19:ET19"/>
    <mergeCell ref="EP20:EQ20"/>
    <mergeCell ref="ER20:ET20"/>
    <mergeCell ref="EX21:EY21"/>
    <mergeCell ref="EX22:EY22"/>
    <mergeCell ref="EX23:EY23"/>
    <mergeCell ref="EX24:EY24"/>
    <mergeCell ref="EU25:EW25"/>
    <mergeCell ref="EX25:EY25"/>
    <mergeCell ref="EX26:EY26"/>
    <mergeCell ref="EU27:EY27"/>
    <mergeCell ref="EU28:EY29"/>
    <mergeCell ref="EU1:EU2"/>
    <mergeCell ref="EV1:EW2"/>
    <mergeCell ref="EX1:EX2"/>
    <mergeCell ref="EX3:EY3"/>
    <mergeCell ref="EX4:EY4"/>
    <mergeCell ref="EX5:EY5"/>
    <mergeCell ref="EX6:EY6"/>
    <mergeCell ref="EX7:EY7"/>
    <mergeCell ref="EX8:EY8"/>
    <mergeCell ref="EU9:EW9"/>
    <mergeCell ref="EX9:EY9"/>
    <mergeCell ref="EU10:EV10"/>
    <mergeCell ref="EW10:EY10"/>
    <mergeCell ref="EU11:EV11"/>
    <mergeCell ref="EW11:EY11"/>
    <mergeCell ref="EU12:EV12"/>
    <mergeCell ref="EW12:EY12"/>
    <mergeCell ref="EU13:EV13"/>
    <mergeCell ref="EW13:EY13"/>
    <mergeCell ref="EU14:EV14"/>
    <mergeCell ref="EW14:EY14"/>
    <mergeCell ref="EU15:EW15"/>
    <mergeCell ref="EX15:EY15"/>
    <mergeCell ref="EU16:EV16"/>
    <mergeCell ref="EW16:EY16"/>
    <mergeCell ref="EU17:EV17"/>
    <mergeCell ref="EW17:EY17"/>
    <mergeCell ref="EU18:EV18"/>
    <mergeCell ref="EW18:EY18"/>
    <mergeCell ref="EU19:EV19"/>
    <mergeCell ref="EW19:EY19"/>
    <mergeCell ref="EU20:EV20"/>
    <mergeCell ref="EW20:EY20"/>
    <mergeCell ref="FC23:FD23"/>
    <mergeCell ref="FC24:FD24"/>
    <mergeCell ref="EZ25:FB25"/>
    <mergeCell ref="FC25:FD25"/>
    <mergeCell ref="FC26:FD26"/>
    <mergeCell ref="EZ27:FD27"/>
    <mergeCell ref="EZ28:FD29"/>
    <mergeCell ref="EZ1:EZ2"/>
    <mergeCell ref="FA1:FB2"/>
    <mergeCell ref="FC1:FC2"/>
    <mergeCell ref="FC3:FD3"/>
    <mergeCell ref="FC4:FD4"/>
    <mergeCell ref="FC5:FD5"/>
    <mergeCell ref="FC6:FD6"/>
    <mergeCell ref="FC7:FD7"/>
    <mergeCell ref="FC8:FD8"/>
    <mergeCell ref="EZ9:FB9"/>
    <mergeCell ref="FC9:FD9"/>
    <mergeCell ref="EZ10:FA10"/>
    <mergeCell ref="FB10:FD10"/>
    <mergeCell ref="EZ11:FA11"/>
    <mergeCell ref="FB11:FD11"/>
    <mergeCell ref="EZ12:FA12"/>
    <mergeCell ref="FB12:FD12"/>
    <mergeCell ref="EZ13:FA13"/>
    <mergeCell ref="FB13:FD13"/>
    <mergeCell ref="EZ14:FA14"/>
    <mergeCell ref="FB14:FD14"/>
    <mergeCell ref="EZ15:FB15"/>
    <mergeCell ref="FC15:FD15"/>
    <mergeCell ref="EZ16:FA16"/>
    <mergeCell ref="FB16:FD16"/>
    <mergeCell ref="EZ17:FA17"/>
    <mergeCell ref="FB17:FD17"/>
    <mergeCell ref="EZ18:FA18"/>
    <mergeCell ref="FB18:FD18"/>
    <mergeCell ref="EZ19:FA19"/>
    <mergeCell ref="FB19:FD19"/>
    <mergeCell ref="EZ20:FA20"/>
    <mergeCell ref="FB20:FD20"/>
    <mergeCell ref="FM21:FN21"/>
    <mergeCell ref="FM22:FN22"/>
    <mergeCell ref="FM23:FN23"/>
    <mergeCell ref="FM24:FN24"/>
    <mergeCell ref="FJ25:FL25"/>
    <mergeCell ref="FM25:FN25"/>
    <mergeCell ref="FM26:FN26"/>
    <mergeCell ref="FJ27:FN27"/>
    <mergeCell ref="FJ28:FN29"/>
    <mergeCell ref="FJ1:FJ2"/>
    <mergeCell ref="FK1:FL2"/>
    <mergeCell ref="FM1:FM2"/>
    <mergeCell ref="FM3:FN3"/>
    <mergeCell ref="FM4:FN4"/>
    <mergeCell ref="FM5:FN5"/>
    <mergeCell ref="FM6:FN6"/>
    <mergeCell ref="FM7:FN7"/>
    <mergeCell ref="FM8:FN8"/>
    <mergeCell ref="FJ9:FL9"/>
    <mergeCell ref="FM9:FN9"/>
    <mergeCell ref="FJ10:FK10"/>
    <mergeCell ref="FL10:FN10"/>
    <mergeCell ref="FJ11:FK11"/>
    <mergeCell ref="FL11:FN11"/>
    <mergeCell ref="FJ12:FK12"/>
    <mergeCell ref="FL12:FN12"/>
    <mergeCell ref="FJ13:FK13"/>
    <mergeCell ref="FL13:FN13"/>
    <mergeCell ref="FJ14:FK14"/>
    <mergeCell ref="FL14:FN14"/>
    <mergeCell ref="FJ15:FL15"/>
    <mergeCell ref="FM15:FN15"/>
    <mergeCell ref="FJ16:FK16"/>
    <mergeCell ref="FL16:FN16"/>
    <mergeCell ref="FJ17:FK17"/>
    <mergeCell ref="FL17:FN17"/>
    <mergeCell ref="FJ18:FK18"/>
    <mergeCell ref="FL18:FN18"/>
    <mergeCell ref="FJ19:FK19"/>
    <mergeCell ref="FL19:FN19"/>
    <mergeCell ref="FJ20:FK20"/>
    <mergeCell ref="FL20:FN20"/>
    <mergeCell ref="FW21:FX21"/>
    <mergeCell ref="FW22:FX22"/>
    <mergeCell ref="FW23:FX23"/>
    <mergeCell ref="FW24:FX24"/>
    <mergeCell ref="FT25:FV25"/>
    <mergeCell ref="FW25:FX25"/>
    <mergeCell ref="FW26:FX26"/>
    <mergeCell ref="FT27:FX27"/>
    <mergeCell ref="FT28:FX29"/>
    <mergeCell ref="FT1:FT2"/>
    <mergeCell ref="FU1:FV2"/>
    <mergeCell ref="FW1:FW2"/>
    <mergeCell ref="FW3:FX3"/>
    <mergeCell ref="FW4:FX4"/>
    <mergeCell ref="FW5:FX5"/>
    <mergeCell ref="FW6:FX6"/>
    <mergeCell ref="FW7:FX7"/>
    <mergeCell ref="FW8:FX8"/>
    <mergeCell ref="FT9:FV9"/>
    <mergeCell ref="FW9:FX9"/>
    <mergeCell ref="FT10:FU10"/>
    <mergeCell ref="FV10:FX10"/>
    <mergeCell ref="FT11:FU11"/>
    <mergeCell ref="FV11:FX11"/>
    <mergeCell ref="FT12:FU12"/>
    <mergeCell ref="FV12:FX12"/>
    <mergeCell ref="FT13:FU13"/>
    <mergeCell ref="FV13:FX13"/>
    <mergeCell ref="FT14:FU14"/>
    <mergeCell ref="FV14:FX14"/>
    <mergeCell ref="FT15:FV15"/>
    <mergeCell ref="FW15:FX15"/>
    <mergeCell ref="FT16:FU16"/>
    <mergeCell ref="FV16:FX16"/>
    <mergeCell ref="FT17:FU17"/>
    <mergeCell ref="FV17:FX17"/>
    <mergeCell ref="FT18:FU18"/>
    <mergeCell ref="FV18:FX18"/>
    <mergeCell ref="FT19:FU19"/>
    <mergeCell ref="FV19:FX19"/>
    <mergeCell ref="FT20:FU20"/>
    <mergeCell ref="FV20:FX20"/>
    <mergeCell ref="GG21:GH21"/>
    <mergeCell ref="GG22:GH22"/>
    <mergeCell ref="GG23:GH23"/>
    <mergeCell ref="GG24:GH24"/>
    <mergeCell ref="GD25:GF25"/>
    <mergeCell ref="GG25:GH25"/>
    <mergeCell ref="GG26:GH26"/>
    <mergeCell ref="GD27:GH27"/>
    <mergeCell ref="GD28:GH29"/>
    <mergeCell ref="GD1:GD2"/>
    <mergeCell ref="GE1:GF2"/>
    <mergeCell ref="GG1:GG2"/>
    <mergeCell ref="GG3:GH3"/>
    <mergeCell ref="GG4:GH4"/>
    <mergeCell ref="GG5:GH5"/>
    <mergeCell ref="GG6:GH6"/>
    <mergeCell ref="GG7:GH7"/>
    <mergeCell ref="GG8:GH8"/>
    <mergeCell ref="GD9:GF9"/>
    <mergeCell ref="GG9:GH9"/>
    <mergeCell ref="GD10:GE10"/>
    <mergeCell ref="GF10:GH10"/>
    <mergeCell ref="GD11:GE11"/>
    <mergeCell ref="GF11:GH11"/>
    <mergeCell ref="GD12:GE12"/>
    <mergeCell ref="GF12:GH12"/>
    <mergeCell ref="GD13:GE13"/>
    <mergeCell ref="GF13:GH13"/>
    <mergeCell ref="GD14:GE14"/>
    <mergeCell ref="GF14:GH14"/>
    <mergeCell ref="GD15:GF15"/>
    <mergeCell ref="GG15:GH15"/>
    <mergeCell ref="GD16:GE16"/>
    <mergeCell ref="GF16:GH16"/>
    <mergeCell ref="GD17:GE17"/>
    <mergeCell ref="GF17:GH17"/>
    <mergeCell ref="GD18:GE18"/>
    <mergeCell ref="GF18:GH18"/>
    <mergeCell ref="GD19:GE19"/>
    <mergeCell ref="GF19:GH19"/>
    <mergeCell ref="GD20:GE20"/>
    <mergeCell ref="GF20:GH20"/>
    <mergeCell ref="GQ21:GR21"/>
    <mergeCell ref="GQ22:GR22"/>
    <mergeCell ref="GQ23:GR23"/>
    <mergeCell ref="GQ24:GR24"/>
    <mergeCell ref="GN25:GP25"/>
    <mergeCell ref="GQ25:GR25"/>
    <mergeCell ref="GQ26:GR26"/>
    <mergeCell ref="GN27:GR27"/>
    <mergeCell ref="GN28:GR29"/>
    <mergeCell ref="GN1:GN2"/>
    <mergeCell ref="GO1:GP2"/>
    <mergeCell ref="GQ1:GQ2"/>
    <mergeCell ref="GQ3:GR3"/>
    <mergeCell ref="GQ4:GR4"/>
    <mergeCell ref="GQ5:GR5"/>
    <mergeCell ref="GQ6:GR6"/>
    <mergeCell ref="GQ7:GR7"/>
    <mergeCell ref="GQ8:GR8"/>
    <mergeCell ref="GN9:GP9"/>
    <mergeCell ref="GQ9:GR9"/>
    <mergeCell ref="GN10:GO10"/>
    <mergeCell ref="GP10:GR10"/>
    <mergeCell ref="GN11:GO11"/>
    <mergeCell ref="GP11:GR11"/>
    <mergeCell ref="GN12:GO12"/>
    <mergeCell ref="GP12:GR12"/>
    <mergeCell ref="GN13:GO13"/>
    <mergeCell ref="GP13:GR13"/>
    <mergeCell ref="GN14:GO14"/>
    <mergeCell ref="GP14:GR14"/>
    <mergeCell ref="GN15:GP15"/>
    <mergeCell ref="GQ15:GR15"/>
    <mergeCell ref="GN16:GO16"/>
    <mergeCell ref="GP16:GR16"/>
    <mergeCell ref="GN17:GO17"/>
    <mergeCell ref="GP17:GR17"/>
    <mergeCell ref="GN18:GO18"/>
    <mergeCell ref="GP18:GR18"/>
    <mergeCell ref="GN19:GO19"/>
    <mergeCell ref="GP19:GR19"/>
    <mergeCell ref="GN20:GO20"/>
    <mergeCell ref="GP20:GR20"/>
    <mergeCell ref="HA21:HB21"/>
    <mergeCell ref="HA22:HB22"/>
    <mergeCell ref="HA23:HB23"/>
    <mergeCell ref="HA24:HB24"/>
    <mergeCell ref="GX25:GZ25"/>
    <mergeCell ref="HA25:HB25"/>
    <mergeCell ref="HA26:HB26"/>
    <mergeCell ref="GX27:HB27"/>
    <mergeCell ref="GX28:HB29"/>
    <mergeCell ref="GX1:GX2"/>
    <mergeCell ref="GY1:GZ2"/>
    <mergeCell ref="HA1:HA2"/>
    <mergeCell ref="HA3:HB3"/>
    <mergeCell ref="HA4:HB4"/>
    <mergeCell ref="HA5:HB5"/>
    <mergeCell ref="HA6:HB6"/>
    <mergeCell ref="HA7:HB7"/>
    <mergeCell ref="HA8:HB8"/>
    <mergeCell ref="GX9:GZ9"/>
    <mergeCell ref="HA9:HB9"/>
    <mergeCell ref="GX10:GY10"/>
    <mergeCell ref="GZ10:HB10"/>
    <mergeCell ref="GX11:GY11"/>
    <mergeCell ref="GZ11:HB11"/>
    <mergeCell ref="GX12:GY12"/>
    <mergeCell ref="GZ12:HB12"/>
    <mergeCell ref="GX13:GY13"/>
    <mergeCell ref="GZ13:HB13"/>
    <mergeCell ref="GX14:GY14"/>
    <mergeCell ref="GZ14:HB14"/>
    <mergeCell ref="GX15:GZ15"/>
    <mergeCell ref="HA15:HB15"/>
    <mergeCell ref="GX16:GY16"/>
    <mergeCell ref="GZ16:HB16"/>
    <mergeCell ref="GX17:GY17"/>
    <mergeCell ref="GZ17:HB17"/>
    <mergeCell ref="GX18:GY18"/>
    <mergeCell ref="GZ18:HB18"/>
    <mergeCell ref="GX19:GY19"/>
    <mergeCell ref="GZ19:HB19"/>
    <mergeCell ref="GX20:GY20"/>
    <mergeCell ref="GZ20:HB20"/>
    <mergeCell ref="HF21:HG21"/>
    <mergeCell ref="HF22:HG22"/>
    <mergeCell ref="HF23:HG23"/>
    <mergeCell ref="HF24:HG24"/>
    <mergeCell ref="HC25:HE25"/>
    <mergeCell ref="HF25:HG25"/>
    <mergeCell ref="HF26:HG26"/>
    <mergeCell ref="HC27:HG27"/>
    <mergeCell ref="HC28:HG29"/>
    <mergeCell ref="HC1:HC2"/>
    <mergeCell ref="HD1:HE2"/>
    <mergeCell ref="HF1:HF2"/>
    <mergeCell ref="HF3:HG3"/>
    <mergeCell ref="HF4:HG4"/>
    <mergeCell ref="HF5:HG5"/>
    <mergeCell ref="HF6:HG6"/>
    <mergeCell ref="HF7:HG7"/>
    <mergeCell ref="HF8:HG8"/>
    <mergeCell ref="HC9:HE9"/>
    <mergeCell ref="HF9:HG9"/>
    <mergeCell ref="HC10:HD10"/>
    <mergeCell ref="HE10:HG10"/>
    <mergeCell ref="HC11:HD11"/>
    <mergeCell ref="HE11:HG11"/>
    <mergeCell ref="HC12:HD12"/>
    <mergeCell ref="HE12:HG12"/>
    <mergeCell ref="HC13:HD13"/>
    <mergeCell ref="HE13:HG13"/>
    <mergeCell ref="HC14:HD14"/>
    <mergeCell ref="HE14:HG14"/>
    <mergeCell ref="HC15:HE15"/>
    <mergeCell ref="HF15:HG15"/>
    <mergeCell ref="HC16:HD16"/>
    <mergeCell ref="HE16:HG16"/>
    <mergeCell ref="HC17:HD17"/>
    <mergeCell ref="HE17:HG17"/>
    <mergeCell ref="HC18:HD18"/>
    <mergeCell ref="HE18:HG18"/>
    <mergeCell ref="HC19:HD19"/>
    <mergeCell ref="HE19:HG19"/>
    <mergeCell ref="HC20:HD20"/>
    <mergeCell ref="HE20:HG20"/>
    <mergeCell ref="HK21:HL21"/>
    <mergeCell ref="HK22:HL22"/>
    <mergeCell ref="HK23:HL23"/>
    <mergeCell ref="HK24:HL24"/>
    <mergeCell ref="HH25:HJ25"/>
    <mergeCell ref="HK25:HL25"/>
    <mergeCell ref="HK26:HL26"/>
    <mergeCell ref="HH27:HL27"/>
    <mergeCell ref="HH28:HL29"/>
    <mergeCell ref="HH1:HH2"/>
    <mergeCell ref="HI1:HJ2"/>
    <mergeCell ref="HK1:HK2"/>
    <mergeCell ref="HK3:HL3"/>
    <mergeCell ref="HK4:HL4"/>
    <mergeCell ref="HK5:HL5"/>
    <mergeCell ref="HK6:HL6"/>
    <mergeCell ref="HK7:HL7"/>
    <mergeCell ref="HK8:HL8"/>
    <mergeCell ref="HH9:HJ9"/>
    <mergeCell ref="HK9:HL9"/>
    <mergeCell ref="HH10:HI10"/>
    <mergeCell ref="HJ10:HL10"/>
    <mergeCell ref="HH11:HI11"/>
    <mergeCell ref="HJ11:HL11"/>
    <mergeCell ref="HH12:HI12"/>
    <mergeCell ref="HJ12:HL12"/>
    <mergeCell ref="HH13:HI13"/>
    <mergeCell ref="HJ13:HL13"/>
    <mergeCell ref="HH14:HI14"/>
    <mergeCell ref="HJ14:HL14"/>
    <mergeCell ref="HH15:HJ15"/>
    <mergeCell ref="HK15:HL15"/>
    <mergeCell ref="HH16:HI16"/>
    <mergeCell ref="HJ16:HL16"/>
    <mergeCell ref="HH17:HI17"/>
    <mergeCell ref="HJ17:HL17"/>
    <mergeCell ref="HH18:HI18"/>
    <mergeCell ref="HJ18:HL18"/>
    <mergeCell ref="HH19:HI19"/>
    <mergeCell ref="HJ19:HL19"/>
    <mergeCell ref="HH20:HI20"/>
    <mergeCell ref="HJ20:HL20"/>
    <mergeCell ref="HP21:HQ21"/>
    <mergeCell ref="HP22:HQ22"/>
    <mergeCell ref="HP23:HQ23"/>
    <mergeCell ref="HP24:HQ24"/>
    <mergeCell ref="HM25:HO25"/>
    <mergeCell ref="HP25:HQ25"/>
    <mergeCell ref="HP26:HQ26"/>
    <mergeCell ref="HM27:HQ27"/>
    <mergeCell ref="HM28:HQ29"/>
    <mergeCell ref="HM1:HM2"/>
    <mergeCell ref="HN1:HO2"/>
    <mergeCell ref="HP1:HP2"/>
    <mergeCell ref="HP3:HQ3"/>
    <mergeCell ref="HP4:HQ4"/>
    <mergeCell ref="HP5:HQ5"/>
    <mergeCell ref="HP6:HQ6"/>
    <mergeCell ref="HP7:HQ7"/>
    <mergeCell ref="HP8:HQ8"/>
    <mergeCell ref="HM9:HO9"/>
    <mergeCell ref="HP9:HQ9"/>
    <mergeCell ref="HM10:HN10"/>
    <mergeCell ref="HO10:HQ10"/>
    <mergeCell ref="HM11:HN11"/>
    <mergeCell ref="HO11:HQ11"/>
    <mergeCell ref="HM12:HN12"/>
    <mergeCell ref="HO12:HQ12"/>
    <mergeCell ref="HM13:HN13"/>
    <mergeCell ref="HO13:HQ13"/>
    <mergeCell ref="HM14:HN14"/>
    <mergeCell ref="HO14:HQ14"/>
    <mergeCell ref="HM15:HO15"/>
    <mergeCell ref="HP15:HQ15"/>
    <mergeCell ref="HM16:HN16"/>
    <mergeCell ref="HO16:HQ16"/>
    <mergeCell ref="HM17:HN17"/>
    <mergeCell ref="HO17:HQ17"/>
    <mergeCell ref="HM18:HN18"/>
    <mergeCell ref="HO18:HQ18"/>
    <mergeCell ref="HM19:HN19"/>
    <mergeCell ref="HO19:HQ19"/>
    <mergeCell ref="HM20:HN20"/>
    <mergeCell ref="HO20:HQ20"/>
    <mergeCell ref="HU21:HV21"/>
    <mergeCell ref="HU22:HV22"/>
    <mergeCell ref="HU23:HV23"/>
    <mergeCell ref="HU24:HV24"/>
    <mergeCell ref="HR25:HT25"/>
    <mergeCell ref="HU25:HV25"/>
    <mergeCell ref="HU26:HV26"/>
    <mergeCell ref="HR27:HV27"/>
    <mergeCell ref="HR28:HV29"/>
    <mergeCell ref="HR1:HR2"/>
    <mergeCell ref="HS1:HT2"/>
    <mergeCell ref="HU1:HU2"/>
    <mergeCell ref="HU3:HV3"/>
    <mergeCell ref="HU4:HV4"/>
    <mergeCell ref="HU5:HV5"/>
    <mergeCell ref="HU6:HV6"/>
    <mergeCell ref="HU7:HV7"/>
    <mergeCell ref="HU8:HV8"/>
    <mergeCell ref="HR9:HT9"/>
    <mergeCell ref="HU9:HV9"/>
    <mergeCell ref="HR10:HS10"/>
    <mergeCell ref="HT10:HV10"/>
    <mergeCell ref="HR11:HS11"/>
    <mergeCell ref="HT11:HV11"/>
    <mergeCell ref="HR12:HS12"/>
    <mergeCell ref="HT12:HV12"/>
    <mergeCell ref="HR13:HS13"/>
    <mergeCell ref="HT13:HV13"/>
    <mergeCell ref="HR14:HS14"/>
    <mergeCell ref="HT14:HV14"/>
    <mergeCell ref="HR15:HT15"/>
    <mergeCell ref="HU15:HV15"/>
    <mergeCell ref="HR16:HS16"/>
    <mergeCell ref="HT16:HV16"/>
    <mergeCell ref="HR17:HS17"/>
    <mergeCell ref="HT17:HV17"/>
    <mergeCell ref="HR18:HS18"/>
    <mergeCell ref="HT18:HV18"/>
    <mergeCell ref="HR19:HS19"/>
    <mergeCell ref="HT19:HV19"/>
    <mergeCell ref="HR20:HS20"/>
    <mergeCell ref="HT20:HV20"/>
    <mergeCell ref="HZ21:IA21"/>
    <mergeCell ref="HZ22:IA22"/>
    <mergeCell ref="HZ23:IA23"/>
    <mergeCell ref="HZ24:IA24"/>
    <mergeCell ref="HW25:HY25"/>
    <mergeCell ref="HZ25:IA25"/>
    <mergeCell ref="HZ26:IA26"/>
    <mergeCell ref="HW27:IA27"/>
    <mergeCell ref="HW28:IA29"/>
    <mergeCell ref="HW1:HW2"/>
    <mergeCell ref="HX1:HY2"/>
    <mergeCell ref="HZ1:HZ2"/>
    <mergeCell ref="HZ3:IA3"/>
    <mergeCell ref="HZ4:IA4"/>
    <mergeCell ref="HZ5:IA5"/>
    <mergeCell ref="HZ6:IA6"/>
    <mergeCell ref="HZ7:IA7"/>
    <mergeCell ref="HZ8:IA8"/>
    <mergeCell ref="HW9:HY9"/>
    <mergeCell ref="HZ9:IA9"/>
    <mergeCell ref="HW10:HX10"/>
    <mergeCell ref="HY10:IA10"/>
    <mergeCell ref="HW11:HX11"/>
    <mergeCell ref="HY11:IA11"/>
    <mergeCell ref="HW12:HX12"/>
    <mergeCell ref="HY12:IA12"/>
    <mergeCell ref="HW13:HX13"/>
    <mergeCell ref="HY13:IA13"/>
    <mergeCell ref="HW14:HX14"/>
    <mergeCell ref="HY14:IA14"/>
    <mergeCell ref="HW15:HY15"/>
    <mergeCell ref="HZ15:IA15"/>
    <mergeCell ref="HW16:HX16"/>
    <mergeCell ref="HY16:IA16"/>
    <mergeCell ref="HW17:HX17"/>
    <mergeCell ref="HY17:IA17"/>
    <mergeCell ref="HW18:HX18"/>
    <mergeCell ref="HY18:IA18"/>
    <mergeCell ref="HW19:HX19"/>
    <mergeCell ref="HY19:IA19"/>
    <mergeCell ref="HW20:HX20"/>
    <mergeCell ref="HY20:IA20"/>
    <mergeCell ref="IJ21:IK21"/>
    <mergeCell ref="IJ22:IK22"/>
    <mergeCell ref="IJ23:IK23"/>
    <mergeCell ref="IJ24:IK24"/>
    <mergeCell ref="IG25:II25"/>
    <mergeCell ref="IJ25:IK25"/>
    <mergeCell ref="IJ26:IK26"/>
    <mergeCell ref="IG27:IK27"/>
    <mergeCell ref="IG28:IK29"/>
    <mergeCell ref="IG1:IG2"/>
    <mergeCell ref="IH1:II2"/>
    <mergeCell ref="IJ1:IJ2"/>
    <mergeCell ref="IJ3:IK3"/>
    <mergeCell ref="IJ4:IK4"/>
    <mergeCell ref="IJ5:IK5"/>
    <mergeCell ref="IJ6:IK6"/>
    <mergeCell ref="IJ7:IK7"/>
    <mergeCell ref="IJ8:IK8"/>
    <mergeCell ref="IG9:II9"/>
    <mergeCell ref="IJ9:IK9"/>
    <mergeCell ref="IG10:IH10"/>
    <mergeCell ref="II10:IK10"/>
    <mergeCell ref="IG11:IH11"/>
    <mergeCell ref="II11:IK11"/>
    <mergeCell ref="IG12:IH12"/>
    <mergeCell ref="II12:IK12"/>
    <mergeCell ref="IG13:IH13"/>
    <mergeCell ref="II13:IK13"/>
    <mergeCell ref="IG14:IH14"/>
    <mergeCell ref="II14:IK14"/>
    <mergeCell ref="IG15:II15"/>
    <mergeCell ref="IJ15:IK15"/>
    <mergeCell ref="IG16:IH16"/>
    <mergeCell ref="II16:IK16"/>
    <mergeCell ref="IG17:IH17"/>
    <mergeCell ref="II17:IK17"/>
    <mergeCell ref="IG18:IH18"/>
    <mergeCell ref="II18:IK18"/>
    <mergeCell ref="IG19:IH19"/>
    <mergeCell ref="II19:IK19"/>
    <mergeCell ref="IG20:IH20"/>
    <mergeCell ref="II20:IK20"/>
    <mergeCell ref="IY21:IZ21"/>
    <mergeCell ref="IY22:IZ22"/>
    <mergeCell ref="IY23:IZ23"/>
    <mergeCell ref="IY24:IZ24"/>
    <mergeCell ref="IV25:IX25"/>
    <mergeCell ref="IY25:IZ25"/>
    <mergeCell ref="IY26:IZ26"/>
    <mergeCell ref="IV27:IZ27"/>
    <mergeCell ref="IV28:IZ29"/>
    <mergeCell ref="IQ1:IQ2"/>
    <mergeCell ref="IR1:IS2"/>
    <mergeCell ref="IT1:IT2"/>
    <mergeCell ref="IT3:IU3"/>
    <mergeCell ref="IT4:IU4"/>
    <mergeCell ref="IT5:IU5"/>
    <mergeCell ref="IT6:IU6"/>
    <mergeCell ref="IT7:IU7"/>
    <mergeCell ref="IT8:IU8"/>
    <mergeCell ref="IQ9:IS9"/>
    <mergeCell ref="IT9:IU9"/>
    <mergeCell ref="IQ10:IR10"/>
    <mergeCell ref="IS10:IU10"/>
    <mergeCell ref="IQ11:IR11"/>
    <mergeCell ref="IS11:IU11"/>
    <mergeCell ref="IQ12:IR12"/>
    <mergeCell ref="IS12:IU12"/>
    <mergeCell ref="IQ13:IR13"/>
    <mergeCell ref="IS13:IU13"/>
    <mergeCell ref="IQ14:IR14"/>
    <mergeCell ref="IS14:IU14"/>
    <mergeCell ref="IQ15:IS15"/>
    <mergeCell ref="IT15:IU15"/>
    <mergeCell ref="IQ16:IR16"/>
    <mergeCell ref="IS16:IU16"/>
    <mergeCell ref="IQ17:IR17"/>
    <mergeCell ref="IS17:IU17"/>
    <mergeCell ref="IQ18:IR18"/>
    <mergeCell ref="IS18:IU18"/>
    <mergeCell ref="IQ19:IR19"/>
    <mergeCell ref="IS19:IU19"/>
    <mergeCell ref="IQ20:IR20"/>
    <mergeCell ref="IS20:IU20"/>
    <mergeCell ref="IT21:IU21"/>
    <mergeCell ref="IT22:IU22"/>
    <mergeCell ref="IT23:IU23"/>
    <mergeCell ref="IT24:IU24"/>
    <mergeCell ref="IQ25:IS25"/>
    <mergeCell ref="IT25:IU25"/>
    <mergeCell ref="IT26:IU26"/>
    <mergeCell ref="IQ27:IU27"/>
    <mergeCell ref="IQ28:IU29"/>
    <mergeCell ref="IV1:IV2"/>
    <mergeCell ref="IW1:IX2"/>
    <mergeCell ref="IY1:IY2"/>
    <mergeCell ref="IY3:IZ3"/>
    <mergeCell ref="IY4:IZ4"/>
    <mergeCell ref="IY5:IZ5"/>
    <mergeCell ref="IY6:IZ6"/>
    <mergeCell ref="IY7:IZ7"/>
    <mergeCell ref="IY8:IZ8"/>
    <mergeCell ref="IV9:IX9"/>
    <mergeCell ref="IY9:IZ9"/>
    <mergeCell ref="IV10:IW10"/>
    <mergeCell ref="IX10:IZ10"/>
    <mergeCell ref="IV11:IW11"/>
    <mergeCell ref="IX11:IZ11"/>
    <mergeCell ref="IV12:IW12"/>
    <mergeCell ref="IX12:IZ12"/>
    <mergeCell ref="IV13:IW13"/>
    <mergeCell ref="IX13:IZ13"/>
    <mergeCell ref="IV14:IW14"/>
    <mergeCell ref="IX14:IZ14"/>
    <mergeCell ref="IV15:IX15"/>
    <mergeCell ref="IY15:IZ15"/>
    <mergeCell ref="IV16:IW16"/>
    <mergeCell ref="IX16:IZ16"/>
    <mergeCell ref="IV17:IW17"/>
    <mergeCell ref="IX17:IZ17"/>
    <mergeCell ref="IV18:IW18"/>
    <mergeCell ref="IX18:IZ18"/>
    <mergeCell ref="IV19:IW19"/>
    <mergeCell ref="IX19:IZ19"/>
    <mergeCell ref="IV20:IW20"/>
    <mergeCell ref="IX20:IZ20"/>
    <mergeCell ref="JN21:JO21"/>
    <mergeCell ref="JN22:JO22"/>
    <mergeCell ref="JN23:JO23"/>
    <mergeCell ref="JN24:JO24"/>
    <mergeCell ref="JK25:JM25"/>
    <mergeCell ref="JN25:JO25"/>
    <mergeCell ref="JN26:JO26"/>
    <mergeCell ref="JK27:JO27"/>
    <mergeCell ref="JK28:JO29"/>
    <mergeCell ref="JK1:JK2"/>
    <mergeCell ref="JL1:JM2"/>
    <mergeCell ref="JN1:JN2"/>
    <mergeCell ref="JN3:JO3"/>
    <mergeCell ref="JN4:JO4"/>
    <mergeCell ref="JN5:JO5"/>
    <mergeCell ref="JN6:JO6"/>
    <mergeCell ref="JN7:JO7"/>
    <mergeCell ref="JN8:JO8"/>
    <mergeCell ref="JK9:JM9"/>
    <mergeCell ref="JN9:JO9"/>
    <mergeCell ref="JK10:JL10"/>
    <mergeCell ref="JM10:JO10"/>
    <mergeCell ref="JK11:JL11"/>
    <mergeCell ref="JM11:JO11"/>
    <mergeCell ref="JK12:JL12"/>
    <mergeCell ref="JM12:JO12"/>
    <mergeCell ref="JK13:JL13"/>
    <mergeCell ref="JM13:JO13"/>
    <mergeCell ref="JK14:JL14"/>
    <mergeCell ref="JM14:JO14"/>
    <mergeCell ref="JK15:JM15"/>
    <mergeCell ref="JN15:JO15"/>
    <mergeCell ref="JK16:JL16"/>
    <mergeCell ref="JM16:JO16"/>
    <mergeCell ref="JK17:JL17"/>
    <mergeCell ref="JM17:JO17"/>
    <mergeCell ref="JK18:JL18"/>
    <mergeCell ref="JM18:JO18"/>
    <mergeCell ref="JK19:JL19"/>
    <mergeCell ref="JM19:JO19"/>
    <mergeCell ref="JK20:JL20"/>
    <mergeCell ref="JM20:JO20"/>
    <mergeCell ref="JI21:JJ21"/>
    <mergeCell ref="JI22:JJ22"/>
    <mergeCell ref="JS21:JT21"/>
    <mergeCell ref="JS22:JT22"/>
    <mergeCell ref="JS23:JT23"/>
    <mergeCell ref="JS24:JT24"/>
    <mergeCell ref="JP25:JR25"/>
    <mergeCell ref="JS25:JT25"/>
    <mergeCell ref="JS26:JT26"/>
    <mergeCell ref="JP27:JT27"/>
    <mergeCell ref="JP28:JT29"/>
    <mergeCell ref="JP1:JP2"/>
    <mergeCell ref="JQ1:JR2"/>
    <mergeCell ref="JS1:JS2"/>
    <mergeCell ref="JS3:JT3"/>
    <mergeCell ref="JS4:JT4"/>
    <mergeCell ref="JS5:JT5"/>
    <mergeCell ref="JS6:JT6"/>
    <mergeCell ref="JS7:JT7"/>
    <mergeCell ref="JS8:JT8"/>
    <mergeCell ref="JP9:JR9"/>
    <mergeCell ref="JS9:JT9"/>
    <mergeCell ref="JP10:JQ10"/>
    <mergeCell ref="JR10:JT10"/>
    <mergeCell ref="JP11:JQ11"/>
    <mergeCell ref="JR11:JT11"/>
    <mergeCell ref="JP12:JQ12"/>
    <mergeCell ref="JR12:JT12"/>
    <mergeCell ref="JP13:JQ13"/>
    <mergeCell ref="JR13:JT13"/>
    <mergeCell ref="JP14:JQ14"/>
    <mergeCell ref="JR14:JT14"/>
    <mergeCell ref="JP15:JR15"/>
    <mergeCell ref="JS15:JT15"/>
    <mergeCell ref="JP16:JQ16"/>
    <mergeCell ref="JR16:JT16"/>
    <mergeCell ref="JP17:JQ17"/>
    <mergeCell ref="JR17:JT17"/>
    <mergeCell ref="JP18:JQ18"/>
    <mergeCell ref="JR18:JT18"/>
    <mergeCell ref="JP19:JQ19"/>
    <mergeCell ref="JR19:JT19"/>
    <mergeCell ref="JP20:JQ20"/>
    <mergeCell ref="JR20:JT20"/>
    <mergeCell ref="KC21:KD21"/>
    <mergeCell ref="KC22:KD22"/>
    <mergeCell ref="KC23:KD23"/>
    <mergeCell ref="KC24:KD24"/>
    <mergeCell ref="JZ25:KB25"/>
    <mergeCell ref="KC25:KD25"/>
    <mergeCell ref="KC26:KD26"/>
    <mergeCell ref="JZ27:KD27"/>
    <mergeCell ref="JZ28:KD29"/>
    <mergeCell ref="JZ1:JZ2"/>
    <mergeCell ref="KA1:KB2"/>
    <mergeCell ref="KC1:KC2"/>
    <mergeCell ref="KC3:KD3"/>
    <mergeCell ref="KC4:KD4"/>
    <mergeCell ref="KC5:KD5"/>
    <mergeCell ref="KC6:KD6"/>
    <mergeCell ref="KC7:KD7"/>
    <mergeCell ref="KC8:KD8"/>
    <mergeCell ref="JZ9:KB9"/>
    <mergeCell ref="KC9:KD9"/>
    <mergeCell ref="JZ10:KA10"/>
    <mergeCell ref="KB10:KD10"/>
    <mergeCell ref="JZ11:KA11"/>
    <mergeCell ref="KB11:KD11"/>
    <mergeCell ref="JZ12:KA12"/>
    <mergeCell ref="KB12:KD12"/>
    <mergeCell ref="JZ13:KA13"/>
    <mergeCell ref="KB13:KD13"/>
    <mergeCell ref="JZ14:KA14"/>
    <mergeCell ref="KB14:KD14"/>
    <mergeCell ref="JZ15:KB15"/>
    <mergeCell ref="KC15:KD15"/>
    <mergeCell ref="JZ16:KA16"/>
    <mergeCell ref="KB16:KD16"/>
    <mergeCell ref="JZ17:KA17"/>
    <mergeCell ref="KB17:KD17"/>
    <mergeCell ref="JZ18:KA18"/>
    <mergeCell ref="KB18:KD18"/>
    <mergeCell ref="JZ19:KA19"/>
    <mergeCell ref="KB19:KD19"/>
    <mergeCell ref="JZ20:KA20"/>
    <mergeCell ref="KB20:KD20"/>
    <mergeCell ref="KM21:KN21"/>
    <mergeCell ref="KM22:KN22"/>
    <mergeCell ref="KM23:KN23"/>
    <mergeCell ref="KM24:KN24"/>
    <mergeCell ref="KJ25:KL25"/>
    <mergeCell ref="KM25:KN25"/>
    <mergeCell ref="KM26:KN26"/>
    <mergeCell ref="KJ27:KN27"/>
    <mergeCell ref="KJ28:KN29"/>
    <mergeCell ref="KJ1:KJ2"/>
    <mergeCell ref="KK1:KL2"/>
    <mergeCell ref="KM1:KM2"/>
    <mergeCell ref="KM3:KN3"/>
    <mergeCell ref="KM4:KN4"/>
    <mergeCell ref="KM5:KN5"/>
    <mergeCell ref="KM6:KN6"/>
    <mergeCell ref="KM7:KN7"/>
    <mergeCell ref="KM8:KN8"/>
    <mergeCell ref="KJ9:KL9"/>
    <mergeCell ref="KM9:KN9"/>
    <mergeCell ref="KJ10:KK10"/>
    <mergeCell ref="KL10:KN10"/>
    <mergeCell ref="KJ11:KK11"/>
    <mergeCell ref="KL11:KN11"/>
    <mergeCell ref="KJ12:KK12"/>
    <mergeCell ref="KL12:KN12"/>
    <mergeCell ref="KJ13:KK13"/>
    <mergeCell ref="KL13:KN13"/>
    <mergeCell ref="KJ14:KK14"/>
    <mergeCell ref="KL14:KN14"/>
    <mergeCell ref="KJ15:KL15"/>
    <mergeCell ref="KM15:KN15"/>
    <mergeCell ref="KJ16:KK16"/>
    <mergeCell ref="KL16:KN16"/>
    <mergeCell ref="KJ17:KK17"/>
    <mergeCell ref="KL17:KN17"/>
    <mergeCell ref="KJ18:KK18"/>
    <mergeCell ref="KL18:KN18"/>
    <mergeCell ref="KJ19:KK19"/>
    <mergeCell ref="KL19:KN19"/>
    <mergeCell ref="KJ20:KK20"/>
    <mergeCell ref="KL20:KN20"/>
    <mergeCell ref="LB21:LC21"/>
    <mergeCell ref="LB22:LC22"/>
    <mergeCell ref="LB23:LC23"/>
    <mergeCell ref="LB24:LC24"/>
    <mergeCell ref="KY25:LA25"/>
    <mergeCell ref="LB25:LC25"/>
    <mergeCell ref="LB26:LC26"/>
    <mergeCell ref="KY27:LC27"/>
    <mergeCell ref="KY28:LC29"/>
    <mergeCell ref="KY1:KY2"/>
    <mergeCell ref="KZ1:LA2"/>
    <mergeCell ref="LB1:LB2"/>
    <mergeCell ref="LB3:LC3"/>
    <mergeCell ref="LB4:LC4"/>
    <mergeCell ref="LB5:LC5"/>
    <mergeCell ref="LB6:LC6"/>
    <mergeCell ref="LB7:LC7"/>
    <mergeCell ref="LB8:LC8"/>
    <mergeCell ref="KY9:LA9"/>
    <mergeCell ref="LB9:LC9"/>
    <mergeCell ref="KY10:KZ10"/>
    <mergeCell ref="LA10:LC10"/>
    <mergeCell ref="KY11:KZ11"/>
    <mergeCell ref="LA11:LC11"/>
    <mergeCell ref="KY12:KZ12"/>
    <mergeCell ref="LA12:LC12"/>
    <mergeCell ref="KY13:KZ13"/>
    <mergeCell ref="LA13:LC13"/>
    <mergeCell ref="KY14:KZ14"/>
    <mergeCell ref="LA14:LC14"/>
    <mergeCell ref="KY15:LA15"/>
    <mergeCell ref="LB15:LC15"/>
    <mergeCell ref="KY16:KZ16"/>
    <mergeCell ref="LA16:LC16"/>
    <mergeCell ref="KY17:KZ17"/>
    <mergeCell ref="LA17:LC17"/>
    <mergeCell ref="KY18:KZ18"/>
    <mergeCell ref="LA18:LC18"/>
    <mergeCell ref="KY19:KZ19"/>
    <mergeCell ref="LA19:LC19"/>
    <mergeCell ref="KY20:KZ20"/>
    <mergeCell ref="LA20:LC20"/>
    <mergeCell ref="LQ21:LR21"/>
    <mergeCell ref="LQ22:LR22"/>
    <mergeCell ref="LQ23:LR23"/>
    <mergeCell ref="LQ24:LR24"/>
    <mergeCell ref="LN25:LP25"/>
    <mergeCell ref="LQ25:LR25"/>
    <mergeCell ref="LQ26:LR26"/>
    <mergeCell ref="LN27:LR27"/>
    <mergeCell ref="LN28:LR29"/>
    <mergeCell ref="LN1:LN2"/>
    <mergeCell ref="LO1:LP2"/>
    <mergeCell ref="LQ1:LQ2"/>
    <mergeCell ref="LQ3:LR3"/>
    <mergeCell ref="LQ4:LR4"/>
    <mergeCell ref="LQ5:LR5"/>
    <mergeCell ref="LQ6:LR6"/>
    <mergeCell ref="LQ7:LR7"/>
    <mergeCell ref="LQ8:LR8"/>
    <mergeCell ref="LN9:LP9"/>
    <mergeCell ref="LQ9:LR9"/>
    <mergeCell ref="LN10:LO10"/>
    <mergeCell ref="LP10:LR10"/>
    <mergeCell ref="LN11:LO11"/>
    <mergeCell ref="LP11:LR11"/>
    <mergeCell ref="LN12:LO12"/>
    <mergeCell ref="LP12:LR12"/>
    <mergeCell ref="LN13:LO13"/>
    <mergeCell ref="LP13:LR13"/>
    <mergeCell ref="LN14:LO14"/>
    <mergeCell ref="LP14:LR14"/>
    <mergeCell ref="LN15:LP15"/>
    <mergeCell ref="LQ15:LR15"/>
    <mergeCell ref="LN16:LO16"/>
    <mergeCell ref="LP16:LR16"/>
    <mergeCell ref="LN17:LO17"/>
    <mergeCell ref="LP17:LR17"/>
    <mergeCell ref="LN18:LO18"/>
    <mergeCell ref="LP18:LR18"/>
    <mergeCell ref="LN19:LO19"/>
    <mergeCell ref="LP19:LR19"/>
    <mergeCell ref="LN20:LO20"/>
    <mergeCell ref="LP20:LR20"/>
    <mergeCell ref="MA21:MB21"/>
    <mergeCell ref="MA22:MB22"/>
    <mergeCell ref="MA23:MB23"/>
    <mergeCell ref="MA24:MB24"/>
    <mergeCell ref="LX25:LZ25"/>
    <mergeCell ref="MA25:MB25"/>
    <mergeCell ref="MA26:MB26"/>
    <mergeCell ref="LX27:MB27"/>
    <mergeCell ref="LX28:MB29"/>
    <mergeCell ref="LX1:LX2"/>
    <mergeCell ref="LY1:LZ2"/>
    <mergeCell ref="MA1:MA2"/>
    <mergeCell ref="MA3:MB3"/>
    <mergeCell ref="MA4:MB4"/>
    <mergeCell ref="MA5:MB5"/>
    <mergeCell ref="MA6:MB6"/>
    <mergeCell ref="MA7:MB7"/>
    <mergeCell ref="MA8:MB8"/>
    <mergeCell ref="LX9:LZ9"/>
    <mergeCell ref="MA9:MB9"/>
    <mergeCell ref="LX10:LY10"/>
    <mergeCell ref="LZ10:MB10"/>
    <mergeCell ref="LX11:LY11"/>
    <mergeCell ref="LZ11:MB11"/>
    <mergeCell ref="LX12:LY12"/>
    <mergeCell ref="LZ12:MB12"/>
    <mergeCell ref="LX13:LY13"/>
    <mergeCell ref="LZ13:MB13"/>
    <mergeCell ref="LX14:LY14"/>
    <mergeCell ref="LZ14:MB14"/>
    <mergeCell ref="LX15:LZ15"/>
    <mergeCell ref="MA15:MB15"/>
    <mergeCell ref="LX16:LY16"/>
    <mergeCell ref="LZ16:MB16"/>
    <mergeCell ref="LX17:LY17"/>
    <mergeCell ref="LZ17:MB17"/>
    <mergeCell ref="LX18:LY18"/>
    <mergeCell ref="LZ18:MB18"/>
    <mergeCell ref="LX19:LY19"/>
    <mergeCell ref="LZ19:MB19"/>
    <mergeCell ref="LX20:LY20"/>
    <mergeCell ref="LZ20:MB20"/>
    <mergeCell ref="MK21:ML21"/>
    <mergeCell ref="MK22:ML22"/>
    <mergeCell ref="MK23:ML23"/>
    <mergeCell ref="MK24:ML24"/>
    <mergeCell ref="MH25:MJ25"/>
    <mergeCell ref="MK25:ML25"/>
    <mergeCell ref="MK26:ML26"/>
    <mergeCell ref="MH27:ML27"/>
    <mergeCell ref="MH28:ML29"/>
    <mergeCell ref="MH1:MH2"/>
    <mergeCell ref="MI1:MJ2"/>
    <mergeCell ref="MK1:MK2"/>
    <mergeCell ref="MK3:ML3"/>
    <mergeCell ref="MK4:ML4"/>
    <mergeCell ref="MK5:ML5"/>
    <mergeCell ref="MK6:ML6"/>
    <mergeCell ref="MK7:ML7"/>
    <mergeCell ref="MK8:ML8"/>
    <mergeCell ref="MH9:MJ9"/>
    <mergeCell ref="MK9:ML9"/>
    <mergeCell ref="MH10:MI10"/>
    <mergeCell ref="MJ10:ML10"/>
    <mergeCell ref="MH11:MI11"/>
    <mergeCell ref="MJ11:ML11"/>
    <mergeCell ref="MH12:MI12"/>
    <mergeCell ref="MJ12:ML12"/>
    <mergeCell ref="MH13:MI13"/>
    <mergeCell ref="MJ13:ML13"/>
    <mergeCell ref="MH14:MI14"/>
    <mergeCell ref="MJ14:ML14"/>
    <mergeCell ref="MH15:MJ15"/>
    <mergeCell ref="MK15:ML15"/>
    <mergeCell ref="MH16:MI16"/>
    <mergeCell ref="MJ16:ML16"/>
    <mergeCell ref="MH17:MI17"/>
    <mergeCell ref="MJ17:ML17"/>
    <mergeCell ref="MH18:MI18"/>
    <mergeCell ref="MJ18:ML18"/>
    <mergeCell ref="MH19:MI19"/>
    <mergeCell ref="MJ19:ML19"/>
    <mergeCell ref="MH20:MI20"/>
    <mergeCell ref="MJ20:ML20"/>
    <mergeCell ref="MZ21:NA21"/>
    <mergeCell ref="MZ22:NA22"/>
    <mergeCell ref="MZ23:NA23"/>
    <mergeCell ref="MZ24:NA24"/>
    <mergeCell ref="MW25:MY25"/>
    <mergeCell ref="MZ25:NA25"/>
    <mergeCell ref="MZ26:NA26"/>
    <mergeCell ref="MW27:NA27"/>
    <mergeCell ref="MW28:NA29"/>
    <mergeCell ref="MR1:MR2"/>
    <mergeCell ref="MS1:MT2"/>
    <mergeCell ref="MU1:MU2"/>
    <mergeCell ref="MU3:MV3"/>
    <mergeCell ref="MU4:MV4"/>
    <mergeCell ref="MU5:MV5"/>
    <mergeCell ref="MU6:MV6"/>
    <mergeCell ref="MU7:MV7"/>
    <mergeCell ref="MU8:MV8"/>
    <mergeCell ref="MR9:MT9"/>
    <mergeCell ref="MU9:MV9"/>
    <mergeCell ref="MR10:MS10"/>
    <mergeCell ref="MT10:MV10"/>
    <mergeCell ref="MR11:MS11"/>
    <mergeCell ref="MT11:MV11"/>
    <mergeCell ref="MR12:MS12"/>
    <mergeCell ref="MT12:MV12"/>
    <mergeCell ref="MR13:MS13"/>
    <mergeCell ref="MT13:MV13"/>
    <mergeCell ref="MR14:MS14"/>
    <mergeCell ref="MT14:MV14"/>
    <mergeCell ref="MR15:MT15"/>
    <mergeCell ref="MU15:MV15"/>
    <mergeCell ref="MR16:MS16"/>
    <mergeCell ref="MT16:MV16"/>
    <mergeCell ref="MR17:MS17"/>
    <mergeCell ref="MT17:MV17"/>
    <mergeCell ref="MR18:MS18"/>
    <mergeCell ref="MT18:MV18"/>
    <mergeCell ref="MR19:MS19"/>
    <mergeCell ref="MT19:MV19"/>
    <mergeCell ref="MR20:MS20"/>
    <mergeCell ref="MT20:MV20"/>
    <mergeCell ref="MU21:MV21"/>
    <mergeCell ref="MU22:MV22"/>
    <mergeCell ref="MU23:MV23"/>
    <mergeCell ref="MU24:MV24"/>
    <mergeCell ref="MR25:MT25"/>
    <mergeCell ref="MU25:MV25"/>
    <mergeCell ref="MU26:MV26"/>
    <mergeCell ref="MR27:MV27"/>
    <mergeCell ref="MR28:MV29"/>
    <mergeCell ref="MW1:MW2"/>
    <mergeCell ref="MX1:MY2"/>
    <mergeCell ref="MZ1:MZ2"/>
    <mergeCell ref="MZ3:NA3"/>
    <mergeCell ref="MZ4:NA4"/>
    <mergeCell ref="MZ5:NA5"/>
    <mergeCell ref="MZ6:NA6"/>
    <mergeCell ref="MZ7:NA7"/>
    <mergeCell ref="MZ8:NA8"/>
    <mergeCell ref="MW9:MY9"/>
    <mergeCell ref="MZ9:NA9"/>
    <mergeCell ref="MW10:MX10"/>
    <mergeCell ref="MY10:NA10"/>
    <mergeCell ref="MW11:MX11"/>
    <mergeCell ref="MY11:NA11"/>
    <mergeCell ref="MW12:MX12"/>
    <mergeCell ref="MY12:NA12"/>
    <mergeCell ref="MW13:MX13"/>
    <mergeCell ref="MY13:NA13"/>
    <mergeCell ref="MW14:MX14"/>
    <mergeCell ref="MY14:NA14"/>
    <mergeCell ref="MW15:MY15"/>
    <mergeCell ref="MZ15:NA15"/>
    <mergeCell ref="MW16:MX16"/>
    <mergeCell ref="MY16:NA16"/>
    <mergeCell ref="MW17:MX17"/>
    <mergeCell ref="MY17:NA17"/>
    <mergeCell ref="MW18:MX18"/>
    <mergeCell ref="MY18:NA18"/>
    <mergeCell ref="MW19:MX19"/>
    <mergeCell ref="MY19:NA19"/>
    <mergeCell ref="MW20:MX20"/>
    <mergeCell ref="MY20:NA20"/>
    <mergeCell ref="NJ21:NK21"/>
    <mergeCell ref="NJ22:NK22"/>
    <mergeCell ref="NJ23:NK23"/>
    <mergeCell ref="NJ24:NK24"/>
    <mergeCell ref="NG25:NI25"/>
    <mergeCell ref="NJ25:NK25"/>
    <mergeCell ref="NJ26:NK26"/>
    <mergeCell ref="NG27:NK27"/>
    <mergeCell ref="NG28:NK29"/>
    <mergeCell ref="NG1:NG2"/>
    <mergeCell ref="NH1:NI2"/>
    <mergeCell ref="NJ1:NJ2"/>
    <mergeCell ref="NJ3:NK3"/>
    <mergeCell ref="NJ4:NK4"/>
    <mergeCell ref="NJ5:NK5"/>
    <mergeCell ref="NJ6:NK6"/>
    <mergeCell ref="NJ7:NK7"/>
    <mergeCell ref="NJ8:NK8"/>
    <mergeCell ref="NG9:NI9"/>
    <mergeCell ref="NJ9:NK9"/>
    <mergeCell ref="NG10:NH10"/>
    <mergeCell ref="NI10:NK10"/>
    <mergeCell ref="NG11:NH11"/>
    <mergeCell ref="NI11:NK11"/>
    <mergeCell ref="NG12:NH12"/>
    <mergeCell ref="NI12:NK12"/>
    <mergeCell ref="NG13:NH13"/>
    <mergeCell ref="NI13:NK13"/>
    <mergeCell ref="NG14:NH14"/>
    <mergeCell ref="NI14:NK14"/>
    <mergeCell ref="NG15:NI15"/>
    <mergeCell ref="NJ15:NK15"/>
    <mergeCell ref="NG16:NH16"/>
    <mergeCell ref="NI16:NK16"/>
    <mergeCell ref="NG17:NH17"/>
    <mergeCell ref="NI17:NK17"/>
    <mergeCell ref="NG18:NH18"/>
    <mergeCell ref="NI18:NK18"/>
    <mergeCell ref="NG19:NH19"/>
    <mergeCell ref="NI19:NK19"/>
    <mergeCell ref="NG20:NH20"/>
    <mergeCell ref="NI20:NK20"/>
    <mergeCell ref="NE21:NF21"/>
    <mergeCell ref="NE22:NF22"/>
    <mergeCell ref="NT21:NU21"/>
    <mergeCell ref="NT22:NU22"/>
    <mergeCell ref="NT23:NU23"/>
    <mergeCell ref="NT24:NU24"/>
    <mergeCell ref="NQ25:NS25"/>
    <mergeCell ref="NT25:NU25"/>
    <mergeCell ref="NT26:NU26"/>
    <mergeCell ref="NQ27:NU27"/>
    <mergeCell ref="NQ28:NU29"/>
    <mergeCell ref="NQ1:NQ2"/>
    <mergeCell ref="NR1:NS2"/>
    <mergeCell ref="NT1:NT2"/>
    <mergeCell ref="NT3:NU3"/>
    <mergeCell ref="NT4:NU4"/>
    <mergeCell ref="NT5:NU5"/>
    <mergeCell ref="NT6:NU6"/>
    <mergeCell ref="NT7:NU7"/>
    <mergeCell ref="NT8:NU8"/>
    <mergeCell ref="NQ9:NS9"/>
    <mergeCell ref="NT9:NU9"/>
    <mergeCell ref="NQ10:NR10"/>
    <mergeCell ref="NS10:NU10"/>
    <mergeCell ref="NQ11:NR11"/>
    <mergeCell ref="NS11:NU11"/>
    <mergeCell ref="NQ12:NR12"/>
    <mergeCell ref="NS12:NU12"/>
    <mergeCell ref="NQ13:NR13"/>
    <mergeCell ref="NS13:NU13"/>
    <mergeCell ref="NQ14:NR14"/>
    <mergeCell ref="NS14:NU14"/>
    <mergeCell ref="NQ15:NS15"/>
    <mergeCell ref="NT15:NU15"/>
    <mergeCell ref="NQ16:NR16"/>
    <mergeCell ref="NS16:NU16"/>
    <mergeCell ref="NQ17:NR17"/>
    <mergeCell ref="NS17:NU17"/>
    <mergeCell ref="NQ18:NR18"/>
    <mergeCell ref="NS18:NU18"/>
    <mergeCell ref="NQ19:NR19"/>
    <mergeCell ref="NS19:NU19"/>
    <mergeCell ref="NQ20:NR20"/>
    <mergeCell ref="NS20:NU20"/>
    <mergeCell ref="NY21:NZ21"/>
    <mergeCell ref="NY22:NZ22"/>
    <mergeCell ref="NY23:NZ23"/>
    <mergeCell ref="NY24:NZ24"/>
    <mergeCell ref="NV25:NX25"/>
    <mergeCell ref="NY25:NZ25"/>
    <mergeCell ref="NY26:NZ26"/>
    <mergeCell ref="NV27:NZ27"/>
    <mergeCell ref="NV28:NZ29"/>
    <mergeCell ref="NV1:NV2"/>
    <mergeCell ref="NW1:NX2"/>
    <mergeCell ref="NY1:NY2"/>
    <mergeCell ref="NY3:NZ3"/>
    <mergeCell ref="NY4:NZ4"/>
    <mergeCell ref="NY5:NZ5"/>
    <mergeCell ref="NY6:NZ6"/>
    <mergeCell ref="NY7:NZ7"/>
    <mergeCell ref="NY8:NZ8"/>
    <mergeCell ref="NV9:NX9"/>
    <mergeCell ref="NY9:NZ9"/>
    <mergeCell ref="NV10:NW10"/>
    <mergeCell ref="NX10:NZ10"/>
    <mergeCell ref="NV11:NW11"/>
    <mergeCell ref="NX11:NZ11"/>
    <mergeCell ref="NV12:NW12"/>
    <mergeCell ref="NX12:NZ12"/>
    <mergeCell ref="NV13:NW13"/>
    <mergeCell ref="NX13:NZ13"/>
    <mergeCell ref="NV14:NW14"/>
    <mergeCell ref="NX14:NZ14"/>
    <mergeCell ref="NV15:NX15"/>
    <mergeCell ref="NY15:NZ15"/>
    <mergeCell ref="NV16:NW16"/>
    <mergeCell ref="NX16:NZ16"/>
    <mergeCell ref="NV17:NW17"/>
    <mergeCell ref="NX17:NZ17"/>
    <mergeCell ref="NV18:NW18"/>
    <mergeCell ref="NX18:NZ18"/>
    <mergeCell ref="NV19:NW19"/>
    <mergeCell ref="NX19:NZ19"/>
    <mergeCell ref="NV20:NW20"/>
    <mergeCell ref="NX20:NZ20"/>
    <mergeCell ref="OI21:OJ21"/>
    <mergeCell ref="OI22:OJ22"/>
    <mergeCell ref="OI23:OJ23"/>
    <mergeCell ref="OI24:OJ24"/>
    <mergeCell ref="OF25:OH25"/>
    <mergeCell ref="OI25:OJ25"/>
    <mergeCell ref="OI26:OJ26"/>
    <mergeCell ref="OF27:OJ27"/>
    <mergeCell ref="OF28:OJ29"/>
    <mergeCell ref="OA1:OA2"/>
    <mergeCell ref="OB1:OC2"/>
    <mergeCell ref="OD1:OD2"/>
    <mergeCell ref="OD3:OE3"/>
    <mergeCell ref="OD4:OE4"/>
    <mergeCell ref="OD5:OE5"/>
    <mergeCell ref="OD6:OE6"/>
    <mergeCell ref="OD7:OE7"/>
    <mergeCell ref="OD8:OE8"/>
    <mergeCell ref="OA9:OC9"/>
    <mergeCell ref="OD9:OE9"/>
    <mergeCell ref="OA10:OB10"/>
    <mergeCell ref="OC10:OE10"/>
    <mergeCell ref="OA11:OB11"/>
    <mergeCell ref="OC11:OE11"/>
    <mergeCell ref="OA12:OB12"/>
    <mergeCell ref="OC12:OE12"/>
    <mergeCell ref="OA13:OB13"/>
    <mergeCell ref="OC13:OE13"/>
    <mergeCell ref="OA14:OB14"/>
    <mergeCell ref="OC14:OE14"/>
    <mergeCell ref="OA15:OC15"/>
    <mergeCell ref="OD15:OE15"/>
    <mergeCell ref="OA16:OB16"/>
    <mergeCell ref="OC16:OE16"/>
    <mergeCell ref="OA17:OB17"/>
    <mergeCell ref="OC17:OE17"/>
    <mergeCell ref="OA18:OB18"/>
    <mergeCell ref="OC18:OE18"/>
    <mergeCell ref="OA19:OB19"/>
    <mergeCell ref="OC19:OE19"/>
    <mergeCell ref="OA20:OB20"/>
    <mergeCell ref="OC20:OE20"/>
    <mergeCell ref="OD21:OE21"/>
    <mergeCell ref="OD22:OE22"/>
    <mergeCell ref="OD23:OE23"/>
    <mergeCell ref="OD24:OE24"/>
    <mergeCell ref="OA25:OC25"/>
    <mergeCell ref="OD25:OE25"/>
    <mergeCell ref="OD26:OE26"/>
    <mergeCell ref="OA27:OE27"/>
    <mergeCell ref="OA28:OE29"/>
    <mergeCell ref="OF1:OF2"/>
    <mergeCell ref="OG1:OH2"/>
    <mergeCell ref="OI1:OI2"/>
    <mergeCell ref="OI3:OJ3"/>
    <mergeCell ref="OI4:OJ4"/>
    <mergeCell ref="OI5:OJ5"/>
    <mergeCell ref="OI6:OJ6"/>
    <mergeCell ref="OI7:OJ7"/>
    <mergeCell ref="OI8:OJ8"/>
    <mergeCell ref="OF9:OH9"/>
    <mergeCell ref="OI9:OJ9"/>
    <mergeCell ref="OF10:OG10"/>
    <mergeCell ref="OH10:OJ10"/>
    <mergeCell ref="OF11:OG11"/>
    <mergeCell ref="OH11:OJ11"/>
    <mergeCell ref="OF12:OG12"/>
    <mergeCell ref="OH12:OJ12"/>
    <mergeCell ref="OF13:OG13"/>
    <mergeCell ref="OH13:OJ13"/>
    <mergeCell ref="OF14:OG14"/>
    <mergeCell ref="OH14:OJ14"/>
    <mergeCell ref="OF15:OH15"/>
    <mergeCell ref="OI15:OJ15"/>
    <mergeCell ref="OF16:OG16"/>
    <mergeCell ref="OH16:OJ16"/>
    <mergeCell ref="OF17:OG17"/>
    <mergeCell ref="OH17:OJ17"/>
    <mergeCell ref="OF18:OG18"/>
    <mergeCell ref="OH18:OJ18"/>
    <mergeCell ref="OF19:OG19"/>
    <mergeCell ref="OH19:OJ19"/>
    <mergeCell ref="OF20:OG20"/>
    <mergeCell ref="OH20:OJ20"/>
    <mergeCell ref="OS21:OT21"/>
    <mergeCell ref="OS22:OT22"/>
    <mergeCell ref="OS23:OT23"/>
    <mergeCell ref="OS24:OT24"/>
    <mergeCell ref="OP25:OR25"/>
    <mergeCell ref="OS25:OT25"/>
    <mergeCell ref="OS26:OT26"/>
    <mergeCell ref="OP27:OT27"/>
    <mergeCell ref="OP28:OT29"/>
    <mergeCell ref="OP1:OP2"/>
    <mergeCell ref="OQ1:OR2"/>
    <mergeCell ref="OS1:OS2"/>
    <mergeCell ref="OS3:OT3"/>
    <mergeCell ref="OS4:OT4"/>
    <mergeCell ref="OS5:OT5"/>
    <mergeCell ref="OS6:OT6"/>
    <mergeCell ref="OS7:OT7"/>
    <mergeCell ref="OS8:OT8"/>
    <mergeCell ref="OP9:OR9"/>
    <mergeCell ref="OS9:OT9"/>
    <mergeCell ref="OP10:OQ10"/>
    <mergeCell ref="OR10:OT10"/>
    <mergeCell ref="OP11:OQ11"/>
    <mergeCell ref="OR11:OT11"/>
    <mergeCell ref="OP12:OQ12"/>
    <mergeCell ref="OR12:OT12"/>
    <mergeCell ref="OP13:OQ13"/>
    <mergeCell ref="OR13:OT13"/>
    <mergeCell ref="OP14:OQ14"/>
    <mergeCell ref="OR14:OT14"/>
    <mergeCell ref="OP15:OR15"/>
    <mergeCell ref="OS15:OT15"/>
    <mergeCell ref="OP16:OQ16"/>
    <mergeCell ref="OR16:OT16"/>
    <mergeCell ref="OP17:OQ17"/>
    <mergeCell ref="OR17:OT17"/>
    <mergeCell ref="OP18:OQ18"/>
    <mergeCell ref="OR18:OT18"/>
    <mergeCell ref="OP19:OQ19"/>
    <mergeCell ref="OR19:OT19"/>
    <mergeCell ref="OP20:OQ20"/>
    <mergeCell ref="OR20:OT20"/>
    <mergeCell ref="ON21:OO21"/>
    <mergeCell ref="ON22:OO22"/>
    <mergeCell ref="PH21:PI21"/>
    <mergeCell ref="PH22:PI22"/>
    <mergeCell ref="PH23:PI23"/>
    <mergeCell ref="PH24:PI24"/>
    <mergeCell ref="PE25:PG25"/>
    <mergeCell ref="PH25:PI25"/>
    <mergeCell ref="PH26:PI26"/>
    <mergeCell ref="PE27:PI27"/>
    <mergeCell ref="PE28:PI29"/>
    <mergeCell ref="PE1:PE2"/>
    <mergeCell ref="PF1:PG2"/>
    <mergeCell ref="PH1:PH2"/>
    <mergeCell ref="PH3:PI3"/>
    <mergeCell ref="PH4:PI4"/>
    <mergeCell ref="PH5:PI5"/>
    <mergeCell ref="PH6:PI6"/>
    <mergeCell ref="PH7:PI7"/>
    <mergeCell ref="PH8:PI8"/>
    <mergeCell ref="PE9:PG9"/>
    <mergeCell ref="PH9:PI9"/>
    <mergeCell ref="PE10:PF10"/>
    <mergeCell ref="PG10:PI10"/>
    <mergeCell ref="PE11:PF11"/>
    <mergeCell ref="PG11:PI11"/>
    <mergeCell ref="PE12:PF12"/>
    <mergeCell ref="PG12:PI12"/>
    <mergeCell ref="PE13:PF13"/>
    <mergeCell ref="PG13:PI13"/>
    <mergeCell ref="PE14:PF14"/>
    <mergeCell ref="PG14:PI14"/>
    <mergeCell ref="PE15:PG15"/>
    <mergeCell ref="PH15:PI15"/>
    <mergeCell ref="PE16:PF16"/>
    <mergeCell ref="PG16:PI16"/>
    <mergeCell ref="PE17:PF17"/>
    <mergeCell ref="PG17:PI17"/>
    <mergeCell ref="PE18:PF18"/>
    <mergeCell ref="PG18:PI18"/>
    <mergeCell ref="PE19:PF19"/>
    <mergeCell ref="PG19:PI19"/>
    <mergeCell ref="PE20:PF20"/>
    <mergeCell ref="PG20:PI20"/>
    <mergeCell ref="PR21:PS21"/>
    <mergeCell ref="PR22:PS22"/>
    <mergeCell ref="PR23:PS23"/>
    <mergeCell ref="PR24:PS24"/>
    <mergeCell ref="PO25:PQ25"/>
    <mergeCell ref="PR25:PS25"/>
    <mergeCell ref="PR26:PS26"/>
    <mergeCell ref="PO27:PS27"/>
    <mergeCell ref="PO28:PS29"/>
    <mergeCell ref="PO1:PO2"/>
    <mergeCell ref="PP1:PQ2"/>
    <mergeCell ref="PR1:PR2"/>
    <mergeCell ref="PR3:PS3"/>
    <mergeCell ref="PR4:PS4"/>
    <mergeCell ref="PR5:PS5"/>
    <mergeCell ref="PR6:PS6"/>
    <mergeCell ref="PR7:PS7"/>
    <mergeCell ref="PR8:PS8"/>
    <mergeCell ref="PO9:PQ9"/>
    <mergeCell ref="PR9:PS9"/>
    <mergeCell ref="PO10:PP10"/>
    <mergeCell ref="PQ10:PS10"/>
    <mergeCell ref="PO11:PP11"/>
    <mergeCell ref="PQ11:PS11"/>
    <mergeCell ref="PO12:PP12"/>
    <mergeCell ref="PQ12:PS12"/>
    <mergeCell ref="PO13:PP13"/>
    <mergeCell ref="PQ13:PS13"/>
    <mergeCell ref="PO14:PP14"/>
    <mergeCell ref="PQ14:PS14"/>
    <mergeCell ref="PO15:PQ15"/>
    <mergeCell ref="PR15:PS15"/>
    <mergeCell ref="PO16:PP16"/>
    <mergeCell ref="PQ16:PS16"/>
    <mergeCell ref="PO17:PP17"/>
    <mergeCell ref="PQ17:PS17"/>
    <mergeCell ref="PO18:PP18"/>
    <mergeCell ref="PQ18:PS18"/>
    <mergeCell ref="PO19:PP19"/>
    <mergeCell ref="PQ19:PS19"/>
    <mergeCell ref="PO20:PP20"/>
    <mergeCell ref="PQ20:PS20"/>
    <mergeCell ref="QB21:QC21"/>
    <mergeCell ref="QB22:QC22"/>
    <mergeCell ref="QB23:QC23"/>
    <mergeCell ref="QB24:QC24"/>
    <mergeCell ref="PY25:QA25"/>
    <mergeCell ref="QB25:QC25"/>
    <mergeCell ref="QB26:QC26"/>
    <mergeCell ref="PY27:QC27"/>
    <mergeCell ref="PY28:QC29"/>
    <mergeCell ref="PY1:PY2"/>
    <mergeCell ref="PZ1:QA2"/>
    <mergeCell ref="QB1:QB2"/>
    <mergeCell ref="QB3:QC3"/>
    <mergeCell ref="QB4:QC4"/>
    <mergeCell ref="QB5:QC5"/>
    <mergeCell ref="QB6:QC6"/>
    <mergeCell ref="QB7:QC7"/>
    <mergeCell ref="QB8:QC8"/>
    <mergeCell ref="PY9:QA9"/>
    <mergeCell ref="QB9:QC9"/>
    <mergeCell ref="PY10:PZ10"/>
    <mergeCell ref="QA10:QC10"/>
    <mergeCell ref="PY11:PZ11"/>
    <mergeCell ref="QA11:QC11"/>
    <mergeCell ref="PY12:PZ12"/>
    <mergeCell ref="QA12:QC12"/>
    <mergeCell ref="PY13:PZ13"/>
    <mergeCell ref="QA13:QC13"/>
    <mergeCell ref="PY14:PZ14"/>
    <mergeCell ref="QA14:QC14"/>
    <mergeCell ref="PY15:QA15"/>
    <mergeCell ref="QB15:QC15"/>
    <mergeCell ref="PY16:PZ16"/>
    <mergeCell ref="QA16:QC16"/>
    <mergeCell ref="PY17:PZ17"/>
    <mergeCell ref="QA17:QC17"/>
    <mergeCell ref="PY18:PZ18"/>
    <mergeCell ref="QA18:QC18"/>
    <mergeCell ref="PY19:PZ19"/>
    <mergeCell ref="QA19:QC19"/>
    <mergeCell ref="PY20:PZ20"/>
    <mergeCell ref="QA20:QC20"/>
    <mergeCell ref="QG21:QH21"/>
    <mergeCell ref="QG22:QH22"/>
    <mergeCell ref="QG23:QH23"/>
    <mergeCell ref="QG24:QH24"/>
    <mergeCell ref="QD25:QF25"/>
    <mergeCell ref="QG25:QH25"/>
    <mergeCell ref="QG26:QH26"/>
    <mergeCell ref="QD27:QH27"/>
    <mergeCell ref="QD28:QH29"/>
    <mergeCell ref="QD1:QD2"/>
    <mergeCell ref="QE1:QF2"/>
    <mergeCell ref="QG1:QG2"/>
    <mergeCell ref="QG3:QH3"/>
    <mergeCell ref="QG4:QH4"/>
    <mergeCell ref="QG5:QH5"/>
    <mergeCell ref="QG6:QH6"/>
    <mergeCell ref="QG7:QH7"/>
    <mergeCell ref="QG8:QH8"/>
    <mergeCell ref="QD9:QF9"/>
    <mergeCell ref="QG9:QH9"/>
    <mergeCell ref="QD10:QE10"/>
    <mergeCell ref="QF10:QH10"/>
    <mergeCell ref="QD11:QE11"/>
    <mergeCell ref="QF11:QH11"/>
    <mergeCell ref="QD12:QE12"/>
    <mergeCell ref="QF12:QH12"/>
    <mergeCell ref="QD13:QE13"/>
    <mergeCell ref="QF13:QH13"/>
    <mergeCell ref="QD14:QE14"/>
    <mergeCell ref="QF14:QH14"/>
    <mergeCell ref="QD15:QF15"/>
    <mergeCell ref="QG15:QH15"/>
    <mergeCell ref="QD16:QE16"/>
    <mergeCell ref="QF16:QH16"/>
    <mergeCell ref="QD17:QE17"/>
    <mergeCell ref="QF17:QH17"/>
    <mergeCell ref="QD18:QE18"/>
    <mergeCell ref="QF18:QH18"/>
    <mergeCell ref="QD19:QE19"/>
    <mergeCell ref="QF19:QH19"/>
    <mergeCell ref="QD20:QE20"/>
    <mergeCell ref="QF20:QH20"/>
    <mergeCell ref="QQ21:QR21"/>
    <mergeCell ref="QQ22:QR22"/>
    <mergeCell ref="QQ23:QR23"/>
    <mergeCell ref="QQ24:QR24"/>
    <mergeCell ref="QN25:QP25"/>
    <mergeCell ref="QQ25:QR25"/>
    <mergeCell ref="QQ26:QR26"/>
    <mergeCell ref="QN27:QR27"/>
    <mergeCell ref="QN28:QR29"/>
    <mergeCell ref="QN1:QN2"/>
    <mergeCell ref="QO1:QP2"/>
    <mergeCell ref="QQ1:QQ2"/>
    <mergeCell ref="QQ3:QR3"/>
    <mergeCell ref="QQ4:QR4"/>
    <mergeCell ref="QQ5:QR5"/>
    <mergeCell ref="QQ6:QR6"/>
    <mergeCell ref="QQ7:QR7"/>
    <mergeCell ref="QQ8:QR8"/>
    <mergeCell ref="QN9:QP9"/>
    <mergeCell ref="QQ9:QR9"/>
    <mergeCell ref="QN10:QO10"/>
    <mergeCell ref="QP10:QR10"/>
    <mergeCell ref="QN11:QO11"/>
    <mergeCell ref="QP11:QR11"/>
    <mergeCell ref="QN12:QO12"/>
    <mergeCell ref="QP12:QR12"/>
    <mergeCell ref="QN13:QO13"/>
    <mergeCell ref="QP13:QR13"/>
    <mergeCell ref="QN14:QO14"/>
    <mergeCell ref="QP14:QR14"/>
    <mergeCell ref="QN15:QP15"/>
    <mergeCell ref="QQ15:QR15"/>
    <mergeCell ref="QN16:QO16"/>
    <mergeCell ref="QP16:QR16"/>
    <mergeCell ref="QN17:QO17"/>
    <mergeCell ref="QP17:QR17"/>
    <mergeCell ref="QN18:QO18"/>
    <mergeCell ref="QP18:QR18"/>
    <mergeCell ref="QN19:QO19"/>
    <mergeCell ref="QP19:QR19"/>
    <mergeCell ref="QN20:QO20"/>
    <mergeCell ref="QP20:QR20"/>
    <mergeCell ref="RF21:RG21"/>
    <mergeCell ref="RF22:RG22"/>
    <mergeCell ref="RF23:RG23"/>
    <mergeCell ref="RF24:RG24"/>
    <mergeCell ref="RC25:RE25"/>
    <mergeCell ref="RF25:RG25"/>
    <mergeCell ref="RF26:RG26"/>
    <mergeCell ref="RC27:RG27"/>
    <mergeCell ref="RC28:RG29"/>
    <mergeCell ref="RC1:RC2"/>
    <mergeCell ref="RD1:RE2"/>
    <mergeCell ref="RF1:RF2"/>
    <mergeCell ref="RF3:RG3"/>
    <mergeCell ref="RF4:RG4"/>
    <mergeCell ref="RF5:RG5"/>
    <mergeCell ref="RF6:RG6"/>
    <mergeCell ref="RF7:RG7"/>
    <mergeCell ref="RF8:RG8"/>
    <mergeCell ref="RC9:RE9"/>
    <mergeCell ref="RF9:RG9"/>
    <mergeCell ref="RC10:RD10"/>
    <mergeCell ref="RE10:RG10"/>
    <mergeCell ref="RC11:RD11"/>
    <mergeCell ref="RE11:RG11"/>
    <mergeCell ref="RC12:RD12"/>
    <mergeCell ref="RE12:RG12"/>
    <mergeCell ref="RC13:RD13"/>
    <mergeCell ref="RE13:RG13"/>
    <mergeCell ref="RC14:RD14"/>
    <mergeCell ref="RE14:RG14"/>
    <mergeCell ref="RC15:RE15"/>
    <mergeCell ref="RF15:RG15"/>
    <mergeCell ref="RC16:RD16"/>
    <mergeCell ref="RE16:RG16"/>
    <mergeCell ref="RC17:RD17"/>
    <mergeCell ref="RE17:RG17"/>
    <mergeCell ref="RC18:RD18"/>
    <mergeCell ref="RE18:RG18"/>
    <mergeCell ref="RC19:RD19"/>
    <mergeCell ref="RE19:RG19"/>
    <mergeCell ref="RC20:RD20"/>
    <mergeCell ref="RE20:RG20"/>
    <mergeCell ref="RP21:RQ21"/>
    <mergeCell ref="RP22:RQ22"/>
    <mergeCell ref="RP23:RQ23"/>
    <mergeCell ref="RP24:RQ24"/>
    <mergeCell ref="RM25:RO25"/>
    <mergeCell ref="RP25:RQ25"/>
    <mergeCell ref="RP26:RQ26"/>
    <mergeCell ref="RM27:RQ27"/>
    <mergeCell ref="RM28:RQ29"/>
    <mergeCell ref="RM1:RM2"/>
    <mergeCell ref="RN1:RO2"/>
    <mergeCell ref="RP1:RP2"/>
    <mergeCell ref="RP3:RQ3"/>
    <mergeCell ref="RP4:RQ4"/>
    <mergeCell ref="RP5:RQ5"/>
    <mergeCell ref="RP6:RQ6"/>
    <mergeCell ref="RP7:RQ7"/>
    <mergeCell ref="RP8:RQ8"/>
    <mergeCell ref="RM9:RO9"/>
    <mergeCell ref="RP9:RQ9"/>
    <mergeCell ref="RM10:RN10"/>
    <mergeCell ref="RO10:RQ10"/>
    <mergeCell ref="RM11:RN11"/>
    <mergeCell ref="RO11:RQ11"/>
    <mergeCell ref="RM12:RN12"/>
    <mergeCell ref="RO12:RQ12"/>
    <mergeCell ref="RM13:RN13"/>
    <mergeCell ref="RO13:RQ13"/>
    <mergeCell ref="RM14:RN14"/>
    <mergeCell ref="RO14:RQ14"/>
    <mergeCell ref="RM15:RO15"/>
    <mergeCell ref="RP15:RQ15"/>
    <mergeCell ref="RM16:RN16"/>
    <mergeCell ref="RO16:RQ16"/>
    <mergeCell ref="RM17:RN17"/>
    <mergeCell ref="RO17:RQ17"/>
    <mergeCell ref="RM18:RN18"/>
    <mergeCell ref="RO18:RQ18"/>
    <mergeCell ref="RM19:RN19"/>
    <mergeCell ref="RO19:RQ19"/>
    <mergeCell ref="RM20:RN20"/>
    <mergeCell ref="RO20:RQ20"/>
    <mergeCell ref="RZ21:SA21"/>
    <mergeCell ref="RZ22:SA22"/>
    <mergeCell ref="RZ23:SA23"/>
    <mergeCell ref="RZ24:SA24"/>
    <mergeCell ref="RW25:RY25"/>
    <mergeCell ref="RZ25:SA25"/>
    <mergeCell ref="RZ26:SA26"/>
    <mergeCell ref="RW27:SA27"/>
    <mergeCell ref="RW28:SA29"/>
    <mergeCell ref="RW1:RW2"/>
    <mergeCell ref="RX1:RY2"/>
    <mergeCell ref="RZ1:RZ2"/>
    <mergeCell ref="RZ3:SA3"/>
    <mergeCell ref="RZ4:SA4"/>
    <mergeCell ref="RZ5:SA5"/>
    <mergeCell ref="RZ6:SA6"/>
    <mergeCell ref="RZ7:SA7"/>
    <mergeCell ref="RZ8:SA8"/>
    <mergeCell ref="RW9:RY9"/>
    <mergeCell ref="RZ9:SA9"/>
    <mergeCell ref="RW10:RX10"/>
    <mergeCell ref="RY10:SA10"/>
    <mergeCell ref="RW11:RX11"/>
    <mergeCell ref="RY11:SA11"/>
    <mergeCell ref="RW12:RX12"/>
    <mergeCell ref="RY12:SA12"/>
    <mergeCell ref="RW13:RX13"/>
    <mergeCell ref="RY13:SA13"/>
    <mergeCell ref="RW14:RX14"/>
    <mergeCell ref="RY14:SA14"/>
    <mergeCell ref="RW15:RY15"/>
    <mergeCell ref="RZ15:SA15"/>
    <mergeCell ref="RW16:RX16"/>
    <mergeCell ref="RY16:SA16"/>
    <mergeCell ref="RW17:RX17"/>
    <mergeCell ref="RY17:SA17"/>
    <mergeCell ref="RW18:RX18"/>
    <mergeCell ref="RY18:SA18"/>
    <mergeCell ref="RW19:RX19"/>
    <mergeCell ref="RY19:SA19"/>
    <mergeCell ref="RW20:RX20"/>
    <mergeCell ref="RY20:SA20"/>
    <mergeCell ref="SJ21:SK21"/>
    <mergeCell ref="SJ22:SK22"/>
    <mergeCell ref="SJ23:SK23"/>
    <mergeCell ref="SJ24:SK24"/>
    <mergeCell ref="SG25:SI25"/>
    <mergeCell ref="SJ25:SK25"/>
    <mergeCell ref="SJ26:SK26"/>
    <mergeCell ref="SG27:SK27"/>
    <mergeCell ref="SG28:SK29"/>
    <mergeCell ref="SG1:SG2"/>
    <mergeCell ref="SH1:SI2"/>
    <mergeCell ref="SJ1:SJ2"/>
    <mergeCell ref="SJ3:SK3"/>
    <mergeCell ref="SJ4:SK4"/>
    <mergeCell ref="SJ5:SK5"/>
    <mergeCell ref="SJ6:SK6"/>
    <mergeCell ref="SJ7:SK7"/>
    <mergeCell ref="SJ8:SK8"/>
    <mergeCell ref="SG9:SI9"/>
    <mergeCell ref="SJ9:SK9"/>
    <mergeCell ref="SG10:SH10"/>
    <mergeCell ref="SI10:SK10"/>
    <mergeCell ref="SG11:SH11"/>
    <mergeCell ref="SI11:SK11"/>
    <mergeCell ref="SG12:SH12"/>
    <mergeCell ref="SI12:SK12"/>
    <mergeCell ref="SG13:SH13"/>
    <mergeCell ref="SI13:SK13"/>
    <mergeCell ref="SG14:SH14"/>
    <mergeCell ref="SI14:SK14"/>
    <mergeCell ref="SG15:SI15"/>
    <mergeCell ref="SJ15:SK15"/>
    <mergeCell ref="SG16:SH16"/>
    <mergeCell ref="SI16:SK16"/>
    <mergeCell ref="SG17:SH17"/>
    <mergeCell ref="SI17:SK17"/>
    <mergeCell ref="SG18:SH18"/>
    <mergeCell ref="SI18:SK18"/>
    <mergeCell ref="SG19:SH19"/>
    <mergeCell ref="SI19:SK19"/>
    <mergeCell ref="SG20:SH20"/>
    <mergeCell ref="SI20:SK20"/>
    <mergeCell ref="SO21:SP21"/>
    <mergeCell ref="SO22:SP22"/>
    <mergeCell ref="SO23:SP23"/>
    <mergeCell ref="SO24:SP24"/>
    <mergeCell ref="SL25:SN25"/>
    <mergeCell ref="SO25:SP25"/>
    <mergeCell ref="SO26:SP26"/>
    <mergeCell ref="SL27:SP27"/>
    <mergeCell ref="SL28:SP29"/>
    <mergeCell ref="SL1:SL2"/>
    <mergeCell ref="SM1:SN2"/>
    <mergeCell ref="SO1:SO2"/>
    <mergeCell ref="SO3:SP3"/>
    <mergeCell ref="SO4:SP4"/>
    <mergeCell ref="SO5:SP5"/>
    <mergeCell ref="SO6:SP6"/>
    <mergeCell ref="SO7:SP7"/>
    <mergeCell ref="SO8:SP8"/>
    <mergeCell ref="SL9:SN9"/>
    <mergeCell ref="SO9:SP9"/>
    <mergeCell ref="SL10:SM10"/>
    <mergeCell ref="SN10:SP10"/>
    <mergeCell ref="SL11:SM11"/>
    <mergeCell ref="SN11:SP11"/>
    <mergeCell ref="SL12:SM12"/>
    <mergeCell ref="SN12:SP12"/>
    <mergeCell ref="SL13:SM13"/>
    <mergeCell ref="SN13:SP13"/>
    <mergeCell ref="SL14:SM14"/>
    <mergeCell ref="SN14:SP14"/>
    <mergeCell ref="SL15:SN15"/>
    <mergeCell ref="SO15:SP15"/>
    <mergeCell ref="SL16:SM16"/>
    <mergeCell ref="SN16:SP16"/>
    <mergeCell ref="SL17:SM17"/>
    <mergeCell ref="SN17:SP17"/>
    <mergeCell ref="SL18:SM18"/>
    <mergeCell ref="SN18:SP18"/>
    <mergeCell ref="SL19:SM19"/>
    <mergeCell ref="SN19:SP19"/>
    <mergeCell ref="SL20:SM20"/>
    <mergeCell ref="SN20:SP20"/>
    <mergeCell ref="SY21:SZ21"/>
    <mergeCell ref="SY22:SZ22"/>
    <mergeCell ref="SY23:SZ23"/>
    <mergeCell ref="SY24:SZ24"/>
    <mergeCell ref="SV25:SX25"/>
    <mergeCell ref="SY25:SZ25"/>
    <mergeCell ref="SY26:SZ26"/>
    <mergeCell ref="SV27:SZ27"/>
    <mergeCell ref="SV28:SZ29"/>
    <mergeCell ref="SV1:SV2"/>
    <mergeCell ref="SW1:SX2"/>
    <mergeCell ref="SY1:SY2"/>
    <mergeCell ref="SY3:SZ3"/>
    <mergeCell ref="SY4:SZ4"/>
    <mergeCell ref="SY5:SZ5"/>
    <mergeCell ref="SY6:SZ6"/>
    <mergeCell ref="SY7:SZ7"/>
    <mergeCell ref="SY8:SZ8"/>
    <mergeCell ref="SV9:SX9"/>
    <mergeCell ref="SY9:SZ9"/>
    <mergeCell ref="SV10:SW10"/>
    <mergeCell ref="SX10:SZ10"/>
    <mergeCell ref="SV11:SW11"/>
    <mergeCell ref="SX11:SZ11"/>
    <mergeCell ref="SV12:SW12"/>
    <mergeCell ref="SX12:SZ12"/>
    <mergeCell ref="SV13:SW13"/>
    <mergeCell ref="SX13:SZ13"/>
    <mergeCell ref="SV14:SW14"/>
    <mergeCell ref="SX14:SZ14"/>
    <mergeCell ref="SV15:SX15"/>
    <mergeCell ref="SY15:SZ15"/>
    <mergeCell ref="SV16:SW16"/>
    <mergeCell ref="SX16:SZ16"/>
    <mergeCell ref="SV17:SW17"/>
    <mergeCell ref="SX17:SZ17"/>
    <mergeCell ref="SV18:SW18"/>
    <mergeCell ref="SX18:SZ18"/>
    <mergeCell ref="SV19:SW19"/>
    <mergeCell ref="SX19:SZ19"/>
    <mergeCell ref="SV20:SW20"/>
    <mergeCell ref="SX20:SZ20"/>
    <mergeCell ref="TI21:TJ21"/>
    <mergeCell ref="TI22:TJ22"/>
    <mergeCell ref="TI23:TJ23"/>
    <mergeCell ref="TI24:TJ24"/>
    <mergeCell ref="TF25:TH25"/>
    <mergeCell ref="TI25:TJ25"/>
    <mergeCell ref="TI26:TJ26"/>
    <mergeCell ref="TF27:TJ27"/>
    <mergeCell ref="TF28:TJ29"/>
    <mergeCell ref="TF1:TF2"/>
    <mergeCell ref="TG1:TH2"/>
    <mergeCell ref="TI1:TI2"/>
    <mergeCell ref="TI3:TJ3"/>
    <mergeCell ref="TI4:TJ4"/>
    <mergeCell ref="TI5:TJ5"/>
    <mergeCell ref="TI6:TJ6"/>
    <mergeCell ref="TI7:TJ7"/>
    <mergeCell ref="TI8:TJ8"/>
    <mergeCell ref="TF9:TH9"/>
    <mergeCell ref="TI9:TJ9"/>
    <mergeCell ref="TF10:TG10"/>
    <mergeCell ref="TH10:TJ10"/>
    <mergeCell ref="TF11:TG11"/>
    <mergeCell ref="TH11:TJ11"/>
    <mergeCell ref="TF12:TG12"/>
    <mergeCell ref="TH12:TJ12"/>
    <mergeCell ref="TF13:TG13"/>
    <mergeCell ref="TH13:TJ13"/>
    <mergeCell ref="TF14:TG14"/>
    <mergeCell ref="TH14:TJ14"/>
    <mergeCell ref="TF15:TH15"/>
    <mergeCell ref="TI15:TJ15"/>
    <mergeCell ref="TF16:TG16"/>
    <mergeCell ref="TH16:TJ16"/>
    <mergeCell ref="TF17:TG17"/>
    <mergeCell ref="TH17:TJ17"/>
    <mergeCell ref="TF18:TG18"/>
    <mergeCell ref="TH18:TJ18"/>
    <mergeCell ref="TF19:TG19"/>
    <mergeCell ref="TH19:TJ19"/>
    <mergeCell ref="TF20:TG20"/>
    <mergeCell ref="TH20:TJ20"/>
    <mergeCell ref="TS21:TT21"/>
    <mergeCell ref="TS22:TT22"/>
    <mergeCell ref="TS23:TT23"/>
    <mergeCell ref="TS24:TT24"/>
    <mergeCell ref="TP25:TR25"/>
    <mergeCell ref="TS25:TT25"/>
    <mergeCell ref="TS26:TT26"/>
    <mergeCell ref="TP27:TT27"/>
    <mergeCell ref="TP28:TT29"/>
    <mergeCell ref="TP1:TP2"/>
    <mergeCell ref="TQ1:TR2"/>
    <mergeCell ref="TS1:TS2"/>
    <mergeCell ref="TS3:TT3"/>
    <mergeCell ref="TS4:TT4"/>
    <mergeCell ref="TS5:TT5"/>
    <mergeCell ref="TS6:TT6"/>
    <mergeCell ref="TS7:TT7"/>
    <mergeCell ref="TS8:TT8"/>
    <mergeCell ref="TP9:TR9"/>
    <mergeCell ref="TS9:TT9"/>
    <mergeCell ref="TP10:TQ10"/>
    <mergeCell ref="TR10:TT10"/>
    <mergeCell ref="TP11:TQ11"/>
    <mergeCell ref="TR11:TT11"/>
    <mergeCell ref="TP12:TQ12"/>
    <mergeCell ref="TR12:TT12"/>
    <mergeCell ref="TP13:TQ13"/>
    <mergeCell ref="TR13:TT13"/>
    <mergeCell ref="TP14:TQ14"/>
    <mergeCell ref="TR14:TT14"/>
    <mergeCell ref="TP15:TR15"/>
    <mergeCell ref="TS15:TT15"/>
    <mergeCell ref="TP16:TQ16"/>
    <mergeCell ref="TR16:TT16"/>
    <mergeCell ref="TP17:TQ17"/>
    <mergeCell ref="TR17:TT17"/>
    <mergeCell ref="TP18:TQ18"/>
    <mergeCell ref="TR18:TT18"/>
    <mergeCell ref="TP19:TQ19"/>
    <mergeCell ref="TR19:TT19"/>
    <mergeCell ref="TP20:TQ20"/>
    <mergeCell ref="TR20:TT20"/>
    <mergeCell ref="UM21:UN21"/>
    <mergeCell ref="UM22:UN22"/>
    <mergeCell ref="UM23:UN23"/>
    <mergeCell ref="UM24:UN24"/>
    <mergeCell ref="UJ25:UL25"/>
    <mergeCell ref="UM25:UN25"/>
    <mergeCell ref="UM26:UN26"/>
    <mergeCell ref="UJ27:UN27"/>
    <mergeCell ref="UJ28:UN29"/>
    <mergeCell ref="UJ1:UJ2"/>
    <mergeCell ref="UK1:UL2"/>
    <mergeCell ref="UM1:UM2"/>
    <mergeCell ref="UM3:UN3"/>
    <mergeCell ref="UM4:UN4"/>
    <mergeCell ref="UM5:UN5"/>
    <mergeCell ref="UM6:UN6"/>
    <mergeCell ref="UM7:UN7"/>
    <mergeCell ref="UM8:UN8"/>
    <mergeCell ref="UJ9:UL9"/>
    <mergeCell ref="UM9:UN9"/>
    <mergeCell ref="UJ10:UK10"/>
    <mergeCell ref="UL10:UN10"/>
    <mergeCell ref="UJ11:UK11"/>
    <mergeCell ref="UL11:UN11"/>
    <mergeCell ref="UJ12:UK12"/>
    <mergeCell ref="UL12:UN12"/>
    <mergeCell ref="UJ13:UK13"/>
    <mergeCell ref="UL13:UN13"/>
    <mergeCell ref="UJ14:UK14"/>
    <mergeCell ref="UL14:UN14"/>
    <mergeCell ref="UJ15:UL15"/>
    <mergeCell ref="UM15:UN15"/>
    <mergeCell ref="UJ16:UK16"/>
    <mergeCell ref="UL16:UN16"/>
    <mergeCell ref="UJ17:UK17"/>
    <mergeCell ref="UL17:UN17"/>
    <mergeCell ref="UJ18:UK18"/>
    <mergeCell ref="UL18:UN18"/>
    <mergeCell ref="UJ19:UK19"/>
    <mergeCell ref="UL19:UN19"/>
    <mergeCell ref="UJ20:UK20"/>
    <mergeCell ref="UL20:UN20"/>
    <mergeCell ref="UW21:UX21"/>
    <mergeCell ref="UW22:UX22"/>
    <mergeCell ref="UW23:UX23"/>
    <mergeCell ref="UW24:UX24"/>
    <mergeCell ref="UT25:UV25"/>
    <mergeCell ref="UW25:UX25"/>
    <mergeCell ref="UW26:UX26"/>
    <mergeCell ref="UT27:UX27"/>
    <mergeCell ref="UT28:UX29"/>
    <mergeCell ref="UT1:UT2"/>
    <mergeCell ref="UU1:UV2"/>
    <mergeCell ref="UW1:UW2"/>
    <mergeCell ref="UW3:UX3"/>
    <mergeCell ref="UW4:UX4"/>
    <mergeCell ref="UW5:UX5"/>
    <mergeCell ref="UW6:UX6"/>
    <mergeCell ref="UW7:UX7"/>
    <mergeCell ref="UW8:UX8"/>
    <mergeCell ref="UT9:UV9"/>
    <mergeCell ref="UW9:UX9"/>
    <mergeCell ref="UT10:UU10"/>
    <mergeCell ref="UV10:UX10"/>
    <mergeCell ref="UT11:UU11"/>
    <mergeCell ref="UV11:UX11"/>
    <mergeCell ref="UT12:UU12"/>
    <mergeCell ref="UV12:UX12"/>
    <mergeCell ref="UT13:UU13"/>
    <mergeCell ref="UV13:UX13"/>
    <mergeCell ref="UT14:UU14"/>
    <mergeCell ref="UV14:UX14"/>
    <mergeCell ref="UT15:UV15"/>
    <mergeCell ref="UW15:UX15"/>
    <mergeCell ref="UT16:UU16"/>
    <mergeCell ref="UV16:UX16"/>
    <mergeCell ref="UT17:UU17"/>
    <mergeCell ref="UV17:UX17"/>
    <mergeCell ref="UT18:UU18"/>
    <mergeCell ref="UV18:UX18"/>
    <mergeCell ref="UT19:UU19"/>
    <mergeCell ref="UV19:UX19"/>
    <mergeCell ref="UT20:UU20"/>
    <mergeCell ref="UV20:UX20"/>
    <mergeCell ref="VG21:VH21"/>
    <mergeCell ref="VG22:VH22"/>
    <mergeCell ref="VG23:VH23"/>
    <mergeCell ref="VG24:VH24"/>
    <mergeCell ref="VD25:VF25"/>
    <mergeCell ref="VG25:VH25"/>
    <mergeCell ref="VG26:VH26"/>
    <mergeCell ref="VD27:VH27"/>
    <mergeCell ref="VD28:VH29"/>
    <mergeCell ref="VD1:VD2"/>
    <mergeCell ref="VE1:VF2"/>
    <mergeCell ref="VG1:VG2"/>
    <mergeCell ref="VG3:VH3"/>
    <mergeCell ref="VG4:VH4"/>
    <mergeCell ref="VG5:VH5"/>
    <mergeCell ref="VG6:VH6"/>
    <mergeCell ref="VG7:VH7"/>
    <mergeCell ref="VG8:VH8"/>
    <mergeCell ref="VD9:VF9"/>
    <mergeCell ref="VG9:VH9"/>
    <mergeCell ref="VD10:VE10"/>
    <mergeCell ref="VF10:VH10"/>
    <mergeCell ref="VD11:VE11"/>
    <mergeCell ref="VF11:VH11"/>
    <mergeCell ref="VD12:VE12"/>
    <mergeCell ref="VF12:VH12"/>
    <mergeCell ref="VD13:VE13"/>
    <mergeCell ref="VF13:VH13"/>
    <mergeCell ref="VD14:VE14"/>
    <mergeCell ref="VF14:VH14"/>
    <mergeCell ref="VD15:VF15"/>
    <mergeCell ref="VG15:VH15"/>
    <mergeCell ref="VD16:VE16"/>
    <mergeCell ref="VF16:VH16"/>
    <mergeCell ref="VD17:VE17"/>
    <mergeCell ref="VF17:VH17"/>
    <mergeCell ref="VD18:VE18"/>
    <mergeCell ref="VF18:VH18"/>
    <mergeCell ref="VD19:VE19"/>
    <mergeCell ref="VF19:VH19"/>
    <mergeCell ref="VD20:VE20"/>
    <mergeCell ref="VF20:VH20"/>
    <mergeCell ref="VL21:VM21"/>
    <mergeCell ref="VL22:VM22"/>
    <mergeCell ref="VL23:VM23"/>
    <mergeCell ref="VL24:VM24"/>
    <mergeCell ref="VI25:VK25"/>
    <mergeCell ref="VL25:VM25"/>
    <mergeCell ref="VL26:VM26"/>
    <mergeCell ref="VI27:VM27"/>
    <mergeCell ref="VI28:VM29"/>
    <mergeCell ref="VI1:VI2"/>
    <mergeCell ref="VJ1:VK2"/>
    <mergeCell ref="VL1:VL2"/>
    <mergeCell ref="VL3:VM3"/>
    <mergeCell ref="VL4:VM4"/>
    <mergeCell ref="VL5:VM5"/>
    <mergeCell ref="VL6:VM6"/>
    <mergeCell ref="VL7:VM7"/>
    <mergeCell ref="VL8:VM8"/>
    <mergeCell ref="VI9:VK9"/>
    <mergeCell ref="VL9:VM9"/>
    <mergeCell ref="VI10:VJ10"/>
    <mergeCell ref="VK10:VM10"/>
    <mergeCell ref="VI11:VJ11"/>
    <mergeCell ref="VK11:VM11"/>
    <mergeCell ref="VI12:VJ12"/>
    <mergeCell ref="VK12:VM12"/>
    <mergeCell ref="VI13:VJ13"/>
    <mergeCell ref="VK13:VM13"/>
    <mergeCell ref="VI14:VJ14"/>
    <mergeCell ref="VK14:VM14"/>
    <mergeCell ref="VI15:VK15"/>
    <mergeCell ref="VL15:VM15"/>
    <mergeCell ref="VI16:VJ16"/>
    <mergeCell ref="VK16:VM16"/>
    <mergeCell ref="VI17:VJ17"/>
    <mergeCell ref="VK17:VM17"/>
    <mergeCell ref="VI18:VJ18"/>
    <mergeCell ref="VK18:VM18"/>
    <mergeCell ref="VI19:VJ19"/>
    <mergeCell ref="VK19:VM19"/>
    <mergeCell ref="VI20:VJ20"/>
    <mergeCell ref="VK20:VM20"/>
    <mergeCell ref="VV21:VW21"/>
    <mergeCell ref="VV22:VW22"/>
    <mergeCell ref="VV23:VW23"/>
    <mergeCell ref="VV24:VW24"/>
    <mergeCell ref="VS25:VU25"/>
    <mergeCell ref="VV25:VW25"/>
    <mergeCell ref="VV26:VW26"/>
    <mergeCell ref="VS27:VW27"/>
    <mergeCell ref="VS28:VW29"/>
    <mergeCell ref="VS1:VS2"/>
    <mergeCell ref="VT1:VU2"/>
    <mergeCell ref="VV1:VV2"/>
    <mergeCell ref="VV3:VW3"/>
    <mergeCell ref="VV4:VW4"/>
    <mergeCell ref="VV5:VW5"/>
    <mergeCell ref="VV6:VW6"/>
    <mergeCell ref="VV7:VW7"/>
    <mergeCell ref="VV8:VW8"/>
    <mergeCell ref="VS9:VU9"/>
    <mergeCell ref="VV9:VW9"/>
    <mergeCell ref="VS10:VT10"/>
    <mergeCell ref="VU10:VW10"/>
    <mergeCell ref="VS11:VT11"/>
    <mergeCell ref="VU11:VW11"/>
    <mergeCell ref="VS12:VT12"/>
    <mergeCell ref="VU12:VW12"/>
    <mergeCell ref="VS13:VT13"/>
    <mergeCell ref="VU13:VW13"/>
    <mergeCell ref="VS14:VT14"/>
    <mergeCell ref="VU14:VW14"/>
    <mergeCell ref="VS15:VU15"/>
    <mergeCell ref="VV15:VW15"/>
    <mergeCell ref="VS16:VT16"/>
    <mergeCell ref="VU16:VW16"/>
    <mergeCell ref="VS17:VT17"/>
    <mergeCell ref="VU17:VW17"/>
    <mergeCell ref="VS18:VT18"/>
    <mergeCell ref="VU18:VW18"/>
    <mergeCell ref="VS19:VT19"/>
    <mergeCell ref="VU19:VW19"/>
    <mergeCell ref="VS20:VT20"/>
    <mergeCell ref="VU20:VW20"/>
    <mergeCell ref="WA21:WB21"/>
    <mergeCell ref="WA22:WB22"/>
    <mergeCell ref="WA23:WB23"/>
    <mergeCell ref="WA24:WB24"/>
    <mergeCell ref="VX25:VZ25"/>
    <mergeCell ref="WA25:WB25"/>
    <mergeCell ref="WA26:WB26"/>
    <mergeCell ref="VX27:WB27"/>
    <mergeCell ref="VX28:WB29"/>
    <mergeCell ref="VX1:VX2"/>
    <mergeCell ref="VY1:VZ2"/>
    <mergeCell ref="WA1:WA2"/>
    <mergeCell ref="WA3:WB3"/>
    <mergeCell ref="WA4:WB4"/>
    <mergeCell ref="WA5:WB5"/>
    <mergeCell ref="WA6:WB6"/>
    <mergeCell ref="WA7:WB7"/>
    <mergeCell ref="WA8:WB8"/>
    <mergeCell ref="VX9:VZ9"/>
    <mergeCell ref="WA9:WB9"/>
    <mergeCell ref="VX10:VY10"/>
    <mergeCell ref="VZ10:WB10"/>
    <mergeCell ref="VX11:VY11"/>
    <mergeCell ref="VZ11:WB11"/>
    <mergeCell ref="VX12:VY12"/>
    <mergeCell ref="VZ12:WB12"/>
    <mergeCell ref="VX13:VY13"/>
    <mergeCell ref="VZ13:WB13"/>
    <mergeCell ref="VX14:VY14"/>
    <mergeCell ref="VZ14:WB14"/>
    <mergeCell ref="VX15:VZ15"/>
    <mergeCell ref="WA15:WB15"/>
    <mergeCell ref="VX16:VY16"/>
    <mergeCell ref="VZ16:WB16"/>
    <mergeCell ref="VX17:VY17"/>
    <mergeCell ref="VZ17:WB17"/>
    <mergeCell ref="VX18:VY18"/>
    <mergeCell ref="VZ18:WB18"/>
    <mergeCell ref="VX19:VY19"/>
    <mergeCell ref="VZ19:WB19"/>
    <mergeCell ref="VX20:VY20"/>
    <mergeCell ref="VZ20:WB20"/>
    <mergeCell ref="WK21:WL21"/>
    <mergeCell ref="WK22:WL22"/>
    <mergeCell ref="WK23:WL23"/>
    <mergeCell ref="WK24:WL24"/>
    <mergeCell ref="WH25:WJ25"/>
    <mergeCell ref="WK25:WL25"/>
    <mergeCell ref="WK26:WL26"/>
    <mergeCell ref="WH27:WL27"/>
    <mergeCell ref="WH28:WL29"/>
    <mergeCell ref="WH1:WH2"/>
    <mergeCell ref="WI1:WJ2"/>
    <mergeCell ref="WK1:WK2"/>
    <mergeCell ref="WK3:WL3"/>
    <mergeCell ref="WK4:WL4"/>
    <mergeCell ref="WK5:WL5"/>
    <mergeCell ref="WK6:WL6"/>
    <mergeCell ref="WK7:WL7"/>
    <mergeCell ref="WK8:WL8"/>
    <mergeCell ref="WH9:WJ9"/>
    <mergeCell ref="WK9:WL9"/>
    <mergeCell ref="WH10:WI10"/>
    <mergeCell ref="WJ10:WL10"/>
    <mergeCell ref="WH11:WI11"/>
    <mergeCell ref="WJ11:WL11"/>
    <mergeCell ref="WH12:WI12"/>
    <mergeCell ref="WJ12:WL12"/>
    <mergeCell ref="WH13:WI13"/>
    <mergeCell ref="WJ13:WL13"/>
    <mergeCell ref="WH14:WI14"/>
    <mergeCell ref="WJ14:WL14"/>
    <mergeCell ref="WH15:WJ15"/>
    <mergeCell ref="WK15:WL15"/>
    <mergeCell ref="WH16:WI16"/>
    <mergeCell ref="WJ16:WL16"/>
    <mergeCell ref="WH17:WI17"/>
    <mergeCell ref="WJ17:WL17"/>
    <mergeCell ref="WH18:WI18"/>
    <mergeCell ref="WJ18:WL18"/>
    <mergeCell ref="WH19:WI19"/>
    <mergeCell ref="WJ19:WL19"/>
    <mergeCell ref="WH20:WI20"/>
    <mergeCell ref="WJ20:WL20"/>
    <mergeCell ref="WU21:WV21"/>
    <mergeCell ref="WU22:WV22"/>
    <mergeCell ref="WU23:WV23"/>
    <mergeCell ref="WU24:WV24"/>
    <mergeCell ref="WR25:WT25"/>
    <mergeCell ref="WU25:WV25"/>
    <mergeCell ref="WU26:WV26"/>
    <mergeCell ref="WR27:WV27"/>
    <mergeCell ref="WR28:WV29"/>
    <mergeCell ref="WR1:WR2"/>
    <mergeCell ref="WS1:WT2"/>
    <mergeCell ref="WU1:WU2"/>
    <mergeCell ref="WU3:WV3"/>
    <mergeCell ref="WU4:WV4"/>
    <mergeCell ref="WU5:WV5"/>
    <mergeCell ref="WU6:WV6"/>
    <mergeCell ref="WU7:WV7"/>
    <mergeCell ref="WU8:WV8"/>
    <mergeCell ref="WR9:WT9"/>
    <mergeCell ref="WU9:WV9"/>
    <mergeCell ref="WR10:WS10"/>
    <mergeCell ref="WT10:WV10"/>
    <mergeCell ref="WR11:WS11"/>
    <mergeCell ref="WT11:WV11"/>
    <mergeCell ref="WR12:WS12"/>
    <mergeCell ref="WT12:WV12"/>
    <mergeCell ref="WR13:WS13"/>
    <mergeCell ref="WT13:WV13"/>
    <mergeCell ref="WR14:WS14"/>
    <mergeCell ref="WT14:WV14"/>
    <mergeCell ref="WR15:WT15"/>
    <mergeCell ref="WU15:WV15"/>
    <mergeCell ref="WR16:WS16"/>
    <mergeCell ref="WT16:WV16"/>
    <mergeCell ref="WR17:WS17"/>
    <mergeCell ref="WT17:WV17"/>
    <mergeCell ref="WR18:WS18"/>
    <mergeCell ref="WT18:WV18"/>
    <mergeCell ref="WR19:WS19"/>
    <mergeCell ref="WT19:WV19"/>
    <mergeCell ref="WR20:WS20"/>
    <mergeCell ref="WT20:WV20"/>
    <mergeCell ref="WZ21:XA21"/>
    <mergeCell ref="WZ22:XA22"/>
    <mergeCell ref="WZ23:XA23"/>
    <mergeCell ref="WZ24:XA24"/>
    <mergeCell ref="WW25:WY25"/>
    <mergeCell ref="WZ25:XA25"/>
    <mergeCell ref="WZ26:XA26"/>
    <mergeCell ref="WW27:XA27"/>
    <mergeCell ref="WW28:XA29"/>
    <mergeCell ref="WW1:WW2"/>
    <mergeCell ref="WX1:WY2"/>
    <mergeCell ref="WZ1:WZ2"/>
    <mergeCell ref="WZ3:XA3"/>
    <mergeCell ref="WZ4:XA4"/>
    <mergeCell ref="WZ5:XA5"/>
    <mergeCell ref="WZ6:XA6"/>
    <mergeCell ref="WZ7:XA7"/>
    <mergeCell ref="WZ8:XA8"/>
    <mergeCell ref="WW9:WY9"/>
    <mergeCell ref="WZ9:XA9"/>
    <mergeCell ref="WW10:WX10"/>
    <mergeCell ref="WY10:XA10"/>
    <mergeCell ref="WW11:WX11"/>
    <mergeCell ref="WY11:XA11"/>
    <mergeCell ref="WW12:WX12"/>
    <mergeCell ref="WY12:XA12"/>
    <mergeCell ref="WW13:WX13"/>
    <mergeCell ref="WY13:XA13"/>
    <mergeCell ref="WW14:WX14"/>
    <mergeCell ref="WY14:XA14"/>
    <mergeCell ref="WW15:WY15"/>
    <mergeCell ref="WZ15:XA15"/>
    <mergeCell ref="WW16:WX16"/>
    <mergeCell ref="WY16:XA16"/>
    <mergeCell ref="WW17:WX17"/>
    <mergeCell ref="WY17:XA17"/>
    <mergeCell ref="WW18:WX18"/>
    <mergeCell ref="WY18:XA18"/>
    <mergeCell ref="WW19:WX19"/>
    <mergeCell ref="WY19:XA19"/>
    <mergeCell ref="WW20:WX20"/>
    <mergeCell ref="WY20:XA20"/>
    <mergeCell ref="XJ21:XK21"/>
    <mergeCell ref="XJ22:XK22"/>
    <mergeCell ref="XJ23:XK23"/>
    <mergeCell ref="XJ24:XK24"/>
    <mergeCell ref="XG25:XI25"/>
    <mergeCell ref="XJ25:XK25"/>
    <mergeCell ref="XJ26:XK26"/>
    <mergeCell ref="XG27:XK27"/>
    <mergeCell ref="XG28:XK29"/>
    <mergeCell ref="XG1:XG2"/>
    <mergeCell ref="XH1:XI2"/>
    <mergeCell ref="XJ1:XJ2"/>
    <mergeCell ref="XJ3:XK3"/>
    <mergeCell ref="XJ4:XK4"/>
    <mergeCell ref="XJ5:XK5"/>
    <mergeCell ref="XJ6:XK6"/>
    <mergeCell ref="XJ7:XK7"/>
    <mergeCell ref="XJ8:XK8"/>
    <mergeCell ref="XG9:XI9"/>
    <mergeCell ref="XJ9:XK9"/>
    <mergeCell ref="XG10:XH10"/>
    <mergeCell ref="XI10:XK10"/>
    <mergeCell ref="XG11:XH11"/>
    <mergeCell ref="XI11:XK11"/>
    <mergeCell ref="XG12:XH12"/>
    <mergeCell ref="XI12:XK12"/>
    <mergeCell ref="XG13:XH13"/>
    <mergeCell ref="XI13:XK13"/>
    <mergeCell ref="XG14:XH14"/>
    <mergeCell ref="XI14:XK14"/>
    <mergeCell ref="XG15:XI15"/>
    <mergeCell ref="XJ15:XK15"/>
    <mergeCell ref="XG16:XH16"/>
    <mergeCell ref="XI16:XK16"/>
    <mergeCell ref="XG17:XH17"/>
    <mergeCell ref="XI17:XK17"/>
    <mergeCell ref="XG18:XH18"/>
    <mergeCell ref="XI18:XK18"/>
    <mergeCell ref="XG19:XH19"/>
    <mergeCell ref="XI19:XK19"/>
    <mergeCell ref="XG20:XH20"/>
    <mergeCell ref="XI20:XK20"/>
    <mergeCell ref="XT21:XU21"/>
    <mergeCell ref="XT22:XU22"/>
    <mergeCell ref="XT23:XU23"/>
    <mergeCell ref="XT24:XU24"/>
    <mergeCell ref="XQ25:XS25"/>
    <mergeCell ref="XT25:XU25"/>
    <mergeCell ref="XT26:XU26"/>
    <mergeCell ref="XQ27:XU27"/>
    <mergeCell ref="XQ28:XU29"/>
    <mergeCell ref="XQ1:XQ2"/>
    <mergeCell ref="XR1:XS2"/>
    <mergeCell ref="XT1:XT2"/>
    <mergeCell ref="XT3:XU3"/>
    <mergeCell ref="XT4:XU4"/>
    <mergeCell ref="XT5:XU5"/>
    <mergeCell ref="XT6:XU6"/>
    <mergeCell ref="XT7:XU7"/>
    <mergeCell ref="XT8:XU8"/>
    <mergeCell ref="XQ9:XS9"/>
    <mergeCell ref="XT9:XU9"/>
    <mergeCell ref="XQ10:XR10"/>
    <mergeCell ref="XS10:XU10"/>
    <mergeCell ref="XQ11:XR11"/>
    <mergeCell ref="XS11:XU11"/>
    <mergeCell ref="XQ12:XR12"/>
    <mergeCell ref="XS12:XU12"/>
    <mergeCell ref="XQ13:XR13"/>
    <mergeCell ref="XS13:XU13"/>
    <mergeCell ref="XQ14:XR14"/>
    <mergeCell ref="XS14:XU14"/>
    <mergeCell ref="XQ15:XS15"/>
    <mergeCell ref="XT15:XU15"/>
    <mergeCell ref="XQ16:XR16"/>
    <mergeCell ref="XS16:XU16"/>
    <mergeCell ref="XQ17:XR17"/>
    <mergeCell ref="XS17:XU17"/>
    <mergeCell ref="XQ18:XR18"/>
    <mergeCell ref="XS18:XU18"/>
    <mergeCell ref="XQ19:XR19"/>
    <mergeCell ref="XS19:XU19"/>
    <mergeCell ref="XQ20:XR20"/>
    <mergeCell ref="XS20:XU20"/>
    <mergeCell ref="YD21:YE21"/>
    <mergeCell ref="YD22:YE22"/>
    <mergeCell ref="YD23:YE23"/>
    <mergeCell ref="YD24:YE24"/>
    <mergeCell ref="YA25:YC25"/>
    <mergeCell ref="YD25:YE25"/>
    <mergeCell ref="YD26:YE26"/>
    <mergeCell ref="YA27:YE27"/>
    <mergeCell ref="YA28:YE29"/>
    <mergeCell ref="YA1:YA2"/>
    <mergeCell ref="YB1:YC2"/>
    <mergeCell ref="YD1:YD2"/>
    <mergeCell ref="YD3:YE3"/>
    <mergeCell ref="YD4:YE4"/>
    <mergeCell ref="YD5:YE5"/>
    <mergeCell ref="YD6:YE6"/>
    <mergeCell ref="YD7:YE7"/>
    <mergeCell ref="YD8:YE8"/>
    <mergeCell ref="YA9:YC9"/>
    <mergeCell ref="YD9:YE9"/>
    <mergeCell ref="YA10:YB10"/>
    <mergeCell ref="YC10:YE10"/>
    <mergeCell ref="YA11:YB11"/>
    <mergeCell ref="YC11:YE11"/>
    <mergeCell ref="YA12:YB12"/>
    <mergeCell ref="YC12:YE12"/>
    <mergeCell ref="YA13:YB13"/>
    <mergeCell ref="YC13:YE13"/>
    <mergeCell ref="YA14:YB14"/>
    <mergeCell ref="YC14:YE14"/>
    <mergeCell ref="YA15:YC15"/>
    <mergeCell ref="YD15:YE15"/>
    <mergeCell ref="YA16:YB16"/>
    <mergeCell ref="YC16:YE16"/>
    <mergeCell ref="YA17:YB17"/>
    <mergeCell ref="YC17:YE17"/>
    <mergeCell ref="YA18:YB18"/>
    <mergeCell ref="YC18:YE18"/>
    <mergeCell ref="YA19:YB19"/>
    <mergeCell ref="YC19:YE19"/>
    <mergeCell ref="YA20:YB20"/>
    <mergeCell ref="YC20:YE20"/>
    <mergeCell ref="YN21:YO21"/>
    <mergeCell ref="YN22:YO22"/>
    <mergeCell ref="YN23:YO23"/>
    <mergeCell ref="YN24:YO24"/>
    <mergeCell ref="YK25:YM25"/>
    <mergeCell ref="YN25:YO25"/>
    <mergeCell ref="YN26:YO26"/>
    <mergeCell ref="YK27:YO27"/>
    <mergeCell ref="YK28:YO29"/>
    <mergeCell ref="YK1:YK2"/>
    <mergeCell ref="YL1:YM2"/>
    <mergeCell ref="YN1:YN2"/>
    <mergeCell ref="YN3:YO3"/>
    <mergeCell ref="YN4:YO4"/>
    <mergeCell ref="YN5:YO5"/>
    <mergeCell ref="YN6:YO6"/>
    <mergeCell ref="YN7:YO7"/>
    <mergeCell ref="YN8:YO8"/>
    <mergeCell ref="YK9:YM9"/>
    <mergeCell ref="YN9:YO9"/>
    <mergeCell ref="YK10:YL10"/>
    <mergeCell ref="YM10:YO10"/>
    <mergeCell ref="YK11:YL11"/>
    <mergeCell ref="YM11:YO11"/>
    <mergeCell ref="YK12:YL12"/>
    <mergeCell ref="YM12:YO12"/>
    <mergeCell ref="YK13:YL13"/>
    <mergeCell ref="YM13:YO13"/>
    <mergeCell ref="YK14:YL14"/>
    <mergeCell ref="YM14:YO14"/>
    <mergeCell ref="YK15:YM15"/>
    <mergeCell ref="YN15:YO15"/>
    <mergeCell ref="YK16:YL16"/>
    <mergeCell ref="YM16:YO16"/>
    <mergeCell ref="YK17:YL17"/>
    <mergeCell ref="YM17:YO17"/>
    <mergeCell ref="YK18:YL18"/>
    <mergeCell ref="YM18:YO18"/>
    <mergeCell ref="YK19:YL19"/>
    <mergeCell ref="YM19:YO19"/>
    <mergeCell ref="YK20:YL20"/>
    <mergeCell ref="YM20:YO20"/>
    <mergeCell ref="YS21:YT21"/>
    <mergeCell ref="YS22:YT22"/>
    <mergeCell ref="YS23:YT23"/>
    <mergeCell ref="YS24:YT24"/>
    <mergeCell ref="YP25:YR25"/>
    <mergeCell ref="YS25:YT25"/>
    <mergeCell ref="YS26:YT26"/>
    <mergeCell ref="YP27:YT27"/>
    <mergeCell ref="YP28:YT29"/>
    <mergeCell ref="YP1:YP2"/>
    <mergeCell ref="YQ1:YR2"/>
    <mergeCell ref="YS1:YS2"/>
    <mergeCell ref="YS3:YT3"/>
    <mergeCell ref="YS4:YT4"/>
    <mergeCell ref="YS5:YT5"/>
    <mergeCell ref="YS6:YT6"/>
    <mergeCell ref="YS7:YT7"/>
    <mergeCell ref="YS8:YT8"/>
    <mergeCell ref="YP9:YR9"/>
    <mergeCell ref="YS9:YT9"/>
    <mergeCell ref="YP10:YQ10"/>
    <mergeCell ref="YR10:YT10"/>
    <mergeCell ref="YP11:YQ11"/>
    <mergeCell ref="YR11:YT11"/>
    <mergeCell ref="YP12:YQ12"/>
    <mergeCell ref="YR12:YT12"/>
    <mergeCell ref="YP13:YQ13"/>
    <mergeCell ref="YR13:YT13"/>
    <mergeCell ref="YP14:YQ14"/>
    <mergeCell ref="YR14:YT14"/>
    <mergeCell ref="YP15:YR15"/>
    <mergeCell ref="YS15:YT15"/>
    <mergeCell ref="YP16:YQ16"/>
    <mergeCell ref="YR16:YT16"/>
    <mergeCell ref="YP17:YQ17"/>
    <mergeCell ref="YR17:YT17"/>
    <mergeCell ref="YP18:YQ18"/>
    <mergeCell ref="YR18:YT18"/>
    <mergeCell ref="YP19:YQ19"/>
    <mergeCell ref="YR19:YT19"/>
    <mergeCell ref="YP20:YQ20"/>
    <mergeCell ref="YR20:YT20"/>
    <mergeCell ref="ZC21:ZD21"/>
    <mergeCell ref="ZC22:ZD22"/>
    <mergeCell ref="ZC23:ZD23"/>
    <mergeCell ref="ZC24:ZD24"/>
    <mergeCell ref="YZ25:ZB25"/>
    <mergeCell ref="ZC25:ZD25"/>
    <mergeCell ref="ZC26:ZD26"/>
    <mergeCell ref="YZ27:ZD27"/>
    <mergeCell ref="YZ28:ZD29"/>
    <mergeCell ref="YZ1:YZ2"/>
    <mergeCell ref="ZA1:ZB2"/>
    <mergeCell ref="ZC1:ZC2"/>
    <mergeCell ref="ZC3:ZD3"/>
    <mergeCell ref="ZC4:ZD4"/>
    <mergeCell ref="ZC5:ZD5"/>
    <mergeCell ref="ZC6:ZD6"/>
    <mergeCell ref="ZC7:ZD7"/>
    <mergeCell ref="ZC8:ZD8"/>
    <mergeCell ref="YZ9:ZB9"/>
    <mergeCell ref="ZC9:ZD9"/>
    <mergeCell ref="YZ10:ZA10"/>
    <mergeCell ref="ZB10:ZD10"/>
    <mergeCell ref="YZ11:ZA11"/>
    <mergeCell ref="ZB11:ZD11"/>
    <mergeCell ref="YZ12:ZA12"/>
    <mergeCell ref="ZB12:ZD12"/>
    <mergeCell ref="YZ13:ZA13"/>
    <mergeCell ref="ZB13:ZD13"/>
    <mergeCell ref="YZ14:ZA14"/>
    <mergeCell ref="ZB14:ZD14"/>
    <mergeCell ref="YZ15:ZB15"/>
    <mergeCell ref="ZC15:ZD15"/>
    <mergeCell ref="YZ16:ZA16"/>
    <mergeCell ref="ZB16:ZD16"/>
    <mergeCell ref="YZ17:ZA17"/>
    <mergeCell ref="ZB17:ZD17"/>
    <mergeCell ref="YZ18:ZA18"/>
    <mergeCell ref="ZB18:ZD18"/>
    <mergeCell ref="YZ19:ZA19"/>
    <mergeCell ref="ZB19:ZD19"/>
    <mergeCell ref="YZ20:ZA20"/>
    <mergeCell ref="ZB20:ZD20"/>
    <mergeCell ref="ZM21:ZN21"/>
    <mergeCell ref="ZM22:ZN22"/>
    <mergeCell ref="ZM23:ZN23"/>
    <mergeCell ref="ZM24:ZN24"/>
    <mergeCell ref="ZJ25:ZL25"/>
    <mergeCell ref="ZM25:ZN25"/>
    <mergeCell ref="ZM26:ZN26"/>
    <mergeCell ref="ZJ27:ZN27"/>
    <mergeCell ref="ZJ28:ZN29"/>
    <mergeCell ref="ZJ1:ZJ2"/>
    <mergeCell ref="ZK1:ZL2"/>
    <mergeCell ref="ZM1:ZM2"/>
    <mergeCell ref="ZM3:ZN3"/>
    <mergeCell ref="ZM4:ZN4"/>
    <mergeCell ref="ZM5:ZN5"/>
    <mergeCell ref="ZM6:ZN6"/>
    <mergeCell ref="ZM7:ZN7"/>
    <mergeCell ref="ZM8:ZN8"/>
    <mergeCell ref="ZJ9:ZL9"/>
    <mergeCell ref="ZM9:ZN9"/>
    <mergeCell ref="ZJ10:ZK10"/>
    <mergeCell ref="ZL10:ZN10"/>
    <mergeCell ref="ZJ11:ZK11"/>
    <mergeCell ref="ZL11:ZN11"/>
    <mergeCell ref="ZJ12:ZK12"/>
    <mergeCell ref="ZL12:ZN12"/>
    <mergeCell ref="ZJ13:ZK13"/>
    <mergeCell ref="ZL13:ZN13"/>
    <mergeCell ref="ZJ14:ZK14"/>
    <mergeCell ref="ZL14:ZN14"/>
    <mergeCell ref="ZJ15:ZL15"/>
    <mergeCell ref="ZM15:ZN15"/>
    <mergeCell ref="ZJ16:ZK16"/>
    <mergeCell ref="ZL16:ZN16"/>
    <mergeCell ref="ZJ17:ZK17"/>
    <mergeCell ref="ZL17:ZN17"/>
    <mergeCell ref="ZJ18:ZK18"/>
    <mergeCell ref="ZL18:ZN18"/>
    <mergeCell ref="ZJ19:ZK19"/>
    <mergeCell ref="ZL19:ZN19"/>
    <mergeCell ref="ZJ20:ZK20"/>
    <mergeCell ref="ZL20:ZN20"/>
    <mergeCell ref="ZW21:ZX21"/>
    <mergeCell ref="ZW22:ZX22"/>
    <mergeCell ref="ZW23:ZX23"/>
    <mergeCell ref="ZW24:ZX24"/>
    <mergeCell ref="ZT25:ZV25"/>
    <mergeCell ref="ZW25:ZX25"/>
    <mergeCell ref="ZW26:ZX26"/>
    <mergeCell ref="ZT27:ZX27"/>
    <mergeCell ref="ZT28:ZX29"/>
    <mergeCell ref="ZT1:ZT2"/>
    <mergeCell ref="ZU1:ZV2"/>
    <mergeCell ref="ZW1:ZW2"/>
    <mergeCell ref="ZW3:ZX3"/>
    <mergeCell ref="ZW4:ZX4"/>
    <mergeCell ref="ZW5:ZX5"/>
    <mergeCell ref="ZW6:ZX6"/>
    <mergeCell ref="ZW7:ZX7"/>
    <mergeCell ref="ZW8:ZX8"/>
    <mergeCell ref="ZT9:ZV9"/>
    <mergeCell ref="ZW9:ZX9"/>
    <mergeCell ref="ZT10:ZU10"/>
    <mergeCell ref="ZV10:ZX10"/>
    <mergeCell ref="ZT11:ZU11"/>
    <mergeCell ref="ZV11:ZX11"/>
    <mergeCell ref="ZT12:ZU12"/>
    <mergeCell ref="ZV12:ZX12"/>
    <mergeCell ref="ZT13:ZU13"/>
    <mergeCell ref="ZV13:ZX13"/>
    <mergeCell ref="ZT14:ZU14"/>
    <mergeCell ref="ZV14:ZX14"/>
    <mergeCell ref="ZT15:ZV15"/>
    <mergeCell ref="ZW15:ZX15"/>
    <mergeCell ref="ZT16:ZU16"/>
    <mergeCell ref="ZV16:ZX16"/>
    <mergeCell ref="ZT17:ZU17"/>
    <mergeCell ref="ZV17:ZX17"/>
    <mergeCell ref="ZT18:ZU18"/>
    <mergeCell ref="ZV18:ZX18"/>
    <mergeCell ref="ZT19:ZU19"/>
    <mergeCell ref="ZV19:ZX19"/>
    <mergeCell ref="ZT20:ZU20"/>
    <mergeCell ref="ZV20:ZX20"/>
    <mergeCell ref="AAG21:AAH21"/>
    <mergeCell ref="AAG22:AAH22"/>
    <mergeCell ref="AAG23:AAH23"/>
    <mergeCell ref="AAG24:AAH24"/>
    <mergeCell ref="AAD25:AAF25"/>
    <mergeCell ref="AAG25:AAH25"/>
    <mergeCell ref="AAG26:AAH26"/>
    <mergeCell ref="AAD27:AAH27"/>
    <mergeCell ref="AAD28:AAH29"/>
    <mergeCell ref="AAD1:AAD2"/>
    <mergeCell ref="AAE1:AAF2"/>
    <mergeCell ref="AAG1:AAG2"/>
    <mergeCell ref="AAG3:AAH3"/>
    <mergeCell ref="AAG4:AAH4"/>
    <mergeCell ref="AAG5:AAH5"/>
    <mergeCell ref="AAG6:AAH6"/>
    <mergeCell ref="AAG7:AAH7"/>
    <mergeCell ref="AAG8:AAH8"/>
    <mergeCell ref="AAD9:AAF9"/>
    <mergeCell ref="AAG9:AAH9"/>
    <mergeCell ref="AAD10:AAE10"/>
    <mergeCell ref="AAF10:AAH10"/>
    <mergeCell ref="AAD11:AAE11"/>
    <mergeCell ref="AAF11:AAH11"/>
    <mergeCell ref="AAD12:AAE12"/>
    <mergeCell ref="AAF12:AAH12"/>
    <mergeCell ref="AAD13:AAE13"/>
    <mergeCell ref="AAF13:AAH13"/>
    <mergeCell ref="AAD14:AAE14"/>
    <mergeCell ref="AAF14:AAH14"/>
    <mergeCell ref="AAD15:AAF15"/>
    <mergeCell ref="AAG15:AAH15"/>
    <mergeCell ref="AAD16:AAE16"/>
    <mergeCell ref="AAF16:AAH16"/>
    <mergeCell ref="AAD17:AAE17"/>
    <mergeCell ref="AAF17:AAH17"/>
    <mergeCell ref="AAD18:AAE18"/>
    <mergeCell ref="AAF18:AAH18"/>
    <mergeCell ref="AAD19:AAE19"/>
    <mergeCell ref="AAF19:AAH19"/>
    <mergeCell ref="AAD20:AAE20"/>
    <mergeCell ref="AAF20:AAH20"/>
    <mergeCell ref="AAQ21:AAR21"/>
    <mergeCell ref="AAQ22:AAR22"/>
    <mergeCell ref="AAQ23:AAR23"/>
    <mergeCell ref="AAQ24:AAR24"/>
    <mergeCell ref="AAN25:AAP25"/>
    <mergeCell ref="AAQ25:AAR25"/>
    <mergeCell ref="AAQ26:AAR26"/>
    <mergeCell ref="AAN27:AAR27"/>
    <mergeCell ref="AAN28:AAR29"/>
    <mergeCell ref="AAN1:AAN2"/>
    <mergeCell ref="AAO1:AAP2"/>
    <mergeCell ref="AAQ1:AAQ2"/>
    <mergeCell ref="AAQ3:AAR3"/>
    <mergeCell ref="AAQ4:AAR4"/>
    <mergeCell ref="AAQ5:AAR5"/>
    <mergeCell ref="AAQ6:AAR6"/>
    <mergeCell ref="AAQ7:AAR7"/>
    <mergeCell ref="AAQ8:AAR8"/>
    <mergeCell ref="AAN9:AAP9"/>
    <mergeCell ref="AAQ9:AAR9"/>
    <mergeCell ref="AAN10:AAO10"/>
    <mergeCell ref="AAP10:AAR10"/>
    <mergeCell ref="AAN11:AAO11"/>
    <mergeCell ref="AAP11:AAR11"/>
    <mergeCell ref="AAN12:AAO12"/>
    <mergeCell ref="AAP12:AAR12"/>
    <mergeCell ref="AAN13:AAO13"/>
    <mergeCell ref="AAP13:AAR13"/>
    <mergeCell ref="AAN14:AAO14"/>
    <mergeCell ref="AAP14:AAR14"/>
    <mergeCell ref="AAN15:AAP15"/>
    <mergeCell ref="AAQ15:AAR15"/>
    <mergeCell ref="AAN16:AAO16"/>
    <mergeCell ref="AAP16:AAR16"/>
    <mergeCell ref="AAN17:AAO17"/>
    <mergeCell ref="AAP17:AAR17"/>
    <mergeCell ref="AAN18:AAO18"/>
    <mergeCell ref="AAP18:AAR18"/>
    <mergeCell ref="AAN19:AAO19"/>
    <mergeCell ref="AAP19:AAR19"/>
    <mergeCell ref="AAN20:AAO20"/>
    <mergeCell ref="AAP20:AAR20"/>
    <mergeCell ref="ABA21:ABB21"/>
    <mergeCell ref="ABA22:ABB22"/>
    <mergeCell ref="ABA23:ABB23"/>
    <mergeCell ref="ABA24:ABB24"/>
    <mergeCell ref="AAX25:AAZ25"/>
    <mergeCell ref="ABA25:ABB25"/>
    <mergeCell ref="ABA26:ABB26"/>
    <mergeCell ref="AAX27:ABB27"/>
    <mergeCell ref="AAX28:ABB29"/>
    <mergeCell ref="AAX1:AAX2"/>
    <mergeCell ref="AAY1:AAZ2"/>
    <mergeCell ref="ABA1:ABA2"/>
    <mergeCell ref="ABA3:ABB3"/>
    <mergeCell ref="ABA4:ABB4"/>
    <mergeCell ref="ABA5:ABB5"/>
    <mergeCell ref="ABA6:ABB6"/>
    <mergeCell ref="ABA7:ABB7"/>
    <mergeCell ref="ABA8:ABB8"/>
    <mergeCell ref="AAX9:AAZ9"/>
    <mergeCell ref="ABA9:ABB9"/>
    <mergeCell ref="AAX10:AAY10"/>
    <mergeCell ref="AAZ10:ABB10"/>
    <mergeCell ref="AAX11:AAY11"/>
    <mergeCell ref="AAZ11:ABB11"/>
    <mergeCell ref="AAX12:AAY12"/>
    <mergeCell ref="AAZ12:ABB12"/>
    <mergeCell ref="AAX13:AAY13"/>
    <mergeCell ref="AAZ13:ABB13"/>
    <mergeCell ref="AAX14:AAY14"/>
    <mergeCell ref="AAZ14:ABB14"/>
    <mergeCell ref="AAX15:AAZ15"/>
    <mergeCell ref="ABA15:ABB15"/>
    <mergeCell ref="AAX16:AAY16"/>
    <mergeCell ref="AAZ16:ABB16"/>
    <mergeCell ref="AAX17:AAY17"/>
    <mergeCell ref="AAZ17:ABB17"/>
    <mergeCell ref="AAX18:AAY18"/>
    <mergeCell ref="AAZ18:ABB18"/>
    <mergeCell ref="AAX19:AAY19"/>
    <mergeCell ref="AAZ19:ABB19"/>
    <mergeCell ref="AAX20:AAY20"/>
    <mergeCell ref="AAZ20:ABB20"/>
    <mergeCell ref="ABK21:ABL21"/>
    <mergeCell ref="ABK22:ABL22"/>
    <mergeCell ref="ABK23:ABL23"/>
    <mergeCell ref="ABK24:ABL24"/>
    <mergeCell ref="ABH25:ABJ25"/>
    <mergeCell ref="ABK25:ABL25"/>
    <mergeCell ref="ABK26:ABL26"/>
    <mergeCell ref="ABH27:ABL27"/>
    <mergeCell ref="ABH28:ABL29"/>
    <mergeCell ref="ABH1:ABH2"/>
    <mergeCell ref="ABI1:ABJ2"/>
    <mergeCell ref="ABK1:ABK2"/>
    <mergeCell ref="ABK3:ABL3"/>
    <mergeCell ref="ABK4:ABL4"/>
    <mergeCell ref="ABK5:ABL5"/>
    <mergeCell ref="ABK6:ABL6"/>
    <mergeCell ref="ABK7:ABL7"/>
    <mergeCell ref="ABK8:ABL8"/>
    <mergeCell ref="ABH9:ABJ9"/>
    <mergeCell ref="ABK9:ABL9"/>
    <mergeCell ref="ABH10:ABI10"/>
    <mergeCell ref="ABJ10:ABL10"/>
    <mergeCell ref="ABH11:ABI11"/>
    <mergeCell ref="ABJ11:ABL11"/>
    <mergeCell ref="ABH12:ABI12"/>
    <mergeCell ref="ABJ12:ABL12"/>
    <mergeCell ref="ABH13:ABI13"/>
    <mergeCell ref="ABJ13:ABL13"/>
    <mergeCell ref="ABH14:ABI14"/>
    <mergeCell ref="ABJ14:ABL14"/>
    <mergeCell ref="ABH15:ABJ15"/>
    <mergeCell ref="ABK15:ABL15"/>
    <mergeCell ref="ABH16:ABI16"/>
    <mergeCell ref="ABJ16:ABL16"/>
    <mergeCell ref="ABH17:ABI17"/>
    <mergeCell ref="ABJ17:ABL17"/>
    <mergeCell ref="ABH18:ABI18"/>
    <mergeCell ref="ABJ18:ABL18"/>
    <mergeCell ref="ABH19:ABI19"/>
    <mergeCell ref="ABJ19:ABL19"/>
    <mergeCell ref="ABH20:ABI20"/>
    <mergeCell ref="ABJ20:ABL20"/>
    <mergeCell ref="ABZ21:ACA21"/>
    <mergeCell ref="ABZ22:ACA22"/>
    <mergeCell ref="ABZ23:ACA23"/>
    <mergeCell ref="ABZ24:ACA24"/>
    <mergeCell ref="ABW25:ABY25"/>
    <mergeCell ref="ABZ25:ACA25"/>
    <mergeCell ref="ABZ26:ACA26"/>
    <mergeCell ref="ABW27:ACA27"/>
    <mergeCell ref="ABW28:ACA29"/>
    <mergeCell ref="ABW1:ABW2"/>
    <mergeCell ref="ABX1:ABY2"/>
    <mergeCell ref="ABZ1:ABZ2"/>
    <mergeCell ref="ABZ3:ACA3"/>
    <mergeCell ref="ABZ4:ACA4"/>
    <mergeCell ref="ABZ5:ACA5"/>
    <mergeCell ref="ABZ6:ACA6"/>
    <mergeCell ref="ABZ7:ACA7"/>
    <mergeCell ref="ABZ8:ACA8"/>
    <mergeCell ref="ABW9:ABY9"/>
    <mergeCell ref="ABZ9:ACA9"/>
    <mergeCell ref="ABW10:ABX10"/>
    <mergeCell ref="ABY10:ACA10"/>
    <mergeCell ref="ABW11:ABX11"/>
    <mergeCell ref="ABY11:ACA11"/>
    <mergeCell ref="ABW12:ABX12"/>
    <mergeCell ref="ABY12:ACA12"/>
    <mergeCell ref="ABW13:ABX13"/>
    <mergeCell ref="ABY13:ACA13"/>
    <mergeCell ref="ABW14:ABX14"/>
    <mergeCell ref="ABY14:ACA14"/>
    <mergeCell ref="ABW15:ABY15"/>
    <mergeCell ref="ABZ15:ACA15"/>
    <mergeCell ref="ABW16:ABX16"/>
    <mergeCell ref="ABY16:ACA16"/>
    <mergeCell ref="ABW17:ABX17"/>
    <mergeCell ref="ABY17:ACA17"/>
    <mergeCell ref="ABW18:ABX18"/>
    <mergeCell ref="ABY18:ACA18"/>
    <mergeCell ref="ABW19:ABX19"/>
    <mergeCell ref="ABY19:ACA19"/>
    <mergeCell ref="ABW20:ABX20"/>
    <mergeCell ref="ABY20:ACA20"/>
    <mergeCell ref="ACO21:ACP21"/>
    <mergeCell ref="ACO22:ACP22"/>
    <mergeCell ref="ACO23:ACP23"/>
    <mergeCell ref="ACO24:ACP24"/>
    <mergeCell ref="ACL25:ACN25"/>
    <mergeCell ref="ACO25:ACP25"/>
    <mergeCell ref="ACO26:ACP26"/>
    <mergeCell ref="ACL27:ACP27"/>
    <mergeCell ref="ACL28:ACP29"/>
    <mergeCell ref="ACL1:ACL2"/>
    <mergeCell ref="ACM1:ACN2"/>
    <mergeCell ref="ACO1:ACO2"/>
    <mergeCell ref="ACO3:ACP3"/>
    <mergeCell ref="ACO4:ACP4"/>
    <mergeCell ref="ACO5:ACP5"/>
    <mergeCell ref="ACO6:ACP6"/>
    <mergeCell ref="ACO7:ACP7"/>
    <mergeCell ref="ACO8:ACP8"/>
    <mergeCell ref="ACL9:ACN9"/>
    <mergeCell ref="ACO9:ACP9"/>
    <mergeCell ref="ACL10:ACM10"/>
    <mergeCell ref="ACN10:ACP10"/>
    <mergeCell ref="ACL11:ACM11"/>
    <mergeCell ref="ACN11:ACP11"/>
    <mergeCell ref="ACL12:ACM12"/>
    <mergeCell ref="ACN12:ACP12"/>
    <mergeCell ref="ACL13:ACM13"/>
    <mergeCell ref="ACN13:ACP13"/>
    <mergeCell ref="ACL14:ACM14"/>
    <mergeCell ref="ACN14:ACP14"/>
    <mergeCell ref="ACL15:ACN15"/>
    <mergeCell ref="ACO15:ACP15"/>
    <mergeCell ref="ACL16:ACM16"/>
    <mergeCell ref="ACN16:ACP16"/>
    <mergeCell ref="ACL17:ACM17"/>
    <mergeCell ref="ACN17:ACP17"/>
    <mergeCell ref="ACL18:ACM18"/>
    <mergeCell ref="ACN18:ACP18"/>
    <mergeCell ref="ACL19:ACM19"/>
    <mergeCell ref="ACN19:ACP19"/>
    <mergeCell ref="ACL20:ACM20"/>
    <mergeCell ref="ACN20:ACP20"/>
    <mergeCell ref="ACY21:ACZ21"/>
    <mergeCell ref="ACY22:ACZ22"/>
    <mergeCell ref="ACY23:ACZ23"/>
    <mergeCell ref="ACY24:ACZ24"/>
    <mergeCell ref="ACV25:ACX25"/>
    <mergeCell ref="ACY25:ACZ25"/>
    <mergeCell ref="ACY26:ACZ26"/>
    <mergeCell ref="ACV27:ACZ27"/>
    <mergeCell ref="ACV28:ACZ29"/>
    <mergeCell ref="ACV1:ACV2"/>
    <mergeCell ref="ACW1:ACX2"/>
    <mergeCell ref="ACY1:ACY2"/>
    <mergeCell ref="ACY3:ACZ3"/>
    <mergeCell ref="ACY4:ACZ4"/>
    <mergeCell ref="ACY5:ACZ5"/>
    <mergeCell ref="ACY6:ACZ6"/>
    <mergeCell ref="ACY7:ACZ7"/>
    <mergeCell ref="ACY8:ACZ8"/>
    <mergeCell ref="ACV9:ACX9"/>
    <mergeCell ref="ACY9:ACZ9"/>
    <mergeCell ref="ACV10:ACW10"/>
    <mergeCell ref="ACX10:ACZ10"/>
    <mergeCell ref="ACV11:ACW11"/>
    <mergeCell ref="ACX11:ACZ11"/>
    <mergeCell ref="ACV12:ACW12"/>
    <mergeCell ref="ACX12:ACZ12"/>
    <mergeCell ref="ACV13:ACW13"/>
    <mergeCell ref="ACX13:ACZ13"/>
    <mergeCell ref="ACV14:ACW14"/>
    <mergeCell ref="ACX14:ACZ14"/>
    <mergeCell ref="ACV15:ACX15"/>
    <mergeCell ref="ACY15:ACZ15"/>
    <mergeCell ref="ACV16:ACW16"/>
    <mergeCell ref="ACX16:ACZ16"/>
    <mergeCell ref="ACV17:ACW17"/>
    <mergeCell ref="ACX17:ACZ17"/>
    <mergeCell ref="ACV18:ACW18"/>
    <mergeCell ref="ACX18:ACZ18"/>
    <mergeCell ref="ACV19:ACW19"/>
    <mergeCell ref="ACX19:ACZ19"/>
    <mergeCell ref="ACV20:ACW20"/>
    <mergeCell ref="ACX20:ACZ20"/>
    <mergeCell ref="ADI21:ADJ21"/>
    <mergeCell ref="ADI22:ADJ22"/>
    <mergeCell ref="ADI23:ADJ23"/>
    <mergeCell ref="ADI24:ADJ24"/>
    <mergeCell ref="ADF25:ADH25"/>
    <mergeCell ref="ADI25:ADJ25"/>
    <mergeCell ref="ADI26:ADJ26"/>
    <mergeCell ref="ADF27:ADJ27"/>
    <mergeCell ref="ADF28:ADJ29"/>
    <mergeCell ref="ADF1:ADF2"/>
    <mergeCell ref="ADG1:ADH2"/>
    <mergeCell ref="ADI1:ADI2"/>
    <mergeCell ref="ADI3:ADJ3"/>
    <mergeCell ref="ADI4:ADJ4"/>
    <mergeCell ref="ADI5:ADJ5"/>
    <mergeCell ref="ADI6:ADJ6"/>
    <mergeCell ref="ADI7:ADJ7"/>
    <mergeCell ref="ADI8:ADJ8"/>
    <mergeCell ref="ADF9:ADH9"/>
    <mergeCell ref="ADI9:ADJ9"/>
    <mergeCell ref="ADF10:ADG10"/>
    <mergeCell ref="ADH10:ADJ10"/>
    <mergeCell ref="ADF11:ADG11"/>
    <mergeCell ref="ADH11:ADJ11"/>
    <mergeCell ref="ADF12:ADG12"/>
    <mergeCell ref="ADH12:ADJ12"/>
    <mergeCell ref="ADF13:ADG13"/>
    <mergeCell ref="ADH13:ADJ13"/>
    <mergeCell ref="ADF14:ADG14"/>
    <mergeCell ref="ADH14:ADJ14"/>
    <mergeCell ref="ADF15:ADH15"/>
    <mergeCell ref="ADI15:ADJ15"/>
    <mergeCell ref="ADF16:ADG16"/>
    <mergeCell ref="ADH16:ADJ16"/>
    <mergeCell ref="ADF17:ADG17"/>
    <mergeCell ref="ADH17:ADJ17"/>
    <mergeCell ref="ADF18:ADG18"/>
    <mergeCell ref="ADH18:ADJ18"/>
    <mergeCell ref="ADF19:ADG19"/>
    <mergeCell ref="ADH19:ADJ19"/>
    <mergeCell ref="ADF20:ADG20"/>
    <mergeCell ref="ADH20:ADJ20"/>
    <mergeCell ref="ADN21:ADO21"/>
    <mergeCell ref="ADN22:ADO22"/>
    <mergeCell ref="ADN23:ADO23"/>
    <mergeCell ref="ADN24:ADO24"/>
    <mergeCell ref="ADK25:ADM25"/>
    <mergeCell ref="ADN25:ADO25"/>
    <mergeCell ref="ADN26:ADO26"/>
    <mergeCell ref="ADK27:ADO27"/>
    <mergeCell ref="ADK28:ADO29"/>
    <mergeCell ref="ADK1:ADK2"/>
    <mergeCell ref="ADL1:ADM2"/>
    <mergeCell ref="ADN1:ADN2"/>
    <mergeCell ref="ADN3:ADO3"/>
    <mergeCell ref="ADN4:ADO4"/>
    <mergeCell ref="ADN5:ADO5"/>
    <mergeCell ref="ADN6:ADO6"/>
    <mergeCell ref="ADN7:ADO7"/>
    <mergeCell ref="ADN8:ADO8"/>
    <mergeCell ref="ADK9:ADM9"/>
    <mergeCell ref="ADN9:ADO9"/>
    <mergeCell ref="ADK10:ADL10"/>
    <mergeCell ref="ADM10:ADO10"/>
    <mergeCell ref="ADK11:ADL11"/>
    <mergeCell ref="ADM11:ADO11"/>
    <mergeCell ref="ADK12:ADL12"/>
    <mergeCell ref="ADM12:ADO12"/>
    <mergeCell ref="ADK13:ADL13"/>
    <mergeCell ref="ADM13:ADO13"/>
    <mergeCell ref="ADK14:ADL14"/>
    <mergeCell ref="ADM14:ADO14"/>
    <mergeCell ref="ADK15:ADM15"/>
    <mergeCell ref="ADN15:ADO15"/>
    <mergeCell ref="ADK16:ADL16"/>
    <mergeCell ref="ADM16:ADO16"/>
    <mergeCell ref="ADK17:ADL17"/>
    <mergeCell ref="ADM17:ADO17"/>
    <mergeCell ref="ADK18:ADL18"/>
    <mergeCell ref="ADM18:ADO18"/>
    <mergeCell ref="ADK19:ADL19"/>
    <mergeCell ref="ADM19:ADO19"/>
    <mergeCell ref="ADK20:ADL20"/>
    <mergeCell ref="ADM20:ADO20"/>
    <mergeCell ref="ADX21:ADY21"/>
    <mergeCell ref="ADX22:ADY22"/>
    <mergeCell ref="ADX23:ADY23"/>
    <mergeCell ref="ADX24:ADY24"/>
    <mergeCell ref="ADU25:ADW25"/>
    <mergeCell ref="ADX25:ADY25"/>
    <mergeCell ref="ADX26:ADY26"/>
    <mergeCell ref="ADU27:ADY27"/>
    <mergeCell ref="ADU28:ADY29"/>
    <mergeCell ref="ADU1:ADU2"/>
    <mergeCell ref="ADV1:ADW2"/>
    <mergeCell ref="ADX1:ADX2"/>
    <mergeCell ref="ADX3:ADY3"/>
    <mergeCell ref="ADX4:ADY4"/>
    <mergeCell ref="ADX5:ADY5"/>
    <mergeCell ref="ADX6:ADY6"/>
    <mergeCell ref="ADX7:ADY7"/>
    <mergeCell ref="ADX8:ADY8"/>
    <mergeCell ref="ADU9:ADW9"/>
    <mergeCell ref="ADX9:ADY9"/>
    <mergeCell ref="ADU10:ADV10"/>
    <mergeCell ref="ADW10:ADY10"/>
    <mergeCell ref="ADU11:ADV11"/>
    <mergeCell ref="ADW11:ADY11"/>
    <mergeCell ref="ADU12:ADV12"/>
    <mergeCell ref="ADW12:ADY12"/>
    <mergeCell ref="ADU13:ADV13"/>
    <mergeCell ref="ADW13:ADY13"/>
    <mergeCell ref="ADU14:ADV14"/>
    <mergeCell ref="ADW14:ADY14"/>
    <mergeCell ref="ADU15:ADW15"/>
    <mergeCell ref="ADX15:ADY15"/>
    <mergeCell ref="ADU16:ADV16"/>
    <mergeCell ref="ADW16:ADY16"/>
    <mergeCell ref="ADU17:ADV17"/>
    <mergeCell ref="ADW17:ADY17"/>
    <mergeCell ref="ADU18:ADV18"/>
    <mergeCell ref="ADW18:ADY18"/>
    <mergeCell ref="ADU19:ADV19"/>
    <mergeCell ref="ADW19:ADY19"/>
    <mergeCell ref="ADU20:ADV20"/>
    <mergeCell ref="ADW20:ADY20"/>
    <mergeCell ref="AEM21:AEN21"/>
    <mergeCell ref="AEM22:AEN22"/>
    <mergeCell ref="AEM23:AEN23"/>
    <mergeCell ref="AEM24:AEN24"/>
    <mergeCell ref="AEJ25:AEL25"/>
    <mergeCell ref="AEM25:AEN25"/>
    <mergeCell ref="AEM26:AEN26"/>
    <mergeCell ref="AEJ27:AEN27"/>
    <mergeCell ref="AEJ28:AEN29"/>
    <mergeCell ref="AEJ1:AEJ2"/>
    <mergeCell ref="AEK1:AEL2"/>
    <mergeCell ref="AEM1:AEM2"/>
    <mergeCell ref="AEM3:AEN3"/>
    <mergeCell ref="AEM4:AEN4"/>
    <mergeCell ref="AEM5:AEN5"/>
    <mergeCell ref="AEM6:AEN6"/>
    <mergeCell ref="AEM7:AEN7"/>
    <mergeCell ref="AEM8:AEN8"/>
    <mergeCell ref="AEJ9:AEL9"/>
    <mergeCell ref="AEM9:AEN9"/>
    <mergeCell ref="AEJ10:AEK10"/>
    <mergeCell ref="AEL10:AEN10"/>
    <mergeCell ref="AEJ11:AEK11"/>
    <mergeCell ref="AEL11:AEN11"/>
    <mergeCell ref="AEJ12:AEK12"/>
    <mergeCell ref="AEL12:AEN12"/>
    <mergeCell ref="AEJ13:AEK13"/>
    <mergeCell ref="AEL13:AEN13"/>
    <mergeCell ref="AEJ14:AEK14"/>
    <mergeCell ref="AEL14:AEN14"/>
    <mergeCell ref="AEJ15:AEL15"/>
    <mergeCell ref="AEM15:AEN15"/>
    <mergeCell ref="AEJ16:AEK16"/>
    <mergeCell ref="AEL16:AEN16"/>
    <mergeCell ref="AEJ17:AEK17"/>
    <mergeCell ref="AEL17:AEN17"/>
    <mergeCell ref="AEJ18:AEK18"/>
    <mergeCell ref="AEL18:AEN18"/>
    <mergeCell ref="AEJ19:AEK19"/>
    <mergeCell ref="AEL19:AEN19"/>
    <mergeCell ref="AEJ20:AEK20"/>
    <mergeCell ref="AEL20:AEN20"/>
    <mergeCell ref="AFG21:AFH21"/>
    <mergeCell ref="AFG22:AFH22"/>
    <mergeCell ref="AFG23:AFH23"/>
    <mergeCell ref="AFG24:AFH24"/>
    <mergeCell ref="AFD25:AFF25"/>
    <mergeCell ref="AFG25:AFH25"/>
    <mergeCell ref="AFG26:AFH26"/>
    <mergeCell ref="AFD27:AFH27"/>
    <mergeCell ref="AFD28:AFH29"/>
    <mergeCell ref="AFD1:AFD2"/>
    <mergeCell ref="AFE1:AFF2"/>
    <mergeCell ref="AFG1:AFG2"/>
    <mergeCell ref="AFG3:AFH3"/>
    <mergeCell ref="AFG4:AFH4"/>
    <mergeCell ref="AFG5:AFH5"/>
    <mergeCell ref="AFG6:AFH6"/>
    <mergeCell ref="AFG7:AFH7"/>
    <mergeCell ref="AFG8:AFH8"/>
    <mergeCell ref="AFD9:AFF9"/>
    <mergeCell ref="AFG9:AFH9"/>
    <mergeCell ref="AFD10:AFE10"/>
    <mergeCell ref="AFF10:AFH10"/>
    <mergeCell ref="AFD11:AFE11"/>
    <mergeCell ref="AFF11:AFH11"/>
    <mergeCell ref="AFD12:AFE12"/>
    <mergeCell ref="AFF12:AFH12"/>
    <mergeCell ref="AFD13:AFE13"/>
    <mergeCell ref="AFF13:AFH13"/>
    <mergeCell ref="AFD14:AFE14"/>
    <mergeCell ref="AFF14:AFH14"/>
    <mergeCell ref="AFD15:AFF15"/>
    <mergeCell ref="AFG15:AFH15"/>
    <mergeCell ref="AFD16:AFE16"/>
    <mergeCell ref="AFF16:AFH16"/>
    <mergeCell ref="AFD17:AFE17"/>
    <mergeCell ref="AFF17:AFH17"/>
    <mergeCell ref="AFD18:AFE18"/>
    <mergeCell ref="AFF18:AFH18"/>
    <mergeCell ref="AFD19:AFE19"/>
    <mergeCell ref="AFF19:AFH19"/>
    <mergeCell ref="AFD20:AFE20"/>
    <mergeCell ref="AFF20:AFH20"/>
    <mergeCell ref="AFL21:AFM21"/>
    <mergeCell ref="AFL22:AFM22"/>
    <mergeCell ref="AFL23:AFM23"/>
    <mergeCell ref="AFL24:AFM24"/>
    <mergeCell ref="AFI25:AFK25"/>
    <mergeCell ref="AFL25:AFM25"/>
    <mergeCell ref="AFL26:AFM26"/>
    <mergeCell ref="AFI27:AFM27"/>
    <mergeCell ref="AFI28:AFM29"/>
    <mergeCell ref="AFI1:AFI2"/>
    <mergeCell ref="AFJ1:AFK2"/>
    <mergeCell ref="AFL1:AFL2"/>
    <mergeCell ref="AFL3:AFM3"/>
    <mergeCell ref="AFL4:AFM4"/>
    <mergeCell ref="AFL5:AFM5"/>
    <mergeCell ref="AFL6:AFM6"/>
    <mergeCell ref="AFL7:AFM7"/>
    <mergeCell ref="AFL8:AFM8"/>
    <mergeCell ref="AFI9:AFK9"/>
    <mergeCell ref="AFL9:AFM9"/>
    <mergeCell ref="AFI10:AFJ10"/>
    <mergeCell ref="AFK10:AFM10"/>
    <mergeCell ref="AFI11:AFJ11"/>
    <mergeCell ref="AFK11:AFM11"/>
    <mergeCell ref="AFI12:AFJ12"/>
    <mergeCell ref="AFK12:AFM12"/>
    <mergeCell ref="AFI13:AFJ13"/>
    <mergeCell ref="AFK13:AFM13"/>
    <mergeCell ref="AFI14:AFJ14"/>
    <mergeCell ref="AFK14:AFM14"/>
    <mergeCell ref="AFI15:AFK15"/>
    <mergeCell ref="AFL15:AFM15"/>
    <mergeCell ref="AFI16:AFJ16"/>
    <mergeCell ref="AFK16:AFM16"/>
    <mergeCell ref="AFI17:AFJ17"/>
    <mergeCell ref="AFK17:AFM17"/>
    <mergeCell ref="AFI18:AFJ18"/>
    <mergeCell ref="AFK18:AFM18"/>
    <mergeCell ref="AFI19:AFJ19"/>
    <mergeCell ref="AFK19:AFM19"/>
    <mergeCell ref="AFI20:AFJ20"/>
    <mergeCell ref="AFK20:AFM20"/>
    <mergeCell ref="AFV21:AFW21"/>
    <mergeCell ref="AFV22:AFW22"/>
    <mergeCell ref="AFV23:AFW23"/>
    <mergeCell ref="AFV24:AFW24"/>
    <mergeCell ref="AFS25:AFU25"/>
    <mergeCell ref="AFV25:AFW25"/>
    <mergeCell ref="AFV26:AFW26"/>
    <mergeCell ref="AFS27:AFW27"/>
    <mergeCell ref="AFS28:AFW29"/>
    <mergeCell ref="AFS1:AFS2"/>
    <mergeCell ref="AFT1:AFU2"/>
    <mergeCell ref="AFV1:AFV2"/>
    <mergeCell ref="AFV3:AFW3"/>
    <mergeCell ref="AFV4:AFW4"/>
    <mergeCell ref="AFV5:AFW5"/>
    <mergeCell ref="AFV6:AFW6"/>
    <mergeCell ref="AFV7:AFW7"/>
    <mergeCell ref="AFV8:AFW8"/>
    <mergeCell ref="AFS9:AFU9"/>
    <mergeCell ref="AFV9:AFW9"/>
    <mergeCell ref="AFS10:AFT10"/>
    <mergeCell ref="AFU10:AFW10"/>
    <mergeCell ref="AFS11:AFT11"/>
    <mergeCell ref="AFU11:AFW11"/>
    <mergeCell ref="AFS12:AFT12"/>
    <mergeCell ref="AFU12:AFW12"/>
    <mergeCell ref="AFS13:AFT13"/>
    <mergeCell ref="AFU13:AFW13"/>
    <mergeCell ref="AFS14:AFT14"/>
    <mergeCell ref="AFU14:AFW14"/>
    <mergeCell ref="AFS15:AFU15"/>
    <mergeCell ref="AFV15:AFW15"/>
    <mergeCell ref="AFS16:AFT16"/>
    <mergeCell ref="AFU16:AFW16"/>
    <mergeCell ref="AFS17:AFT17"/>
    <mergeCell ref="AFU17:AFW17"/>
    <mergeCell ref="AFS18:AFT18"/>
    <mergeCell ref="AFU18:AFW18"/>
    <mergeCell ref="AFS19:AFT19"/>
    <mergeCell ref="AFU19:AFW19"/>
    <mergeCell ref="AFS20:AFT20"/>
    <mergeCell ref="AFU20:AFW20"/>
    <mergeCell ref="AGK21:AGL21"/>
    <mergeCell ref="AGK22:AGL22"/>
    <mergeCell ref="AGK23:AGL23"/>
    <mergeCell ref="AGK24:AGL24"/>
    <mergeCell ref="AGH25:AGJ25"/>
    <mergeCell ref="AGK25:AGL25"/>
    <mergeCell ref="AGK26:AGL26"/>
    <mergeCell ref="AGH27:AGL27"/>
    <mergeCell ref="AGH28:AGL29"/>
    <mergeCell ref="AGH1:AGH2"/>
    <mergeCell ref="AGI1:AGJ2"/>
    <mergeCell ref="AGK1:AGK2"/>
    <mergeCell ref="AGK3:AGL3"/>
    <mergeCell ref="AGK4:AGL4"/>
    <mergeCell ref="AGK5:AGL5"/>
    <mergeCell ref="AGK6:AGL6"/>
    <mergeCell ref="AGK7:AGL7"/>
    <mergeCell ref="AGK8:AGL8"/>
    <mergeCell ref="AGH9:AGJ9"/>
    <mergeCell ref="AGK9:AGL9"/>
    <mergeCell ref="AGH10:AGI10"/>
    <mergeCell ref="AGJ10:AGL10"/>
    <mergeCell ref="AGH11:AGI11"/>
    <mergeCell ref="AGJ11:AGL11"/>
    <mergeCell ref="AGH12:AGI12"/>
    <mergeCell ref="AGJ12:AGL12"/>
    <mergeCell ref="AGH13:AGI13"/>
    <mergeCell ref="AGJ13:AGL13"/>
    <mergeCell ref="AGH14:AGI14"/>
    <mergeCell ref="AGJ14:AGL14"/>
    <mergeCell ref="AGH15:AGJ15"/>
    <mergeCell ref="AGK15:AGL15"/>
    <mergeCell ref="AGH16:AGI16"/>
    <mergeCell ref="AGJ16:AGL16"/>
    <mergeCell ref="AGH17:AGI17"/>
    <mergeCell ref="AGJ17:AGL17"/>
    <mergeCell ref="AGH18:AGI18"/>
    <mergeCell ref="AGJ18:AGL18"/>
    <mergeCell ref="AGH19:AGI19"/>
    <mergeCell ref="AGJ19:AGL19"/>
    <mergeCell ref="AGH20:AGI20"/>
    <mergeCell ref="AGJ20:AGL20"/>
    <mergeCell ref="AGZ21:AHA21"/>
    <mergeCell ref="AGZ22:AHA22"/>
    <mergeCell ref="AGZ23:AHA23"/>
    <mergeCell ref="AGZ24:AHA24"/>
    <mergeCell ref="AGW25:AGY25"/>
    <mergeCell ref="AGZ25:AHA25"/>
    <mergeCell ref="AGZ26:AHA26"/>
    <mergeCell ref="AGW27:AHA27"/>
    <mergeCell ref="AGW28:AHA29"/>
    <mergeCell ref="AGR1:AGR2"/>
    <mergeCell ref="AGS1:AGT2"/>
    <mergeCell ref="AGU1:AGU2"/>
    <mergeCell ref="AGU3:AGV3"/>
    <mergeCell ref="AGU4:AGV4"/>
    <mergeCell ref="AGU5:AGV5"/>
    <mergeCell ref="AGU6:AGV6"/>
    <mergeCell ref="AGU7:AGV7"/>
    <mergeCell ref="AGU8:AGV8"/>
    <mergeCell ref="AGR9:AGT9"/>
    <mergeCell ref="AGU9:AGV9"/>
    <mergeCell ref="AGR10:AGS10"/>
    <mergeCell ref="AGT10:AGV10"/>
    <mergeCell ref="AGR11:AGS11"/>
    <mergeCell ref="AGT11:AGV11"/>
    <mergeCell ref="AGR12:AGS12"/>
    <mergeCell ref="AGT12:AGV12"/>
    <mergeCell ref="AGR13:AGS13"/>
    <mergeCell ref="AGT13:AGV13"/>
    <mergeCell ref="AGR14:AGS14"/>
    <mergeCell ref="AGT14:AGV14"/>
    <mergeCell ref="AGR15:AGT15"/>
    <mergeCell ref="AGU15:AGV15"/>
    <mergeCell ref="AGR16:AGS16"/>
    <mergeCell ref="AGT16:AGV16"/>
    <mergeCell ref="AGR17:AGS17"/>
    <mergeCell ref="AGT17:AGV17"/>
    <mergeCell ref="AGR18:AGS18"/>
    <mergeCell ref="AGT18:AGV18"/>
    <mergeCell ref="AGR19:AGS19"/>
    <mergeCell ref="AGT19:AGV19"/>
    <mergeCell ref="AGR20:AGS20"/>
    <mergeCell ref="AGT20:AGV20"/>
    <mergeCell ref="AGU21:AGV21"/>
    <mergeCell ref="AGU22:AGV22"/>
    <mergeCell ref="AGU23:AGV23"/>
    <mergeCell ref="AGU24:AGV24"/>
    <mergeCell ref="AGR25:AGT25"/>
    <mergeCell ref="AGU25:AGV25"/>
    <mergeCell ref="AGU26:AGV26"/>
    <mergeCell ref="AGR27:AGV27"/>
    <mergeCell ref="AGR28:AGV29"/>
    <mergeCell ref="AGW1:AGW2"/>
    <mergeCell ref="AGX1:AGY2"/>
    <mergeCell ref="AGZ1:AGZ2"/>
    <mergeCell ref="AGZ3:AHA3"/>
    <mergeCell ref="AGZ4:AHA4"/>
    <mergeCell ref="AGZ5:AHA5"/>
    <mergeCell ref="AGZ6:AHA6"/>
    <mergeCell ref="AGZ7:AHA7"/>
    <mergeCell ref="AGZ8:AHA8"/>
    <mergeCell ref="AGW9:AGY9"/>
    <mergeCell ref="AGZ9:AHA9"/>
    <mergeCell ref="AGW10:AGX10"/>
    <mergeCell ref="AGY10:AHA10"/>
    <mergeCell ref="AGW11:AGX11"/>
    <mergeCell ref="AGY11:AHA11"/>
    <mergeCell ref="AGW12:AGX12"/>
    <mergeCell ref="AGY12:AHA12"/>
    <mergeCell ref="AGW13:AGX13"/>
    <mergeCell ref="AGY13:AHA13"/>
    <mergeCell ref="AGW14:AGX14"/>
    <mergeCell ref="AGY14:AHA14"/>
    <mergeCell ref="AGW15:AGY15"/>
    <mergeCell ref="AGZ15:AHA15"/>
    <mergeCell ref="AGW16:AGX16"/>
    <mergeCell ref="AGY16:AHA16"/>
    <mergeCell ref="AGW17:AGX17"/>
    <mergeCell ref="AGY17:AHA17"/>
    <mergeCell ref="AGW18:AGX18"/>
    <mergeCell ref="AGY18:AHA18"/>
    <mergeCell ref="AGW19:AGX19"/>
    <mergeCell ref="AGY19:AHA19"/>
    <mergeCell ref="AGW20:AGX20"/>
    <mergeCell ref="AGY20:AHA20"/>
    <mergeCell ref="AHJ21:AHK21"/>
    <mergeCell ref="AHJ22:AHK22"/>
    <mergeCell ref="AHJ23:AHK23"/>
    <mergeCell ref="AHJ24:AHK24"/>
    <mergeCell ref="AHG25:AHI25"/>
    <mergeCell ref="AHJ25:AHK25"/>
    <mergeCell ref="AHJ26:AHK26"/>
    <mergeCell ref="AHG27:AHK27"/>
    <mergeCell ref="AHG28:AHK29"/>
    <mergeCell ref="AHG1:AHG2"/>
    <mergeCell ref="AHH1:AHI2"/>
    <mergeCell ref="AHJ1:AHJ2"/>
    <mergeCell ref="AHJ3:AHK3"/>
    <mergeCell ref="AHJ4:AHK4"/>
    <mergeCell ref="AHJ5:AHK5"/>
    <mergeCell ref="AHJ6:AHK6"/>
    <mergeCell ref="AHJ7:AHK7"/>
    <mergeCell ref="AHJ8:AHK8"/>
    <mergeCell ref="AHG9:AHI9"/>
    <mergeCell ref="AHJ9:AHK9"/>
    <mergeCell ref="AHG10:AHH10"/>
    <mergeCell ref="AHI10:AHK10"/>
    <mergeCell ref="AHG11:AHH11"/>
    <mergeCell ref="AHI11:AHK11"/>
    <mergeCell ref="AHG12:AHH12"/>
    <mergeCell ref="AHI12:AHK12"/>
    <mergeCell ref="AHG13:AHH13"/>
    <mergeCell ref="AHI13:AHK13"/>
    <mergeCell ref="AHG14:AHH14"/>
    <mergeCell ref="AHI14:AHK14"/>
    <mergeCell ref="AHG15:AHI15"/>
    <mergeCell ref="AHJ15:AHK15"/>
    <mergeCell ref="AHG16:AHH16"/>
    <mergeCell ref="AHI16:AHK16"/>
    <mergeCell ref="AHG17:AHH17"/>
    <mergeCell ref="AHI17:AHK17"/>
    <mergeCell ref="AHG18:AHH18"/>
    <mergeCell ref="AHI18:AHK18"/>
    <mergeCell ref="AHG19:AHH19"/>
    <mergeCell ref="AHI19:AHK19"/>
    <mergeCell ref="AHG20:AHH20"/>
    <mergeCell ref="AHI20:AHK20"/>
    <mergeCell ref="AHE21:AHF21"/>
    <mergeCell ref="AHE22:AHF22"/>
    <mergeCell ref="AHT21:AHU21"/>
    <mergeCell ref="AHT22:AHU22"/>
    <mergeCell ref="AHT23:AHU23"/>
    <mergeCell ref="AHT24:AHU24"/>
    <mergeCell ref="AHQ25:AHS25"/>
    <mergeCell ref="AHT25:AHU25"/>
    <mergeCell ref="AHT26:AHU26"/>
    <mergeCell ref="AHQ27:AHU27"/>
    <mergeCell ref="AHQ28:AHU29"/>
    <mergeCell ref="AHQ1:AHQ2"/>
    <mergeCell ref="AHR1:AHS2"/>
    <mergeCell ref="AHT1:AHT2"/>
    <mergeCell ref="AHT3:AHU3"/>
    <mergeCell ref="AHT4:AHU4"/>
    <mergeCell ref="AHT5:AHU5"/>
    <mergeCell ref="AHT6:AHU6"/>
    <mergeCell ref="AHT7:AHU7"/>
    <mergeCell ref="AHT8:AHU8"/>
    <mergeCell ref="AHQ9:AHS9"/>
    <mergeCell ref="AHT9:AHU9"/>
    <mergeCell ref="AHQ10:AHR10"/>
    <mergeCell ref="AHS10:AHU10"/>
    <mergeCell ref="AHQ11:AHR11"/>
    <mergeCell ref="AHS11:AHU11"/>
    <mergeCell ref="AHQ12:AHR12"/>
    <mergeCell ref="AHS12:AHU12"/>
    <mergeCell ref="AHQ13:AHR13"/>
    <mergeCell ref="AHS13:AHU13"/>
    <mergeCell ref="AHQ14:AHR14"/>
    <mergeCell ref="AHS14:AHU14"/>
    <mergeCell ref="AHQ15:AHS15"/>
    <mergeCell ref="AHT15:AHU15"/>
    <mergeCell ref="AHQ16:AHR16"/>
    <mergeCell ref="AHS16:AHU16"/>
    <mergeCell ref="AHQ17:AHR17"/>
    <mergeCell ref="AHS17:AHU17"/>
    <mergeCell ref="AHQ18:AHR18"/>
    <mergeCell ref="AHS18:AHU18"/>
    <mergeCell ref="AHQ19:AHR19"/>
    <mergeCell ref="AHS19:AHU19"/>
    <mergeCell ref="AHQ20:AHR20"/>
    <mergeCell ref="AHS20:AHU20"/>
    <mergeCell ref="AHY21:AHZ21"/>
    <mergeCell ref="AHY22:AHZ22"/>
    <mergeCell ref="AHY23:AHZ23"/>
    <mergeCell ref="AHY24:AHZ24"/>
    <mergeCell ref="AHV25:AHX25"/>
    <mergeCell ref="AHY25:AHZ25"/>
    <mergeCell ref="AHY26:AHZ26"/>
    <mergeCell ref="AHV27:AHZ27"/>
    <mergeCell ref="AHV28:AHZ29"/>
    <mergeCell ref="AHV1:AHV2"/>
    <mergeCell ref="AHW1:AHX2"/>
    <mergeCell ref="AHY1:AHY2"/>
    <mergeCell ref="AHY3:AHZ3"/>
    <mergeCell ref="AHY4:AHZ4"/>
    <mergeCell ref="AHY5:AHZ5"/>
    <mergeCell ref="AHY6:AHZ6"/>
    <mergeCell ref="AHY7:AHZ7"/>
    <mergeCell ref="AHY8:AHZ8"/>
    <mergeCell ref="AHV9:AHX9"/>
    <mergeCell ref="AHY9:AHZ9"/>
    <mergeCell ref="AHV10:AHW10"/>
    <mergeCell ref="AHX10:AHZ10"/>
    <mergeCell ref="AHV11:AHW11"/>
    <mergeCell ref="AHX11:AHZ11"/>
    <mergeCell ref="AHV12:AHW12"/>
    <mergeCell ref="AHX12:AHZ12"/>
    <mergeCell ref="AHV13:AHW13"/>
    <mergeCell ref="AHX13:AHZ13"/>
    <mergeCell ref="AHV14:AHW14"/>
    <mergeCell ref="AHX14:AHZ14"/>
    <mergeCell ref="AHV15:AHX15"/>
    <mergeCell ref="AHY15:AHZ15"/>
    <mergeCell ref="AHV16:AHW16"/>
    <mergeCell ref="AHX16:AHZ16"/>
    <mergeCell ref="AHV17:AHW17"/>
    <mergeCell ref="AHX17:AHZ17"/>
    <mergeCell ref="AHV18:AHW18"/>
    <mergeCell ref="AHX18:AHZ18"/>
    <mergeCell ref="AHV19:AHW19"/>
    <mergeCell ref="AHX19:AHZ19"/>
    <mergeCell ref="AHV20:AHW20"/>
    <mergeCell ref="AHX20:AHZ20"/>
    <mergeCell ref="AII21:AIJ21"/>
    <mergeCell ref="AII22:AIJ22"/>
    <mergeCell ref="AII23:AIJ23"/>
    <mergeCell ref="AII24:AIJ24"/>
    <mergeCell ref="AIF25:AIH25"/>
    <mergeCell ref="AII25:AIJ25"/>
    <mergeCell ref="AII26:AIJ26"/>
    <mergeCell ref="AIF27:AIJ27"/>
    <mergeCell ref="AIF28:AIJ29"/>
    <mergeCell ref="AIF1:AIF2"/>
    <mergeCell ref="AIG1:AIH2"/>
    <mergeCell ref="AII1:AII2"/>
    <mergeCell ref="AII3:AIJ3"/>
    <mergeCell ref="AII4:AIJ4"/>
    <mergeCell ref="AII5:AIJ5"/>
    <mergeCell ref="AII6:AIJ6"/>
    <mergeCell ref="AII7:AIJ7"/>
    <mergeCell ref="AII8:AIJ8"/>
    <mergeCell ref="AIF9:AIH9"/>
    <mergeCell ref="AII9:AIJ9"/>
    <mergeCell ref="AIF10:AIG10"/>
    <mergeCell ref="AIH10:AIJ10"/>
    <mergeCell ref="AIF11:AIG11"/>
    <mergeCell ref="AIH11:AIJ11"/>
    <mergeCell ref="AIF12:AIG12"/>
    <mergeCell ref="AIH12:AIJ12"/>
    <mergeCell ref="AIF13:AIG13"/>
    <mergeCell ref="AIH13:AIJ13"/>
    <mergeCell ref="AIF14:AIG14"/>
    <mergeCell ref="AIH14:AIJ14"/>
    <mergeCell ref="AIF15:AIH15"/>
    <mergeCell ref="AII15:AIJ15"/>
    <mergeCell ref="AIF16:AIG16"/>
    <mergeCell ref="AIH16:AIJ16"/>
    <mergeCell ref="AIF17:AIG17"/>
    <mergeCell ref="AIH17:AIJ17"/>
    <mergeCell ref="AIF18:AIG18"/>
    <mergeCell ref="AIH18:AIJ18"/>
    <mergeCell ref="AIF19:AIG19"/>
    <mergeCell ref="AIH19:AIJ19"/>
    <mergeCell ref="AIF20:AIG20"/>
    <mergeCell ref="AIH20:AIJ20"/>
    <mergeCell ref="AIS21:AIT21"/>
    <mergeCell ref="AIS22:AIT22"/>
    <mergeCell ref="AIS23:AIT23"/>
    <mergeCell ref="AIS24:AIT24"/>
    <mergeCell ref="AIP25:AIR25"/>
    <mergeCell ref="AIS25:AIT25"/>
    <mergeCell ref="AIS26:AIT26"/>
    <mergeCell ref="AIP27:AIT27"/>
    <mergeCell ref="AIP28:AIT29"/>
    <mergeCell ref="AIP1:AIP2"/>
    <mergeCell ref="AIQ1:AIR2"/>
    <mergeCell ref="AIS1:AIS2"/>
    <mergeCell ref="AIS3:AIT3"/>
    <mergeCell ref="AIS4:AIT4"/>
    <mergeCell ref="AIS5:AIT5"/>
    <mergeCell ref="AIS6:AIT6"/>
    <mergeCell ref="AIS7:AIT7"/>
    <mergeCell ref="AIS8:AIT8"/>
    <mergeCell ref="AIP9:AIR9"/>
    <mergeCell ref="AIS9:AIT9"/>
    <mergeCell ref="AIP10:AIQ10"/>
    <mergeCell ref="AIR10:AIT10"/>
    <mergeCell ref="AIP11:AIQ11"/>
    <mergeCell ref="AIR11:AIT11"/>
    <mergeCell ref="AIP12:AIQ12"/>
    <mergeCell ref="AIR12:AIT12"/>
    <mergeCell ref="AIP13:AIQ13"/>
    <mergeCell ref="AIR13:AIT13"/>
    <mergeCell ref="AIP14:AIQ14"/>
    <mergeCell ref="AIR14:AIT14"/>
    <mergeCell ref="AIP15:AIR15"/>
    <mergeCell ref="AIS15:AIT15"/>
    <mergeCell ref="AIP16:AIQ16"/>
    <mergeCell ref="AIR16:AIT16"/>
    <mergeCell ref="AIP17:AIQ17"/>
    <mergeCell ref="AIR17:AIT17"/>
    <mergeCell ref="AIP18:AIQ18"/>
    <mergeCell ref="AIR18:AIT18"/>
    <mergeCell ref="AIP19:AIQ19"/>
    <mergeCell ref="AIR19:AIT19"/>
    <mergeCell ref="AIP20:AIQ20"/>
    <mergeCell ref="AIR20:AIT20"/>
    <mergeCell ref="AJH21:AJI21"/>
    <mergeCell ref="AJH22:AJI22"/>
    <mergeCell ref="AJH23:AJI23"/>
    <mergeCell ref="AJH24:AJI24"/>
    <mergeCell ref="AJE25:AJG25"/>
    <mergeCell ref="AJH25:AJI25"/>
    <mergeCell ref="AJH26:AJI26"/>
    <mergeCell ref="AJE27:AJI27"/>
    <mergeCell ref="AJE28:AJI29"/>
    <mergeCell ref="AJE1:AJE2"/>
    <mergeCell ref="AJF1:AJG2"/>
    <mergeCell ref="AJH1:AJH2"/>
    <mergeCell ref="AJH3:AJI3"/>
    <mergeCell ref="AJH4:AJI4"/>
    <mergeCell ref="AJH5:AJI5"/>
    <mergeCell ref="AJH6:AJI6"/>
    <mergeCell ref="AJH7:AJI7"/>
    <mergeCell ref="AJH8:AJI8"/>
    <mergeCell ref="AJE9:AJG9"/>
    <mergeCell ref="AJH9:AJI9"/>
    <mergeCell ref="AJE10:AJF10"/>
    <mergeCell ref="AJG10:AJI10"/>
    <mergeCell ref="AJE11:AJF11"/>
    <mergeCell ref="AJG11:AJI11"/>
    <mergeCell ref="AJE12:AJF12"/>
    <mergeCell ref="AJG12:AJI12"/>
    <mergeCell ref="AJE13:AJF13"/>
    <mergeCell ref="AJG13:AJI13"/>
    <mergeCell ref="AJE14:AJF14"/>
    <mergeCell ref="AJG14:AJI14"/>
    <mergeCell ref="AJE15:AJG15"/>
    <mergeCell ref="AJH15:AJI15"/>
    <mergeCell ref="AJE16:AJF16"/>
    <mergeCell ref="AJG16:AJI16"/>
    <mergeCell ref="AJE17:AJF17"/>
    <mergeCell ref="AJG17:AJI17"/>
    <mergeCell ref="AJE18:AJF18"/>
    <mergeCell ref="AJG18:AJI18"/>
    <mergeCell ref="AJE19:AJF19"/>
    <mergeCell ref="AJG19:AJI19"/>
    <mergeCell ref="AJE20:AJF20"/>
    <mergeCell ref="AJG20:AJI20"/>
    <mergeCell ref="AJR21:AJS21"/>
    <mergeCell ref="AJR22:AJS22"/>
    <mergeCell ref="AJR23:AJS23"/>
    <mergeCell ref="AJR24:AJS24"/>
    <mergeCell ref="AJO25:AJQ25"/>
    <mergeCell ref="AJR25:AJS25"/>
    <mergeCell ref="AJR26:AJS26"/>
    <mergeCell ref="AJO27:AJS27"/>
    <mergeCell ref="AJO28:AJS29"/>
    <mergeCell ref="AJO1:AJO2"/>
    <mergeCell ref="AJP1:AJQ2"/>
    <mergeCell ref="AJR1:AJR2"/>
    <mergeCell ref="AJR3:AJS3"/>
    <mergeCell ref="AJR4:AJS4"/>
    <mergeCell ref="AJR5:AJS5"/>
    <mergeCell ref="AJR6:AJS6"/>
    <mergeCell ref="AJR7:AJS7"/>
    <mergeCell ref="AJR8:AJS8"/>
    <mergeCell ref="AJO9:AJQ9"/>
    <mergeCell ref="AJR9:AJS9"/>
    <mergeCell ref="AJO10:AJP10"/>
    <mergeCell ref="AJQ10:AJS10"/>
    <mergeCell ref="AJO11:AJP11"/>
    <mergeCell ref="AJQ11:AJS11"/>
    <mergeCell ref="AJO12:AJP12"/>
    <mergeCell ref="AJQ12:AJS12"/>
    <mergeCell ref="AJO13:AJP13"/>
    <mergeCell ref="AJQ13:AJS13"/>
    <mergeCell ref="AJO14:AJP14"/>
    <mergeCell ref="AJQ14:AJS14"/>
    <mergeCell ref="AJO15:AJQ15"/>
    <mergeCell ref="AJR15:AJS15"/>
    <mergeCell ref="AJO16:AJP16"/>
    <mergeCell ref="AJQ16:AJS16"/>
    <mergeCell ref="AJO17:AJP17"/>
    <mergeCell ref="AJQ17:AJS17"/>
    <mergeCell ref="AJO18:AJP18"/>
    <mergeCell ref="AJQ18:AJS18"/>
    <mergeCell ref="AJO19:AJP19"/>
    <mergeCell ref="AJQ19:AJS19"/>
    <mergeCell ref="AJO20:AJP20"/>
    <mergeCell ref="AJQ20:AJS20"/>
    <mergeCell ref="AKB21:AKC21"/>
    <mergeCell ref="AKB22:AKC22"/>
    <mergeCell ref="AKB23:AKC23"/>
    <mergeCell ref="AKB24:AKC24"/>
    <mergeCell ref="AJY25:AKA25"/>
    <mergeCell ref="AKB25:AKC25"/>
    <mergeCell ref="AKB26:AKC26"/>
    <mergeCell ref="AJY27:AKC27"/>
    <mergeCell ref="AJY28:AKC29"/>
    <mergeCell ref="AJY1:AJY2"/>
    <mergeCell ref="AJZ1:AKA2"/>
    <mergeCell ref="AKB1:AKB2"/>
    <mergeCell ref="AKB3:AKC3"/>
    <mergeCell ref="AKB4:AKC4"/>
    <mergeCell ref="AKB5:AKC5"/>
    <mergeCell ref="AKB6:AKC6"/>
    <mergeCell ref="AKB7:AKC7"/>
    <mergeCell ref="AKB8:AKC8"/>
    <mergeCell ref="AJY9:AKA9"/>
    <mergeCell ref="AKB9:AKC9"/>
    <mergeCell ref="AJY10:AJZ10"/>
    <mergeCell ref="AKA10:AKC10"/>
    <mergeCell ref="AJY11:AJZ11"/>
    <mergeCell ref="AKA11:AKC11"/>
    <mergeCell ref="AJY12:AJZ12"/>
    <mergeCell ref="AKA12:AKC12"/>
    <mergeCell ref="AJY13:AJZ13"/>
    <mergeCell ref="AKA13:AKC13"/>
    <mergeCell ref="AJY14:AJZ14"/>
    <mergeCell ref="AKA14:AKC14"/>
    <mergeCell ref="AJY15:AKA15"/>
    <mergeCell ref="AKB15:AKC15"/>
    <mergeCell ref="AJY16:AJZ16"/>
    <mergeCell ref="AKA16:AKC16"/>
    <mergeCell ref="AJY17:AJZ17"/>
    <mergeCell ref="AKA17:AKC17"/>
    <mergeCell ref="AJY18:AJZ18"/>
    <mergeCell ref="AKA18:AKC18"/>
    <mergeCell ref="AJY19:AJZ19"/>
    <mergeCell ref="AKA19:AKC19"/>
    <mergeCell ref="AJY20:AJZ20"/>
    <mergeCell ref="AKA20:AKC20"/>
    <mergeCell ref="AKL21:AKM21"/>
    <mergeCell ref="AKL22:AKM22"/>
    <mergeCell ref="AKL23:AKM23"/>
    <mergeCell ref="AKL24:AKM24"/>
    <mergeCell ref="AKI25:AKK25"/>
    <mergeCell ref="AKL25:AKM25"/>
    <mergeCell ref="AKL26:AKM26"/>
    <mergeCell ref="AKI27:AKM27"/>
    <mergeCell ref="AKI28:AKM29"/>
    <mergeCell ref="AKI1:AKI2"/>
    <mergeCell ref="AKJ1:AKK2"/>
    <mergeCell ref="AKL1:AKL2"/>
    <mergeCell ref="AKL3:AKM3"/>
    <mergeCell ref="AKL4:AKM4"/>
    <mergeCell ref="AKL5:AKM5"/>
    <mergeCell ref="AKL6:AKM6"/>
    <mergeCell ref="AKL7:AKM7"/>
    <mergeCell ref="AKL8:AKM8"/>
    <mergeCell ref="AKI9:AKK9"/>
    <mergeCell ref="AKL9:AKM9"/>
    <mergeCell ref="AKI10:AKJ10"/>
    <mergeCell ref="AKK10:AKM10"/>
    <mergeCell ref="AKI11:AKJ11"/>
    <mergeCell ref="AKK11:AKM11"/>
    <mergeCell ref="AKI12:AKJ12"/>
    <mergeCell ref="AKK12:AKM12"/>
    <mergeCell ref="AKI13:AKJ13"/>
    <mergeCell ref="AKK13:AKM13"/>
    <mergeCell ref="AKI14:AKJ14"/>
    <mergeCell ref="AKK14:AKM14"/>
    <mergeCell ref="AKI15:AKK15"/>
    <mergeCell ref="AKL15:AKM15"/>
    <mergeCell ref="AKI16:AKJ16"/>
    <mergeCell ref="AKK16:AKM16"/>
    <mergeCell ref="AKI17:AKJ17"/>
    <mergeCell ref="AKK17:AKM17"/>
    <mergeCell ref="AKI18:AKJ18"/>
    <mergeCell ref="AKK18:AKM18"/>
    <mergeCell ref="AKI19:AKJ19"/>
    <mergeCell ref="AKK19:AKM19"/>
    <mergeCell ref="AKI20:AKJ20"/>
    <mergeCell ref="AKK20:AKM20"/>
    <mergeCell ref="AKQ21:AKR21"/>
    <mergeCell ref="AKQ22:AKR22"/>
    <mergeCell ref="AKQ23:AKR23"/>
    <mergeCell ref="AKQ24:AKR24"/>
    <mergeCell ref="AKN25:AKP25"/>
    <mergeCell ref="AKQ25:AKR25"/>
    <mergeCell ref="AKQ26:AKR26"/>
    <mergeCell ref="AKN27:AKR27"/>
    <mergeCell ref="AKN28:AKR29"/>
    <mergeCell ref="AKN1:AKN2"/>
    <mergeCell ref="AKO1:AKP2"/>
    <mergeCell ref="AKQ1:AKQ2"/>
    <mergeCell ref="AKQ3:AKR3"/>
    <mergeCell ref="AKQ4:AKR4"/>
    <mergeCell ref="AKQ5:AKR5"/>
    <mergeCell ref="AKQ6:AKR6"/>
    <mergeCell ref="AKQ7:AKR7"/>
    <mergeCell ref="AKQ8:AKR8"/>
    <mergeCell ref="AKN9:AKP9"/>
    <mergeCell ref="AKQ9:AKR9"/>
    <mergeCell ref="AKN10:AKO10"/>
    <mergeCell ref="AKP10:AKR10"/>
    <mergeCell ref="AKN11:AKO11"/>
    <mergeCell ref="AKP11:AKR11"/>
    <mergeCell ref="AKN12:AKO12"/>
    <mergeCell ref="AKP12:AKR12"/>
    <mergeCell ref="AKN13:AKO13"/>
    <mergeCell ref="AKP13:AKR13"/>
    <mergeCell ref="AKN14:AKO14"/>
    <mergeCell ref="AKP14:AKR14"/>
    <mergeCell ref="AKN15:AKP15"/>
    <mergeCell ref="AKQ15:AKR15"/>
    <mergeCell ref="AKN16:AKO16"/>
    <mergeCell ref="AKP16:AKR16"/>
    <mergeCell ref="AKN17:AKO17"/>
    <mergeCell ref="AKP17:AKR17"/>
    <mergeCell ref="AKN18:AKO18"/>
    <mergeCell ref="AKP18:AKR18"/>
    <mergeCell ref="AKN19:AKO19"/>
    <mergeCell ref="AKP19:AKR19"/>
    <mergeCell ref="AKN20:AKO20"/>
    <mergeCell ref="AKP20:AKR20"/>
    <mergeCell ref="AKV21:AKW21"/>
    <mergeCell ref="AKV22:AKW22"/>
    <mergeCell ref="AKV23:AKW23"/>
    <mergeCell ref="AKV24:AKW24"/>
    <mergeCell ref="AKS25:AKU25"/>
    <mergeCell ref="AKV25:AKW25"/>
    <mergeCell ref="AKV26:AKW26"/>
    <mergeCell ref="AKS27:AKW27"/>
    <mergeCell ref="AKS28:AKW29"/>
    <mergeCell ref="AKS1:AKS2"/>
    <mergeCell ref="AKT1:AKU2"/>
    <mergeCell ref="AKV1:AKV2"/>
    <mergeCell ref="AKV3:AKW3"/>
    <mergeCell ref="AKV4:AKW4"/>
    <mergeCell ref="AKV5:AKW5"/>
    <mergeCell ref="AKV6:AKW6"/>
    <mergeCell ref="AKV7:AKW7"/>
    <mergeCell ref="AKV8:AKW8"/>
    <mergeCell ref="AKS9:AKU9"/>
    <mergeCell ref="AKV9:AKW9"/>
    <mergeCell ref="AKS10:AKT10"/>
    <mergeCell ref="AKU10:AKW10"/>
    <mergeCell ref="AKS11:AKT11"/>
    <mergeCell ref="AKU11:AKW11"/>
    <mergeCell ref="AKS12:AKT12"/>
    <mergeCell ref="AKU12:AKW12"/>
    <mergeCell ref="AKS13:AKT13"/>
    <mergeCell ref="AKU13:AKW13"/>
    <mergeCell ref="AKS14:AKT14"/>
    <mergeCell ref="AKU14:AKW14"/>
    <mergeCell ref="AKS15:AKU15"/>
    <mergeCell ref="AKV15:AKW15"/>
    <mergeCell ref="AKS16:AKT16"/>
    <mergeCell ref="AKU16:AKW16"/>
    <mergeCell ref="AKS17:AKT17"/>
    <mergeCell ref="AKU17:AKW17"/>
    <mergeCell ref="AKS18:AKT18"/>
    <mergeCell ref="AKU18:AKW18"/>
    <mergeCell ref="AKS19:AKT19"/>
    <mergeCell ref="AKU19:AKW19"/>
    <mergeCell ref="AKS20:AKT20"/>
    <mergeCell ref="AKU20:AKW20"/>
    <mergeCell ref="ALF21:ALG21"/>
    <mergeCell ref="ALF22:ALG22"/>
    <mergeCell ref="ALF23:ALG23"/>
    <mergeCell ref="ALF24:ALG24"/>
    <mergeCell ref="ALC25:ALE25"/>
    <mergeCell ref="ALF25:ALG25"/>
    <mergeCell ref="ALF26:ALG26"/>
    <mergeCell ref="ALC27:ALG27"/>
    <mergeCell ref="ALC28:ALG29"/>
    <mergeCell ref="ALC1:ALC2"/>
    <mergeCell ref="ALD1:ALE2"/>
    <mergeCell ref="ALF1:ALF2"/>
    <mergeCell ref="ALF3:ALG3"/>
    <mergeCell ref="ALF4:ALG4"/>
    <mergeCell ref="ALF5:ALG5"/>
    <mergeCell ref="ALF6:ALG6"/>
    <mergeCell ref="ALF7:ALG7"/>
    <mergeCell ref="ALF8:ALG8"/>
    <mergeCell ref="ALC9:ALE9"/>
    <mergeCell ref="ALF9:ALG9"/>
    <mergeCell ref="ALC10:ALD10"/>
    <mergeCell ref="ALE10:ALG10"/>
    <mergeCell ref="ALC11:ALD11"/>
    <mergeCell ref="ALE11:ALG11"/>
    <mergeCell ref="ALC12:ALD12"/>
    <mergeCell ref="ALE12:ALG12"/>
    <mergeCell ref="ALC13:ALD13"/>
    <mergeCell ref="ALE13:ALG13"/>
    <mergeCell ref="ALC14:ALD14"/>
    <mergeCell ref="ALE14:ALG14"/>
    <mergeCell ref="ALC15:ALE15"/>
    <mergeCell ref="ALF15:ALG15"/>
    <mergeCell ref="ALC16:ALD16"/>
    <mergeCell ref="ALE16:ALG16"/>
    <mergeCell ref="ALC17:ALD17"/>
    <mergeCell ref="ALE17:ALG17"/>
    <mergeCell ref="ALC18:ALD18"/>
    <mergeCell ref="ALE18:ALG18"/>
    <mergeCell ref="ALC19:ALD19"/>
    <mergeCell ref="ALE19:ALG19"/>
    <mergeCell ref="ALC20:ALD20"/>
    <mergeCell ref="ALE20:ALG20"/>
    <mergeCell ref="ALU21:ALV21"/>
    <mergeCell ref="ALU22:ALV22"/>
    <mergeCell ref="ALU23:ALV23"/>
    <mergeCell ref="ALU24:ALV24"/>
    <mergeCell ref="ALR25:ALT25"/>
    <mergeCell ref="ALU25:ALV25"/>
    <mergeCell ref="ALU26:ALV26"/>
    <mergeCell ref="ALR27:ALV27"/>
    <mergeCell ref="ALR28:ALV29"/>
    <mergeCell ref="ALR1:ALR2"/>
    <mergeCell ref="ALS1:ALT2"/>
    <mergeCell ref="ALU1:ALU2"/>
    <mergeCell ref="ALU3:ALV3"/>
    <mergeCell ref="ALU4:ALV4"/>
    <mergeCell ref="ALU5:ALV5"/>
    <mergeCell ref="ALU6:ALV6"/>
    <mergeCell ref="ALU7:ALV7"/>
    <mergeCell ref="ALU8:ALV8"/>
    <mergeCell ref="ALR9:ALT9"/>
    <mergeCell ref="ALU9:ALV9"/>
    <mergeCell ref="ALR10:ALS10"/>
    <mergeCell ref="ALT10:ALV10"/>
    <mergeCell ref="ALR11:ALS11"/>
    <mergeCell ref="ALT11:ALV11"/>
    <mergeCell ref="ALR12:ALS12"/>
    <mergeCell ref="ALT12:ALV12"/>
    <mergeCell ref="ALR13:ALS13"/>
    <mergeCell ref="ALT13:ALV13"/>
    <mergeCell ref="ALR14:ALS14"/>
    <mergeCell ref="ALT14:ALV14"/>
    <mergeCell ref="ALR15:ALT15"/>
    <mergeCell ref="ALU15:ALV15"/>
    <mergeCell ref="ALR16:ALS16"/>
    <mergeCell ref="ALT16:ALV16"/>
    <mergeCell ref="ALR17:ALS17"/>
    <mergeCell ref="ALT17:ALV17"/>
    <mergeCell ref="ALR18:ALS18"/>
    <mergeCell ref="ALT18:ALV18"/>
    <mergeCell ref="ALR19:ALS19"/>
    <mergeCell ref="ALT19:ALV19"/>
    <mergeCell ref="ALR20:ALS20"/>
    <mergeCell ref="ALT20:ALV20"/>
    <mergeCell ref="ALZ21:AMA21"/>
    <mergeCell ref="ALZ22:AMA22"/>
    <mergeCell ref="ALZ23:AMA23"/>
    <mergeCell ref="ALZ24:AMA24"/>
    <mergeCell ref="ALW25:ALY25"/>
    <mergeCell ref="ALZ25:AMA25"/>
    <mergeCell ref="ALZ26:AMA26"/>
    <mergeCell ref="ALW27:AMA27"/>
    <mergeCell ref="ALW28:AMA29"/>
    <mergeCell ref="ALW1:ALW2"/>
    <mergeCell ref="ALX1:ALY2"/>
    <mergeCell ref="ALZ1:ALZ2"/>
    <mergeCell ref="ALZ3:AMA3"/>
    <mergeCell ref="ALZ4:AMA4"/>
    <mergeCell ref="ALZ5:AMA5"/>
    <mergeCell ref="ALZ6:AMA6"/>
    <mergeCell ref="ALZ7:AMA7"/>
    <mergeCell ref="ALZ8:AMA8"/>
    <mergeCell ref="ALW9:ALY9"/>
    <mergeCell ref="ALZ9:AMA9"/>
    <mergeCell ref="ALW10:ALX10"/>
    <mergeCell ref="ALY10:AMA10"/>
    <mergeCell ref="ALW11:ALX11"/>
    <mergeCell ref="ALY11:AMA11"/>
    <mergeCell ref="ALW12:ALX12"/>
    <mergeCell ref="ALY12:AMA12"/>
    <mergeCell ref="ALW13:ALX13"/>
    <mergeCell ref="ALY13:AMA13"/>
    <mergeCell ref="ALW14:ALX14"/>
    <mergeCell ref="ALY14:AMA14"/>
    <mergeCell ref="ALW15:ALY15"/>
    <mergeCell ref="ALZ15:AMA15"/>
    <mergeCell ref="ALW16:ALX16"/>
    <mergeCell ref="ALY16:AMA16"/>
    <mergeCell ref="ALW17:ALX17"/>
    <mergeCell ref="ALY17:AMA17"/>
    <mergeCell ref="ALW18:ALX18"/>
    <mergeCell ref="ALY18:AMA18"/>
    <mergeCell ref="ALW19:ALX19"/>
    <mergeCell ref="ALY19:AMA19"/>
    <mergeCell ref="ALW20:ALX20"/>
    <mergeCell ref="ALY20:AMA20"/>
    <mergeCell ref="AME21:AMF21"/>
    <mergeCell ref="AME22:AMF22"/>
    <mergeCell ref="AME23:AMF23"/>
    <mergeCell ref="AME24:AMF24"/>
    <mergeCell ref="AMB25:AMD25"/>
    <mergeCell ref="AME25:AMF25"/>
    <mergeCell ref="AME26:AMF26"/>
    <mergeCell ref="AMB27:AMF27"/>
    <mergeCell ref="AMB28:AMF29"/>
    <mergeCell ref="AMB1:AMB2"/>
    <mergeCell ref="AMC1:AMD2"/>
    <mergeCell ref="AME1:AME2"/>
    <mergeCell ref="AME3:AMF3"/>
    <mergeCell ref="AME4:AMF4"/>
    <mergeCell ref="AME5:AMF5"/>
    <mergeCell ref="AME6:AMF6"/>
    <mergeCell ref="AME7:AMF7"/>
    <mergeCell ref="AME8:AMF8"/>
    <mergeCell ref="AMB9:AMD9"/>
    <mergeCell ref="AME9:AMF9"/>
    <mergeCell ref="AMB10:AMC10"/>
    <mergeCell ref="AMD10:AMF10"/>
    <mergeCell ref="AMB11:AMC11"/>
    <mergeCell ref="AMD11:AMF11"/>
    <mergeCell ref="AMB12:AMC12"/>
    <mergeCell ref="AMD12:AMF12"/>
    <mergeCell ref="AMB13:AMC13"/>
    <mergeCell ref="AMD13:AMF13"/>
    <mergeCell ref="AMB14:AMC14"/>
    <mergeCell ref="AMD14:AMF14"/>
    <mergeCell ref="AMB15:AMD15"/>
    <mergeCell ref="AME15:AMF15"/>
    <mergeCell ref="AMB16:AMC16"/>
    <mergeCell ref="AMD16:AMF16"/>
    <mergeCell ref="AMB17:AMC17"/>
    <mergeCell ref="AMD17:AMF17"/>
    <mergeCell ref="AMB18:AMC18"/>
    <mergeCell ref="AMD18:AMF18"/>
    <mergeCell ref="AMB19:AMC19"/>
    <mergeCell ref="AMD19:AMF19"/>
    <mergeCell ref="AMB20:AMC20"/>
    <mergeCell ref="AMD20:AMF20"/>
    <mergeCell ref="AMO21:AMP21"/>
    <mergeCell ref="AMO22:AMP22"/>
    <mergeCell ref="AMO23:AMP23"/>
    <mergeCell ref="AMO24:AMP24"/>
    <mergeCell ref="AML25:AMN25"/>
    <mergeCell ref="AMO25:AMP25"/>
    <mergeCell ref="AMO26:AMP26"/>
    <mergeCell ref="AML27:AMP27"/>
    <mergeCell ref="AML28:AMP29"/>
    <mergeCell ref="AML1:AML2"/>
    <mergeCell ref="AMM1:AMN2"/>
    <mergeCell ref="AMO1:AMO2"/>
    <mergeCell ref="AMO3:AMP3"/>
    <mergeCell ref="AMO4:AMP4"/>
    <mergeCell ref="AMO5:AMP5"/>
    <mergeCell ref="AMO6:AMP6"/>
    <mergeCell ref="AMO7:AMP7"/>
    <mergeCell ref="AMO8:AMP8"/>
    <mergeCell ref="AML9:AMN9"/>
    <mergeCell ref="AMO9:AMP9"/>
    <mergeCell ref="AML10:AMM10"/>
    <mergeCell ref="AMN10:AMP10"/>
    <mergeCell ref="AML11:AMM11"/>
    <mergeCell ref="AMN11:AMP11"/>
    <mergeCell ref="AML12:AMM12"/>
    <mergeCell ref="AMN12:AMP12"/>
    <mergeCell ref="AML13:AMM13"/>
    <mergeCell ref="AMN13:AMP13"/>
    <mergeCell ref="AML14:AMM14"/>
    <mergeCell ref="AMN14:AMP14"/>
    <mergeCell ref="AML15:AMN15"/>
    <mergeCell ref="AMO15:AMP15"/>
    <mergeCell ref="AML16:AMM16"/>
    <mergeCell ref="AMN16:AMP16"/>
    <mergeCell ref="AML17:AMM17"/>
    <mergeCell ref="AMN17:AMP17"/>
    <mergeCell ref="AML18:AMM18"/>
    <mergeCell ref="AMN18:AMP18"/>
    <mergeCell ref="AML19:AMM19"/>
    <mergeCell ref="AMN19:AMP19"/>
    <mergeCell ref="AML20:AMM20"/>
    <mergeCell ref="AMN20:AMP20"/>
    <mergeCell ref="AND21:ANE21"/>
    <mergeCell ref="AND22:ANE22"/>
    <mergeCell ref="AND23:ANE23"/>
    <mergeCell ref="AND24:ANE24"/>
    <mergeCell ref="ANA25:ANC25"/>
    <mergeCell ref="AND25:ANE25"/>
    <mergeCell ref="AND26:ANE26"/>
    <mergeCell ref="ANA27:ANE27"/>
    <mergeCell ref="ANA28:ANE29"/>
    <mergeCell ref="ANA1:ANA2"/>
    <mergeCell ref="ANB1:ANC2"/>
    <mergeCell ref="AND1:AND2"/>
    <mergeCell ref="AND3:ANE3"/>
    <mergeCell ref="AND4:ANE4"/>
    <mergeCell ref="AND5:ANE5"/>
    <mergeCell ref="AND6:ANE6"/>
    <mergeCell ref="AND7:ANE7"/>
    <mergeCell ref="AND8:ANE8"/>
    <mergeCell ref="ANA9:ANC9"/>
    <mergeCell ref="AND9:ANE9"/>
    <mergeCell ref="ANA10:ANB10"/>
    <mergeCell ref="ANC10:ANE10"/>
    <mergeCell ref="ANA11:ANB11"/>
    <mergeCell ref="ANC11:ANE11"/>
    <mergeCell ref="ANA12:ANB12"/>
    <mergeCell ref="ANC12:ANE12"/>
    <mergeCell ref="ANA13:ANB13"/>
    <mergeCell ref="ANC13:ANE13"/>
    <mergeCell ref="ANA14:ANB14"/>
    <mergeCell ref="ANC14:ANE14"/>
    <mergeCell ref="ANA15:ANC15"/>
    <mergeCell ref="AND15:ANE15"/>
    <mergeCell ref="ANA16:ANB16"/>
    <mergeCell ref="ANC16:ANE16"/>
    <mergeCell ref="ANA17:ANB17"/>
    <mergeCell ref="ANC17:ANE17"/>
    <mergeCell ref="ANA18:ANB18"/>
    <mergeCell ref="ANC18:ANE18"/>
    <mergeCell ref="ANA19:ANB19"/>
    <mergeCell ref="ANC19:ANE19"/>
    <mergeCell ref="ANA20:ANB20"/>
    <mergeCell ref="ANC20:ANE20"/>
    <mergeCell ref="ANN21:ANO21"/>
    <mergeCell ref="ANN22:ANO22"/>
    <mergeCell ref="ANN23:ANO23"/>
    <mergeCell ref="ANN24:ANO24"/>
    <mergeCell ref="ANK25:ANM25"/>
    <mergeCell ref="ANN25:ANO25"/>
    <mergeCell ref="ANN26:ANO26"/>
    <mergeCell ref="ANK27:ANO27"/>
    <mergeCell ref="ANK28:ANO29"/>
    <mergeCell ref="ANK1:ANK2"/>
    <mergeCell ref="ANL1:ANM2"/>
    <mergeCell ref="ANN1:ANN2"/>
    <mergeCell ref="ANN3:ANO3"/>
    <mergeCell ref="ANN4:ANO4"/>
    <mergeCell ref="ANN5:ANO5"/>
    <mergeCell ref="ANN6:ANO6"/>
    <mergeCell ref="ANN7:ANO7"/>
    <mergeCell ref="ANN8:ANO8"/>
    <mergeCell ref="ANK9:ANM9"/>
    <mergeCell ref="ANN9:ANO9"/>
    <mergeCell ref="ANK10:ANL10"/>
    <mergeCell ref="ANM10:ANO10"/>
    <mergeCell ref="ANK11:ANL11"/>
    <mergeCell ref="ANM11:ANO11"/>
    <mergeCell ref="ANK12:ANL12"/>
    <mergeCell ref="ANM12:ANO12"/>
    <mergeCell ref="ANK13:ANL13"/>
    <mergeCell ref="ANM13:ANO13"/>
    <mergeCell ref="ANK14:ANL14"/>
    <mergeCell ref="ANM14:ANO14"/>
    <mergeCell ref="ANK15:ANM15"/>
    <mergeCell ref="ANN15:ANO15"/>
    <mergeCell ref="ANK16:ANL16"/>
    <mergeCell ref="ANM16:ANO16"/>
    <mergeCell ref="ANK17:ANL17"/>
    <mergeCell ref="ANM17:ANO17"/>
    <mergeCell ref="ANK18:ANL18"/>
    <mergeCell ref="ANM18:ANO18"/>
    <mergeCell ref="ANK19:ANL19"/>
    <mergeCell ref="ANM19:ANO19"/>
    <mergeCell ref="ANK20:ANL20"/>
    <mergeCell ref="ANM20:ANO20"/>
    <mergeCell ref="ANX21:ANY21"/>
    <mergeCell ref="ANX22:ANY22"/>
    <mergeCell ref="ANX23:ANY23"/>
    <mergeCell ref="ANX24:ANY24"/>
    <mergeCell ref="ANU25:ANW25"/>
    <mergeCell ref="ANX25:ANY25"/>
    <mergeCell ref="ANX26:ANY26"/>
    <mergeCell ref="ANU27:ANY27"/>
    <mergeCell ref="ANU28:ANY29"/>
    <mergeCell ref="ANU1:ANU2"/>
    <mergeCell ref="ANV1:ANW2"/>
    <mergeCell ref="ANX1:ANX2"/>
    <mergeCell ref="ANX3:ANY3"/>
    <mergeCell ref="ANX4:ANY4"/>
    <mergeCell ref="ANX5:ANY5"/>
    <mergeCell ref="ANX6:ANY6"/>
    <mergeCell ref="ANX7:ANY7"/>
    <mergeCell ref="ANX8:ANY8"/>
    <mergeCell ref="ANU9:ANW9"/>
    <mergeCell ref="ANX9:ANY9"/>
    <mergeCell ref="ANU10:ANV10"/>
    <mergeCell ref="ANW10:ANY10"/>
    <mergeCell ref="ANU11:ANV11"/>
    <mergeCell ref="ANW11:ANY11"/>
    <mergeCell ref="ANU12:ANV12"/>
    <mergeCell ref="ANW12:ANY12"/>
    <mergeCell ref="ANU13:ANV13"/>
    <mergeCell ref="ANW13:ANY13"/>
    <mergeCell ref="ANU14:ANV14"/>
    <mergeCell ref="ANW14:ANY14"/>
    <mergeCell ref="ANU15:ANW15"/>
    <mergeCell ref="ANX15:ANY15"/>
    <mergeCell ref="ANU16:ANV16"/>
    <mergeCell ref="ANW16:ANY16"/>
    <mergeCell ref="ANU17:ANV17"/>
    <mergeCell ref="ANW17:ANY17"/>
    <mergeCell ref="ANU18:ANV18"/>
    <mergeCell ref="ANW18:ANY18"/>
    <mergeCell ref="ANU19:ANV19"/>
    <mergeCell ref="ANW19:ANY19"/>
    <mergeCell ref="ANU20:ANV20"/>
    <mergeCell ref="ANW20:ANY20"/>
    <mergeCell ref="AOH21:AOI21"/>
    <mergeCell ref="AOH22:AOI22"/>
    <mergeCell ref="AOH23:AOI23"/>
    <mergeCell ref="AOH24:AOI24"/>
    <mergeCell ref="AOE25:AOG25"/>
    <mergeCell ref="AOH25:AOI25"/>
    <mergeCell ref="AOH26:AOI26"/>
    <mergeCell ref="AOE27:AOI27"/>
    <mergeCell ref="AOE28:AOI29"/>
    <mergeCell ref="AOE1:AOE2"/>
    <mergeCell ref="AOF1:AOG2"/>
    <mergeCell ref="AOH1:AOH2"/>
    <mergeCell ref="AOH3:AOI3"/>
    <mergeCell ref="AOH4:AOI4"/>
    <mergeCell ref="AOH5:AOI5"/>
    <mergeCell ref="AOH6:AOI6"/>
    <mergeCell ref="AOH7:AOI7"/>
    <mergeCell ref="AOH8:AOI8"/>
    <mergeCell ref="AOE9:AOG9"/>
    <mergeCell ref="AOH9:AOI9"/>
    <mergeCell ref="AOE10:AOF10"/>
    <mergeCell ref="AOG10:AOI10"/>
    <mergeCell ref="AOE11:AOF11"/>
    <mergeCell ref="AOG11:AOI11"/>
    <mergeCell ref="AOE12:AOF12"/>
    <mergeCell ref="AOG12:AOI12"/>
    <mergeCell ref="AOE13:AOF13"/>
    <mergeCell ref="AOG13:AOI13"/>
    <mergeCell ref="AOE14:AOF14"/>
    <mergeCell ref="AOG14:AOI14"/>
    <mergeCell ref="AOE15:AOG15"/>
    <mergeCell ref="AOH15:AOI15"/>
    <mergeCell ref="AOE16:AOF16"/>
    <mergeCell ref="AOG16:AOI16"/>
    <mergeCell ref="AOE17:AOF17"/>
    <mergeCell ref="AOG17:AOI17"/>
    <mergeCell ref="AOE18:AOF18"/>
    <mergeCell ref="AOG18:AOI18"/>
    <mergeCell ref="AOE19:AOF19"/>
    <mergeCell ref="AOG19:AOI19"/>
    <mergeCell ref="AOE20:AOF20"/>
    <mergeCell ref="AOG20:AOI20"/>
    <mergeCell ref="AOR21:AOS21"/>
    <mergeCell ref="AOR22:AOS22"/>
    <mergeCell ref="AOR23:AOS23"/>
    <mergeCell ref="AOR24:AOS24"/>
    <mergeCell ref="AOO25:AOQ25"/>
    <mergeCell ref="AOR25:AOS25"/>
    <mergeCell ref="AOR26:AOS26"/>
    <mergeCell ref="AOO27:AOS27"/>
    <mergeCell ref="AOO28:AOS29"/>
    <mergeCell ref="AOO1:AOO2"/>
    <mergeCell ref="AOP1:AOQ2"/>
    <mergeCell ref="AOR1:AOR2"/>
    <mergeCell ref="AOR3:AOS3"/>
    <mergeCell ref="AOR4:AOS4"/>
    <mergeCell ref="AOR5:AOS5"/>
    <mergeCell ref="AOR6:AOS6"/>
    <mergeCell ref="AOR7:AOS7"/>
    <mergeCell ref="AOR8:AOS8"/>
    <mergeCell ref="AOO9:AOQ9"/>
    <mergeCell ref="AOR9:AOS9"/>
    <mergeCell ref="AOO10:AOP10"/>
    <mergeCell ref="AOQ10:AOS10"/>
    <mergeCell ref="AOO11:AOP11"/>
    <mergeCell ref="AOQ11:AOS11"/>
    <mergeCell ref="AOO12:AOP12"/>
    <mergeCell ref="AOQ12:AOS12"/>
    <mergeCell ref="AOO13:AOP13"/>
    <mergeCell ref="AOQ13:AOS13"/>
    <mergeCell ref="AOO14:AOP14"/>
    <mergeCell ref="AOQ14:AOS14"/>
    <mergeCell ref="AOO15:AOQ15"/>
    <mergeCell ref="AOR15:AOS15"/>
    <mergeCell ref="AOO16:AOP16"/>
    <mergeCell ref="AOQ16:AOS16"/>
    <mergeCell ref="AOO17:AOP17"/>
    <mergeCell ref="AOQ17:AOS17"/>
    <mergeCell ref="AOO18:AOP18"/>
    <mergeCell ref="AOQ18:AOS18"/>
    <mergeCell ref="AOO19:AOP19"/>
    <mergeCell ref="AOQ19:AOS19"/>
    <mergeCell ref="AOO20:AOP20"/>
    <mergeCell ref="AOQ20:AOS20"/>
    <mergeCell ref="APB21:APC21"/>
    <mergeCell ref="APB22:APC22"/>
    <mergeCell ref="APB23:APC23"/>
    <mergeCell ref="APB24:APC24"/>
    <mergeCell ref="AOY25:APA25"/>
    <mergeCell ref="APB25:APC25"/>
    <mergeCell ref="APB26:APC26"/>
    <mergeCell ref="AOY27:APC27"/>
    <mergeCell ref="AOY28:APC29"/>
    <mergeCell ref="AOY1:AOY2"/>
    <mergeCell ref="AOZ1:APA2"/>
    <mergeCell ref="APB1:APB2"/>
    <mergeCell ref="APB3:APC3"/>
    <mergeCell ref="APB4:APC4"/>
    <mergeCell ref="APB5:APC5"/>
    <mergeCell ref="APB6:APC6"/>
    <mergeCell ref="APB7:APC7"/>
    <mergeCell ref="APB8:APC8"/>
    <mergeCell ref="AOY9:APA9"/>
    <mergeCell ref="APB9:APC9"/>
    <mergeCell ref="AOY10:AOZ10"/>
    <mergeCell ref="APA10:APC10"/>
    <mergeCell ref="AOY11:AOZ11"/>
    <mergeCell ref="APA11:APC11"/>
    <mergeCell ref="AOY12:AOZ12"/>
    <mergeCell ref="APA12:APC12"/>
    <mergeCell ref="AOY13:AOZ13"/>
    <mergeCell ref="APA13:APC13"/>
    <mergeCell ref="AOY14:AOZ14"/>
    <mergeCell ref="APA14:APC14"/>
    <mergeCell ref="AOY15:APA15"/>
    <mergeCell ref="APB15:APC15"/>
    <mergeCell ref="AOY16:AOZ16"/>
    <mergeCell ref="APA16:APC16"/>
    <mergeCell ref="AOY17:AOZ17"/>
    <mergeCell ref="APA17:APC17"/>
    <mergeCell ref="AOY18:AOZ18"/>
    <mergeCell ref="APA18:APC18"/>
    <mergeCell ref="AOY19:AOZ19"/>
    <mergeCell ref="APA19:APC19"/>
    <mergeCell ref="AOY20:AOZ20"/>
    <mergeCell ref="APA20:APC20"/>
    <mergeCell ref="APL21:APM21"/>
    <mergeCell ref="APL22:APM22"/>
    <mergeCell ref="APL23:APM23"/>
    <mergeCell ref="APL24:APM24"/>
    <mergeCell ref="API25:APK25"/>
    <mergeCell ref="APL25:APM25"/>
    <mergeCell ref="APL26:APM26"/>
    <mergeCell ref="API27:APM27"/>
    <mergeCell ref="API28:APM29"/>
    <mergeCell ref="API1:API2"/>
    <mergeCell ref="APJ1:APK2"/>
    <mergeCell ref="APL1:APL2"/>
    <mergeCell ref="APL3:APM3"/>
    <mergeCell ref="APL4:APM4"/>
    <mergeCell ref="APL5:APM5"/>
    <mergeCell ref="APL6:APM6"/>
    <mergeCell ref="APL7:APM7"/>
    <mergeCell ref="APL8:APM8"/>
    <mergeCell ref="API9:APK9"/>
    <mergeCell ref="APL9:APM9"/>
    <mergeCell ref="API10:APJ10"/>
    <mergeCell ref="APK10:APM10"/>
    <mergeCell ref="API11:APJ11"/>
    <mergeCell ref="APK11:APM11"/>
    <mergeCell ref="API12:APJ12"/>
    <mergeCell ref="APK12:APM12"/>
    <mergeCell ref="API13:APJ13"/>
    <mergeCell ref="APK13:APM13"/>
    <mergeCell ref="API14:APJ14"/>
    <mergeCell ref="APK14:APM14"/>
    <mergeCell ref="API15:APK15"/>
    <mergeCell ref="APL15:APM15"/>
    <mergeCell ref="API16:APJ16"/>
    <mergeCell ref="APK16:APM16"/>
    <mergeCell ref="API17:APJ17"/>
    <mergeCell ref="APK17:APM17"/>
    <mergeCell ref="API18:APJ18"/>
    <mergeCell ref="APK18:APM18"/>
    <mergeCell ref="API19:APJ19"/>
    <mergeCell ref="APK19:APM19"/>
    <mergeCell ref="API20:APJ20"/>
    <mergeCell ref="APK20:APM20"/>
    <mergeCell ref="APV21:APW21"/>
    <mergeCell ref="APV22:APW22"/>
    <mergeCell ref="APV23:APW23"/>
    <mergeCell ref="APV24:APW24"/>
    <mergeCell ref="APS25:APU25"/>
    <mergeCell ref="APV25:APW25"/>
    <mergeCell ref="APV26:APW26"/>
    <mergeCell ref="APS27:APW27"/>
    <mergeCell ref="APS28:APW29"/>
    <mergeCell ref="APS1:APS2"/>
    <mergeCell ref="APT1:APU2"/>
    <mergeCell ref="APV1:APV2"/>
    <mergeCell ref="APV3:APW3"/>
    <mergeCell ref="APV4:APW4"/>
    <mergeCell ref="APV5:APW5"/>
    <mergeCell ref="APV6:APW6"/>
    <mergeCell ref="APV7:APW7"/>
    <mergeCell ref="APV8:APW8"/>
    <mergeCell ref="APS9:APU9"/>
    <mergeCell ref="APV9:APW9"/>
    <mergeCell ref="APS10:APT10"/>
    <mergeCell ref="APU10:APW10"/>
    <mergeCell ref="APS11:APT11"/>
    <mergeCell ref="APU11:APW11"/>
    <mergeCell ref="APS12:APT12"/>
    <mergeCell ref="APU12:APW12"/>
    <mergeCell ref="APS13:APT13"/>
    <mergeCell ref="APU13:APW13"/>
    <mergeCell ref="APS14:APT14"/>
    <mergeCell ref="APU14:APW14"/>
    <mergeCell ref="APS15:APU15"/>
    <mergeCell ref="APV15:APW15"/>
    <mergeCell ref="APS16:APT16"/>
    <mergeCell ref="APU16:APW16"/>
    <mergeCell ref="APS17:APT17"/>
    <mergeCell ref="APU17:APW17"/>
    <mergeCell ref="APS18:APT18"/>
    <mergeCell ref="APU18:APW18"/>
    <mergeCell ref="APS19:APT19"/>
    <mergeCell ref="APU19:APW19"/>
    <mergeCell ref="APS20:APT20"/>
    <mergeCell ref="APU20:APW20"/>
    <mergeCell ref="AQA21:AQB21"/>
    <mergeCell ref="AQA22:AQB22"/>
    <mergeCell ref="AQA23:AQB23"/>
    <mergeCell ref="AQA24:AQB24"/>
    <mergeCell ref="APX25:APZ25"/>
    <mergeCell ref="AQA25:AQB25"/>
    <mergeCell ref="AQA26:AQB26"/>
    <mergeCell ref="APX27:AQB27"/>
    <mergeCell ref="APX28:AQB29"/>
    <mergeCell ref="APX1:APX2"/>
    <mergeCell ref="APY1:APZ2"/>
    <mergeCell ref="AQA1:AQA2"/>
    <mergeCell ref="AQA3:AQB3"/>
    <mergeCell ref="AQA4:AQB4"/>
    <mergeCell ref="AQA5:AQB5"/>
    <mergeCell ref="AQA6:AQB6"/>
    <mergeCell ref="AQA7:AQB7"/>
    <mergeCell ref="AQA8:AQB8"/>
    <mergeCell ref="APX9:APZ9"/>
    <mergeCell ref="AQA9:AQB9"/>
    <mergeCell ref="APX10:APY10"/>
    <mergeCell ref="APZ10:AQB10"/>
    <mergeCell ref="APX11:APY11"/>
    <mergeCell ref="APZ11:AQB11"/>
    <mergeCell ref="APX12:APY12"/>
    <mergeCell ref="APZ12:AQB12"/>
    <mergeCell ref="APX13:APY13"/>
    <mergeCell ref="APZ13:AQB13"/>
    <mergeCell ref="APX14:APY14"/>
    <mergeCell ref="APZ14:AQB14"/>
    <mergeCell ref="APX15:APZ15"/>
    <mergeCell ref="AQA15:AQB15"/>
    <mergeCell ref="APX16:APY16"/>
    <mergeCell ref="APZ16:AQB16"/>
    <mergeCell ref="APX17:APY17"/>
    <mergeCell ref="APZ17:AQB17"/>
    <mergeCell ref="APX18:APY18"/>
    <mergeCell ref="APZ18:AQB18"/>
    <mergeCell ref="APX19:APY19"/>
    <mergeCell ref="APZ19:AQB19"/>
    <mergeCell ref="APX20:APY20"/>
    <mergeCell ref="APZ20:AQB20"/>
    <mergeCell ref="AQK21:AQL21"/>
    <mergeCell ref="AQK22:AQL22"/>
    <mergeCell ref="AQK23:AQL23"/>
    <mergeCell ref="AQK24:AQL24"/>
    <mergeCell ref="AQH25:AQJ25"/>
    <mergeCell ref="AQK25:AQL25"/>
    <mergeCell ref="AQK26:AQL26"/>
    <mergeCell ref="AQH27:AQL27"/>
    <mergeCell ref="AQH28:AQL29"/>
    <mergeCell ref="AQH1:AQH2"/>
    <mergeCell ref="AQI1:AQJ2"/>
    <mergeCell ref="AQK1:AQK2"/>
    <mergeCell ref="AQK3:AQL3"/>
    <mergeCell ref="AQK4:AQL4"/>
    <mergeCell ref="AQK5:AQL5"/>
    <mergeCell ref="AQK6:AQL6"/>
    <mergeCell ref="AQK7:AQL7"/>
    <mergeCell ref="AQK8:AQL8"/>
    <mergeCell ref="AQH9:AQJ9"/>
    <mergeCell ref="AQK9:AQL9"/>
    <mergeCell ref="AQH10:AQI10"/>
    <mergeCell ref="AQJ10:AQL10"/>
    <mergeCell ref="AQH11:AQI11"/>
    <mergeCell ref="AQJ11:AQL11"/>
    <mergeCell ref="AQH12:AQI12"/>
    <mergeCell ref="AQJ12:AQL12"/>
    <mergeCell ref="AQH13:AQI13"/>
    <mergeCell ref="AQJ13:AQL13"/>
    <mergeCell ref="AQH14:AQI14"/>
    <mergeCell ref="AQJ14:AQL14"/>
    <mergeCell ref="AQH15:AQJ15"/>
    <mergeCell ref="AQK15:AQL15"/>
    <mergeCell ref="AQH16:AQI16"/>
    <mergeCell ref="AQJ16:AQL16"/>
    <mergeCell ref="AQH17:AQI17"/>
    <mergeCell ref="AQJ17:AQL17"/>
    <mergeCell ref="AQH18:AQI18"/>
    <mergeCell ref="AQJ18:AQL18"/>
    <mergeCell ref="AQH19:AQI19"/>
    <mergeCell ref="AQJ19:AQL19"/>
    <mergeCell ref="AQH20:AQI20"/>
    <mergeCell ref="AQJ20:AQL20"/>
    <mergeCell ref="AQP21:AQQ21"/>
    <mergeCell ref="AQP22:AQQ22"/>
    <mergeCell ref="AQP23:AQQ23"/>
    <mergeCell ref="AQP24:AQQ24"/>
    <mergeCell ref="AQM25:AQO25"/>
    <mergeCell ref="AQP25:AQQ25"/>
    <mergeCell ref="AQP26:AQQ26"/>
    <mergeCell ref="AQM27:AQQ27"/>
    <mergeCell ref="AQM28:AQQ29"/>
    <mergeCell ref="AQM1:AQM2"/>
    <mergeCell ref="AQN1:AQO2"/>
    <mergeCell ref="AQP1:AQP2"/>
    <mergeCell ref="AQP3:AQQ3"/>
    <mergeCell ref="AQP4:AQQ4"/>
    <mergeCell ref="AQP5:AQQ5"/>
    <mergeCell ref="AQP6:AQQ6"/>
    <mergeCell ref="AQP7:AQQ7"/>
    <mergeCell ref="AQP8:AQQ8"/>
    <mergeCell ref="AQM9:AQO9"/>
    <mergeCell ref="AQP9:AQQ9"/>
    <mergeCell ref="AQM10:AQN10"/>
    <mergeCell ref="AQO10:AQQ10"/>
    <mergeCell ref="AQM11:AQN11"/>
    <mergeCell ref="AQO11:AQQ11"/>
    <mergeCell ref="AQM12:AQN12"/>
    <mergeCell ref="AQO12:AQQ12"/>
    <mergeCell ref="AQM13:AQN13"/>
    <mergeCell ref="AQO13:AQQ13"/>
    <mergeCell ref="AQM14:AQN14"/>
    <mergeCell ref="AQO14:AQQ14"/>
    <mergeCell ref="AQM15:AQO15"/>
    <mergeCell ref="AQP15:AQQ15"/>
    <mergeCell ref="AQM16:AQN16"/>
    <mergeCell ref="AQO16:AQQ16"/>
    <mergeCell ref="AQM17:AQN17"/>
    <mergeCell ref="AQO17:AQQ17"/>
    <mergeCell ref="AQM18:AQN18"/>
    <mergeCell ref="AQO18:AQQ18"/>
    <mergeCell ref="AQM19:AQN19"/>
    <mergeCell ref="AQO19:AQQ19"/>
    <mergeCell ref="AQM20:AQN20"/>
    <mergeCell ref="AQO20:AQQ20"/>
    <mergeCell ref="AQZ21:ARA21"/>
    <mergeCell ref="AQZ22:ARA22"/>
    <mergeCell ref="AQZ23:ARA23"/>
    <mergeCell ref="AQZ24:ARA24"/>
    <mergeCell ref="AQW25:AQY25"/>
    <mergeCell ref="AQZ25:ARA25"/>
    <mergeCell ref="AQZ26:ARA26"/>
    <mergeCell ref="AQW27:ARA27"/>
    <mergeCell ref="AQW28:ARA29"/>
    <mergeCell ref="AQW1:AQW2"/>
    <mergeCell ref="AQX1:AQY2"/>
    <mergeCell ref="AQZ1:AQZ2"/>
    <mergeCell ref="AQZ3:ARA3"/>
    <mergeCell ref="AQZ4:ARA4"/>
    <mergeCell ref="AQZ5:ARA5"/>
    <mergeCell ref="AQZ6:ARA6"/>
    <mergeCell ref="AQZ7:ARA7"/>
    <mergeCell ref="AQZ8:ARA8"/>
    <mergeCell ref="AQW9:AQY9"/>
    <mergeCell ref="AQZ9:ARA9"/>
    <mergeCell ref="AQW10:AQX10"/>
    <mergeCell ref="AQY10:ARA10"/>
    <mergeCell ref="AQW11:AQX11"/>
    <mergeCell ref="AQY11:ARA11"/>
    <mergeCell ref="AQW12:AQX12"/>
    <mergeCell ref="AQY12:ARA12"/>
    <mergeCell ref="AQW13:AQX13"/>
    <mergeCell ref="AQY13:ARA13"/>
    <mergeCell ref="AQW14:AQX14"/>
    <mergeCell ref="AQY14:ARA14"/>
    <mergeCell ref="AQW15:AQY15"/>
    <mergeCell ref="AQZ15:ARA15"/>
    <mergeCell ref="AQW16:AQX16"/>
    <mergeCell ref="AQY16:ARA16"/>
    <mergeCell ref="AQW17:AQX17"/>
    <mergeCell ref="AQY17:ARA17"/>
    <mergeCell ref="AQW18:AQX18"/>
    <mergeCell ref="AQY18:ARA18"/>
    <mergeCell ref="AQW19:AQX19"/>
    <mergeCell ref="AQY19:ARA19"/>
    <mergeCell ref="AQW20:AQX20"/>
    <mergeCell ref="AQY20:ARA20"/>
    <mergeCell ref="ART21:ARU21"/>
    <mergeCell ref="ART22:ARU22"/>
    <mergeCell ref="ART23:ARU23"/>
    <mergeCell ref="ART24:ARU24"/>
    <mergeCell ref="ARQ25:ARS25"/>
    <mergeCell ref="ART25:ARU25"/>
    <mergeCell ref="ART26:ARU26"/>
    <mergeCell ref="ARQ27:ARU27"/>
    <mergeCell ref="ARQ28:ARU29"/>
    <mergeCell ref="ARQ1:ARQ2"/>
    <mergeCell ref="ARR1:ARS2"/>
    <mergeCell ref="ART1:ART2"/>
    <mergeCell ref="ART3:ARU3"/>
    <mergeCell ref="ART4:ARU4"/>
    <mergeCell ref="ART5:ARU5"/>
    <mergeCell ref="ART6:ARU6"/>
    <mergeCell ref="ART7:ARU7"/>
    <mergeCell ref="ART8:ARU8"/>
    <mergeCell ref="ARQ9:ARS9"/>
    <mergeCell ref="ART9:ARU9"/>
    <mergeCell ref="ARQ10:ARR10"/>
    <mergeCell ref="ARS10:ARU10"/>
    <mergeCell ref="ARQ11:ARR11"/>
    <mergeCell ref="ARS11:ARU11"/>
    <mergeCell ref="ARQ12:ARR12"/>
    <mergeCell ref="ARS12:ARU12"/>
    <mergeCell ref="ARQ13:ARR13"/>
    <mergeCell ref="ARS13:ARU13"/>
    <mergeCell ref="ARQ14:ARR14"/>
    <mergeCell ref="ARS14:ARU14"/>
    <mergeCell ref="ARQ15:ARS15"/>
    <mergeCell ref="ART15:ARU15"/>
    <mergeCell ref="ARQ16:ARR16"/>
    <mergeCell ref="ARS16:ARU16"/>
    <mergeCell ref="ARQ17:ARR17"/>
    <mergeCell ref="ARS17:ARU17"/>
    <mergeCell ref="ARQ18:ARR18"/>
    <mergeCell ref="ARS18:ARU18"/>
    <mergeCell ref="ARQ19:ARR19"/>
    <mergeCell ref="ARS19:ARU19"/>
    <mergeCell ref="ARQ20:ARR20"/>
    <mergeCell ref="ARS20:ARU20"/>
    <mergeCell ref="ASD21:ASE21"/>
    <mergeCell ref="ASD22:ASE22"/>
    <mergeCell ref="ASD23:ASE23"/>
    <mergeCell ref="ASD24:ASE24"/>
    <mergeCell ref="ASA25:ASC25"/>
    <mergeCell ref="ASD25:ASE25"/>
    <mergeCell ref="ASD26:ASE26"/>
    <mergeCell ref="ASA27:ASE27"/>
    <mergeCell ref="ASA28:ASE29"/>
    <mergeCell ref="ASA1:ASA2"/>
    <mergeCell ref="ASB1:ASC2"/>
    <mergeCell ref="ASD1:ASD2"/>
    <mergeCell ref="ASD3:ASE3"/>
    <mergeCell ref="ASD4:ASE4"/>
    <mergeCell ref="ASD5:ASE5"/>
    <mergeCell ref="ASD6:ASE6"/>
    <mergeCell ref="ASD7:ASE7"/>
    <mergeCell ref="ASD8:ASE8"/>
    <mergeCell ref="ASA9:ASC9"/>
    <mergeCell ref="ASD9:ASE9"/>
    <mergeCell ref="ASA10:ASB10"/>
    <mergeCell ref="ASC10:ASE10"/>
    <mergeCell ref="ASA11:ASB11"/>
    <mergeCell ref="ASC11:ASE11"/>
    <mergeCell ref="ASA12:ASB12"/>
    <mergeCell ref="ASC12:ASE12"/>
    <mergeCell ref="ASA13:ASB13"/>
    <mergeCell ref="ASC13:ASE13"/>
    <mergeCell ref="ASA14:ASB14"/>
    <mergeCell ref="ASC14:ASE14"/>
    <mergeCell ref="ASA15:ASC15"/>
    <mergeCell ref="ASD15:ASE15"/>
    <mergeCell ref="ASA16:ASB16"/>
    <mergeCell ref="ASC16:ASE16"/>
    <mergeCell ref="ASA17:ASB17"/>
    <mergeCell ref="ASC17:ASE17"/>
    <mergeCell ref="ASA18:ASB18"/>
    <mergeCell ref="ASC18:ASE18"/>
    <mergeCell ref="ASA19:ASB19"/>
    <mergeCell ref="ASC19:ASE19"/>
    <mergeCell ref="ASA20:ASB20"/>
    <mergeCell ref="ASC20:ASE20"/>
    <mergeCell ref="ASI21:ASJ21"/>
    <mergeCell ref="ASI22:ASJ22"/>
    <mergeCell ref="ASI23:ASJ23"/>
    <mergeCell ref="ASI24:ASJ24"/>
    <mergeCell ref="ASF25:ASH25"/>
    <mergeCell ref="ASI25:ASJ25"/>
    <mergeCell ref="ASI26:ASJ26"/>
    <mergeCell ref="ASF27:ASJ27"/>
    <mergeCell ref="ASF28:ASJ29"/>
    <mergeCell ref="ASF1:ASF2"/>
    <mergeCell ref="ASG1:ASH2"/>
    <mergeCell ref="ASI1:ASI2"/>
    <mergeCell ref="ASI3:ASJ3"/>
    <mergeCell ref="ASI4:ASJ4"/>
    <mergeCell ref="ASI5:ASJ5"/>
    <mergeCell ref="ASI6:ASJ6"/>
    <mergeCell ref="ASI7:ASJ7"/>
    <mergeCell ref="ASI8:ASJ8"/>
    <mergeCell ref="ASF9:ASH9"/>
    <mergeCell ref="ASI9:ASJ9"/>
    <mergeCell ref="ASF10:ASG10"/>
    <mergeCell ref="ASH10:ASJ10"/>
    <mergeCell ref="ASF11:ASG11"/>
    <mergeCell ref="ASH11:ASJ11"/>
    <mergeCell ref="ASF12:ASG12"/>
    <mergeCell ref="ASH12:ASJ12"/>
    <mergeCell ref="ASF13:ASG13"/>
    <mergeCell ref="ASH13:ASJ13"/>
    <mergeCell ref="ASF14:ASG14"/>
    <mergeCell ref="ASH14:ASJ14"/>
    <mergeCell ref="ASF15:ASH15"/>
    <mergeCell ref="ASI15:ASJ15"/>
    <mergeCell ref="ASF16:ASG16"/>
    <mergeCell ref="ASH16:ASJ16"/>
    <mergeCell ref="ASF17:ASG17"/>
    <mergeCell ref="ASH17:ASJ17"/>
    <mergeCell ref="ASF18:ASG18"/>
    <mergeCell ref="ASH18:ASJ18"/>
    <mergeCell ref="ASF19:ASG19"/>
    <mergeCell ref="ASH19:ASJ19"/>
    <mergeCell ref="ASF20:ASG20"/>
    <mergeCell ref="ASH20:ASJ20"/>
    <mergeCell ref="ASS21:AST21"/>
    <mergeCell ref="ASS22:AST22"/>
    <mergeCell ref="ASS23:AST23"/>
    <mergeCell ref="ASS24:AST24"/>
    <mergeCell ref="ASP25:ASR25"/>
    <mergeCell ref="ASS25:AST25"/>
    <mergeCell ref="ASS26:AST26"/>
    <mergeCell ref="ASP27:AST27"/>
    <mergeCell ref="ASP28:AST29"/>
    <mergeCell ref="ASP1:ASP2"/>
    <mergeCell ref="ASQ1:ASR2"/>
    <mergeCell ref="ASS1:ASS2"/>
    <mergeCell ref="ASS3:AST3"/>
    <mergeCell ref="ASS4:AST4"/>
    <mergeCell ref="ASS5:AST5"/>
    <mergeCell ref="ASS6:AST6"/>
    <mergeCell ref="ASS7:AST7"/>
    <mergeCell ref="ASS8:AST8"/>
    <mergeCell ref="ASP9:ASR9"/>
    <mergeCell ref="ASS9:AST9"/>
    <mergeCell ref="ASP10:ASQ10"/>
    <mergeCell ref="ASR10:AST10"/>
    <mergeCell ref="ASP11:ASQ11"/>
    <mergeCell ref="ASR11:AST11"/>
    <mergeCell ref="ASP12:ASQ12"/>
    <mergeCell ref="ASR12:AST12"/>
    <mergeCell ref="ASP13:ASQ13"/>
    <mergeCell ref="ASR13:AST13"/>
    <mergeCell ref="ASP14:ASQ14"/>
    <mergeCell ref="ASR14:AST14"/>
    <mergeCell ref="ASP15:ASR15"/>
    <mergeCell ref="ASS15:AST15"/>
    <mergeCell ref="ASP16:ASQ16"/>
    <mergeCell ref="ASR16:AST16"/>
    <mergeCell ref="ASP17:ASQ17"/>
    <mergeCell ref="ASR17:AST17"/>
    <mergeCell ref="ASP18:ASQ18"/>
    <mergeCell ref="ASR18:AST18"/>
    <mergeCell ref="ASP19:ASQ19"/>
    <mergeCell ref="ASR19:AST19"/>
    <mergeCell ref="ASP20:ASQ20"/>
    <mergeCell ref="ASR20:AST20"/>
    <mergeCell ref="ATC21:ATD21"/>
    <mergeCell ref="ATC22:ATD22"/>
    <mergeCell ref="ATC23:ATD23"/>
    <mergeCell ref="ATC24:ATD24"/>
    <mergeCell ref="ASZ25:ATB25"/>
    <mergeCell ref="ATC25:ATD25"/>
    <mergeCell ref="ATC26:ATD26"/>
    <mergeCell ref="ASZ27:ATD27"/>
    <mergeCell ref="ASZ28:ATD29"/>
    <mergeCell ref="ASZ1:ASZ2"/>
    <mergeCell ref="ATA1:ATB2"/>
    <mergeCell ref="ATC1:ATC2"/>
    <mergeCell ref="ATC3:ATD3"/>
    <mergeCell ref="ATC4:ATD4"/>
    <mergeCell ref="ATC5:ATD5"/>
    <mergeCell ref="ATC6:ATD6"/>
    <mergeCell ref="ATC7:ATD7"/>
    <mergeCell ref="ATC8:ATD8"/>
    <mergeCell ref="ASZ9:ATB9"/>
    <mergeCell ref="ATC9:ATD9"/>
    <mergeCell ref="ASZ10:ATA10"/>
    <mergeCell ref="ATB10:ATD10"/>
    <mergeCell ref="ASZ11:ATA11"/>
    <mergeCell ref="ATB11:ATD11"/>
    <mergeCell ref="ASZ12:ATA12"/>
    <mergeCell ref="ATB12:ATD12"/>
    <mergeCell ref="ASZ13:ATA13"/>
    <mergeCell ref="ATB13:ATD13"/>
    <mergeCell ref="ASZ14:ATA14"/>
    <mergeCell ref="ATB14:ATD14"/>
    <mergeCell ref="ASZ15:ATB15"/>
    <mergeCell ref="ATC15:ATD15"/>
    <mergeCell ref="ASZ16:ATA16"/>
    <mergeCell ref="ATB16:ATD16"/>
    <mergeCell ref="ASZ17:ATA17"/>
    <mergeCell ref="ATB17:ATD17"/>
    <mergeCell ref="ASZ18:ATA18"/>
    <mergeCell ref="ATB18:ATD18"/>
    <mergeCell ref="ASZ19:ATA19"/>
    <mergeCell ref="ATB19:ATD19"/>
    <mergeCell ref="ASZ20:ATA20"/>
    <mergeCell ref="ATB20:ATD20"/>
    <mergeCell ref="ATR21:ATS21"/>
    <mergeCell ref="ATR22:ATS22"/>
    <mergeCell ref="ATR23:ATS23"/>
    <mergeCell ref="ATR24:ATS24"/>
    <mergeCell ref="ATO25:ATQ25"/>
    <mergeCell ref="ATR25:ATS25"/>
    <mergeCell ref="ATR26:ATS26"/>
    <mergeCell ref="ATO27:ATS27"/>
    <mergeCell ref="ATO28:ATS29"/>
    <mergeCell ref="ATO1:ATO2"/>
    <mergeCell ref="ATP1:ATQ2"/>
    <mergeCell ref="ATR1:ATR2"/>
    <mergeCell ref="ATR3:ATS3"/>
    <mergeCell ref="ATR4:ATS4"/>
    <mergeCell ref="ATR5:ATS5"/>
    <mergeCell ref="ATR6:ATS6"/>
    <mergeCell ref="ATR7:ATS7"/>
    <mergeCell ref="ATR8:ATS8"/>
    <mergeCell ref="ATO9:ATQ9"/>
    <mergeCell ref="ATR9:ATS9"/>
    <mergeCell ref="ATO10:ATP10"/>
    <mergeCell ref="ATQ10:ATS10"/>
    <mergeCell ref="ATO11:ATP11"/>
    <mergeCell ref="ATQ11:ATS11"/>
    <mergeCell ref="ATO12:ATP12"/>
    <mergeCell ref="ATQ12:ATS12"/>
    <mergeCell ref="ATO13:ATP13"/>
    <mergeCell ref="ATQ13:ATS13"/>
    <mergeCell ref="ATO14:ATP14"/>
    <mergeCell ref="ATQ14:ATS14"/>
    <mergeCell ref="ATO15:ATQ15"/>
    <mergeCell ref="ATR15:ATS15"/>
    <mergeCell ref="ATO16:ATP16"/>
    <mergeCell ref="ATQ16:ATS16"/>
    <mergeCell ref="ATO17:ATP17"/>
    <mergeCell ref="ATQ17:ATS17"/>
    <mergeCell ref="ATO18:ATP18"/>
    <mergeCell ref="ATQ18:ATS18"/>
    <mergeCell ref="ATO19:ATP19"/>
    <mergeCell ref="ATQ19:ATS19"/>
    <mergeCell ref="ATO20:ATP20"/>
    <mergeCell ref="ATQ20:ATS20"/>
    <mergeCell ref="AUB21:AUC21"/>
    <mergeCell ref="AUB22:AUC22"/>
    <mergeCell ref="AUB23:AUC23"/>
    <mergeCell ref="AUB24:AUC24"/>
    <mergeCell ref="ATY25:AUA25"/>
    <mergeCell ref="AUB25:AUC25"/>
    <mergeCell ref="AUB26:AUC26"/>
    <mergeCell ref="ATY27:AUC27"/>
    <mergeCell ref="ATY28:AUC29"/>
    <mergeCell ref="ATY1:ATY2"/>
    <mergeCell ref="ATZ1:AUA2"/>
    <mergeCell ref="AUB1:AUB2"/>
    <mergeCell ref="AUB3:AUC3"/>
    <mergeCell ref="AUB4:AUC4"/>
    <mergeCell ref="AUB5:AUC5"/>
    <mergeCell ref="AUB6:AUC6"/>
    <mergeCell ref="AUB7:AUC7"/>
    <mergeCell ref="AUB8:AUC8"/>
    <mergeCell ref="ATY9:AUA9"/>
    <mergeCell ref="AUB9:AUC9"/>
    <mergeCell ref="ATY10:ATZ10"/>
    <mergeCell ref="AUA10:AUC10"/>
    <mergeCell ref="ATY11:ATZ11"/>
    <mergeCell ref="AUA11:AUC11"/>
    <mergeCell ref="ATY12:ATZ12"/>
    <mergeCell ref="AUA12:AUC12"/>
    <mergeCell ref="ATY13:ATZ13"/>
    <mergeCell ref="AUA13:AUC13"/>
    <mergeCell ref="ATY14:ATZ14"/>
    <mergeCell ref="AUA14:AUC14"/>
    <mergeCell ref="ATY15:AUA15"/>
    <mergeCell ref="AUB15:AUC15"/>
    <mergeCell ref="ATY16:ATZ16"/>
    <mergeCell ref="AUA16:AUC16"/>
    <mergeCell ref="ATY17:ATZ17"/>
    <mergeCell ref="AUA17:AUC17"/>
    <mergeCell ref="ATY18:ATZ18"/>
    <mergeCell ref="AUA18:AUC18"/>
    <mergeCell ref="ATY19:ATZ19"/>
    <mergeCell ref="AUA19:AUC19"/>
    <mergeCell ref="ATY20:ATZ20"/>
    <mergeCell ref="AUA20:AUC20"/>
    <mergeCell ref="AUG21:AUH21"/>
    <mergeCell ref="AUG22:AUH22"/>
    <mergeCell ref="AUG23:AUH23"/>
    <mergeCell ref="AUG24:AUH24"/>
    <mergeCell ref="AUD25:AUF25"/>
    <mergeCell ref="AUG25:AUH25"/>
    <mergeCell ref="AUG26:AUH26"/>
    <mergeCell ref="AUD27:AUH27"/>
    <mergeCell ref="AUD28:AUH29"/>
    <mergeCell ref="AUD1:AUD2"/>
    <mergeCell ref="AUE1:AUF2"/>
    <mergeCell ref="AUG1:AUG2"/>
    <mergeCell ref="AUG3:AUH3"/>
    <mergeCell ref="AUG4:AUH4"/>
    <mergeCell ref="AUG5:AUH5"/>
    <mergeCell ref="AUG6:AUH6"/>
    <mergeCell ref="AUG7:AUH7"/>
    <mergeCell ref="AUG8:AUH8"/>
    <mergeCell ref="AUD9:AUF9"/>
    <mergeCell ref="AUG9:AUH9"/>
    <mergeCell ref="AUD10:AUE10"/>
    <mergeCell ref="AUF10:AUH10"/>
    <mergeCell ref="AUD11:AUE11"/>
    <mergeCell ref="AUF11:AUH11"/>
    <mergeCell ref="AUD12:AUE12"/>
    <mergeCell ref="AUF12:AUH12"/>
    <mergeCell ref="AUD13:AUE13"/>
    <mergeCell ref="AUF13:AUH13"/>
    <mergeCell ref="AUD14:AUE14"/>
    <mergeCell ref="AUF14:AUH14"/>
    <mergeCell ref="AUD15:AUF15"/>
    <mergeCell ref="AUG15:AUH15"/>
    <mergeCell ref="AUD16:AUE16"/>
    <mergeCell ref="AUF16:AUH16"/>
    <mergeCell ref="AUD17:AUE17"/>
    <mergeCell ref="AUF17:AUH17"/>
    <mergeCell ref="AUD18:AUE18"/>
    <mergeCell ref="AUF18:AUH18"/>
    <mergeCell ref="AUD19:AUE19"/>
    <mergeCell ref="AUF19:AUH19"/>
    <mergeCell ref="AUD20:AUE20"/>
    <mergeCell ref="AUF20:AUH20"/>
    <mergeCell ref="AUQ21:AUR21"/>
    <mergeCell ref="AUQ22:AUR22"/>
    <mergeCell ref="AUQ23:AUR23"/>
    <mergeCell ref="AUQ24:AUR24"/>
    <mergeCell ref="AUN25:AUP25"/>
    <mergeCell ref="AUQ25:AUR25"/>
    <mergeCell ref="AUQ26:AUR26"/>
    <mergeCell ref="AUN27:AUR27"/>
    <mergeCell ref="AUN28:AUR29"/>
    <mergeCell ref="AUN1:AUN2"/>
    <mergeCell ref="AUO1:AUP2"/>
    <mergeCell ref="AUQ1:AUQ2"/>
    <mergeCell ref="AUQ3:AUR3"/>
    <mergeCell ref="AUQ4:AUR4"/>
    <mergeCell ref="AUQ5:AUR5"/>
    <mergeCell ref="AUQ6:AUR6"/>
    <mergeCell ref="AUQ7:AUR7"/>
    <mergeCell ref="AUQ8:AUR8"/>
    <mergeCell ref="AUN9:AUP9"/>
    <mergeCell ref="AUQ9:AUR9"/>
    <mergeCell ref="AUN10:AUO10"/>
    <mergeCell ref="AUP10:AUR10"/>
    <mergeCell ref="AUN11:AUO11"/>
    <mergeCell ref="AUP11:AUR11"/>
    <mergeCell ref="AUN12:AUO12"/>
    <mergeCell ref="AUP12:AUR12"/>
    <mergeCell ref="AUN13:AUO13"/>
    <mergeCell ref="AUP13:AUR13"/>
    <mergeCell ref="AUN14:AUO14"/>
    <mergeCell ref="AUP14:AUR14"/>
    <mergeCell ref="AUN15:AUP15"/>
    <mergeCell ref="AUQ15:AUR15"/>
    <mergeCell ref="AUN16:AUO16"/>
    <mergeCell ref="AUP16:AUR16"/>
    <mergeCell ref="AUN17:AUO17"/>
    <mergeCell ref="AUP17:AUR17"/>
    <mergeCell ref="AUN18:AUO18"/>
    <mergeCell ref="AUP18:AUR18"/>
    <mergeCell ref="AUN19:AUO19"/>
    <mergeCell ref="AUP19:AUR19"/>
    <mergeCell ref="AUN20:AUO20"/>
    <mergeCell ref="AUP20:AUR20"/>
    <mergeCell ref="AVA21:AVB21"/>
    <mergeCell ref="AVA22:AVB22"/>
    <mergeCell ref="AVA23:AVB23"/>
    <mergeCell ref="AVA24:AVB24"/>
    <mergeCell ref="AUX25:AUZ25"/>
    <mergeCell ref="AVA25:AVB25"/>
    <mergeCell ref="AVA26:AVB26"/>
    <mergeCell ref="AUX27:AVB27"/>
    <mergeCell ref="AUX28:AVB29"/>
    <mergeCell ref="AUX1:AUX2"/>
    <mergeCell ref="AUY1:AUZ2"/>
    <mergeCell ref="AVA1:AVA2"/>
    <mergeCell ref="AVA3:AVB3"/>
    <mergeCell ref="AVA4:AVB4"/>
    <mergeCell ref="AVA5:AVB5"/>
    <mergeCell ref="AVA6:AVB6"/>
    <mergeCell ref="AVA7:AVB7"/>
    <mergeCell ref="AVA8:AVB8"/>
    <mergeCell ref="AUX9:AUZ9"/>
    <mergeCell ref="AVA9:AVB9"/>
    <mergeCell ref="AUX10:AUY10"/>
    <mergeCell ref="AUZ10:AVB10"/>
    <mergeCell ref="AUX11:AUY11"/>
    <mergeCell ref="AUZ11:AVB11"/>
    <mergeCell ref="AUX12:AUY12"/>
    <mergeCell ref="AUZ12:AVB12"/>
    <mergeCell ref="AUX13:AUY13"/>
    <mergeCell ref="AUZ13:AVB13"/>
    <mergeCell ref="AUX14:AUY14"/>
    <mergeCell ref="AUZ14:AVB14"/>
    <mergeCell ref="AUX15:AUZ15"/>
    <mergeCell ref="AVA15:AVB15"/>
    <mergeCell ref="AUX16:AUY16"/>
    <mergeCell ref="AUZ16:AVB16"/>
    <mergeCell ref="AUX17:AUY17"/>
    <mergeCell ref="AUZ17:AVB17"/>
    <mergeCell ref="AUX18:AUY18"/>
    <mergeCell ref="AUZ18:AVB18"/>
    <mergeCell ref="AUX19:AUY19"/>
    <mergeCell ref="AUZ19:AVB19"/>
    <mergeCell ref="AUX20:AUY20"/>
    <mergeCell ref="AUZ20:AVB20"/>
    <mergeCell ref="AVK21:AVL21"/>
    <mergeCell ref="AVK22:AVL22"/>
    <mergeCell ref="AVK23:AVL23"/>
    <mergeCell ref="AVK24:AVL24"/>
    <mergeCell ref="AVH25:AVJ25"/>
    <mergeCell ref="AVK25:AVL25"/>
    <mergeCell ref="AVK26:AVL26"/>
    <mergeCell ref="AVH27:AVL27"/>
    <mergeCell ref="AVH28:AVL29"/>
    <mergeCell ref="AVH1:AVH2"/>
    <mergeCell ref="AVI1:AVJ2"/>
    <mergeCell ref="AVK1:AVK2"/>
    <mergeCell ref="AVK3:AVL3"/>
    <mergeCell ref="AVK4:AVL4"/>
    <mergeCell ref="AVK5:AVL5"/>
    <mergeCell ref="AVK6:AVL6"/>
    <mergeCell ref="AVK7:AVL7"/>
    <mergeCell ref="AVK8:AVL8"/>
    <mergeCell ref="AVH9:AVJ9"/>
    <mergeCell ref="AVK9:AVL9"/>
    <mergeCell ref="AVH10:AVI10"/>
    <mergeCell ref="AVJ10:AVL10"/>
    <mergeCell ref="AVH11:AVI11"/>
    <mergeCell ref="AVJ11:AVL11"/>
    <mergeCell ref="AVH12:AVI12"/>
    <mergeCell ref="AVJ12:AVL12"/>
    <mergeCell ref="AVH13:AVI13"/>
    <mergeCell ref="AVJ13:AVL13"/>
    <mergeCell ref="AVH14:AVI14"/>
    <mergeCell ref="AVJ14:AVL14"/>
    <mergeCell ref="AVH15:AVJ15"/>
    <mergeCell ref="AVK15:AVL15"/>
    <mergeCell ref="AVH16:AVI16"/>
    <mergeCell ref="AVJ16:AVL16"/>
    <mergeCell ref="AVH17:AVI17"/>
    <mergeCell ref="AVJ17:AVL17"/>
    <mergeCell ref="AVH18:AVI18"/>
    <mergeCell ref="AVJ18:AVL18"/>
    <mergeCell ref="AVH19:AVI19"/>
    <mergeCell ref="AVJ19:AVL19"/>
    <mergeCell ref="AVH20:AVI20"/>
    <mergeCell ref="AVJ20:AVL20"/>
    <mergeCell ref="AVU21:AVV21"/>
    <mergeCell ref="AVU22:AVV22"/>
    <mergeCell ref="AVU23:AVV23"/>
    <mergeCell ref="AVU24:AVV24"/>
    <mergeCell ref="AVR25:AVT25"/>
    <mergeCell ref="AVU25:AVV25"/>
    <mergeCell ref="AVU26:AVV26"/>
    <mergeCell ref="AVR27:AVV27"/>
    <mergeCell ref="AVR28:AVV29"/>
    <mergeCell ref="AVR1:AVR2"/>
    <mergeCell ref="AVS1:AVT2"/>
    <mergeCell ref="AVU1:AVU2"/>
    <mergeCell ref="AVU3:AVV3"/>
    <mergeCell ref="AVU4:AVV4"/>
    <mergeCell ref="AVU5:AVV5"/>
    <mergeCell ref="AVU6:AVV6"/>
    <mergeCell ref="AVU7:AVV7"/>
    <mergeCell ref="AVU8:AVV8"/>
    <mergeCell ref="AVR9:AVT9"/>
    <mergeCell ref="AVU9:AVV9"/>
    <mergeCell ref="AVR10:AVS10"/>
    <mergeCell ref="AVT10:AVV10"/>
    <mergeCell ref="AVR11:AVS11"/>
    <mergeCell ref="AVT11:AVV11"/>
    <mergeCell ref="AVR12:AVS12"/>
    <mergeCell ref="AVT12:AVV12"/>
    <mergeCell ref="AVR13:AVS13"/>
    <mergeCell ref="AVT13:AVV13"/>
    <mergeCell ref="AVR14:AVS14"/>
    <mergeCell ref="AVT14:AVV14"/>
    <mergeCell ref="AVR15:AVT15"/>
    <mergeCell ref="AVU15:AVV15"/>
    <mergeCell ref="AVR16:AVS16"/>
    <mergeCell ref="AVT16:AVV16"/>
    <mergeCell ref="AVR17:AVS17"/>
    <mergeCell ref="AVT17:AVV17"/>
    <mergeCell ref="AVR18:AVS18"/>
    <mergeCell ref="AVT18:AVV18"/>
    <mergeCell ref="AVR19:AVS19"/>
    <mergeCell ref="AVT19:AVV19"/>
    <mergeCell ref="AVR20:AVS20"/>
    <mergeCell ref="AVT20:AVV20"/>
    <mergeCell ref="AWE21:AWF21"/>
    <mergeCell ref="AWE22:AWF22"/>
    <mergeCell ref="AWE23:AWF23"/>
    <mergeCell ref="AWE24:AWF24"/>
    <mergeCell ref="AWB25:AWD25"/>
    <mergeCell ref="AWE25:AWF25"/>
    <mergeCell ref="AWE26:AWF26"/>
    <mergeCell ref="AWB27:AWF27"/>
    <mergeCell ref="AWB28:AWF29"/>
    <mergeCell ref="AWB1:AWB2"/>
    <mergeCell ref="AWC1:AWD2"/>
    <mergeCell ref="AWE1:AWE2"/>
    <mergeCell ref="AWE3:AWF3"/>
    <mergeCell ref="AWE4:AWF4"/>
    <mergeCell ref="AWE5:AWF5"/>
    <mergeCell ref="AWE6:AWF6"/>
    <mergeCell ref="AWE7:AWF7"/>
    <mergeCell ref="AWE8:AWF8"/>
    <mergeCell ref="AWB9:AWD9"/>
    <mergeCell ref="AWE9:AWF9"/>
    <mergeCell ref="AWB10:AWC10"/>
    <mergeCell ref="AWD10:AWF10"/>
    <mergeCell ref="AWB11:AWC11"/>
    <mergeCell ref="AWD11:AWF11"/>
    <mergeCell ref="AWB12:AWC12"/>
    <mergeCell ref="AWD12:AWF12"/>
    <mergeCell ref="AWB13:AWC13"/>
    <mergeCell ref="AWD13:AWF13"/>
    <mergeCell ref="AWB14:AWC14"/>
    <mergeCell ref="AWD14:AWF14"/>
    <mergeCell ref="AWB15:AWD15"/>
    <mergeCell ref="AWE15:AWF15"/>
    <mergeCell ref="AWB16:AWC16"/>
    <mergeCell ref="AWD16:AWF16"/>
    <mergeCell ref="AWB17:AWC17"/>
    <mergeCell ref="AWD17:AWF17"/>
    <mergeCell ref="AWB18:AWC18"/>
    <mergeCell ref="AWD18:AWF18"/>
    <mergeCell ref="AWB19:AWC19"/>
    <mergeCell ref="AWD19:AWF19"/>
    <mergeCell ref="AWB20:AWC20"/>
    <mergeCell ref="AWD20:AWF20"/>
    <mergeCell ref="AWO21:AWP21"/>
    <mergeCell ref="AWO22:AWP22"/>
    <mergeCell ref="AWO23:AWP23"/>
    <mergeCell ref="AWO24:AWP24"/>
    <mergeCell ref="AWL25:AWN25"/>
    <mergeCell ref="AWO25:AWP25"/>
    <mergeCell ref="AWO26:AWP26"/>
    <mergeCell ref="AWL27:AWP27"/>
    <mergeCell ref="AWL28:AWP29"/>
    <mergeCell ref="AWL1:AWL2"/>
    <mergeCell ref="AWM1:AWN2"/>
    <mergeCell ref="AWO1:AWO2"/>
    <mergeCell ref="AWO3:AWP3"/>
    <mergeCell ref="AWO4:AWP4"/>
    <mergeCell ref="AWO5:AWP5"/>
    <mergeCell ref="AWO6:AWP6"/>
    <mergeCell ref="AWO7:AWP7"/>
    <mergeCell ref="AWO8:AWP8"/>
    <mergeCell ref="AWL9:AWN9"/>
    <mergeCell ref="AWO9:AWP9"/>
    <mergeCell ref="AWL10:AWM10"/>
    <mergeCell ref="AWN10:AWP10"/>
    <mergeCell ref="AWL11:AWM11"/>
    <mergeCell ref="AWN11:AWP11"/>
    <mergeCell ref="AWL12:AWM12"/>
    <mergeCell ref="AWN12:AWP12"/>
    <mergeCell ref="AWL13:AWM13"/>
    <mergeCell ref="AWN13:AWP13"/>
    <mergeCell ref="AWL14:AWM14"/>
    <mergeCell ref="AWN14:AWP14"/>
    <mergeCell ref="AWL15:AWN15"/>
    <mergeCell ref="AWO15:AWP15"/>
    <mergeCell ref="AWL16:AWM16"/>
    <mergeCell ref="AWN16:AWP16"/>
    <mergeCell ref="AWL17:AWM17"/>
    <mergeCell ref="AWN17:AWP17"/>
    <mergeCell ref="AWL18:AWM18"/>
    <mergeCell ref="AWN18:AWP18"/>
    <mergeCell ref="AWL19:AWM19"/>
    <mergeCell ref="AWN19:AWP19"/>
    <mergeCell ref="AWL20:AWM20"/>
    <mergeCell ref="AWN20:AWP20"/>
    <mergeCell ref="AWT21:AWU21"/>
    <mergeCell ref="AWT22:AWU22"/>
    <mergeCell ref="AWT23:AWU23"/>
    <mergeCell ref="AWT24:AWU24"/>
    <mergeCell ref="AWQ25:AWS25"/>
    <mergeCell ref="AWT25:AWU25"/>
    <mergeCell ref="AWT26:AWU26"/>
    <mergeCell ref="AWQ27:AWU27"/>
    <mergeCell ref="AWQ28:AWU29"/>
    <mergeCell ref="AWQ1:AWQ2"/>
    <mergeCell ref="AWR1:AWS2"/>
    <mergeCell ref="AWT1:AWT2"/>
    <mergeCell ref="AWT3:AWU3"/>
    <mergeCell ref="AWT4:AWU4"/>
    <mergeCell ref="AWT5:AWU5"/>
    <mergeCell ref="AWT6:AWU6"/>
    <mergeCell ref="AWT7:AWU7"/>
    <mergeCell ref="AWT8:AWU8"/>
    <mergeCell ref="AWQ9:AWS9"/>
    <mergeCell ref="AWT9:AWU9"/>
    <mergeCell ref="AWQ10:AWR10"/>
    <mergeCell ref="AWS10:AWU10"/>
    <mergeCell ref="AWQ11:AWR11"/>
    <mergeCell ref="AWS11:AWU11"/>
    <mergeCell ref="AWQ12:AWR12"/>
    <mergeCell ref="AWS12:AWU12"/>
    <mergeCell ref="AWQ13:AWR13"/>
    <mergeCell ref="AWS13:AWU13"/>
    <mergeCell ref="AWQ14:AWR14"/>
    <mergeCell ref="AWS14:AWU14"/>
    <mergeCell ref="AWQ15:AWS15"/>
    <mergeCell ref="AWT15:AWU15"/>
    <mergeCell ref="AWQ16:AWR16"/>
    <mergeCell ref="AWS16:AWU16"/>
    <mergeCell ref="AWQ17:AWR17"/>
    <mergeCell ref="AWS17:AWU17"/>
    <mergeCell ref="AWQ18:AWR18"/>
    <mergeCell ref="AWS18:AWU18"/>
    <mergeCell ref="AWQ19:AWR19"/>
    <mergeCell ref="AWS19:AWU19"/>
    <mergeCell ref="AWQ20:AWR20"/>
    <mergeCell ref="AWS20:AWU20"/>
    <mergeCell ref="AYH21:AYI21"/>
    <mergeCell ref="AYH22:AYI22"/>
    <mergeCell ref="AYH23:AYI23"/>
    <mergeCell ref="AYH24:AYI24"/>
    <mergeCell ref="AYE25:AYG25"/>
    <mergeCell ref="AYH25:AYI25"/>
    <mergeCell ref="AYH26:AYI26"/>
    <mergeCell ref="AYE27:AYI27"/>
    <mergeCell ref="AYE28:AYI29"/>
    <mergeCell ref="AYE1:AYE2"/>
    <mergeCell ref="AYF1:AYG2"/>
    <mergeCell ref="AYH1:AYH2"/>
    <mergeCell ref="AYH3:AYI3"/>
    <mergeCell ref="AYH4:AYI4"/>
    <mergeCell ref="AYH5:AYI5"/>
    <mergeCell ref="AYH6:AYI6"/>
    <mergeCell ref="AYH7:AYI7"/>
    <mergeCell ref="AYH8:AYI8"/>
    <mergeCell ref="AYE9:AYG9"/>
    <mergeCell ref="AYH9:AYI9"/>
    <mergeCell ref="AYE10:AYF10"/>
    <mergeCell ref="AYG10:AYI10"/>
    <mergeCell ref="AYE11:AYF11"/>
    <mergeCell ref="AYG11:AYI11"/>
    <mergeCell ref="AYE12:AYF12"/>
    <mergeCell ref="AYG12:AYI12"/>
    <mergeCell ref="AYE13:AYF13"/>
    <mergeCell ref="AYG13:AYI13"/>
    <mergeCell ref="AYE14:AYF14"/>
    <mergeCell ref="AYG14:AYI14"/>
    <mergeCell ref="AYE15:AYG15"/>
    <mergeCell ref="AYH15:AYI15"/>
    <mergeCell ref="AYE16:AYF16"/>
    <mergeCell ref="AYG16:AYI16"/>
    <mergeCell ref="AYE17:AYF17"/>
    <mergeCell ref="AYG17:AYI17"/>
    <mergeCell ref="AYE18:AYF18"/>
    <mergeCell ref="AYG18:AYI18"/>
    <mergeCell ref="AYE19:AYF19"/>
    <mergeCell ref="AYG19:AYI19"/>
    <mergeCell ref="AYE20:AYF20"/>
    <mergeCell ref="AYG20:AYI20"/>
    <mergeCell ref="AYR21:AYS21"/>
    <mergeCell ref="AYR22:AYS22"/>
    <mergeCell ref="AYR23:AYS23"/>
    <mergeCell ref="AYR24:AYS24"/>
    <mergeCell ref="AYO25:AYQ25"/>
    <mergeCell ref="AYR25:AYS25"/>
    <mergeCell ref="AYR26:AYS26"/>
    <mergeCell ref="AYO27:AYS27"/>
    <mergeCell ref="AYO28:AYS29"/>
    <mergeCell ref="AYO1:AYO2"/>
    <mergeCell ref="AYP1:AYQ2"/>
    <mergeCell ref="AYR1:AYR2"/>
    <mergeCell ref="AYR3:AYS3"/>
    <mergeCell ref="AYR4:AYS4"/>
    <mergeCell ref="AYR5:AYS5"/>
    <mergeCell ref="AYR6:AYS6"/>
    <mergeCell ref="AYR7:AYS7"/>
    <mergeCell ref="AYR8:AYS8"/>
    <mergeCell ref="AYO9:AYQ9"/>
    <mergeCell ref="AYR9:AYS9"/>
    <mergeCell ref="AYO10:AYP10"/>
    <mergeCell ref="AYQ10:AYS10"/>
    <mergeCell ref="AYO11:AYP11"/>
    <mergeCell ref="AYQ11:AYS11"/>
    <mergeCell ref="AYO12:AYP12"/>
    <mergeCell ref="AYQ12:AYS12"/>
    <mergeCell ref="AYO13:AYP13"/>
    <mergeCell ref="AYQ13:AYS13"/>
    <mergeCell ref="AYO14:AYP14"/>
    <mergeCell ref="AYQ14:AYS14"/>
    <mergeCell ref="AYO15:AYQ15"/>
    <mergeCell ref="AYR15:AYS15"/>
    <mergeCell ref="AYO16:AYP16"/>
    <mergeCell ref="AYQ16:AYS16"/>
    <mergeCell ref="AYO17:AYP17"/>
    <mergeCell ref="AYQ17:AYS17"/>
    <mergeCell ref="AYO18:AYP18"/>
    <mergeCell ref="AYQ18:AYS18"/>
    <mergeCell ref="AYO19:AYP19"/>
    <mergeCell ref="AYQ19:AYS19"/>
    <mergeCell ref="AYO20:AYP20"/>
    <mergeCell ref="AYQ20:AYS20"/>
    <mergeCell ref="AYW21:AYX21"/>
    <mergeCell ref="AYW22:AYX22"/>
    <mergeCell ref="AYW23:AYX23"/>
    <mergeCell ref="AYW24:AYX24"/>
    <mergeCell ref="AYT25:AYV25"/>
    <mergeCell ref="AYW25:AYX25"/>
    <mergeCell ref="AYW26:AYX26"/>
    <mergeCell ref="AYT27:AYX27"/>
    <mergeCell ref="AYT28:AYX29"/>
    <mergeCell ref="AYT1:AYT2"/>
    <mergeCell ref="AYU1:AYV2"/>
    <mergeCell ref="AYW1:AYW2"/>
    <mergeCell ref="AYW3:AYX3"/>
    <mergeCell ref="AYW4:AYX4"/>
    <mergeCell ref="AYW5:AYX5"/>
    <mergeCell ref="AYW6:AYX6"/>
    <mergeCell ref="AYW7:AYX7"/>
    <mergeCell ref="AYW8:AYX8"/>
    <mergeCell ref="AYT9:AYV9"/>
    <mergeCell ref="AYW9:AYX9"/>
    <mergeCell ref="AYT10:AYU10"/>
    <mergeCell ref="AYV10:AYX10"/>
    <mergeCell ref="AYT11:AYU11"/>
    <mergeCell ref="AYV11:AYX11"/>
    <mergeCell ref="AYT12:AYU12"/>
    <mergeCell ref="AYV12:AYX12"/>
    <mergeCell ref="AYT13:AYU13"/>
    <mergeCell ref="AYV13:AYX13"/>
    <mergeCell ref="AYT14:AYU14"/>
    <mergeCell ref="AYV14:AYX14"/>
    <mergeCell ref="AYT15:AYV15"/>
    <mergeCell ref="AYW15:AYX15"/>
    <mergeCell ref="AYT16:AYU16"/>
    <mergeCell ref="AYV16:AYX16"/>
    <mergeCell ref="AYT17:AYU17"/>
    <mergeCell ref="AYV17:AYX17"/>
    <mergeCell ref="AYT18:AYU18"/>
    <mergeCell ref="AYV18:AYX18"/>
    <mergeCell ref="AYT19:AYU19"/>
    <mergeCell ref="AYV19:AYX19"/>
    <mergeCell ref="AYT20:AYU20"/>
    <mergeCell ref="AYV20:AYX20"/>
    <mergeCell ref="AZG21:AZH21"/>
    <mergeCell ref="AZG22:AZH22"/>
    <mergeCell ref="AZG23:AZH23"/>
    <mergeCell ref="AZG24:AZH24"/>
    <mergeCell ref="AZD25:AZF25"/>
    <mergeCell ref="AZG25:AZH25"/>
    <mergeCell ref="AZG26:AZH26"/>
    <mergeCell ref="AZD27:AZH27"/>
    <mergeCell ref="AZD28:AZH29"/>
    <mergeCell ref="AZD1:AZD2"/>
    <mergeCell ref="AZE1:AZF2"/>
    <mergeCell ref="AZG1:AZG2"/>
    <mergeCell ref="AZG3:AZH3"/>
    <mergeCell ref="AZG4:AZH4"/>
    <mergeCell ref="AZG5:AZH5"/>
    <mergeCell ref="AZG6:AZH6"/>
    <mergeCell ref="AZG7:AZH7"/>
    <mergeCell ref="AZG8:AZH8"/>
    <mergeCell ref="AZD9:AZF9"/>
    <mergeCell ref="AZG9:AZH9"/>
    <mergeCell ref="AZD10:AZE10"/>
    <mergeCell ref="AZF10:AZH10"/>
    <mergeCell ref="AZD11:AZE11"/>
    <mergeCell ref="AZF11:AZH11"/>
    <mergeCell ref="AZD12:AZE12"/>
    <mergeCell ref="AZF12:AZH12"/>
    <mergeCell ref="AZD13:AZE13"/>
    <mergeCell ref="AZF13:AZH13"/>
    <mergeCell ref="AZD14:AZE14"/>
    <mergeCell ref="AZF14:AZH14"/>
    <mergeCell ref="AZD15:AZF15"/>
    <mergeCell ref="AZG15:AZH15"/>
    <mergeCell ref="AZD16:AZE16"/>
    <mergeCell ref="AZF16:AZH16"/>
    <mergeCell ref="AZD17:AZE17"/>
    <mergeCell ref="AZF17:AZH17"/>
    <mergeCell ref="AZD18:AZE18"/>
    <mergeCell ref="AZF18:AZH18"/>
    <mergeCell ref="AZD19:AZE19"/>
    <mergeCell ref="AZF19:AZH19"/>
    <mergeCell ref="AZD20:AZE20"/>
    <mergeCell ref="AZF20:AZH20"/>
    <mergeCell ref="AZQ21:AZR21"/>
    <mergeCell ref="AZQ22:AZR22"/>
    <mergeCell ref="AZQ23:AZR23"/>
    <mergeCell ref="AZQ24:AZR24"/>
    <mergeCell ref="AZN25:AZP25"/>
    <mergeCell ref="AZQ25:AZR25"/>
    <mergeCell ref="AZQ26:AZR26"/>
    <mergeCell ref="AZN27:AZR27"/>
    <mergeCell ref="AZN28:AZR29"/>
    <mergeCell ref="AZN1:AZN2"/>
    <mergeCell ref="AZO1:AZP2"/>
    <mergeCell ref="AZQ1:AZQ2"/>
    <mergeCell ref="AZQ3:AZR3"/>
    <mergeCell ref="AZQ4:AZR4"/>
    <mergeCell ref="AZQ5:AZR5"/>
    <mergeCell ref="AZQ6:AZR6"/>
    <mergeCell ref="AZQ7:AZR7"/>
    <mergeCell ref="AZQ8:AZR8"/>
    <mergeCell ref="AZN9:AZP9"/>
    <mergeCell ref="AZQ9:AZR9"/>
    <mergeCell ref="AZN10:AZO10"/>
    <mergeCell ref="AZP10:AZR10"/>
    <mergeCell ref="AZN11:AZO11"/>
    <mergeCell ref="AZP11:AZR11"/>
    <mergeCell ref="AZN12:AZO12"/>
    <mergeCell ref="AZP12:AZR12"/>
    <mergeCell ref="AZN13:AZO13"/>
    <mergeCell ref="AZP13:AZR13"/>
    <mergeCell ref="AZN14:AZO14"/>
    <mergeCell ref="AZP14:AZR14"/>
    <mergeCell ref="AZN15:AZP15"/>
    <mergeCell ref="AZQ15:AZR15"/>
    <mergeCell ref="AZN16:AZO16"/>
    <mergeCell ref="AZP16:AZR16"/>
    <mergeCell ref="AZN17:AZO17"/>
    <mergeCell ref="AZP17:AZR17"/>
    <mergeCell ref="AZN18:AZO18"/>
    <mergeCell ref="AZP18:AZR18"/>
    <mergeCell ref="AZN19:AZO19"/>
    <mergeCell ref="AZP19:AZR19"/>
    <mergeCell ref="AZN20:AZO20"/>
    <mergeCell ref="AZP20:AZR20"/>
    <mergeCell ref="BAA21:BAB21"/>
    <mergeCell ref="BAA22:BAB22"/>
    <mergeCell ref="BAA23:BAB23"/>
    <mergeCell ref="BAA24:BAB24"/>
    <mergeCell ref="AZX25:AZZ25"/>
    <mergeCell ref="BAA25:BAB25"/>
    <mergeCell ref="BAA26:BAB26"/>
    <mergeCell ref="AZX27:BAB27"/>
    <mergeCell ref="AZX28:BAB29"/>
    <mergeCell ref="AZX1:AZX2"/>
    <mergeCell ref="AZY1:AZZ2"/>
    <mergeCell ref="BAA1:BAA2"/>
    <mergeCell ref="BAA3:BAB3"/>
    <mergeCell ref="BAA4:BAB4"/>
    <mergeCell ref="BAA5:BAB5"/>
    <mergeCell ref="BAA6:BAB6"/>
    <mergeCell ref="BAA7:BAB7"/>
    <mergeCell ref="BAA8:BAB8"/>
    <mergeCell ref="AZX9:AZZ9"/>
    <mergeCell ref="BAA9:BAB9"/>
    <mergeCell ref="AZX10:AZY10"/>
    <mergeCell ref="AZZ10:BAB10"/>
    <mergeCell ref="AZX11:AZY11"/>
    <mergeCell ref="AZZ11:BAB11"/>
    <mergeCell ref="AZX12:AZY12"/>
    <mergeCell ref="AZZ12:BAB12"/>
    <mergeCell ref="AZX13:AZY13"/>
    <mergeCell ref="AZZ13:BAB13"/>
    <mergeCell ref="AZX14:AZY14"/>
    <mergeCell ref="AZZ14:BAB14"/>
    <mergeCell ref="AZX15:AZZ15"/>
    <mergeCell ref="BAA15:BAB15"/>
    <mergeCell ref="AZX16:AZY16"/>
    <mergeCell ref="AZZ16:BAB16"/>
    <mergeCell ref="AZX17:AZY17"/>
    <mergeCell ref="AZZ17:BAB17"/>
    <mergeCell ref="AZX18:AZY18"/>
    <mergeCell ref="AZZ18:BAB18"/>
    <mergeCell ref="AZX19:AZY19"/>
    <mergeCell ref="AZZ19:BAB19"/>
    <mergeCell ref="AZX20:AZY20"/>
    <mergeCell ref="AZZ20:BAB20"/>
    <mergeCell ref="BAF21:BAG21"/>
    <mergeCell ref="BAF22:BAG22"/>
    <mergeCell ref="BAF23:BAG23"/>
    <mergeCell ref="BAF24:BAG24"/>
    <mergeCell ref="BAC25:BAE25"/>
    <mergeCell ref="BAF25:BAG25"/>
    <mergeCell ref="BAF26:BAG26"/>
    <mergeCell ref="BAC27:BAG27"/>
    <mergeCell ref="BAC28:BAG29"/>
    <mergeCell ref="BAC1:BAC2"/>
    <mergeCell ref="BAD1:BAE2"/>
    <mergeCell ref="BAF1:BAF2"/>
    <mergeCell ref="BAF3:BAG3"/>
    <mergeCell ref="BAF4:BAG4"/>
    <mergeCell ref="BAF5:BAG5"/>
    <mergeCell ref="BAF6:BAG6"/>
    <mergeCell ref="BAF7:BAG7"/>
    <mergeCell ref="BAF8:BAG8"/>
    <mergeCell ref="BAC9:BAE9"/>
    <mergeCell ref="BAF9:BAG9"/>
    <mergeCell ref="BAC10:BAD10"/>
    <mergeCell ref="BAE10:BAG10"/>
    <mergeCell ref="BAC11:BAD11"/>
    <mergeCell ref="BAE11:BAG11"/>
    <mergeCell ref="BAC12:BAD12"/>
    <mergeCell ref="BAE12:BAG12"/>
    <mergeCell ref="BAC13:BAD13"/>
    <mergeCell ref="BAE13:BAG13"/>
    <mergeCell ref="BAC14:BAD14"/>
    <mergeCell ref="BAE14:BAG14"/>
    <mergeCell ref="BAC15:BAE15"/>
    <mergeCell ref="BAF15:BAG15"/>
    <mergeCell ref="BAC16:BAD16"/>
    <mergeCell ref="BAE16:BAG16"/>
    <mergeCell ref="BAC17:BAD17"/>
    <mergeCell ref="BAE17:BAG17"/>
    <mergeCell ref="BAC18:BAD18"/>
    <mergeCell ref="BAE18:BAG18"/>
    <mergeCell ref="BAC19:BAD19"/>
    <mergeCell ref="BAE19:BAG19"/>
    <mergeCell ref="BAC20:BAD20"/>
    <mergeCell ref="BAE20:BAG20"/>
    <mergeCell ref="BAP21:BAQ21"/>
    <mergeCell ref="BAP22:BAQ22"/>
    <mergeCell ref="BAP23:BAQ23"/>
    <mergeCell ref="BAP24:BAQ24"/>
    <mergeCell ref="BAM25:BAO25"/>
    <mergeCell ref="BAP25:BAQ25"/>
    <mergeCell ref="BAP26:BAQ26"/>
    <mergeCell ref="BAM27:BAQ27"/>
    <mergeCell ref="BAM28:BAQ29"/>
    <mergeCell ref="BAM1:BAM2"/>
    <mergeCell ref="BAN1:BAO2"/>
    <mergeCell ref="BAP1:BAP2"/>
    <mergeCell ref="BAP3:BAQ3"/>
    <mergeCell ref="BAP4:BAQ4"/>
    <mergeCell ref="BAP5:BAQ5"/>
    <mergeCell ref="BAP6:BAQ6"/>
    <mergeCell ref="BAP7:BAQ7"/>
    <mergeCell ref="BAP8:BAQ8"/>
    <mergeCell ref="BAM9:BAO9"/>
    <mergeCell ref="BAP9:BAQ9"/>
    <mergeCell ref="BAM10:BAN10"/>
    <mergeCell ref="BAO10:BAQ10"/>
    <mergeCell ref="BAM11:BAN11"/>
    <mergeCell ref="BAO11:BAQ11"/>
    <mergeCell ref="BAM12:BAN12"/>
    <mergeCell ref="BAO12:BAQ12"/>
    <mergeCell ref="BAM13:BAN13"/>
    <mergeCell ref="BAO13:BAQ13"/>
    <mergeCell ref="BAM14:BAN14"/>
    <mergeCell ref="BAO14:BAQ14"/>
    <mergeCell ref="BAM15:BAO15"/>
    <mergeCell ref="BAP15:BAQ15"/>
    <mergeCell ref="BAM16:BAN16"/>
    <mergeCell ref="BAO16:BAQ16"/>
    <mergeCell ref="BAM17:BAN17"/>
    <mergeCell ref="BAO17:BAQ17"/>
    <mergeCell ref="BAM18:BAN18"/>
    <mergeCell ref="BAO18:BAQ18"/>
    <mergeCell ref="BAM19:BAN19"/>
    <mergeCell ref="BAO19:BAQ19"/>
    <mergeCell ref="BAM20:BAN20"/>
    <mergeCell ref="BAO20:BAQ20"/>
    <mergeCell ref="BAZ21:BBA21"/>
    <mergeCell ref="BAZ22:BBA22"/>
    <mergeCell ref="BAZ23:BBA23"/>
    <mergeCell ref="BAZ24:BBA24"/>
    <mergeCell ref="BAW25:BAY25"/>
    <mergeCell ref="BAZ25:BBA25"/>
    <mergeCell ref="BAZ26:BBA26"/>
    <mergeCell ref="BAW27:BBA27"/>
    <mergeCell ref="BAW28:BBA29"/>
    <mergeCell ref="BAW1:BAW2"/>
    <mergeCell ref="BAX1:BAY2"/>
    <mergeCell ref="BAZ1:BAZ2"/>
    <mergeCell ref="BAZ3:BBA3"/>
    <mergeCell ref="BAZ4:BBA4"/>
    <mergeCell ref="BAZ5:BBA5"/>
    <mergeCell ref="BAZ6:BBA6"/>
    <mergeCell ref="BAZ7:BBA7"/>
    <mergeCell ref="BAZ8:BBA8"/>
    <mergeCell ref="BAW9:BAY9"/>
    <mergeCell ref="BAZ9:BBA9"/>
    <mergeCell ref="BAW10:BAX10"/>
    <mergeCell ref="BAY10:BBA10"/>
    <mergeCell ref="BAW11:BAX11"/>
    <mergeCell ref="BAY11:BBA11"/>
    <mergeCell ref="BAW12:BAX12"/>
    <mergeCell ref="BAY12:BBA12"/>
    <mergeCell ref="BAW13:BAX13"/>
    <mergeCell ref="BAY13:BBA13"/>
    <mergeCell ref="BAW14:BAX14"/>
    <mergeCell ref="BAY14:BBA14"/>
    <mergeCell ref="BAW15:BAY15"/>
    <mergeCell ref="BAZ15:BBA15"/>
    <mergeCell ref="BAW16:BAX16"/>
    <mergeCell ref="BAY16:BBA16"/>
    <mergeCell ref="BAW17:BAX17"/>
    <mergeCell ref="BAY17:BBA17"/>
    <mergeCell ref="BAW18:BAX18"/>
    <mergeCell ref="BAY18:BBA18"/>
    <mergeCell ref="BAW19:BAX19"/>
    <mergeCell ref="BAY19:BBA19"/>
    <mergeCell ref="BAW20:BAX20"/>
    <mergeCell ref="BAY20:BBA20"/>
    <mergeCell ref="BBJ21:BBK21"/>
    <mergeCell ref="BBJ22:BBK22"/>
    <mergeCell ref="BBJ23:BBK23"/>
    <mergeCell ref="BBJ24:BBK24"/>
    <mergeCell ref="BBG25:BBI25"/>
    <mergeCell ref="BBJ25:BBK25"/>
    <mergeCell ref="BBJ26:BBK26"/>
    <mergeCell ref="BBG27:BBK27"/>
    <mergeCell ref="BBG28:BBK29"/>
    <mergeCell ref="BBG1:BBG2"/>
    <mergeCell ref="BBH1:BBI2"/>
    <mergeCell ref="BBJ1:BBJ2"/>
    <mergeCell ref="BBJ3:BBK3"/>
    <mergeCell ref="BBJ4:BBK4"/>
    <mergeCell ref="BBJ5:BBK5"/>
    <mergeCell ref="BBJ6:BBK6"/>
    <mergeCell ref="BBJ7:BBK7"/>
    <mergeCell ref="BBJ8:BBK8"/>
    <mergeCell ref="BBG9:BBI9"/>
    <mergeCell ref="BBJ9:BBK9"/>
    <mergeCell ref="BBG10:BBH10"/>
    <mergeCell ref="BBI10:BBK10"/>
    <mergeCell ref="BBG11:BBH11"/>
    <mergeCell ref="BBI11:BBK11"/>
    <mergeCell ref="BBG12:BBH12"/>
    <mergeCell ref="BBI12:BBK12"/>
    <mergeCell ref="BBG13:BBH13"/>
    <mergeCell ref="BBI13:BBK13"/>
    <mergeCell ref="BBG14:BBH14"/>
    <mergeCell ref="BBI14:BBK14"/>
    <mergeCell ref="BBG15:BBI15"/>
    <mergeCell ref="BBJ15:BBK15"/>
    <mergeCell ref="BBG16:BBH16"/>
    <mergeCell ref="BBI16:BBK16"/>
    <mergeCell ref="BBG17:BBH17"/>
    <mergeCell ref="BBI17:BBK17"/>
    <mergeCell ref="BBG18:BBH18"/>
    <mergeCell ref="BBI18:BBK18"/>
    <mergeCell ref="BBG19:BBH19"/>
    <mergeCell ref="BBI19:BBK19"/>
    <mergeCell ref="BBG20:BBH20"/>
    <mergeCell ref="BBI20:BBK20"/>
    <mergeCell ref="BBO21:BBP21"/>
    <mergeCell ref="BBO22:BBP22"/>
    <mergeCell ref="BBO23:BBP23"/>
    <mergeCell ref="BBO24:BBP24"/>
    <mergeCell ref="BBL25:BBN25"/>
    <mergeCell ref="BBO25:BBP25"/>
    <mergeCell ref="BBO26:BBP26"/>
    <mergeCell ref="BBL27:BBP27"/>
    <mergeCell ref="BBL28:BBP29"/>
    <mergeCell ref="BBL1:BBL2"/>
    <mergeCell ref="BBM1:BBN2"/>
    <mergeCell ref="BBO1:BBO2"/>
    <mergeCell ref="BBO3:BBP3"/>
    <mergeCell ref="BBO4:BBP4"/>
    <mergeCell ref="BBO5:BBP5"/>
    <mergeCell ref="BBO6:BBP6"/>
    <mergeCell ref="BBO7:BBP7"/>
    <mergeCell ref="BBO8:BBP8"/>
    <mergeCell ref="BBL9:BBN9"/>
    <mergeCell ref="BBO9:BBP9"/>
    <mergeCell ref="BBL10:BBM10"/>
    <mergeCell ref="BBN10:BBP10"/>
    <mergeCell ref="BBL11:BBM11"/>
    <mergeCell ref="BBN11:BBP11"/>
    <mergeCell ref="BBL12:BBM12"/>
    <mergeCell ref="BBN12:BBP12"/>
    <mergeCell ref="BBL13:BBM13"/>
    <mergeCell ref="BBN13:BBP13"/>
    <mergeCell ref="BBL14:BBM14"/>
    <mergeCell ref="BBN14:BBP14"/>
    <mergeCell ref="BBL15:BBN15"/>
    <mergeCell ref="BBO15:BBP15"/>
    <mergeCell ref="BBL16:BBM16"/>
    <mergeCell ref="BBN16:BBP16"/>
    <mergeCell ref="BBL17:BBM17"/>
    <mergeCell ref="BBN17:BBP17"/>
    <mergeCell ref="BBL18:BBM18"/>
    <mergeCell ref="BBN18:BBP18"/>
    <mergeCell ref="BBL19:BBM19"/>
    <mergeCell ref="BBN19:BBP19"/>
    <mergeCell ref="BBL20:BBM20"/>
    <mergeCell ref="BBN20:BBP20"/>
    <mergeCell ref="BBT21:BBU21"/>
    <mergeCell ref="BBT22:BBU22"/>
    <mergeCell ref="BBT23:BBU23"/>
    <mergeCell ref="BBT24:BBU24"/>
    <mergeCell ref="BBQ25:BBS25"/>
    <mergeCell ref="BBT25:BBU25"/>
    <mergeCell ref="BBT26:BBU26"/>
    <mergeCell ref="BBQ27:BBU27"/>
    <mergeCell ref="BBQ28:BBU29"/>
    <mergeCell ref="BBQ1:BBQ2"/>
    <mergeCell ref="BBR1:BBS2"/>
    <mergeCell ref="BBT1:BBT2"/>
    <mergeCell ref="BBT3:BBU3"/>
    <mergeCell ref="BBT4:BBU4"/>
    <mergeCell ref="BBT5:BBU5"/>
    <mergeCell ref="BBT6:BBU6"/>
    <mergeCell ref="BBT7:BBU7"/>
    <mergeCell ref="BBT8:BBU8"/>
    <mergeCell ref="BBQ9:BBS9"/>
    <mergeCell ref="BBT9:BBU9"/>
    <mergeCell ref="BBQ10:BBR10"/>
    <mergeCell ref="BBS10:BBU10"/>
    <mergeCell ref="BBQ11:BBR11"/>
    <mergeCell ref="BBS11:BBU11"/>
    <mergeCell ref="BBQ12:BBR12"/>
    <mergeCell ref="BBS12:BBU12"/>
    <mergeCell ref="BBQ13:BBR13"/>
    <mergeCell ref="BBS13:BBU13"/>
    <mergeCell ref="BBQ14:BBR14"/>
    <mergeCell ref="BBS14:BBU14"/>
    <mergeCell ref="BBQ15:BBS15"/>
    <mergeCell ref="BBT15:BBU15"/>
    <mergeCell ref="BBQ16:BBR16"/>
    <mergeCell ref="BBS16:BBU16"/>
    <mergeCell ref="BBQ17:BBR17"/>
    <mergeCell ref="BBS17:BBU17"/>
    <mergeCell ref="BBQ18:BBR18"/>
    <mergeCell ref="BBS18:BBU18"/>
    <mergeCell ref="BBQ19:BBR19"/>
    <mergeCell ref="BBS19:BBU19"/>
    <mergeCell ref="BBQ20:BBR20"/>
    <mergeCell ref="BBS20:BBU20"/>
    <mergeCell ref="BBY21:BBZ21"/>
    <mergeCell ref="BBY22:BBZ22"/>
    <mergeCell ref="BBY23:BBZ23"/>
    <mergeCell ref="BBY24:BBZ24"/>
    <mergeCell ref="BBV25:BBX25"/>
    <mergeCell ref="BBY25:BBZ25"/>
    <mergeCell ref="BBY26:BBZ26"/>
    <mergeCell ref="BBV27:BBZ27"/>
    <mergeCell ref="BBV28:BBZ29"/>
    <mergeCell ref="BBV1:BBV2"/>
    <mergeCell ref="BBW1:BBX2"/>
    <mergeCell ref="BBY1:BBY2"/>
    <mergeCell ref="BBY3:BBZ3"/>
    <mergeCell ref="BBY4:BBZ4"/>
    <mergeCell ref="BBY5:BBZ5"/>
    <mergeCell ref="BBY6:BBZ6"/>
    <mergeCell ref="BBY7:BBZ7"/>
    <mergeCell ref="BBY8:BBZ8"/>
    <mergeCell ref="BBV9:BBX9"/>
    <mergeCell ref="BBY9:BBZ9"/>
    <mergeCell ref="BBV10:BBW10"/>
    <mergeCell ref="BBX10:BBZ10"/>
    <mergeCell ref="BBV11:BBW11"/>
    <mergeCell ref="BBX11:BBZ11"/>
    <mergeCell ref="BBV12:BBW12"/>
    <mergeCell ref="BBX12:BBZ12"/>
    <mergeCell ref="BBV13:BBW13"/>
    <mergeCell ref="BBX13:BBZ13"/>
    <mergeCell ref="BBV14:BBW14"/>
    <mergeCell ref="BBX14:BBZ14"/>
    <mergeCell ref="BBV15:BBX15"/>
    <mergeCell ref="BBY15:BBZ15"/>
    <mergeCell ref="BBV16:BBW16"/>
    <mergeCell ref="BBX16:BBZ16"/>
    <mergeCell ref="BBV17:BBW17"/>
    <mergeCell ref="BBX17:BBZ17"/>
    <mergeCell ref="BBV18:BBW18"/>
    <mergeCell ref="BBX18:BBZ18"/>
    <mergeCell ref="BBV19:BBW19"/>
    <mergeCell ref="BBX19:BBZ19"/>
    <mergeCell ref="BBV20:BBW20"/>
    <mergeCell ref="BBX20:BBZ20"/>
    <mergeCell ref="BCI22:BCJ22"/>
    <mergeCell ref="BCI23:BCJ23"/>
    <mergeCell ref="BCI24:BCJ24"/>
    <mergeCell ref="BCF25:BCH25"/>
    <mergeCell ref="BCI25:BCJ25"/>
    <mergeCell ref="BCI26:BCJ26"/>
    <mergeCell ref="BCF27:BCJ27"/>
    <mergeCell ref="BCF28:BCJ29"/>
    <mergeCell ref="BCF13:BCG13"/>
    <mergeCell ref="BCH13:BCJ13"/>
    <mergeCell ref="BCF14:BCG14"/>
    <mergeCell ref="BCH14:BCJ14"/>
    <mergeCell ref="BCF15:BCH15"/>
    <mergeCell ref="BCI15:BCJ15"/>
    <mergeCell ref="BCF16:BCG16"/>
    <mergeCell ref="BCH16:BCJ16"/>
    <mergeCell ref="BCF17:BCG17"/>
    <mergeCell ref="BCH17:BCJ17"/>
    <mergeCell ref="BCF18:BCG18"/>
    <mergeCell ref="BCH18:BCJ18"/>
    <mergeCell ref="BCF19:BCG19"/>
    <mergeCell ref="BCH19:BCJ19"/>
    <mergeCell ref="BCF20:BCG20"/>
    <mergeCell ref="BCH20:BCJ20"/>
    <mergeCell ref="BCI21:BCJ21"/>
    <mergeCell ref="BCF1:BCF2"/>
    <mergeCell ref="BCG1:BCH2"/>
    <mergeCell ref="BCI1:BCI2"/>
    <mergeCell ref="BCI3:BCJ3"/>
    <mergeCell ref="BCI4:BCJ4"/>
    <mergeCell ref="BCI5:BCJ5"/>
    <mergeCell ref="BCI6:BCJ6"/>
    <mergeCell ref="BCI7:BCJ7"/>
    <mergeCell ref="BCI8:BCJ8"/>
    <mergeCell ref="BCF9:BCH9"/>
    <mergeCell ref="BCI9:BCJ9"/>
    <mergeCell ref="BCF10:BCG10"/>
    <mergeCell ref="BCH10:BCJ10"/>
    <mergeCell ref="BCF11:BCG11"/>
    <mergeCell ref="BCH11:BCJ11"/>
    <mergeCell ref="BCF12:BCG12"/>
    <mergeCell ref="BCH12:BCJ12"/>
    <mergeCell ref="BCS22:BCT22"/>
    <mergeCell ref="BCS23:BCT23"/>
    <mergeCell ref="BCS24:BCT24"/>
    <mergeCell ref="BCP25:BCR25"/>
    <mergeCell ref="BCS25:BCT25"/>
    <mergeCell ref="BCS26:BCT26"/>
    <mergeCell ref="BCP27:BCT27"/>
    <mergeCell ref="BCP28:BCT29"/>
    <mergeCell ref="BCP13:BCQ13"/>
    <mergeCell ref="BCR13:BCT13"/>
    <mergeCell ref="BCP14:BCQ14"/>
    <mergeCell ref="BCR14:BCT14"/>
    <mergeCell ref="BCP15:BCR15"/>
    <mergeCell ref="BCS15:BCT15"/>
    <mergeCell ref="BCP16:BCQ16"/>
    <mergeCell ref="BCR16:BCT16"/>
    <mergeCell ref="BCP17:BCQ17"/>
    <mergeCell ref="BCR17:BCT17"/>
    <mergeCell ref="BCP18:BCQ18"/>
    <mergeCell ref="BCR18:BCT18"/>
    <mergeCell ref="BCP19:BCQ19"/>
    <mergeCell ref="BCR19:BCT19"/>
    <mergeCell ref="BCP20:BCQ20"/>
    <mergeCell ref="BCR20:BCT20"/>
    <mergeCell ref="BCS21:BCT21"/>
    <mergeCell ref="BCP1:BCP2"/>
    <mergeCell ref="BCQ1:BCR2"/>
    <mergeCell ref="BCS1:BCS2"/>
    <mergeCell ref="BCS3:BCT3"/>
    <mergeCell ref="BCS4:BCT4"/>
    <mergeCell ref="BCS5:BCT5"/>
    <mergeCell ref="BCS6:BCT6"/>
    <mergeCell ref="BCS7:BCT7"/>
    <mergeCell ref="BCS8:BCT8"/>
    <mergeCell ref="BCP9:BCR9"/>
    <mergeCell ref="BCS9:BCT9"/>
    <mergeCell ref="BCP10:BCQ10"/>
    <mergeCell ref="BCR10:BCT10"/>
    <mergeCell ref="BCP11:BCQ11"/>
    <mergeCell ref="BCR11:BCT11"/>
    <mergeCell ref="BCP12:BCQ12"/>
    <mergeCell ref="BCR12:BCT12"/>
    <mergeCell ref="BDC22:BDD22"/>
    <mergeCell ref="BDC23:BDD23"/>
    <mergeCell ref="BDC24:BDD24"/>
    <mergeCell ref="BCZ25:BDB25"/>
    <mergeCell ref="BDC25:BDD25"/>
    <mergeCell ref="BDC26:BDD26"/>
    <mergeCell ref="BCZ27:BDD27"/>
    <mergeCell ref="BCZ28:BDD29"/>
    <mergeCell ref="BCZ13:BDA13"/>
    <mergeCell ref="BDB13:BDD13"/>
    <mergeCell ref="BCZ14:BDA14"/>
    <mergeCell ref="BDB14:BDD14"/>
    <mergeCell ref="BCZ15:BDB15"/>
    <mergeCell ref="BDC15:BDD15"/>
    <mergeCell ref="BCZ16:BDA16"/>
    <mergeCell ref="BDB16:BDD16"/>
    <mergeCell ref="BCZ17:BDA17"/>
    <mergeCell ref="BDB17:BDD17"/>
    <mergeCell ref="BCZ18:BDA18"/>
    <mergeCell ref="BDB18:BDD18"/>
    <mergeCell ref="BCZ19:BDA19"/>
    <mergeCell ref="BDB19:BDD19"/>
    <mergeCell ref="BCZ20:BDA20"/>
    <mergeCell ref="BDB20:BDD20"/>
    <mergeCell ref="BDC21:BDD21"/>
    <mergeCell ref="BCZ1:BCZ2"/>
    <mergeCell ref="BDA1:BDB2"/>
    <mergeCell ref="BDC1:BDC2"/>
    <mergeCell ref="BDC3:BDD3"/>
    <mergeCell ref="BDC4:BDD4"/>
    <mergeCell ref="BDC5:BDD5"/>
    <mergeCell ref="BDC6:BDD6"/>
    <mergeCell ref="BDC7:BDD7"/>
    <mergeCell ref="BDC8:BDD8"/>
    <mergeCell ref="BCZ9:BDB9"/>
    <mergeCell ref="BDC9:BDD9"/>
    <mergeCell ref="BCZ10:BDA10"/>
    <mergeCell ref="BDB10:BDD10"/>
    <mergeCell ref="BCZ11:BDA11"/>
    <mergeCell ref="BDB11:BDD11"/>
    <mergeCell ref="BCZ12:BDA12"/>
    <mergeCell ref="BDB12:BDD12"/>
    <mergeCell ref="BDM22:BDN22"/>
    <mergeCell ref="BDM23:BDN23"/>
    <mergeCell ref="BDM24:BDN24"/>
    <mergeCell ref="BDJ25:BDL25"/>
    <mergeCell ref="BDM25:BDN25"/>
    <mergeCell ref="BDM26:BDN26"/>
    <mergeCell ref="BDJ27:BDN27"/>
    <mergeCell ref="BDJ28:BDN29"/>
    <mergeCell ref="BDJ13:BDK13"/>
    <mergeCell ref="BDL13:BDN13"/>
    <mergeCell ref="BDJ14:BDK14"/>
    <mergeCell ref="BDL14:BDN14"/>
    <mergeCell ref="BDJ15:BDL15"/>
    <mergeCell ref="BDM15:BDN15"/>
    <mergeCell ref="BDJ16:BDK16"/>
    <mergeCell ref="BDL16:BDN16"/>
    <mergeCell ref="BDJ17:BDK17"/>
    <mergeCell ref="BDL17:BDN17"/>
    <mergeCell ref="BDJ18:BDK18"/>
    <mergeCell ref="BDL18:BDN18"/>
    <mergeCell ref="BDJ19:BDK19"/>
    <mergeCell ref="BDL19:BDN19"/>
    <mergeCell ref="BDJ20:BDK20"/>
    <mergeCell ref="BDL20:BDN20"/>
    <mergeCell ref="BDM21:BDN21"/>
    <mergeCell ref="BDJ1:BDJ2"/>
    <mergeCell ref="BDK1:BDL2"/>
    <mergeCell ref="BDM1:BDM2"/>
    <mergeCell ref="BDM3:BDN3"/>
    <mergeCell ref="BDM4:BDN4"/>
    <mergeCell ref="BDM5:BDN5"/>
    <mergeCell ref="BDM6:BDN6"/>
    <mergeCell ref="BDM7:BDN7"/>
    <mergeCell ref="BDM8:BDN8"/>
    <mergeCell ref="BDJ9:BDL9"/>
    <mergeCell ref="BDM9:BDN9"/>
    <mergeCell ref="BDJ10:BDK10"/>
    <mergeCell ref="BDL10:BDN10"/>
    <mergeCell ref="BDJ11:BDK11"/>
    <mergeCell ref="BDL11:BDN11"/>
    <mergeCell ref="BDJ12:BDK12"/>
    <mergeCell ref="BDL12:BDN12"/>
    <mergeCell ref="BDW22:BDX22"/>
    <mergeCell ref="BDW23:BDX23"/>
    <mergeCell ref="BDW24:BDX24"/>
    <mergeCell ref="BDT25:BDV25"/>
    <mergeCell ref="BDW25:BDX25"/>
    <mergeCell ref="BDW26:BDX26"/>
    <mergeCell ref="BDT27:BDX27"/>
    <mergeCell ref="BDT28:BDX29"/>
    <mergeCell ref="BDT13:BDU13"/>
    <mergeCell ref="BDV13:BDX13"/>
    <mergeCell ref="BDT14:BDU14"/>
    <mergeCell ref="BDV14:BDX14"/>
    <mergeCell ref="BDT15:BDV15"/>
    <mergeCell ref="BDW15:BDX15"/>
    <mergeCell ref="BDT16:BDU16"/>
    <mergeCell ref="BDV16:BDX16"/>
    <mergeCell ref="BDT17:BDU17"/>
    <mergeCell ref="BDV17:BDX17"/>
    <mergeCell ref="BDT18:BDU18"/>
    <mergeCell ref="BDV18:BDX18"/>
    <mergeCell ref="BDT19:BDU19"/>
    <mergeCell ref="BDV19:BDX19"/>
    <mergeCell ref="BDT20:BDU20"/>
    <mergeCell ref="BDV20:BDX20"/>
    <mergeCell ref="BDW21:BDX21"/>
    <mergeCell ref="BDT1:BDT2"/>
    <mergeCell ref="BDU1:BDV2"/>
    <mergeCell ref="BDW1:BDW2"/>
    <mergeCell ref="BDW3:BDX3"/>
    <mergeCell ref="BDW4:BDX4"/>
    <mergeCell ref="BDW5:BDX5"/>
    <mergeCell ref="BDW6:BDX6"/>
    <mergeCell ref="BDW7:BDX7"/>
    <mergeCell ref="BDW8:BDX8"/>
    <mergeCell ref="BDT9:BDV9"/>
    <mergeCell ref="BDW9:BDX9"/>
    <mergeCell ref="BDT10:BDU10"/>
    <mergeCell ref="BDV10:BDX10"/>
    <mergeCell ref="BDT11:BDU11"/>
    <mergeCell ref="BDV11:BDX11"/>
    <mergeCell ref="BDT12:BDU12"/>
    <mergeCell ref="BDV12:BDX12"/>
    <mergeCell ref="BEG22:BEH22"/>
    <mergeCell ref="BEG23:BEH23"/>
    <mergeCell ref="BEG24:BEH24"/>
    <mergeCell ref="BED25:BEF25"/>
    <mergeCell ref="BEG25:BEH25"/>
    <mergeCell ref="BEG26:BEH26"/>
    <mergeCell ref="BED27:BEH27"/>
    <mergeCell ref="BED28:BEH29"/>
    <mergeCell ref="BED13:BEE13"/>
    <mergeCell ref="BEF13:BEH13"/>
    <mergeCell ref="BED14:BEE14"/>
    <mergeCell ref="BEF14:BEH14"/>
    <mergeCell ref="BED15:BEF15"/>
    <mergeCell ref="BEG15:BEH15"/>
    <mergeCell ref="BED16:BEE16"/>
    <mergeCell ref="BEF16:BEH16"/>
    <mergeCell ref="BED17:BEE17"/>
    <mergeCell ref="BEF17:BEH17"/>
    <mergeCell ref="BED18:BEE18"/>
    <mergeCell ref="BEF18:BEH18"/>
    <mergeCell ref="BED19:BEE19"/>
    <mergeCell ref="BEF19:BEH19"/>
    <mergeCell ref="BED20:BEE20"/>
    <mergeCell ref="BEF20:BEH20"/>
    <mergeCell ref="BEG21:BEH21"/>
    <mergeCell ref="BED1:BED2"/>
    <mergeCell ref="BEE1:BEF2"/>
    <mergeCell ref="BEG1:BEG2"/>
    <mergeCell ref="BEG3:BEH3"/>
    <mergeCell ref="BEG4:BEH4"/>
    <mergeCell ref="BEG5:BEH5"/>
    <mergeCell ref="BEG6:BEH6"/>
    <mergeCell ref="BEG7:BEH7"/>
    <mergeCell ref="BEG8:BEH8"/>
    <mergeCell ref="BED9:BEF9"/>
    <mergeCell ref="BEG9:BEH9"/>
    <mergeCell ref="BED10:BEE10"/>
    <mergeCell ref="BEF10:BEH10"/>
    <mergeCell ref="BED11:BEE11"/>
    <mergeCell ref="BEF11:BEH11"/>
    <mergeCell ref="BED12:BEE12"/>
    <mergeCell ref="BEF12:BEH12"/>
    <mergeCell ref="BEV22:BEW22"/>
    <mergeCell ref="BEV23:BEW23"/>
    <mergeCell ref="BEV24:BEW24"/>
    <mergeCell ref="BES25:BEU25"/>
    <mergeCell ref="BEV25:BEW25"/>
    <mergeCell ref="BEV26:BEW26"/>
    <mergeCell ref="BES27:BEW27"/>
    <mergeCell ref="BES28:BEW29"/>
    <mergeCell ref="BES13:BET13"/>
    <mergeCell ref="BEU13:BEW13"/>
    <mergeCell ref="BES14:BET14"/>
    <mergeCell ref="BEU14:BEW14"/>
    <mergeCell ref="BES15:BEU15"/>
    <mergeCell ref="BEV15:BEW15"/>
    <mergeCell ref="BES16:BET16"/>
    <mergeCell ref="BEU16:BEW16"/>
    <mergeCell ref="BES17:BET17"/>
    <mergeCell ref="BEU17:BEW17"/>
    <mergeCell ref="BES18:BET18"/>
    <mergeCell ref="BEU18:BEW18"/>
    <mergeCell ref="BES19:BET19"/>
    <mergeCell ref="BEU19:BEW19"/>
    <mergeCell ref="BES20:BET20"/>
    <mergeCell ref="BEU20:BEW20"/>
    <mergeCell ref="BEV21:BEW21"/>
    <mergeCell ref="BES1:BES2"/>
    <mergeCell ref="BET1:BEU2"/>
    <mergeCell ref="BEV1:BEV2"/>
    <mergeCell ref="BEV3:BEW3"/>
    <mergeCell ref="BEV4:BEW4"/>
    <mergeCell ref="BEV5:BEW5"/>
    <mergeCell ref="BEV6:BEW6"/>
    <mergeCell ref="BEV7:BEW7"/>
    <mergeCell ref="BEV8:BEW8"/>
    <mergeCell ref="BES9:BEU9"/>
    <mergeCell ref="BEV9:BEW9"/>
    <mergeCell ref="BES10:BET10"/>
    <mergeCell ref="BEU10:BEW10"/>
    <mergeCell ref="BES11:BET11"/>
    <mergeCell ref="BEU11:BEW11"/>
    <mergeCell ref="BES12:BET12"/>
    <mergeCell ref="BEU12:BEW12"/>
    <mergeCell ref="BFA22:BFB22"/>
    <mergeCell ref="BFA23:BFB23"/>
    <mergeCell ref="BFA24:BFB24"/>
    <mergeCell ref="BEX25:BEZ25"/>
    <mergeCell ref="BFA25:BFB25"/>
    <mergeCell ref="BFA26:BFB26"/>
    <mergeCell ref="BEX27:BFB27"/>
    <mergeCell ref="BEX28:BFB29"/>
    <mergeCell ref="BEX13:BEY13"/>
    <mergeCell ref="BEZ13:BFB13"/>
    <mergeCell ref="BEX14:BEY14"/>
    <mergeCell ref="BEZ14:BFB14"/>
    <mergeCell ref="BEX15:BEZ15"/>
    <mergeCell ref="BFA15:BFB15"/>
    <mergeCell ref="BEX16:BEY16"/>
    <mergeCell ref="BEZ16:BFB16"/>
    <mergeCell ref="BEX17:BEY17"/>
    <mergeCell ref="BEZ17:BFB17"/>
    <mergeCell ref="BEX18:BEY18"/>
    <mergeCell ref="BEZ18:BFB18"/>
    <mergeCell ref="BEX19:BEY19"/>
    <mergeCell ref="BEZ19:BFB19"/>
    <mergeCell ref="BEX20:BEY20"/>
    <mergeCell ref="BEZ20:BFB20"/>
    <mergeCell ref="BFA21:BFB21"/>
    <mergeCell ref="BEX1:BEX2"/>
    <mergeCell ref="BEY1:BEZ2"/>
    <mergeCell ref="BFA1:BFA2"/>
    <mergeCell ref="BFA3:BFB3"/>
    <mergeCell ref="BFA4:BFB4"/>
    <mergeCell ref="BFA5:BFB5"/>
    <mergeCell ref="BFA6:BFB6"/>
    <mergeCell ref="BFA7:BFB7"/>
    <mergeCell ref="BFA8:BFB8"/>
    <mergeCell ref="BEX9:BEZ9"/>
    <mergeCell ref="BFA9:BFB9"/>
    <mergeCell ref="BEX10:BEY10"/>
    <mergeCell ref="BEZ10:BFB10"/>
    <mergeCell ref="BEX11:BEY11"/>
    <mergeCell ref="BEZ11:BFB11"/>
    <mergeCell ref="BEX12:BEY12"/>
    <mergeCell ref="BEZ12:BFB12"/>
    <mergeCell ref="BFK22:BFL22"/>
    <mergeCell ref="BFK23:BFL23"/>
    <mergeCell ref="BFK24:BFL24"/>
    <mergeCell ref="BFH25:BFJ25"/>
    <mergeCell ref="BFK25:BFL25"/>
    <mergeCell ref="BFK26:BFL26"/>
    <mergeCell ref="BFH27:BFL27"/>
    <mergeCell ref="BFH28:BFL29"/>
    <mergeCell ref="BFH13:BFI13"/>
    <mergeCell ref="BFJ13:BFL13"/>
    <mergeCell ref="BFH14:BFI14"/>
    <mergeCell ref="BFJ14:BFL14"/>
    <mergeCell ref="BFH15:BFJ15"/>
    <mergeCell ref="BFK15:BFL15"/>
    <mergeCell ref="BFH16:BFI16"/>
    <mergeCell ref="BFJ16:BFL16"/>
    <mergeCell ref="BFH17:BFI17"/>
    <mergeCell ref="BFJ17:BFL17"/>
    <mergeCell ref="BFH18:BFI18"/>
    <mergeCell ref="BFJ18:BFL18"/>
    <mergeCell ref="BFH19:BFI19"/>
    <mergeCell ref="BFJ19:BFL19"/>
    <mergeCell ref="BFH20:BFI20"/>
    <mergeCell ref="BFJ20:BFL20"/>
    <mergeCell ref="BFK21:BFL21"/>
    <mergeCell ref="BFH1:BFH2"/>
    <mergeCell ref="BFI1:BFJ2"/>
    <mergeCell ref="BFK1:BFK2"/>
    <mergeCell ref="BFK3:BFL3"/>
    <mergeCell ref="BFK4:BFL4"/>
    <mergeCell ref="BFK5:BFL5"/>
    <mergeCell ref="BFK6:BFL6"/>
    <mergeCell ref="BFK7:BFL7"/>
    <mergeCell ref="BFK8:BFL8"/>
    <mergeCell ref="BFH9:BFJ9"/>
    <mergeCell ref="BFK9:BFL9"/>
    <mergeCell ref="BFH10:BFI10"/>
    <mergeCell ref="BFJ10:BFL10"/>
    <mergeCell ref="BFH11:BFI11"/>
    <mergeCell ref="BFJ11:BFL11"/>
    <mergeCell ref="BFH12:BFI12"/>
    <mergeCell ref="BFJ12:BFL12"/>
    <mergeCell ref="BFU22:BFV22"/>
    <mergeCell ref="BFU23:BFV23"/>
    <mergeCell ref="BFU24:BFV24"/>
    <mergeCell ref="BFR25:BFT25"/>
    <mergeCell ref="BFU25:BFV25"/>
    <mergeCell ref="BFU26:BFV26"/>
    <mergeCell ref="BFR27:BFV27"/>
    <mergeCell ref="BFR28:BFV29"/>
    <mergeCell ref="BFR13:BFS13"/>
    <mergeCell ref="BFT13:BFV13"/>
    <mergeCell ref="BFR14:BFS14"/>
    <mergeCell ref="BFT14:BFV14"/>
    <mergeCell ref="BFR15:BFT15"/>
    <mergeCell ref="BFU15:BFV15"/>
    <mergeCell ref="BFR16:BFS16"/>
    <mergeCell ref="BFT16:BFV16"/>
    <mergeCell ref="BFR17:BFS17"/>
    <mergeCell ref="BFT17:BFV17"/>
    <mergeCell ref="BFR18:BFS18"/>
    <mergeCell ref="BFT18:BFV18"/>
    <mergeCell ref="BFR19:BFS19"/>
    <mergeCell ref="BFT19:BFV19"/>
    <mergeCell ref="BFR20:BFS20"/>
    <mergeCell ref="BFT20:BFV20"/>
    <mergeCell ref="BFU21:BFV21"/>
    <mergeCell ref="BFR1:BFR2"/>
    <mergeCell ref="BFS1:BFT2"/>
    <mergeCell ref="BFU1:BFU2"/>
    <mergeCell ref="BFU3:BFV3"/>
    <mergeCell ref="BFU4:BFV4"/>
    <mergeCell ref="BFU5:BFV5"/>
    <mergeCell ref="BFU6:BFV6"/>
    <mergeCell ref="BFU7:BFV7"/>
    <mergeCell ref="BFU8:BFV8"/>
    <mergeCell ref="BFR9:BFT9"/>
    <mergeCell ref="BFU9:BFV9"/>
    <mergeCell ref="BFR10:BFS10"/>
    <mergeCell ref="BFT10:BFV10"/>
    <mergeCell ref="BFR11:BFS11"/>
    <mergeCell ref="BFT11:BFV11"/>
    <mergeCell ref="BFR12:BFS12"/>
    <mergeCell ref="BFT12:BFV12"/>
    <mergeCell ref="BFZ22:BGA22"/>
    <mergeCell ref="BFZ23:BGA23"/>
    <mergeCell ref="BFZ24:BGA24"/>
    <mergeCell ref="BFW25:BFY25"/>
    <mergeCell ref="BFZ25:BGA25"/>
    <mergeCell ref="BFZ26:BGA26"/>
    <mergeCell ref="BFW27:BGA27"/>
    <mergeCell ref="BFW28:BGA29"/>
    <mergeCell ref="BFW13:BFX13"/>
    <mergeCell ref="BFY13:BGA13"/>
    <mergeCell ref="BFW14:BFX14"/>
    <mergeCell ref="BFY14:BGA14"/>
    <mergeCell ref="BFW15:BFY15"/>
    <mergeCell ref="BFZ15:BGA15"/>
    <mergeCell ref="BFW16:BFX16"/>
    <mergeCell ref="BFY16:BGA16"/>
    <mergeCell ref="BFW17:BFX17"/>
    <mergeCell ref="BFY17:BGA17"/>
    <mergeCell ref="BFW18:BFX18"/>
    <mergeCell ref="BFY18:BGA18"/>
    <mergeCell ref="BFW19:BFX19"/>
    <mergeCell ref="BFY19:BGA19"/>
    <mergeCell ref="BFW20:BFX20"/>
    <mergeCell ref="BFY20:BGA20"/>
    <mergeCell ref="BFZ21:BGA21"/>
    <mergeCell ref="BFW1:BFW2"/>
    <mergeCell ref="BFX1:BFY2"/>
    <mergeCell ref="BFZ1:BFZ2"/>
    <mergeCell ref="BFZ3:BGA3"/>
    <mergeCell ref="BFZ4:BGA4"/>
    <mergeCell ref="BFZ5:BGA5"/>
    <mergeCell ref="BFZ6:BGA6"/>
    <mergeCell ref="BFZ7:BGA7"/>
    <mergeCell ref="BFZ8:BGA8"/>
    <mergeCell ref="BFW9:BFY9"/>
    <mergeCell ref="BFZ9:BGA9"/>
    <mergeCell ref="BFW10:BFX10"/>
    <mergeCell ref="BFY10:BGA10"/>
    <mergeCell ref="BFW11:BFX11"/>
    <mergeCell ref="BFY11:BGA11"/>
    <mergeCell ref="BFW12:BFX12"/>
    <mergeCell ref="BFY12:BGA12"/>
    <mergeCell ref="BGO22:BGP22"/>
    <mergeCell ref="BGO23:BGP23"/>
    <mergeCell ref="BGO24:BGP24"/>
    <mergeCell ref="BGL25:BGN25"/>
    <mergeCell ref="BGO25:BGP25"/>
    <mergeCell ref="BGO26:BGP26"/>
    <mergeCell ref="BGL27:BGP27"/>
    <mergeCell ref="BGL28:BGP29"/>
    <mergeCell ref="BGL13:BGM13"/>
    <mergeCell ref="BGN13:BGP13"/>
    <mergeCell ref="BGL14:BGM14"/>
    <mergeCell ref="BGN14:BGP14"/>
    <mergeCell ref="BGL15:BGN15"/>
    <mergeCell ref="BGO15:BGP15"/>
    <mergeCell ref="BGL16:BGM16"/>
    <mergeCell ref="BGN16:BGP16"/>
    <mergeCell ref="BGL17:BGM17"/>
    <mergeCell ref="BGN17:BGP17"/>
    <mergeCell ref="BGL18:BGM18"/>
    <mergeCell ref="BGN18:BGP18"/>
    <mergeCell ref="BGL19:BGM19"/>
    <mergeCell ref="BGN19:BGP19"/>
    <mergeCell ref="BGL20:BGM20"/>
    <mergeCell ref="BGN20:BGP20"/>
    <mergeCell ref="BGO21:BGP21"/>
    <mergeCell ref="BGL1:BGL2"/>
    <mergeCell ref="BGM1:BGN2"/>
    <mergeCell ref="BGO1:BGO2"/>
    <mergeCell ref="BGO3:BGP3"/>
    <mergeCell ref="BGO4:BGP4"/>
    <mergeCell ref="BGO5:BGP5"/>
    <mergeCell ref="BGO6:BGP6"/>
    <mergeCell ref="BGO7:BGP7"/>
    <mergeCell ref="BGO8:BGP8"/>
    <mergeCell ref="BGL9:BGN9"/>
    <mergeCell ref="BGO9:BGP9"/>
    <mergeCell ref="BGL10:BGM10"/>
    <mergeCell ref="BGN10:BGP10"/>
    <mergeCell ref="BGL11:BGM11"/>
    <mergeCell ref="BGN11:BGP11"/>
    <mergeCell ref="BGL12:BGM12"/>
    <mergeCell ref="BGN12:BGP12"/>
    <mergeCell ref="BGY22:BGZ22"/>
    <mergeCell ref="BGY23:BGZ23"/>
    <mergeCell ref="BGY24:BGZ24"/>
    <mergeCell ref="BGV25:BGX25"/>
    <mergeCell ref="BGY25:BGZ25"/>
    <mergeCell ref="BGY26:BGZ26"/>
    <mergeCell ref="BGV27:BGZ27"/>
    <mergeCell ref="BGV28:BGZ29"/>
    <mergeCell ref="BGV13:BGW13"/>
    <mergeCell ref="BGX13:BGZ13"/>
    <mergeCell ref="BGV14:BGW14"/>
    <mergeCell ref="BGX14:BGZ14"/>
    <mergeCell ref="BGV15:BGX15"/>
    <mergeCell ref="BGY15:BGZ15"/>
    <mergeCell ref="BGV16:BGW16"/>
    <mergeCell ref="BGX16:BGZ16"/>
    <mergeCell ref="BGV17:BGW17"/>
    <mergeCell ref="BGX17:BGZ17"/>
    <mergeCell ref="BGV18:BGW18"/>
    <mergeCell ref="BGX18:BGZ18"/>
    <mergeCell ref="BGV19:BGW19"/>
    <mergeCell ref="BGX19:BGZ19"/>
    <mergeCell ref="BGV20:BGW20"/>
    <mergeCell ref="BGX20:BGZ20"/>
    <mergeCell ref="BGY21:BGZ21"/>
    <mergeCell ref="BGV1:BGV2"/>
    <mergeCell ref="BGW1:BGX2"/>
    <mergeCell ref="BGY1:BGY2"/>
    <mergeCell ref="BGY3:BGZ3"/>
    <mergeCell ref="BGY4:BGZ4"/>
    <mergeCell ref="BGY5:BGZ5"/>
    <mergeCell ref="BGY6:BGZ6"/>
    <mergeCell ref="BGY7:BGZ7"/>
    <mergeCell ref="BGY8:BGZ8"/>
    <mergeCell ref="BGV9:BGX9"/>
    <mergeCell ref="BGY9:BGZ9"/>
    <mergeCell ref="BGV10:BGW10"/>
    <mergeCell ref="BGX10:BGZ10"/>
    <mergeCell ref="BGV11:BGW11"/>
    <mergeCell ref="BGX11:BGZ11"/>
    <mergeCell ref="BGV12:BGW12"/>
    <mergeCell ref="BGX12:BGZ12"/>
    <mergeCell ref="BHI22:BHJ22"/>
    <mergeCell ref="BHI23:BHJ23"/>
    <mergeCell ref="BHI24:BHJ24"/>
    <mergeCell ref="BHF25:BHH25"/>
    <mergeCell ref="BHI25:BHJ25"/>
    <mergeCell ref="BHI26:BHJ26"/>
    <mergeCell ref="BHF27:BHJ27"/>
    <mergeCell ref="BHF28:BHJ29"/>
    <mergeCell ref="BHF13:BHG13"/>
    <mergeCell ref="BHH13:BHJ13"/>
    <mergeCell ref="BHF14:BHG14"/>
    <mergeCell ref="BHH14:BHJ14"/>
    <mergeCell ref="BHF15:BHH15"/>
    <mergeCell ref="BHI15:BHJ15"/>
    <mergeCell ref="BHF16:BHG16"/>
    <mergeCell ref="BHH16:BHJ16"/>
    <mergeCell ref="BHF17:BHG17"/>
    <mergeCell ref="BHH17:BHJ17"/>
    <mergeCell ref="BHF18:BHG18"/>
    <mergeCell ref="BHH18:BHJ18"/>
    <mergeCell ref="BHF19:BHG19"/>
    <mergeCell ref="BHH19:BHJ19"/>
    <mergeCell ref="BHF20:BHG20"/>
    <mergeCell ref="BHH20:BHJ20"/>
    <mergeCell ref="BHI21:BHJ21"/>
    <mergeCell ref="BHF1:BHF2"/>
    <mergeCell ref="BHG1:BHH2"/>
    <mergeCell ref="BHI1:BHI2"/>
    <mergeCell ref="BHI3:BHJ3"/>
    <mergeCell ref="BHI4:BHJ4"/>
    <mergeCell ref="BHI5:BHJ5"/>
    <mergeCell ref="BHI6:BHJ6"/>
    <mergeCell ref="BHI7:BHJ7"/>
    <mergeCell ref="BHI8:BHJ8"/>
    <mergeCell ref="BHF9:BHH9"/>
    <mergeCell ref="BHI9:BHJ9"/>
    <mergeCell ref="BHF10:BHG10"/>
    <mergeCell ref="BHH10:BHJ10"/>
    <mergeCell ref="BHF11:BHG11"/>
    <mergeCell ref="BHH11:BHJ11"/>
    <mergeCell ref="BHF12:BHG12"/>
    <mergeCell ref="BHH12:BHJ12"/>
    <mergeCell ref="BHS22:BHT22"/>
    <mergeCell ref="BHS23:BHT23"/>
    <mergeCell ref="BHS24:BHT24"/>
    <mergeCell ref="BHP25:BHR25"/>
    <mergeCell ref="BHS25:BHT25"/>
    <mergeCell ref="BHS26:BHT26"/>
    <mergeCell ref="BHP27:BHT27"/>
    <mergeCell ref="BHP28:BHT29"/>
    <mergeCell ref="BHP13:BHQ13"/>
    <mergeCell ref="BHR13:BHT13"/>
    <mergeCell ref="BHP14:BHQ14"/>
    <mergeCell ref="BHR14:BHT14"/>
    <mergeCell ref="BHP15:BHR15"/>
    <mergeCell ref="BHS15:BHT15"/>
    <mergeCell ref="BHP16:BHQ16"/>
    <mergeCell ref="BHR16:BHT16"/>
    <mergeCell ref="BHP17:BHQ17"/>
    <mergeCell ref="BHR17:BHT17"/>
    <mergeCell ref="BHP18:BHQ18"/>
    <mergeCell ref="BHR18:BHT18"/>
    <mergeCell ref="BHP19:BHQ19"/>
    <mergeCell ref="BHR19:BHT19"/>
    <mergeCell ref="BHP20:BHQ20"/>
    <mergeCell ref="BHR20:BHT20"/>
    <mergeCell ref="BHS21:BHT21"/>
    <mergeCell ref="BHP1:BHP2"/>
    <mergeCell ref="BHQ1:BHR2"/>
    <mergeCell ref="BHS1:BHS2"/>
    <mergeCell ref="BHS3:BHT3"/>
    <mergeCell ref="BHS4:BHT4"/>
    <mergeCell ref="BHS5:BHT5"/>
    <mergeCell ref="BHS6:BHT6"/>
    <mergeCell ref="BHS7:BHT7"/>
    <mergeCell ref="BHS8:BHT8"/>
    <mergeCell ref="BHP9:BHR9"/>
    <mergeCell ref="BHS9:BHT9"/>
    <mergeCell ref="BHP10:BHQ10"/>
    <mergeCell ref="BHR10:BHT10"/>
    <mergeCell ref="BHP11:BHQ11"/>
    <mergeCell ref="BHR11:BHT11"/>
    <mergeCell ref="BHP12:BHQ12"/>
    <mergeCell ref="BHR12:BHT12"/>
    <mergeCell ref="BIC22:BID22"/>
    <mergeCell ref="BIC23:BID23"/>
    <mergeCell ref="BIC24:BID24"/>
    <mergeCell ref="BHZ25:BIB25"/>
    <mergeCell ref="BIC25:BID25"/>
    <mergeCell ref="BIC26:BID26"/>
    <mergeCell ref="BHZ27:BID27"/>
    <mergeCell ref="BHZ28:BID29"/>
    <mergeCell ref="BHZ13:BIA13"/>
    <mergeCell ref="BIB13:BID13"/>
    <mergeCell ref="BHZ14:BIA14"/>
    <mergeCell ref="BIB14:BID14"/>
    <mergeCell ref="BHZ15:BIB15"/>
    <mergeCell ref="BIC15:BID15"/>
    <mergeCell ref="BHZ16:BIA16"/>
    <mergeCell ref="BIB16:BID16"/>
    <mergeCell ref="BHZ17:BIA17"/>
    <mergeCell ref="BIB17:BID17"/>
    <mergeCell ref="BHZ18:BIA18"/>
    <mergeCell ref="BIB18:BID18"/>
    <mergeCell ref="BHZ19:BIA19"/>
    <mergeCell ref="BIB19:BID19"/>
    <mergeCell ref="BHZ20:BIA20"/>
    <mergeCell ref="BIB20:BID20"/>
    <mergeCell ref="BIC21:BID21"/>
    <mergeCell ref="BHZ1:BHZ2"/>
    <mergeCell ref="BIA1:BIB2"/>
    <mergeCell ref="BIC1:BIC2"/>
    <mergeCell ref="BIC3:BID3"/>
    <mergeCell ref="BIC4:BID4"/>
    <mergeCell ref="BIC5:BID5"/>
    <mergeCell ref="BIC6:BID6"/>
    <mergeCell ref="BIC7:BID7"/>
    <mergeCell ref="BIC8:BID8"/>
    <mergeCell ref="BHZ9:BIB9"/>
    <mergeCell ref="BIC9:BID9"/>
    <mergeCell ref="BHZ10:BIA10"/>
    <mergeCell ref="BIB10:BID10"/>
    <mergeCell ref="BHZ11:BIA11"/>
    <mergeCell ref="BIB11:BID11"/>
    <mergeCell ref="BHZ12:BIA12"/>
    <mergeCell ref="BIB12:BID12"/>
    <mergeCell ref="BIH22:BII22"/>
    <mergeCell ref="BIH23:BII23"/>
    <mergeCell ref="BIH24:BII24"/>
    <mergeCell ref="BIE25:BIG25"/>
    <mergeCell ref="BIH25:BII25"/>
    <mergeCell ref="BIH26:BII26"/>
    <mergeCell ref="BIE27:BII27"/>
    <mergeCell ref="BIE28:BII29"/>
    <mergeCell ref="BIE13:BIF13"/>
    <mergeCell ref="BIG13:BII13"/>
    <mergeCell ref="BIE14:BIF14"/>
    <mergeCell ref="BIG14:BII14"/>
    <mergeCell ref="BIE15:BIG15"/>
    <mergeCell ref="BIH15:BII15"/>
    <mergeCell ref="BIE16:BIF16"/>
    <mergeCell ref="BIG16:BII16"/>
    <mergeCell ref="BIE17:BIF17"/>
    <mergeCell ref="BIG17:BII17"/>
    <mergeCell ref="BIE18:BIF18"/>
    <mergeCell ref="BIG18:BII18"/>
    <mergeCell ref="BIE19:BIF19"/>
    <mergeCell ref="BIG19:BII19"/>
    <mergeCell ref="BIE20:BIF20"/>
    <mergeCell ref="BIG20:BII20"/>
    <mergeCell ref="BIH21:BII21"/>
    <mergeCell ref="BIE1:BIE2"/>
    <mergeCell ref="BIF1:BIG2"/>
    <mergeCell ref="BIH1:BIH2"/>
    <mergeCell ref="BIH3:BII3"/>
    <mergeCell ref="BIH4:BII4"/>
    <mergeCell ref="BIH5:BII5"/>
    <mergeCell ref="BIH6:BII6"/>
    <mergeCell ref="BIH7:BII7"/>
    <mergeCell ref="BIH8:BII8"/>
    <mergeCell ref="BIE9:BIG9"/>
    <mergeCell ref="BIH9:BII9"/>
    <mergeCell ref="BIE10:BIF10"/>
    <mergeCell ref="BIG10:BII10"/>
    <mergeCell ref="BIE11:BIF11"/>
    <mergeCell ref="BIG11:BII11"/>
    <mergeCell ref="BIE12:BIF12"/>
    <mergeCell ref="BIG12:BII12"/>
    <mergeCell ref="BIM22:BIN22"/>
    <mergeCell ref="BIM23:BIN23"/>
    <mergeCell ref="BIM24:BIN24"/>
    <mergeCell ref="BIJ25:BIL25"/>
    <mergeCell ref="BIM25:BIN25"/>
    <mergeCell ref="BIM26:BIN26"/>
    <mergeCell ref="BIJ27:BIN27"/>
    <mergeCell ref="BIJ28:BIN29"/>
    <mergeCell ref="BIJ13:BIK13"/>
    <mergeCell ref="BIL13:BIN13"/>
    <mergeCell ref="BIJ14:BIK14"/>
    <mergeCell ref="BIL14:BIN14"/>
    <mergeCell ref="BIJ15:BIL15"/>
    <mergeCell ref="BIM15:BIN15"/>
    <mergeCell ref="BIJ16:BIK16"/>
    <mergeCell ref="BIL16:BIN16"/>
    <mergeCell ref="BIJ17:BIK17"/>
    <mergeCell ref="BIL17:BIN17"/>
    <mergeCell ref="BIJ18:BIK18"/>
    <mergeCell ref="BIL18:BIN18"/>
    <mergeCell ref="BIJ19:BIK19"/>
    <mergeCell ref="BIL19:BIN19"/>
    <mergeCell ref="BIJ20:BIK20"/>
    <mergeCell ref="BIL20:BIN20"/>
    <mergeCell ref="BIM21:BIN21"/>
    <mergeCell ref="BIJ1:BIJ2"/>
    <mergeCell ref="BIK1:BIL2"/>
    <mergeCell ref="BIM1:BIM2"/>
    <mergeCell ref="BIM3:BIN3"/>
    <mergeCell ref="BIM4:BIN4"/>
    <mergeCell ref="BIM5:BIN5"/>
    <mergeCell ref="BIM6:BIN6"/>
    <mergeCell ref="BIM7:BIN7"/>
    <mergeCell ref="BIM8:BIN8"/>
    <mergeCell ref="BIJ9:BIL9"/>
    <mergeCell ref="BIM9:BIN9"/>
    <mergeCell ref="BIJ10:BIK10"/>
    <mergeCell ref="BIL10:BIN10"/>
    <mergeCell ref="BIJ11:BIK11"/>
    <mergeCell ref="BIL11:BIN11"/>
    <mergeCell ref="BIJ12:BIK12"/>
    <mergeCell ref="BIL12:BIN12"/>
    <mergeCell ref="BIR22:BIS22"/>
    <mergeCell ref="BIR23:BIS23"/>
    <mergeCell ref="BIR24:BIS24"/>
    <mergeCell ref="BIO25:BIQ25"/>
    <mergeCell ref="BIR25:BIS25"/>
    <mergeCell ref="BIR26:BIS26"/>
    <mergeCell ref="BIO27:BIS27"/>
    <mergeCell ref="BIO28:BIS29"/>
    <mergeCell ref="BIO13:BIP13"/>
    <mergeCell ref="BIQ13:BIS13"/>
    <mergeCell ref="BIO14:BIP14"/>
    <mergeCell ref="BIQ14:BIS14"/>
    <mergeCell ref="BIO15:BIQ15"/>
    <mergeCell ref="BIR15:BIS15"/>
    <mergeCell ref="BIO16:BIP16"/>
    <mergeCell ref="BIQ16:BIS16"/>
    <mergeCell ref="BIO17:BIP17"/>
    <mergeCell ref="BIQ17:BIS17"/>
    <mergeCell ref="BIO18:BIP18"/>
    <mergeCell ref="BIQ18:BIS18"/>
    <mergeCell ref="BIO19:BIP19"/>
    <mergeCell ref="BIQ19:BIS19"/>
    <mergeCell ref="BIO20:BIP20"/>
    <mergeCell ref="BIQ20:BIS20"/>
    <mergeCell ref="BIR21:BIS21"/>
    <mergeCell ref="BIO1:BIO2"/>
    <mergeCell ref="BIP1:BIQ2"/>
    <mergeCell ref="BIR1:BIR2"/>
    <mergeCell ref="BIR3:BIS3"/>
    <mergeCell ref="BIR4:BIS4"/>
    <mergeCell ref="BIR5:BIS5"/>
    <mergeCell ref="BIR6:BIS6"/>
    <mergeCell ref="BIR7:BIS7"/>
    <mergeCell ref="BIR8:BIS8"/>
    <mergeCell ref="BIO9:BIQ9"/>
    <mergeCell ref="BIR9:BIS9"/>
    <mergeCell ref="BIO10:BIP10"/>
    <mergeCell ref="BIQ10:BIS10"/>
    <mergeCell ref="BIO11:BIP11"/>
    <mergeCell ref="BIQ11:BIS11"/>
    <mergeCell ref="BIO12:BIP12"/>
    <mergeCell ref="BIQ12:BIS12"/>
    <mergeCell ref="BIW22:BIX22"/>
    <mergeCell ref="BIW23:BIX23"/>
    <mergeCell ref="BIW24:BIX24"/>
    <mergeCell ref="BIT25:BIV25"/>
    <mergeCell ref="BIW25:BIX25"/>
    <mergeCell ref="BIW26:BIX26"/>
    <mergeCell ref="BIT27:BIX27"/>
    <mergeCell ref="BIT28:BIX29"/>
    <mergeCell ref="BIT13:BIU13"/>
    <mergeCell ref="BIV13:BIX13"/>
    <mergeCell ref="BIT14:BIU14"/>
    <mergeCell ref="BIV14:BIX14"/>
    <mergeCell ref="BIT15:BIV15"/>
    <mergeCell ref="BIW15:BIX15"/>
    <mergeCell ref="BIT16:BIU16"/>
    <mergeCell ref="BIV16:BIX16"/>
    <mergeCell ref="BIT17:BIU17"/>
    <mergeCell ref="BIV17:BIX17"/>
    <mergeCell ref="BIT18:BIU18"/>
    <mergeCell ref="BIV18:BIX18"/>
    <mergeCell ref="BIT19:BIU19"/>
    <mergeCell ref="BIV19:BIX19"/>
    <mergeCell ref="BIT20:BIU20"/>
    <mergeCell ref="BIV20:BIX20"/>
    <mergeCell ref="BIW21:BIX21"/>
    <mergeCell ref="BIT1:BIT2"/>
    <mergeCell ref="BIU1:BIV2"/>
    <mergeCell ref="BIW1:BIW2"/>
    <mergeCell ref="BIW3:BIX3"/>
    <mergeCell ref="BIW4:BIX4"/>
    <mergeCell ref="BIW5:BIX5"/>
    <mergeCell ref="BIW6:BIX6"/>
    <mergeCell ref="BIW7:BIX7"/>
    <mergeCell ref="BIW8:BIX8"/>
    <mergeCell ref="BIT9:BIV9"/>
    <mergeCell ref="BIW9:BIX9"/>
    <mergeCell ref="BIT10:BIU10"/>
    <mergeCell ref="BIV10:BIX10"/>
    <mergeCell ref="BIT11:BIU11"/>
    <mergeCell ref="BIV11:BIX11"/>
    <mergeCell ref="BIT12:BIU12"/>
    <mergeCell ref="BIV12:BIX12"/>
    <mergeCell ref="BJG22:BJH22"/>
    <mergeCell ref="BJG23:BJH23"/>
    <mergeCell ref="BJG24:BJH24"/>
    <mergeCell ref="BJD25:BJF25"/>
    <mergeCell ref="BJG25:BJH25"/>
    <mergeCell ref="BJG26:BJH26"/>
    <mergeCell ref="BJD27:BJH27"/>
    <mergeCell ref="BJD28:BJH29"/>
    <mergeCell ref="BJD13:BJE13"/>
    <mergeCell ref="BJF13:BJH13"/>
    <mergeCell ref="BJD14:BJE14"/>
    <mergeCell ref="BJF14:BJH14"/>
    <mergeCell ref="BJD15:BJF15"/>
    <mergeCell ref="BJG15:BJH15"/>
    <mergeCell ref="BJD16:BJE16"/>
    <mergeCell ref="BJF16:BJH16"/>
    <mergeCell ref="BJD17:BJE17"/>
    <mergeCell ref="BJF17:BJH17"/>
    <mergeCell ref="BJD18:BJE18"/>
    <mergeCell ref="BJF18:BJH18"/>
    <mergeCell ref="BJD19:BJE19"/>
    <mergeCell ref="BJF19:BJH19"/>
    <mergeCell ref="BJD20:BJE20"/>
    <mergeCell ref="BJF20:BJH20"/>
    <mergeCell ref="BJG21:BJH21"/>
    <mergeCell ref="BJD1:BJD2"/>
    <mergeCell ref="BJE1:BJF2"/>
    <mergeCell ref="BJG1:BJG2"/>
    <mergeCell ref="BJG3:BJH3"/>
    <mergeCell ref="BJG4:BJH4"/>
    <mergeCell ref="BJG5:BJH5"/>
    <mergeCell ref="BJG6:BJH6"/>
    <mergeCell ref="BJG7:BJH7"/>
    <mergeCell ref="BJG8:BJH8"/>
    <mergeCell ref="BJD9:BJF9"/>
    <mergeCell ref="BJG9:BJH9"/>
    <mergeCell ref="BJD10:BJE10"/>
    <mergeCell ref="BJF10:BJH10"/>
    <mergeCell ref="BJD11:BJE11"/>
    <mergeCell ref="BJF11:BJH11"/>
    <mergeCell ref="BJD12:BJE12"/>
    <mergeCell ref="BJF12:BJH12"/>
    <mergeCell ref="BJQ22:BJR22"/>
    <mergeCell ref="BJQ23:BJR23"/>
    <mergeCell ref="BJQ24:BJR24"/>
    <mergeCell ref="BJN25:BJP25"/>
    <mergeCell ref="BJQ25:BJR25"/>
    <mergeCell ref="BJQ26:BJR26"/>
    <mergeCell ref="BJN27:BJR27"/>
    <mergeCell ref="BJN28:BJR29"/>
    <mergeCell ref="BJN13:BJO13"/>
    <mergeCell ref="BJP13:BJR13"/>
    <mergeCell ref="BJN14:BJO14"/>
    <mergeCell ref="BJP14:BJR14"/>
    <mergeCell ref="BJN15:BJP15"/>
    <mergeCell ref="BJQ15:BJR15"/>
    <mergeCell ref="BJN16:BJO16"/>
    <mergeCell ref="BJP16:BJR16"/>
    <mergeCell ref="BJN17:BJO17"/>
    <mergeCell ref="BJP17:BJR17"/>
    <mergeCell ref="BJN18:BJO18"/>
    <mergeCell ref="BJP18:BJR18"/>
    <mergeCell ref="BJN19:BJO19"/>
    <mergeCell ref="BJP19:BJR19"/>
    <mergeCell ref="BJN20:BJO20"/>
    <mergeCell ref="BJP20:BJR20"/>
    <mergeCell ref="BJQ21:BJR21"/>
    <mergeCell ref="BJN1:BJN2"/>
    <mergeCell ref="BJO1:BJP2"/>
    <mergeCell ref="BJQ1:BJQ2"/>
    <mergeCell ref="BJQ3:BJR3"/>
    <mergeCell ref="BJQ4:BJR4"/>
    <mergeCell ref="BJQ5:BJR5"/>
    <mergeCell ref="BJQ6:BJR6"/>
    <mergeCell ref="BJQ7:BJR7"/>
    <mergeCell ref="BJQ8:BJR8"/>
    <mergeCell ref="BJN9:BJP9"/>
    <mergeCell ref="BJQ9:BJR9"/>
    <mergeCell ref="BJN10:BJO10"/>
    <mergeCell ref="BJP10:BJR10"/>
    <mergeCell ref="BJN11:BJO11"/>
    <mergeCell ref="BJP11:BJR11"/>
    <mergeCell ref="BJN12:BJO12"/>
    <mergeCell ref="BJP12:BJR12"/>
    <mergeCell ref="BKT18:BKV18"/>
    <mergeCell ref="BKR19:BKS19"/>
    <mergeCell ref="BKT19:BKV19"/>
    <mergeCell ref="BKR20:BKS20"/>
    <mergeCell ref="BKT20:BKV20"/>
    <mergeCell ref="BKU21:BKV21"/>
    <mergeCell ref="BKR1:BKR2"/>
    <mergeCell ref="BKS1:BKT2"/>
    <mergeCell ref="BKU1:BKU2"/>
    <mergeCell ref="BKU3:BKV3"/>
    <mergeCell ref="BKU4:BKV4"/>
    <mergeCell ref="BKU5:BKV5"/>
    <mergeCell ref="BKU6:BKV6"/>
    <mergeCell ref="BKU7:BKV7"/>
    <mergeCell ref="BKU8:BKV8"/>
    <mergeCell ref="BKR9:BKT9"/>
    <mergeCell ref="BKU9:BKV9"/>
    <mergeCell ref="BKR10:BKS10"/>
    <mergeCell ref="BKT10:BKV10"/>
    <mergeCell ref="BKR11:BKS11"/>
    <mergeCell ref="BKT11:BKV11"/>
    <mergeCell ref="BKR12:BKS12"/>
    <mergeCell ref="BKT12:BKV12"/>
    <mergeCell ref="BKF22:BKG22"/>
    <mergeCell ref="BKF23:BKG23"/>
    <mergeCell ref="BKF24:BKG24"/>
    <mergeCell ref="BKC25:BKE25"/>
    <mergeCell ref="BKF25:BKG25"/>
    <mergeCell ref="BKF26:BKG26"/>
    <mergeCell ref="BKC27:BKG27"/>
    <mergeCell ref="BKC28:BKG29"/>
    <mergeCell ref="BKC13:BKD13"/>
    <mergeCell ref="BKE13:BKG13"/>
    <mergeCell ref="BKC14:BKD14"/>
    <mergeCell ref="BKE14:BKG14"/>
    <mergeCell ref="BKC15:BKE15"/>
    <mergeCell ref="BKF15:BKG15"/>
    <mergeCell ref="BKC16:BKD16"/>
    <mergeCell ref="BKE16:BKG16"/>
    <mergeCell ref="BKC17:BKD17"/>
    <mergeCell ref="BKE17:BKG17"/>
    <mergeCell ref="BKC18:BKD18"/>
    <mergeCell ref="BKE18:BKG18"/>
    <mergeCell ref="BKC19:BKD19"/>
    <mergeCell ref="BKE19:BKG19"/>
    <mergeCell ref="BKC20:BKD20"/>
    <mergeCell ref="BKE20:BKG20"/>
    <mergeCell ref="BKF21:BKG21"/>
    <mergeCell ref="BKC1:BKC2"/>
    <mergeCell ref="BKD1:BKE2"/>
    <mergeCell ref="BKF1:BKF2"/>
    <mergeCell ref="BKF3:BKG3"/>
    <mergeCell ref="BKF4:BKG4"/>
    <mergeCell ref="BKF5:BKG5"/>
    <mergeCell ref="BKF6:BKG6"/>
    <mergeCell ref="BKF7:BKG7"/>
    <mergeCell ref="BKF8:BKG8"/>
    <mergeCell ref="BKC9:BKE9"/>
    <mergeCell ref="BKF9:BKG9"/>
    <mergeCell ref="BKC10:BKD10"/>
    <mergeCell ref="BKE10:BKG10"/>
    <mergeCell ref="BKC11:BKD11"/>
    <mergeCell ref="BKE11:BKG11"/>
    <mergeCell ref="BKC12:BKD12"/>
    <mergeCell ref="BLE22:BLF22"/>
    <mergeCell ref="BLE23:BLF23"/>
    <mergeCell ref="BLE24:BLF24"/>
    <mergeCell ref="BLB25:BLD25"/>
    <mergeCell ref="BLE25:BLF25"/>
    <mergeCell ref="BLE26:BLF26"/>
    <mergeCell ref="BLB27:BLF27"/>
    <mergeCell ref="BLB28:BLF29"/>
    <mergeCell ref="BLB13:BLC13"/>
    <mergeCell ref="BLD13:BLF13"/>
    <mergeCell ref="BLB14:BLC14"/>
    <mergeCell ref="BLD14:BLF14"/>
    <mergeCell ref="BLB15:BLD15"/>
    <mergeCell ref="BLE15:BLF15"/>
    <mergeCell ref="BLB16:BLC16"/>
    <mergeCell ref="BLD16:BLF16"/>
    <mergeCell ref="BLB17:BLC17"/>
    <mergeCell ref="BLD17:BLF17"/>
    <mergeCell ref="BLB18:BLC18"/>
    <mergeCell ref="BLD18:BLF18"/>
    <mergeCell ref="BLB19:BLC19"/>
    <mergeCell ref="BLD19:BLF19"/>
    <mergeCell ref="BLB20:BLC20"/>
    <mergeCell ref="BLD20:BLF20"/>
    <mergeCell ref="BLE21:BLF21"/>
    <mergeCell ref="BLB1:BLB2"/>
    <mergeCell ref="BLC1:BLD2"/>
    <mergeCell ref="BLE1:BLE2"/>
    <mergeCell ref="BLE3:BLF3"/>
    <mergeCell ref="BLE4:BLF4"/>
    <mergeCell ref="BLE5:BLF5"/>
    <mergeCell ref="BLE6:BLF6"/>
    <mergeCell ref="BLE7:BLF7"/>
    <mergeCell ref="BLE8:BLF8"/>
    <mergeCell ref="BLB9:BLD9"/>
    <mergeCell ref="BLE9:BLF9"/>
    <mergeCell ref="BLB10:BLC10"/>
    <mergeCell ref="BLD10:BLF10"/>
    <mergeCell ref="BLB11:BLC11"/>
    <mergeCell ref="BLD11:BLF11"/>
    <mergeCell ref="BLB12:BLC12"/>
    <mergeCell ref="BLD12:BLF12"/>
    <mergeCell ref="BLT22:BLU22"/>
    <mergeCell ref="BLT23:BLU23"/>
    <mergeCell ref="BLT24:BLU24"/>
    <mergeCell ref="BLQ25:BLS25"/>
    <mergeCell ref="BLT25:BLU25"/>
    <mergeCell ref="BLT26:BLU26"/>
    <mergeCell ref="BLQ27:BLU27"/>
    <mergeCell ref="BLQ28:BLU29"/>
    <mergeCell ref="BLQ13:BLR13"/>
    <mergeCell ref="BLS13:BLU13"/>
    <mergeCell ref="BLQ14:BLR14"/>
    <mergeCell ref="BLS14:BLU14"/>
    <mergeCell ref="BLQ15:BLS15"/>
    <mergeCell ref="BLT15:BLU15"/>
    <mergeCell ref="BLQ16:BLR16"/>
    <mergeCell ref="BLS16:BLU16"/>
    <mergeCell ref="BLQ17:BLR17"/>
    <mergeCell ref="BLS17:BLU17"/>
    <mergeCell ref="BLQ18:BLR18"/>
    <mergeCell ref="BLS18:BLU18"/>
    <mergeCell ref="BLQ19:BLR19"/>
    <mergeCell ref="BLS19:BLU19"/>
    <mergeCell ref="BLQ20:BLR20"/>
    <mergeCell ref="BLS20:BLU20"/>
    <mergeCell ref="BLT21:BLU21"/>
    <mergeCell ref="BLQ1:BLQ2"/>
    <mergeCell ref="BLR1:BLS2"/>
    <mergeCell ref="BLT1:BLT2"/>
    <mergeCell ref="BLT3:BLU3"/>
    <mergeCell ref="BLT4:BLU4"/>
    <mergeCell ref="BLT5:BLU5"/>
    <mergeCell ref="BLT6:BLU6"/>
    <mergeCell ref="BLT7:BLU7"/>
    <mergeCell ref="BLT8:BLU8"/>
    <mergeCell ref="BLQ9:BLS9"/>
    <mergeCell ref="BLT9:BLU9"/>
    <mergeCell ref="BLQ10:BLR10"/>
    <mergeCell ref="BLS10:BLU10"/>
    <mergeCell ref="BLQ11:BLR11"/>
    <mergeCell ref="BLS11:BLU11"/>
    <mergeCell ref="BLQ12:BLR12"/>
    <mergeCell ref="BLS12:BLU12"/>
    <mergeCell ref="BMI22:BMJ22"/>
    <mergeCell ref="BMI23:BMJ23"/>
    <mergeCell ref="BMI24:BMJ24"/>
    <mergeCell ref="BMF25:BMH25"/>
    <mergeCell ref="BMI25:BMJ25"/>
    <mergeCell ref="BMI26:BMJ26"/>
    <mergeCell ref="BMF27:BMJ27"/>
    <mergeCell ref="BMF28:BMJ29"/>
    <mergeCell ref="BMF13:BMG13"/>
    <mergeCell ref="BMH13:BMJ13"/>
    <mergeCell ref="BMF14:BMG14"/>
    <mergeCell ref="BMH14:BMJ14"/>
    <mergeCell ref="BMF15:BMH15"/>
    <mergeCell ref="BMI15:BMJ15"/>
    <mergeCell ref="BMF16:BMG16"/>
    <mergeCell ref="BMH16:BMJ16"/>
    <mergeCell ref="BMF17:BMG17"/>
    <mergeCell ref="BMH17:BMJ17"/>
    <mergeCell ref="BMF18:BMG18"/>
    <mergeCell ref="BMH18:BMJ18"/>
    <mergeCell ref="BMF19:BMG19"/>
    <mergeCell ref="BMH19:BMJ19"/>
    <mergeCell ref="BMF20:BMG20"/>
    <mergeCell ref="BMH20:BMJ20"/>
    <mergeCell ref="BMI21:BMJ21"/>
    <mergeCell ref="BMF1:BMF2"/>
    <mergeCell ref="BMG1:BMH2"/>
    <mergeCell ref="BMI1:BMI2"/>
    <mergeCell ref="BMI3:BMJ3"/>
    <mergeCell ref="BMI4:BMJ4"/>
    <mergeCell ref="BMI5:BMJ5"/>
    <mergeCell ref="BMI6:BMJ6"/>
    <mergeCell ref="BMI7:BMJ7"/>
    <mergeCell ref="BMI8:BMJ8"/>
    <mergeCell ref="BMF9:BMH9"/>
    <mergeCell ref="BMI9:BMJ9"/>
    <mergeCell ref="BMF10:BMG10"/>
    <mergeCell ref="BMH10:BMJ10"/>
    <mergeCell ref="BMF11:BMG11"/>
    <mergeCell ref="BMH11:BMJ11"/>
    <mergeCell ref="BMF12:BMG12"/>
    <mergeCell ref="BMH12:BMJ12"/>
    <mergeCell ref="BMX22:BMY22"/>
    <mergeCell ref="BMX23:BMY23"/>
    <mergeCell ref="BMX24:BMY24"/>
    <mergeCell ref="BMU25:BMW25"/>
    <mergeCell ref="BMX25:BMY25"/>
    <mergeCell ref="BMX26:BMY26"/>
    <mergeCell ref="BMU27:BMY27"/>
    <mergeCell ref="BMU28:BMY29"/>
    <mergeCell ref="BMU13:BMV13"/>
    <mergeCell ref="BMW13:BMY13"/>
    <mergeCell ref="BMU14:BMV14"/>
    <mergeCell ref="BMW14:BMY14"/>
    <mergeCell ref="BMU15:BMW15"/>
    <mergeCell ref="BMX15:BMY15"/>
    <mergeCell ref="BMU16:BMV16"/>
    <mergeCell ref="BMW16:BMY16"/>
    <mergeCell ref="BMU17:BMV17"/>
    <mergeCell ref="BMW17:BMY17"/>
    <mergeCell ref="BMU18:BMV18"/>
    <mergeCell ref="BMW18:BMY18"/>
    <mergeCell ref="BMU19:BMV19"/>
    <mergeCell ref="BMW19:BMY19"/>
    <mergeCell ref="BMU20:BMV20"/>
    <mergeCell ref="BMW20:BMY20"/>
    <mergeCell ref="BMX21:BMY21"/>
    <mergeCell ref="BMU1:BMU2"/>
    <mergeCell ref="BMV1:BMW2"/>
    <mergeCell ref="BMX1:BMX2"/>
    <mergeCell ref="BMX3:BMY3"/>
    <mergeCell ref="BMX4:BMY4"/>
    <mergeCell ref="BMX5:BMY5"/>
    <mergeCell ref="BMX6:BMY6"/>
    <mergeCell ref="BMX7:BMY7"/>
    <mergeCell ref="BMX8:BMY8"/>
    <mergeCell ref="BMU9:BMW9"/>
    <mergeCell ref="BMX9:BMY9"/>
    <mergeCell ref="BMU10:BMV10"/>
    <mergeCell ref="BMW10:BMY10"/>
    <mergeCell ref="BMU11:BMV11"/>
    <mergeCell ref="BMW11:BMY11"/>
    <mergeCell ref="BMU12:BMV12"/>
    <mergeCell ref="BMW12:BMY12"/>
    <mergeCell ref="BNM22:BNN22"/>
    <mergeCell ref="BNM23:BNN23"/>
    <mergeCell ref="BNM24:BNN24"/>
    <mergeCell ref="BNJ25:BNL25"/>
    <mergeCell ref="BNM25:BNN25"/>
    <mergeCell ref="BNM26:BNN26"/>
    <mergeCell ref="BNJ27:BNN27"/>
    <mergeCell ref="BNJ28:BNN29"/>
    <mergeCell ref="BNJ13:BNK13"/>
    <mergeCell ref="BNL13:BNN13"/>
    <mergeCell ref="BNJ14:BNK14"/>
    <mergeCell ref="BNL14:BNN14"/>
    <mergeCell ref="BNJ15:BNL15"/>
    <mergeCell ref="BNM15:BNN15"/>
    <mergeCell ref="BNJ16:BNK16"/>
    <mergeCell ref="BNL16:BNN16"/>
    <mergeCell ref="BNJ17:BNK17"/>
    <mergeCell ref="BNL17:BNN17"/>
    <mergeCell ref="BNJ18:BNK18"/>
    <mergeCell ref="BNL18:BNN18"/>
    <mergeCell ref="BNJ19:BNK19"/>
    <mergeCell ref="BNL19:BNN19"/>
    <mergeCell ref="BNJ20:BNK20"/>
    <mergeCell ref="BNL20:BNN20"/>
    <mergeCell ref="BNM21:BNN21"/>
    <mergeCell ref="BNJ1:BNJ2"/>
    <mergeCell ref="BNK1:BNL2"/>
    <mergeCell ref="BNM1:BNM2"/>
    <mergeCell ref="BNM3:BNN3"/>
    <mergeCell ref="BNM4:BNN4"/>
    <mergeCell ref="BNM5:BNN5"/>
    <mergeCell ref="BNM6:BNN6"/>
    <mergeCell ref="BNM7:BNN7"/>
    <mergeCell ref="BNM8:BNN8"/>
    <mergeCell ref="BNJ9:BNL9"/>
    <mergeCell ref="BNM9:BNN9"/>
    <mergeCell ref="BNJ10:BNK10"/>
    <mergeCell ref="BNL10:BNN10"/>
    <mergeCell ref="BNJ11:BNK11"/>
    <mergeCell ref="BNL11:BNN11"/>
    <mergeCell ref="BNJ12:BNK12"/>
    <mergeCell ref="BNL12:BNN12"/>
    <mergeCell ref="BOB22:BOC22"/>
    <mergeCell ref="BOB23:BOC23"/>
    <mergeCell ref="BOB24:BOC24"/>
    <mergeCell ref="BNY25:BOA25"/>
    <mergeCell ref="BOB25:BOC25"/>
    <mergeCell ref="BOB26:BOC26"/>
    <mergeCell ref="BNY27:BOC27"/>
    <mergeCell ref="BNY28:BOC29"/>
    <mergeCell ref="BNY13:BNZ13"/>
    <mergeCell ref="BOA13:BOC13"/>
    <mergeCell ref="BNY14:BNZ14"/>
    <mergeCell ref="BOA14:BOC14"/>
    <mergeCell ref="BNY15:BOA15"/>
    <mergeCell ref="BOB15:BOC15"/>
    <mergeCell ref="BNY16:BNZ16"/>
    <mergeCell ref="BOA16:BOC16"/>
    <mergeCell ref="BNY17:BNZ17"/>
    <mergeCell ref="BOA17:BOC17"/>
    <mergeCell ref="BNY18:BNZ18"/>
    <mergeCell ref="BOA18:BOC18"/>
    <mergeCell ref="BNY19:BNZ19"/>
    <mergeCell ref="BOA19:BOC19"/>
    <mergeCell ref="BNY20:BNZ20"/>
    <mergeCell ref="BOA20:BOC20"/>
    <mergeCell ref="BOB21:BOC21"/>
    <mergeCell ref="BNY1:BNY2"/>
    <mergeCell ref="BNZ1:BOA2"/>
    <mergeCell ref="BOB1:BOB2"/>
    <mergeCell ref="BOB3:BOC3"/>
    <mergeCell ref="BOB4:BOC4"/>
    <mergeCell ref="BOB5:BOC5"/>
    <mergeCell ref="BOB6:BOC6"/>
    <mergeCell ref="BOB7:BOC7"/>
    <mergeCell ref="BOB8:BOC8"/>
    <mergeCell ref="BNY9:BOA9"/>
    <mergeCell ref="BOB9:BOC9"/>
    <mergeCell ref="BNY10:BNZ10"/>
    <mergeCell ref="BOA10:BOC10"/>
    <mergeCell ref="BNY11:BNZ11"/>
    <mergeCell ref="BOA11:BOC11"/>
    <mergeCell ref="BNY12:BNZ12"/>
    <mergeCell ref="BOA12:BOC12"/>
    <mergeCell ref="BOG22:BOH22"/>
    <mergeCell ref="BOG23:BOH23"/>
    <mergeCell ref="BOG24:BOH24"/>
    <mergeCell ref="BOD25:BOF25"/>
    <mergeCell ref="BOG25:BOH25"/>
    <mergeCell ref="BOG26:BOH26"/>
    <mergeCell ref="BOD27:BOH27"/>
    <mergeCell ref="BOD28:BOH29"/>
    <mergeCell ref="BOD13:BOE13"/>
    <mergeCell ref="BOF13:BOH13"/>
    <mergeCell ref="BOD14:BOE14"/>
    <mergeCell ref="BOF14:BOH14"/>
    <mergeCell ref="BOD15:BOF15"/>
    <mergeCell ref="BOG15:BOH15"/>
    <mergeCell ref="BOD16:BOE16"/>
    <mergeCell ref="BOF16:BOH16"/>
    <mergeCell ref="BOD17:BOE17"/>
    <mergeCell ref="BOF17:BOH17"/>
    <mergeCell ref="BOD18:BOE18"/>
    <mergeCell ref="BOF18:BOH18"/>
    <mergeCell ref="BOD19:BOE19"/>
    <mergeCell ref="BOF19:BOH19"/>
    <mergeCell ref="BOD20:BOE20"/>
    <mergeCell ref="BOF20:BOH20"/>
    <mergeCell ref="BOG21:BOH21"/>
    <mergeCell ref="BOD1:BOD2"/>
    <mergeCell ref="BOE1:BOF2"/>
    <mergeCell ref="BOG1:BOG2"/>
    <mergeCell ref="BOG3:BOH3"/>
    <mergeCell ref="BOG4:BOH4"/>
    <mergeCell ref="BOG5:BOH5"/>
    <mergeCell ref="BOG6:BOH6"/>
    <mergeCell ref="BOG7:BOH7"/>
    <mergeCell ref="BOG8:BOH8"/>
    <mergeCell ref="BOD9:BOF9"/>
    <mergeCell ref="BOG9:BOH9"/>
    <mergeCell ref="BOD10:BOE10"/>
    <mergeCell ref="BOF10:BOH10"/>
    <mergeCell ref="BOD11:BOE11"/>
    <mergeCell ref="BOF11:BOH11"/>
    <mergeCell ref="BOD12:BOE12"/>
    <mergeCell ref="BOF12:BOH12"/>
    <mergeCell ref="BOL22:BOM22"/>
    <mergeCell ref="BOL23:BOM23"/>
    <mergeCell ref="BOL24:BOM24"/>
    <mergeCell ref="BOI25:BOK25"/>
    <mergeCell ref="BOL25:BOM25"/>
    <mergeCell ref="BOL26:BOM26"/>
    <mergeCell ref="BOI27:BOM27"/>
    <mergeCell ref="BOI28:BOM29"/>
    <mergeCell ref="BOI13:BOJ13"/>
    <mergeCell ref="BOK13:BOM13"/>
    <mergeCell ref="BOI14:BOJ14"/>
    <mergeCell ref="BOK14:BOM14"/>
    <mergeCell ref="BOI15:BOK15"/>
    <mergeCell ref="BOL15:BOM15"/>
    <mergeCell ref="BOI16:BOJ16"/>
    <mergeCell ref="BOK16:BOM16"/>
    <mergeCell ref="BOI17:BOJ17"/>
    <mergeCell ref="BOK17:BOM17"/>
    <mergeCell ref="BOI18:BOJ18"/>
    <mergeCell ref="BOK18:BOM18"/>
    <mergeCell ref="BOI19:BOJ19"/>
    <mergeCell ref="BOK19:BOM19"/>
    <mergeCell ref="BOI20:BOJ20"/>
    <mergeCell ref="BOK20:BOM20"/>
    <mergeCell ref="BOL21:BOM21"/>
    <mergeCell ref="BOI1:BOI2"/>
    <mergeCell ref="BOJ1:BOK2"/>
    <mergeCell ref="BOL1:BOL2"/>
    <mergeCell ref="BOL3:BOM3"/>
    <mergeCell ref="BOL4:BOM4"/>
    <mergeCell ref="BOL5:BOM5"/>
    <mergeCell ref="BOL6:BOM6"/>
    <mergeCell ref="BOL7:BOM7"/>
    <mergeCell ref="BOL8:BOM8"/>
    <mergeCell ref="BOI9:BOK9"/>
    <mergeCell ref="BOL9:BOM9"/>
    <mergeCell ref="BOI10:BOJ10"/>
    <mergeCell ref="BOK10:BOM10"/>
    <mergeCell ref="BOI11:BOJ11"/>
    <mergeCell ref="BOK11:BOM11"/>
    <mergeCell ref="BOI12:BOJ12"/>
    <mergeCell ref="BOK12:BOM12"/>
    <mergeCell ref="BOV22:BOW22"/>
    <mergeCell ref="BOV23:BOW23"/>
    <mergeCell ref="BOV24:BOW24"/>
    <mergeCell ref="BOS25:BOU25"/>
    <mergeCell ref="BOV25:BOW25"/>
    <mergeCell ref="BOV26:BOW26"/>
    <mergeCell ref="BOS27:BOW27"/>
    <mergeCell ref="BOS28:BOW29"/>
    <mergeCell ref="BOS13:BOT13"/>
    <mergeCell ref="BOU13:BOW13"/>
    <mergeCell ref="BOS14:BOT14"/>
    <mergeCell ref="BOU14:BOW14"/>
    <mergeCell ref="BOS15:BOU15"/>
    <mergeCell ref="BOV15:BOW15"/>
    <mergeCell ref="BOS16:BOT16"/>
    <mergeCell ref="BOU16:BOW16"/>
    <mergeCell ref="BOS17:BOT17"/>
    <mergeCell ref="BOU17:BOW17"/>
    <mergeCell ref="BOS18:BOT18"/>
    <mergeCell ref="BOU18:BOW18"/>
    <mergeCell ref="BOS19:BOT19"/>
    <mergeCell ref="BOU19:BOW19"/>
    <mergeCell ref="BOS20:BOT20"/>
    <mergeCell ref="BOU20:BOW20"/>
    <mergeCell ref="BOV21:BOW21"/>
    <mergeCell ref="BOS1:BOS2"/>
    <mergeCell ref="BOT1:BOU2"/>
    <mergeCell ref="BOV1:BOV2"/>
    <mergeCell ref="BOV3:BOW3"/>
    <mergeCell ref="BOV4:BOW4"/>
    <mergeCell ref="BOV5:BOW5"/>
    <mergeCell ref="BOV6:BOW6"/>
    <mergeCell ref="BOV7:BOW7"/>
    <mergeCell ref="BOV8:BOW8"/>
    <mergeCell ref="BOS9:BOU9"/>
    <mergeCell ref="BOV9:BOW9"/>
    <mergeCell ref="BOS10:BOT10"/>
    <mergeCell ref="BOU10:BOW10"/>
    <mergeCell ref="BOS11:BOT11"/>
    <mergeCell ref="BOU11:BOW11"/>
    <mergeCell ref="BOS12:BOT12"/>
    <mergeCell ref="BOU12:BOW12"/>
    <mergeCell ref="BPF22:BPG22"/>
    <mergeCell ref="BPF23:BPG23"/>
    <mergeCell ref="BPF24:BPG24"/>
    <mergeCell ref="BPC25:BPE25"/>
    <mergeCell ref="BPF25:BPG25"/>
    <mergeCell ref="BPF26:BPG26"/>
    <mergeCell ref="BPC27:BPG27"/>
    <mergeCell ref="BPC28:BPG29"/>
    <mergeCell ref="BPC13:BPD13"/>
    <mergeCell ref="BPE13:BPG13"/>
    <mergeCell ref="BPC14:BPD14"/>
    <mergeCell ref="BPE14:BPG14"/>
    <mergeCell ref="BPC15:BPE15"/>
    <mergeCell ref="BPF15:BPG15"/>
    <mergeCell ref="BPC16:BPD16"/>
    <mergeCell ref="BPE16:BPG16"/>
    <mergeCell ref="BPC17:BPD17"/>
    <mergeCell ref="BPE17:BPG17"/>
    <mergeCell ref="BPC18:BPD18"/>
    <mergeCell ref="BPE18:BPG18"/>
    <mergeCell ref="BPC19:BPD19"/>
    <mergeCell ref="BPE19:BPG19"/>
    <mergeCell ref="BPC20:BPD20"/>
    <mergeCell ref="BPE20:BPG20"/>
    <mergeCell ref="BPF21:BPG21"/>
    <mergeCell ref="BPC1:BPC2"/>
    <mergeCell ref="BPD1:BPE2"/>
    <mergeCell ref="BPF1:BPF2"/>
    <mergeCell ref="BPF3:BPG3"/>
    <mergeCell ref="BPF4:BPG4"/>
    <mergeCell ref="BPF5:BPG5"/>
    <mergeCell ref="BPF6:BPG6"/>
    <mergeCell ref="BPF7:BPG7"/>
    <mergeCell ref="BPF8:BPG8"/>
    <mergeCell ref="BPC9:BPE9"/>
    <mergeCell ref="BPF9:BPG9"/>
    <mergeCell ref="BPC10:BPD10"/>
    <mergeCell ref="BPE10:BPG10"/>
    <mergeCell ref="BPC11:BPD11"/>
    <mergeCell ref="BPE11:BPG11"/>
    <mergeCell ref="BPC12:BPD12"/>
    <mergeCell ref="BPE12:BPG12"/>
    <mergeCell ref="BPP22:BPQ22"/>
    <mergeCell ref="BPP23:BPQ23"/>
    <mergeCell ref="BPP24:BPQ24"/>
    <mergeCell ref="BPM25:BPO25"/>
    <mergeCell ref="BPP25:BPQ25"/>
    <mergeCell ref="BPP26:BPQ26"/>
    <mergeCell ref="BPM27:BPQ27"/>
    <mergeCell ref="BPM28:BPQ29"/>
    <mergeCell ref="BPM13:BPN13"/>
    <mergeCell ref="BPO13:BPQ13"/>
    <mergeCell ref="BPM14:BPN14"/>
    <mergeCell ref="BPO14:BPQ14"/>
    <mergeCell ref="BPM15:BPO15"/>
    <mergeCell ref="BPP15:BPQ15"/>
    <mergeCell ref="BPM16:BPN16"/>
    <mergeCell ref="BPO16:BPQ16"/>
    <mergeCell ref="BPM17:BPN17"/>
    <mergeCell ref="BPO17:BPQ17"/>
    <mergeCell ref="BPM18:BPN18"/>
    <mergeCell ref="BPO18:BPQ18"/>
    <mergeCell ref="BPM19:BPN19"/>
    <mergeCell ref="BPO19:BPQ19"/>
    <mergeCell ref="BPM20:BPN20"/>
    <mergeCell ref="BPO20:BPQ20"/>
    <mergeCell ref="BPP21:BPQ21"/>
    <mergeCell ref="BPM1:BPM2"/>
    <mergeCell ref="BPN1:BPO2"/>
    <mergeCell ref="BPP1:BPP2"/>
    <mergeCell ref="BPP3:BPQ3"/>
    <mergeCell ref="BPP4:BPQ4"/>
    <mergeCell ref="BPP5:BPQ5"/>
    <mergeCell ref="BPP6:BPQ6"/>
    <mergeCell ref="BPP7:BPQ7"/>
    <mergeCell ref="BPP8:BPQ8"/>
    <mergeCell ref="BPM9:BPO9"/>
    <mergeCell ref="BPP9:BPQ9"/>
    <mergeCell ref="BPM10:BPN10"/>
    <mergeCell ref="BPO10:BPQ10"/>
    <mergeCell ref="BPM11:BPN11"/>
    <mergeCell ref="BPO11:BPQ11"/>
    <mergeCell ref="BPM12:BPN12"/>
    <mergeCell ref="BPO12:BPQ12"/>
    <mergeCell ref="BPU22:BPV22"/>
    <mergeCell ref="BPU23:BPV23"/>
    <mergeCell ref="BPU24:BPV24"/>
    <mergeCell ref="BPR25:BPT25"/>
    <mergeCell ref="BPU25:BPV25"/>
    <mergeCell ref="BPU26:BPV26"/>
    <mergeCell ref="BPR27:BPV27"/>
    <mergeCell ref="BPR28:BPV29"/>
    <mergeCell ref="BPR13:BPS13"/>
    <mergeCell ref="BPT13:BPV13"/>
    <mergeCell ref="BPR14:BPS14"/>
    <mergeCell ref="BPT14:BPV14"/>
    <mergeCell ref="BPR15:BPT15"/>
    <mergeCell ref="BPU15:BPV15"/>
    <mergeCell ref="BPR16:BPS16"/>
    <mergeCell ref="BPT16:BPV16"/>
    <mergeCell ref="BPR17:BPS17"/>
    <mergeCell ref="BPT17:BPV17"/>
    <mergeCell ref="BPR18:BPS18"/>
    <mergeCell ref="BPT18:BPV18"/>
    <mergeCell ref="BPR19:BPS19"/>
    <mergeCell ref="BPT19:BPV19"/>
    <mergeCell ref="BPR20:BPS20"/>
    <mergeCell ref="BPT20:BPV20"/>
    <mergeCell ref="BPU21:BPV21"/>
    <mergeCell ref="BPR1:BPR2"/>
    <mergeCell ref="BPS1:BPT2"/>
    <mergeCell ref="BPU1:BPU2"/>
    <mergeCell ref="BPU3:BPV3"/>
    <mergeCell ref="BPU4:BPV4"/>
    <mergeCell ref="BPU5:BPV5"/>
    <mergeCell ref="BPU6:BPV6"/>
    <mergeCell ref="BPU7:BPV7"/>
    <mergeCell ref="BPU8:BPV8"/>
    <mergeCell ref="BPR9:BPT9"/>
    <mergeCell ref="BPU9:BPV9"/>
    <mergeCell ref="BPR10:BPS10"/>
    <mergeCell ref="BPT10:BPV10"/>
    <mergeCell ref="BPR11:BPS11"/>
    <mergeCell ref="BPT11:BPV11"/>
    <mergeCell ref="BPR12:BPS12"/>
    <mergeCell ref="BPT12:BPV12"/>
    <mergeCell ref="BPZ22:BQA22"/>
    <mergeCell ref="BPZ23:BQA23"/>
    <mergeCell ref="BPZ24:BQA24"/>
    <mergeCell ref="BPW25:BPY25"/>
    <mergeCell ref="BPZ25:BQA25"/>
    <mergeCell ref="BPZ26:BQA26"/>
    <mergeCell ref="BPW27:BQA27"/>
    <mergeCell ref="BPW28:BQA29"/>
    <mergeCell ref="BPW13:BPX13"/>
    <mergeCell ref="BPY13:BQA13"/>
    <mergeCell ref="BPW14:BPX14"/>
    <mergeCell ref="BPY14:BQA14"/>
    <mergeCell ref="BPW15:BPY15"/>
    <mergeCell ref="BPZ15:BQA15"/>
    <mergeCell ref="BPW16:BPX16"/>
    <mergeCell ref="BPY16:BQA16"/>
    <mergeCell ref="BPW17:BPX17"/>
    <mergeCell ref="BPY17:BQA17"/>
    <mergeCell ref="BPW18:BPX18"/>
    <mergeCell ref="BPY18:BQA18"/>
    <mergeCell ref="BPW19:BPX19"/>
    <mergeCell ref="BPY19:BQA19"/>
    <mergeCell ref="BPW20:BPX20"/>
    <mergeCell ref="BPY20:BQA20"/>
    <mergeCell ref="BPZ21:BQA21"/>
    <mergeCell ref="BPW1:BPW2"/>
    <mergeCell ref="BPX1:BPY2"/>
    <mergeCell ref="BPZ1:BPZ2"/>
    <mergeCell ref="BPZ3:BQA3"/>
    <mergeCell ref="BPZ4:BQA4"/>
    <mergeCell ref="BPZ5:BQA5"/>
    <mergeCell ref="BPZ6:BQA6"/>
    <mergeCell ref="BPZ7:BQA7"/>
    <mergeCell ref="BPZ8:BQA8"/>
    <mergeCell ref="BPW9:BPY9"/>
    <mergeCell ref="BPZ9:BQA9"/>
    <mergeCell ref="BPW10:BPX10"/>
    <mergeCell ref="BPY10:BQA10"/>
    <mergeCell ref="BPW11:BPX11"/>
    <mergeCell ref="BPY11:BQA11"/>
    <mergeCell ref="BPW12:BPX12"/>
    <mergeCell ref="BPY12:BQA12"/>
    <mergeCell ref="BQJ22:BQK22"/>
    <mergeCell ref="BQJ23:BQK23"/>
    <mergeCell ref="BQJ24:BQK24"/>
    <mergeCell ref="BQG25:BQI25"/>
    <mergeCell ref="BQJ25:BQK25"/>
    <mergeCell ref="BQJ26:BQK26"/>
    <mergeCell ref="BQG27:BQK27"/>
    <mergeCell ref="BQG28:BQK29"/>
    <mergeCell ref="BQG13:BQH13"/>
    <mergeCell ref="BQI13:BQK13"/>
    <mergeCell ref="BQG14:BQH14"/>
    <mergeCell ref="BQI14:BQK14"/>
    <mergeCell ref="BQG15:BQI15"/>
    <mergeCell ref="BQJ15:BQK15"/>
    <mergeCell ref="BQG16:BQH16"/>
    <mergeCell ref="BQI16:BQK16"/>
    <mergeCell ref="BQG17:BQH17"/>
    <mergeCell ref="BQI17:BQK17"/>
    <mergeCell ref="BQG18:BQH18"/>
    <mergeCell ref="BQI18:BQK18"/>
    <mergeCell ref="BQG19:BQH19"/>
    <mergeCell ref="BQI19:BQK19"/>
    <mergeCell ref="BQG20:BQH20"/>
    <mergeCell ref="BQI20:BQK20"/>
    <mergeCell ref="BQJ21:BQK21"/>
    <mergeCell ref="BQG1:BQG2"/>
    <mergeCell ref="BQH1:BQI2"/>
    <mergeCell ref="BQJ1:BQJ2"/>
    <mergeCell ref="BQJ3:BQK3"/>
    <mergeCell ref="BQJ4:BQK4"/>
    <mergeCell ref="BQJ5:BQK5"/>
    <mergeCell ref="BQJ6:BQK6"/>
    <mergeCell ref="BQJ7:BQK7"/>
    <mergeCell ref="BQJ8:BQK8"/>
    <mergeCell ref="BQG9:BQI9"/>
    <mergeCell ref="BQJ9:BQK9"/>
    <mergeCell ref="BQG10:BQH10"/>
    <mergeCell ref="BQI10:BQK10"/>
    <mergeCell ref="BQG11:BQH11"/>
    <mergeCell ref="BQI11:BQK11"/>
    <mergeCell ref="BQG12:BQH12"/>
    <mergeCell ref="BQI12:BQK12"/>
    <mergeCell ref="BQT22:BQU22"/>
    <mergeCell ref="BQT23:BQU23"/>
    <mergeCell ref="BQT24:BQU24"/>
    <mergeCell ref="BQQ25:BQS25"/>
    <mergeCell ref="BQT25:BQU25"/>
    <mergeCell ref="BQT26:BQU26"/>
    <mergeCell ref="BQQ27:BQU27"/>
    <mergeCell ref="BQQ28:BQU29"/>
    <mergeCell ref="BQQ13:BQR13"/>
    <mergeCell ref="BQS13:BQU13"/>
    <mergeCell ref="BQQ14:BQR14"/>
    <mergeCell ref="BQS14:BQU14"/>
    <mergeCell ref="BQQ15:BQS15"/>
    <mergeCell ref="BQT15:BQU15"/>
    <mergeCell ref="BQQ16:BQR16"/>
    <mergeCell ref="BQS16:BQU16"/>
    <mergeCell ref="BQQ17:BQR17"/>
    <mergeCell ref="BQS17:BQU17"/>
    <mergeCell ref="BQQ18:BQR18"/>
    <mergeCell ref="BQS18:BQU18"/>
    <mergeCell ref="BQQ19:BQR19"/>
    <mergeCell ref="BQS19:BQU19"/>
    <mergeCell ref="BQQ20:BQR20"/>
    <mergeCell ref="BQS20:BQU20"/>
    <mergeCell ref="BQT21:BQU21"/>
    <mergeCell ref="BQQ1:BQQ2"/>
    <mergeCell ref="BQR1:BQS2"/>
    <mergeCell ref="BQT1:BQT2"/>
    <mergeCell ref="BQT3:BQU3"/>
    <mergeCell ref="BQT4:BQU4"/>
    <mergeCell ref="BQT5:BQU5"/>
    <mergeCell ref="BQT6:BQU6"/>
    <mergeCell ref="BQT7:BQU7"/>
    <mergeCell ref="BQT8:BQU8"/>
    <mergeCell ref="BQQ9:BQS9"/>
    <mergeCell ref="BQT9:BQU9"/>
    <mergeCell ref="BQQ10:BQR10"/>
    <mergeCell ref="BQS10:BQU10"/>
    <mergeCell ref="BQQ11:BQR11"/>
    <mergeCell ref="BQS11:BQU11"/>
    <mergeCell ref="BQQ12:BQR12"/>
    <mergeCell ref="BQS12:BQU12"/>
    <mergeCell ref="BRD22:BRE22"/>
    <mergeCell ref="BRD23:BRE23"/>
    <mergeCell ref="BRD24:BRE24"/>
    <mergeCell ref="BRA25:BRC25"/>
    <mergeCell ref="BRD25:BRE25"/>
    <mergeCell ref="BRD26:BRE26"/>
    <mergeCell ref="BRA27:BRE27"/>
    <mergeCell ref="BRA28:BRE29"/>
    <mergeCell ref="BRA13:BRB13"/>
    <mergeCell ref="BRC13:BRE13"/>
    <mergeCell ref="BRA14:BRB14"/>
    <mergeCell ref="BRC14:BRE14"/>
    <mergeCell ref="BRA15:BRC15"/>
    <mergeCell ref="BRD15:BRE15"/>
    <mergeCell ref="BRA16:BRB16"/>
    <mergeCell ref="BRC16:BRE16"/>
    <mergeCell ref="BRA17:BRB17"/>
    <mergeCell ref="BRC17:BRE17"/>
    <mergeCell ref="BRA18:BRB18"/>
    <mergeCell ref="BRC18:BRE18"/>
    <mergeCell ref="BRA19:BRB19"/>
    <mergeCell ref="BRC19:BRE19"/>
    <mergeCell ref="BRA20:BRB20"/>
    <mergeCell ref="BRC20:BRE20"/>
    <mergeCell ref="BRD21:BRE21"/>
    <mergeCell ref="BRA1:BRA2"/>
    <mergeCell ref="BRB1:BRC2"/>
    <mergeCell ref="BRD1:BRD2"/>
    <mergeCell ref="BRD3:BRE3"/>
    <mergeCell ref="BRD4:BRE4"/>
    <mergeCell ref="BRD5:BRE5"/>
    <mergeCell ref="BRD6:BRE6"/>
    <mergeCell ref="BRD7:BRE7"/>
    <mergeCell ref="BRD8:BRE8"/>
    <mergeCell ref="BRA9:BRC9"/>
    <mergeCell ref="BRD9:BRE9"/>
    <mergeCell ref="BRA10:BRB10"/>
    <mergeCell ref="BRC10:BRE10"/>
    <mergeCell ref="BRA11:BRB11"/>
    <mergeCell ref="BRC11:BRE11"/>
    <mergeCell ref="BRA12:BRB12"/>
    <mergeCell ref="BRC12:BRE12"/>
    <mergeCell ref="BRN22:BRO22"/>
    <mergeCell ref="BRN23:BRO23"/>
    <mergeCell ref="BRN24:BRO24"/>
    <mergeCell ref="BRK25:BRM25"/>
    <mergeCell ref="BRN25:BRO25"/>
    <mergeCell ref="BRN26:BRO26"/>
    <mergeCell ref="BRK27:BRO27"/>
    <mergeCell ref="BRK28:BRO29"/>
    <mergeCell ref="BRK13:BRL13"/>
    <mergeCell ref="BRM13:BRO13"/>
    <mergeCell ref="BRK14:BRL14"/>
    <mergeCell ref="BRM14:BRO14"/>
    <mergeCell ref="BRK15:BRM15"/>
    <mergeCell ref="BRN15:BRO15"/>
    <mergeCell ref="BRK16:BRL16"/>
    <mergeCell ref="BRM16:BRO16"/>
    <mergeCell ref="BRK17:BRL17"/>
    <mergeCell ref="BRM17:BRO17"/>
    <mergeCell ref="BRK18:BRL18"/>
    <mergeCell ref="BRM18:BRO18"/>
    <mergeCell ref="BRK19:BRL19"/>
    <mergeCell ref="BRM19:BRO19"/>
    <mergeCell ref="BRK20:BRL20"/>
    <mergeCell ref="BRM20:BRO20"/>
    <mergeCell ref="BRN21:BRO21"/>
    <mergeCell ref="BRK1:BRK2"/>
    <mergeCell ref="BRL1:BRM2"/>
    <mergeCell ref="BRN1:BRN2"/>
    <mergeCell ref="BRN3:BRO3"/>
    <mergeCell ref="BRN4:BRO4"/>
    <mergeCell ref="BRN5:BRO5"/>
    <mergeCell ref="BRN6:BRO6"/>
    <mergeCell ref="BRN7:BRO7"/>
    <mergeCell ref="BRN8:BRO8"/>
    <mergeCell ref="BRK9:BRM9"/>
    <mergeCell ref="BRN9:BRO9"/>
    <mergeCell ref="BRK10:BRL10"/>
    <mergeCell ref="BRM10:BRO10"/>
    <mergeCell ref="BRK11:BRL11"/>
    <mergeCell ref="BRM11:BRO11"/>
    <mergeCell ref="BRK12:BRL12"/>
    <mergeCell ref="BRM12:BRO12"/>
    <mergeCell ref="BRX22:BRY22"/>
    <mergeCell ref="BRX23:BRY23"/>
    <mergeCell ref="BRX24:BRY24"/>
    <mergeCell ref="BRU25:BRW25"/>
    <mergeCell ref="BRX25:BRY25"/>
    <mergeCell ref="BRX26:BRY26"/>
    <mergeCell ref="BRU27:BRY27"/>
    <mergeCell ref="BRU28:BRY29"/>
    <mergeCell ref="BRU13:BRV13"/>
    <mergeCell ref="BRW13:BRY13"/>
    <mergeCell ref="BRU14:BRV14"/>
    <mergeCell ref="BRW14:BRY14"/>
    <mergeCell ref="BRU15:BRW15"/>
    <mergeCell ref="BRX15:BRY15"/>
    <mergeCell ref="BRU16:BRV16"/>
    <mergeCell ref="BRW16:BRY16"/>
    <mergeCell ref="BRU17:BRV17"/>
    <mergeCell ref="BRW17:BRY17"/>
    <mergeCell ref="BRU18:BRV18"/>
    <mergeCell ref="BRW18:BRY18"/>
    <mergeCell ref="BRU19:BRV19"/>
    <mergeCell ref="BRW19:BRY19"/>
    <mergeCell ref="BRU20:BRV20"/>
    <mergeCell ref="BRW20:BRY20"/>
    <mergeCell ref="BRX21:BRY21"/>
    <mergeCell ref="BRU1:BRU2"/>
    <mergeCell ref="BRV1:BRW2"/>
    <mergeCell ref="BRX1:BRX2"/>
    <mergeCell ref="BRX3:BRY3"/>
    <mergeCell ref="BRX4:BRY4"/>
    <mergeCell ref="BRX5:BRY5"/>
    <mergeCell ref="BRX6:BRY6"/>
    <mergeCell ref="BRX7:BRY7"/>
    <mergeCell ref="BRX8:BRY8"/>
    <mergeCell ref="BRU9:BRW9"/>
    <mergeCell ref="BRX9:BRY9"/>
    <mergeCell ref="BRU10:BRV10"/>
    <mergeCell ref="BRW10:BRY10"/>
    <mergeCell ref="BRU11:BRV11"/>
    <mergeCell ref="BRW11:BRY11"/>
    <mergeCell ref="BRU12:BRV12"/>
    <mergeCell ref="BRW12:BRY12"/>
    <mergeCell ref="BSH22:BSI22"/>
    <mergeCell ref="BSH23:BSI23"/>
    <mergeCell ref="BSH24:BSI24"/>
    <mergeCell ref="BSE25:BSG25"/>
    <mergeCell ref="BSH25:BSI25"/>
    <mergeCell ref="BSH26:BSI26"/>
    <mergeCell ref="BSE27:BSI27"/>
    <mergeCell ref="BSE28:BSI29"/>
    <mergeCell ref="BSE13:BSF13"/>
    <mergeCell ref="BSG13:BSI13"/>
    <mergeCell ref="BSE14:BSF14"/>
    <mergeCell ref="BSG14:BSI14"/>
    <mergeCell ref="BSE15:BSG15"/>
    <mergeCell ref="BSH15:BSI15"/>
    <mergeCell ref="BSE16:BSF16"/>
    <mergeCell ref="BSG16:BSI16"/>
    <mergeCell ref="BSE17:BSF17"/>
    <mergeCell ref="BSG17:BSI17"/>
    <mergeCell ref="BSE18:BSF18"/>
    <mergeCell ref="BSG18:BSI18"/>
    <mergeCell ref="BSE19:BSF19"/>
    <mergeCell ref="BSG19:BSI19"/>
    <mergeCell ref="BSE20:BSF20"/>
    <mergeCell ref="BSG20:BSI20"/>
    <mergeCell ref="BSH21:BSI21"/>
    <mergeCell ref="BSE1:BSE2"/>
    <mergeCell ref="BSF1:BSG2"/>
    <mergeCell ref="BSH1:BSH2"/>
    <mergeCell ref="BSH3:BSI3"/>
    <mergeCell ref="BSH4:BSI4"/>
    <mergeCell ref="BSH5:BSI5"/>
    <mergeCell ref="BSH6:BSI6"/>
    <mergeCell ref="BSH7:BSI7"/>
    <mergeCell ref="BSH8:BSI8"/>
    <mergeCell ref="BSE9:BSG9"/>
    <mergeCell ref="BSH9:BSI9"/>
    <mergeCell ref="BSE10:BSF10"/>
    <mergeCell ref="BSG10:BSI10"/>
    <mergeCell ref="BSE11:BSF11"/>
    <mergeCell ref="BSG11:BSI11"/>
    <mergeCell ref="BSE12:BSF12"/>
    <mergeCell ref="BSG12:BSI12"/>
    <mergeCell ref="BSM22:BSN22"/>
    <mergeCell ref="BSM23:BSN23"/>
    <mergeCell ref="BSM24:BSN24"/>
    <mergeCell ref="BSJ25:BSL25"/>
    <mergeCell ref="BSM25:BSN25"/>
    <mergeCell ref="BSM26:BSN26"/>
    <mergeCell ref="BSJ27:BSN27"/>
    <mergeCell ref="BSJ28:BSN29"/>
    <mergeCell ref="BSJ13:BSK13"/>
    <mergeCell ref="BSL13:BSN13"/>
    <mergeCell ref="BSJ14:BSK14"/>
    <mergeCell ref="BSL14:BSN14"/>
    <mergeCell ref="BSJ15:BSL15"/>
    <mergeCell ref="BSM15:BSN15"/>
    <mergeCell ref="BSJ16:BSK16"/>
    <mergeCell ref="BSL16:BSN16"/>
    <mergeCell ref="BSJ17:BSK17"/>
    <mergeCell ref="BSL17:BSN17"/>
    <mergeCell ref="BSJ18:BSK18"/>
    <mergeCell ref="BSL18:BSN18"/>
    <mergeCell ref="BSJ19:BSK19"/>
    <mergeCell ref="BSL19:BSN19"/>
    <mergeCell ref="BSJ20:BSK20"/>
    <mergeCell ref="BSL20:BSN20"/>
    <mergeCell ref="BSM21:BSN21"/>
    <mergeCell ref="BSJ1:BSJ2"/>
    <mergeCell ref="BSK1:BSL2"/>
    <mergeCell ref="BSM1:BSM2"/>
    <mergeCell ref="BSM3:BSN3"/>
    <mergeCell ref="BSM4:BSN4"/>
    <mergeCell ref="BSM5:BSN5"/>
    <mergeCell ref="BSM6:BSN6"/>
    <mergeCell ref="BSM7:BSN7"/>
    <mergeCell ref="BSM8:BSN8"/>
    <mergeCell ref="BSJ9:BSL9"/>
    <mergeCell ref="BSM9:BSN9"/>
    <mergeCell ref="BSJ10:BSK10"/>
    <mergeCell ref="BSL10:BSN10"/>
    <mergeCell ref="BSJ11:BSK11"/>
    <mergeCell ref="BSL11:BSN11"/>
    <mergeCell ref="BSJ12:BSK12"/>
    <mergeCell ref="BSL12:BSN12"/>
    <mergeCell ref="BSW22:BSX22"/>
    <mergeCell ref="BSW23:BSX23"/>
    <mergeCell ref="BSW24:BSX24"/>
    <mergeCell ref="BST25:BSV25"/>
    <mergeCell ref="BSW25:BSX25"/>
    <mergeCell ref="BSW26:BSX26"/>
    <mergeCell ref="BST27:BSX27"/>
    <mergeCell ref="BST28:BSX29"/>
    <mergeCell ref="BST13:BSU13"/>
    <mergeCell ref="BSV13:BSX13"/>
    <mergeCell ref="BST14:BSU14"/>
    <mergeCell ref="BSV14:BSX14"/>
    <mergeCell ref="BST15:BSV15"/>
    <mergeCell ref="BSW15:BSX15"/>
    <mergeCell ref="BST16:BSU16"/>
    <mergeCell ref="BSV16:BSX16"/>
    <mergeCell ref="BST17:BSU17"/>
    <mergeCell ref="BSV17:BSX17"/>
    <mergeCell ref="BST18:BSU18"/>
    <mergeCell ref="BSV18:BSX18"/>
    <mergeCell ref="BST19:BSU19"/>
    <mergeCell ref="BSV19:BSX19"/>
    <mergeCell ref="BST20:BSU20"/>
    <mergeCell ref="BSV20:BSX20"/>
    <mergeCell ref="BSW21:BSX21"/>
    <mergeCell ref="BST1:BST2"/>
    <mergeCell ref="BSU1:BSV2"/>
    <mergeCell ref="BSW1:BSW2"/>
    <mergeCell ref="BSW3:BSX3"/>
    <mergeCell ref="BSW4:BSX4"/>
    <mergeCell ref="BSW5:BSX5"/>
    <mergeCell ref="BSW6:BSX6"/>
    <mergeCell ref="BSW7:BSX7"/>
    <mergeCell ref="BSW8:BSX8"/>
    <mergeCell ref="BST9:BSV9"/>
    <mergeCell ref="BSW9:BSX9"/>
    <mergeCell ref="BST10:BSU10"/>
    <mergeCell ref="BSV10:BSX10"/>
    <mergeCell ref="BST11:BSU11"/>
    <mergeCell ref="BSV11:BSX11"/>
    <mergeCell ref="BST12:BSU12"/>
    <mergeCell ref="BSV12:BSX12"/>
    <mergeCell ref="BTG22:BTH22"/>
    <mergeCell ref="BTG23:BTH23"/>
    <mergeCell ref="BTG24:BTH24"/>
    <mergeCell ref="BTD25:BTF25"/>
    <mergeCell ref="BTG25:BTH25"/>
    <mergeCell ref="BTG26:BTH26"/>
    <mergeCell ref="BTD27:BTH27"/>
    <mergeCell ref="BTD28:BTH29"/>
    <mergeCell ref="BTD13:BTE13"/>
    <mergeCell ref="BTF13:BTH13"/>
    <mergeCell ref="BTD14:BTE14"/>
    <mergeCell ref="BTF14:BTH14"/>
    <mergeCell ref="BTD15:BTF15"/>
    <mergeCell ref="BTG15:BTH15"/>
    <mergeCell ref="BTD16:BTE16"/>
    <mergeCell ref="BTF16:BTH16"/>
    <mergeCell ref="BTD17:BTE17"/>
    <mergeCell ref="BTF17:BTH17"/>
    <mergeCell ref="BTD18:BTE18"/>
    <mergeCell ref="BTF18:BTH18"/>
    <mergeCell ref="BTD19:BTE19"/>
    <mergeCell ref="BTF19:BTH19"/>
    <mergeCell ref="BTD20:BTE20"/>
    <mergeCell ref="BTF20:BTH20"/>
    <mergeCell ref="BTG21:BTH21"/>
    <mergeCell ref="BTD1:BTD2"/>
    <mergeCell ref="BTE1:BTF2"/>
    <mergeCell ref="BTG1:BTG2"/>
    <mergeCell ref="BTG3:BTH3"/>
    <mergeCell ref="BTG4:BTH4"/>
    <mergeCell ref="BTG5:BTH5"/>
    <mergeCell ref="BTG6:BTH6"/>
    <mergeCell ref="BTG7:BTH7"/>
    <mergeCell ref="BTG8:BTH8"/>
    <mergeCell ref="BTD9:BTF9"/>
    <mergeCell ref="BTG9:BTH9"/>
    <mergeCell ref="BTD10:BTE10"/>
    <mergeCell ref="BTF10:BTH10"/>
    <mergeCell ref="BTD11:BTE11"/>
    <mergeCell ref="BTF11:BTH11"/>
    <mergeCell ref="BTD12:BTE12"/>
    <mergeCell ref="BTF12:BTH12"/>
    <mergeCell ref="BTL22:BTM22"/>
    <mergeCell ref="BTL23:BTM23"/>
    <mergeCell ref="BTL24:BTM24"/>
    <mergeCell ref="BTI25:BTK25"/>
    <mergeCell ref="BTL25:BTM25"/>
    <mergeCell ref="BTL26:BTM26"/>
    <mergeCell ref="BTI27:BTM27"/>
    <mergeCell ref="BTI28:BTM29"/>
    <mergeCell ref="BTI13:BTJ13"/>
    <mergeCell ref="BTK13:BTM13"/>
    <mergeCell ref="BTI14:BTJ14"/>
    <mergeCell ref="BTK14:BTM14"/>
    <mergeCell ref="BTI15:BTK15"/>
    <mergeCell ref="BTL15:BTM15"/>
    <mergeCell ref="BTI16:BTJ16"/>
    <mergeCell ref="BTK16:BTM16"/>
    <mergeCell ref="BTI17:BTJ17"/>
    <mergeCell ref="BTK17:BTM17"/>
    <mergeCell ref="BTI18:BTJ18"/>
    <mergeCell ref="BTK18:BTM18"/>
    <mergeCell ref="BTI19:BTJ19"/>
    <mergeCell ref="BTK19:BTM19"/>
    <mergeCell ref="BTI20:BTJ20"/>
    <mergeCell ref="BTK20:BTM20"/>
    <mergeCell ref="BTL21:BTM21"/>
    <mergeCell ref="BTI1:BTI2"/>
    <mergeCell ref="BTJ1:BTK2"/>
    <mergeCell ref="BTL1:BTL2"/>
    <mergeCell ref="BTL3:BTM3"/>
    <mergeCell ref="BTL4:BTM4"/>
    <mergeCell ref="BTL5:BTM5"/>
    <mergeCell ref="BTL6:BTM6"/>
    <mergeCell ref="BTL7:BTM7"/>
    <mergeCell ref="BTL8:BTM8"/>
    <mergeCell ref="BTI9:BTK9"/>
    <mergeCell ref="BTL9:BTM9"/>
    <mergeCell ref="BTI10:BTJ10"/>
    <mergeCell ref="BTK10:BTM10"/>
    <mergeCell ref="BTI11:BTJ11"/>
    <mergeCell ref="BTK11:BTM11"/>
    <mergeCell ref="BTI12:BTJ12"/>
    <mergeCell ref="BTK12:BTM12"/>
    <mergeCell ref="BTV22:BTW22"/>
    <mergeCell ref="BTV23:BTW23"/>
    <mergeCell ref="BTV24:BTW24"/>
    <mergeCell ref="BTS25:BTU25"/>
    <mergeCell ref="BTV25:BTW25"/>
    <mergeCell ref="BTV26:BTW26"/>
    <mergeCell ref="BTS27:BTW27"/>
    <mergeCell ref="BTS28:BTW29"/>
    <mergeCell ref="BTS13:BTT13"/>
    <mergeCell ref="BTU13:BTW13"/>
    <mergeCell ref="BTS14:BTT14"/>
    <mergeCell ref="BTU14:BTW14"/>
    <mergeCell ref="BTS15:BTU15"/>
    <mergeCell ref="BTV15:BTW15"/>
    <mergeCell ref="BTS16:BTT16"/>
    <mergeCell ref="BTU16:BTW16"/>
    <mergeCell ref="BTS17:BTT17"/>
    <mergeCell ref="BTU17:BTW17"/>
    <mergeCell ref="BTS18:BTT18"/>
    <mergeCell ref="BTU18:BTW18"/>
    <mergeCell ref="BTS19:BTT19"/>
    <mergeCell ref="BTU19:BTW19"/>
    <mergeCell ref="BTS20:BTT20"/>
    <mergeCell ref="BTU20:BTW20"/>
    <mergeCell ref="BTV21:BTW21"/>
    <mergeCell ref="BTS1:BTS2"/>
    <mergeCell ref="BTT1:BTU2"/>
    <mergeCell ref="BTV1:BTV2"/>
    <mergeCell ref="BTV3:BTW3"/>
    <mergeCell ref="BTV4:BTW4"/>
    <mergeCell ref="BTV5:BTW5"/>
    <mergeCell ref="BTV6:BTW6"/>
    <mergeCell ref="BTV7:BTW7"/>
    <mergeCell ref="BTV8:BTW8"/>
    <mergeCell ref="BTS9:BTU9"/>
    <mergeCell ref="BTV9:BTW9"/>
    <mergeCell ref="BTS10:BTT10"/>
    <mergeCell ref="BTU10:BTW10"/>
    <mergeCell ref="BTS11:BTT11"/>
    <mergeCell ref="BTU11:BTW11"/>
    <mergeCell ref="BTS12:BTT12"/>
    <mergeCell ref="BTU12:BTW12"/>
    <mergeCell ref="BUF22:BUG22"/>
    <mergeCell ref="BUF23:BUG23"/>
    <mergeCell ref="BUF24:BUG24"/>
    <mergeCell ref="BUC25:BUE25"/>
    <mergeCell ref="BUF25:BUG25"/>
    <mergeCell ref="BUF26:BUG26"/>
    <mergeCell ref="BUC27:BUG27"/>
    <mergeCell ref="BUC28:BUG29"/>
    <mergeCell ref="BUC13:BUD13"/>
    <mergeCell ref="BUE13:BUG13"/>
    <mergeCell ref="BUC14:BUD14"/>
    <mergeCell ref="BUE14:BUG14"/>
    <mergeCell ref="BUC15:BUE15"/>
    <mergeCell ref="BUF15:BUG15"/>
    <mergeCell ref="BUC16:BUD16"/>
    <mergeCell ref="BUE16:BUG16"/>
    <mergeCell ref="BUC17:BUD17"/>
    <mergeCell ref="BUE17:BUG17"/>
    <mergeCell ref="BUC18:BUD18"/>
    <mergeCell ref="BUE18:BUG18"/>
    <mergeCell ref="BUC19:BUD19"/>
    <mergeCell ref="BUE19:BUG19"/>
    <mergeCell ref="BUC20:BUD20"/>
    <mergeCell ref="BUE20:BUG20"/>
    <mergeCell ref="BUF21:BUG21"/>
    <mergeCell ref="BUC1:BUC2"/>
    <mergeCell ref="BUD1:BUE2"/>
    <mergeCell ref="BUF1:BUF2"/>
    <mergeCell ref="BUF3:BUG3"/>
    <mergeCell ref="BUF4:BUG4"/>
    <mergeCell ref="BUF5:BUG5"/>
    <mergeCell ref="BUF6:BUG6"/>
    <mergeCell ref="BUF7:BUG7"/>
    <mergeCell ref="BUF8:BUG8"/>
    <mergeCell ref="BUC9:BUE9"/>
    <mergeCell ref="BUF9:BUG9"/>
    <mergeCell ref="BUC10:BUD10"/>
    <mergeCell ref="BUE10:BUG10"/>
    <mergeCell ref="BUC11:BUD11"/>
    <mergeCell ref="BUE11:BUG11"/>
    <mergeCell ref="BUC12:BUD12"/>
    <mergeCell ref="BUE12:BUG12"/>
    <mergeCell ref="BUU22:BUV22"/>
    <mergeCell ref="BUU23:BUV23"/>
    <mergeCell ref="BUU24:BUV24"/>
    <mergeCell ref="BUU25:BUV25"/>
    <mergeCell ref="BUU26:BUV26"/>
    <mergeCell ref="BUR27:BUV27"/>
    <mergeCell ref="BUR28:BUV29"/>
    <mergeCell ref="BUR13:BUS13"/>
    <mergeCell ref="BUT13:BUV13"/>
    <mergeCell ref="BUR14:BUS14"/>
    <mergeCell ref="BUT14:BUV14"/>
    <mergeCell ref="BUR15:BUT15"/>
    <mergeCell ref="BUU15:BUV15"/>
    <mergeCell ref="BUR16:BUS16"/>
    <mergeCell ref="BUT16:BUV16"/>
    <mergeCell ref="BUR17:BUS17"/>
    <mergeCell ref="BUT17:BUV17"/>
    <mergeCell ref="BUR18:BUS18"/>
    <mergeCell ref="BUT18:BUV18"/>
    <mergeCell ref="BUR19:BUS19"/>
    <mergeCell ref="BUT19:BUV19"/>
    <mergeCell ref="BUR20:BUS20"/>
    <mergeCell ref="BUT20:BUV20"/>
    <mergeCell ref="BUU21:BUV21"/>
    <mergeCell ref="BUR1:BUR2"/>
    <mergeCell ref="BUS1:BUT2"/>
    <mergeCell ref="BUU1:BUU2"/>
    <mergeCell ref="BUU3:BUV3"/>
    <mergeCell ref="BUU4:BUV4"/>
    <mergeCell ref="BUU5:BUV5"/>
    <mergeCell ref="BUU6:BUV6"/>
    <mergeCell ref="BUU7:BUV7"/>
    <mergeCell ref="BUU8:BUV8"/>
    <mergeCell ref="BUR9:BUT9"/>
    <mergeCell ref="BUU9:BUV9"/>
    <mergeCell ref="BUR10:BUS10"/>
    <mergeCell ref="BUT10:BUV10"/>
    <mergeCell ref="BUR11:BUS11"/>
    <mergeCell ref="BUT11:BUV11"/>
    <mergeCell ref="BUR12:BUS12"/>
    <mergeCell ref="BUT12:BUV12"/>
    <mergeCell ref="BUZ22:BVA22"/>
    <mergeCell ref="BUZ23:BVA23"/>
    <mergeCell ref="BUZ24:BVA24"/>
    <mergeCell ref="BUZ25:BVA25"/>
    <mergeCell ref="BUZ26:BVA26"/>
    <mergeCell ref="BUW27:BVA27"/>
    <mergeCell ref="BUW28:BVA29"/>
    <mergeCell ref="BUW13:BUX13"/>
    <mergeCell ref="BUY13:BVA13"/>
    <mergeCell ref="BUW14:BUX14"/>
    <mergeCell ref="BUY14:BVA14"/>
    <mergeCell ref="BUW15:BUY15"/>
    <mergeCell ref="BUZ15:BVA15"/>
    <mergeCell ref="BUW16:BUX16"/>
    <mergeCell ref="BUY16:BVA16"/>
    <mergeCell ref="BUW17:BUX17"/>
    <mergeCell ref="BUY17:BVA17"/>
    <mergeCell ref="BUW18:BUX18"/>
    <mergeCell ref="BUY18:BVA18"/>
    <mergeCell ref="BUW19:BUX19"/>
    <mergeCell ref="BUY19:BVA19"/>
    <mergeCell ref="BUW20:BUX20"/>
    <mergeCell ref="BUY20:BVA20"/>
    <mergeCell ref="BUZ21:BVA21"/>
    <mergeCell ref="BUW1:BUW2"/>
    <mergeCell ref="BUX1:BUY2"/>
    <mergeCell ref="BUZ1:BUZ2"/>
    <mergeCell ref="BUZ3:BVA3"/>
    <mergeCell ref="BUZ4:BVA4"/>
    <mergeCell ref="BUZ5:BVA5"/>
    <mergeCell ref="BUZ6:BVA6"/>
    <mergeCell ref="BUZ7:BVA7"/>
    <mergeCell ref="BUZ8:BVA8"/>
    <mergeCell ref="BUW9:BUY9"/>
    <mergeCell ref="BUZ9:BVA9"/>
    <mergeCell ref="BUW10:BUX10"/>
    <mergeCell ref="BUY10:BVA10"/>
    <mergeCell ref="BUW11:BUX11"/>
    <mergeCell ref="BUY11:BVA11"/>
    <mergeCell ref="BUW12:BUX12"/>
    <mergeCell ref="BUY12:BVA12"/>
    <mergeCell ref="BVO22:BVP22"/>
    <mergeCell ref="BVO23:BVP23"/>
    <mergeCell ref="BVO24:BVP24"/>
    <mergeCell ref="BVO25:BVP25"/>
    <mergeCell ref="BVO26:BVP26"/>
    <mergeCell ref="BVL27:BVP27"/>
    <mergeCell ref="BVL28:BVP29"/>
    <mergeCell ref="BVL13:BVM13"/>
    <mergeCell ref="BVN13:BVP13"/>
    <mergeCell ref="BVL14:BVM14"/>
    <mergeCell ref="BVN14:BVP14"/>
    <mergeCell ref="BVL15:BVN15"/>
    <mergeCell ref="BVO15:BVP15"/>
    <mergeCell ref="BVL16:BVM16"/>
    <mergeCell ref="BVN16:BVP16"/>
    <mergeCell ref="BVL17:BVM17"/>
    <mergeCell ref="BVN17:BVP17"/>
    <mergeCell ref="BVL18:BVM18"/>
    <mergeCell ref="BVN18:BVP18"/>
    <mergeCell ref="BVL19:BVM19"/>
    <mergeCell ref="BVN19:BVP19"/>
    <mergeCell ref="BVL20:BVM20"/>
    <mergeCell ref="BVN20:BVP20"/>
    <mergeCell ref="BVO21:BVP21"/>
    <mergeCell ref="BVL1:BVL2"/>
    <mergeCell ref="BVM1:BVN2"/>
    <mergeCell ref="BVO1:BVO2"/>
    <mergeCell ref="BVO3:BVP3"/>
    <mergeCell ref="BVO4:BVP4"/>
    <mergeCell ref="BVO5:BVP5"/>
    <mergeCell ref="BVO6:BVP6"/>
    <mergeCell ref="BVO7:BVP7"/>
    <mergeCell ref="BVO8:BVP8"/>
    <mergeCell ref="BVL9:BVN9"/>
    <mergeCell ref="BVO9:BVP9"/>
    <mergeCell ref="BVL10:BVM10"/>
    <mergeCell ref="BVN10:BVP10"/>
    <mergeCell ref="BVL11:BVM11"/>
    <mergeCell ref="BVN11:BVP11"/>
    <mergeCell ref="BVL12:BVM12"/>
    <mergeCell ref="BVN12:BVP12"/>
    <mergeCell ref="BVT22:BVU22"/>
    <mergeCell ref="BVT23:BVU23"/>
    <mergeCell ref="BVT24:BVU24"/>
    <mergeCell ref="BVT25:BVU25"/>
    <mergeCell ref="BVT26:BVU26"/>
    <mergeCell ref="BVQ27:BVU27"/>
    <mergeCell ref="BVQ28:BVU29"/>
    <mergeCell ref="BVQ13:BVR13"/>
    <mergeCell ref="BVS13:BVU13"/>
    <mergeCell ref="BVQ14:BVR14"/>
    <mergeCell ref="BVS14:BVU14"/>
    <mergeCell ref="BVQ15:BVS15"/>
    <mergeCell ref="BVT15:BVU15"/>
    <mergeCell ref="BVQ16:BVR16"/>
    <mergeCell ref="BVS16:BVU16"/>
    <mergeCell ref="BVQ17:BVR17"/>
    <mergeCell ref="BVS17:BVU17"/>
    <mergeCell ref="BVQ18:BVR18"/>
    <mergeCell ref="BVS18:BVU18"/>
    <mergeCell ref="BVQ19:BVR19"/>
    <mergeCell ref="BVS19:BVU19"/>
    <mergeCell ref="BVQ20:BVR20"/>
    <mergeCell ref="BVS20:BVU20"/>
    <mergeCell ref="BVT21:BVU21"/>
    <mergeCell ref="BVQ1:BVQ2"/>
    <mergeCell ref="BVR1:BVS2"/>
    <mergeCell ref="BVT1:BVT2"/>
    <mergeCell ref="BVT3:BVU3"/>
    <mergeCell ref="BVT4:BVU4"/>
    <mergeCell ref="BVT5:BVU5"/>
    <mergeCell ref="BVT6:BVU6"/>
    <mergeCell ref="BVT7:BVU7"/>
    <mergeCell ref="BVT8:BVU8"/>
    <mergeCell ref="BVQ9:BVS9"/>
    <mergeCell ref="BVT9:BVU9"/>
    <mergeCell ref="BVQ10:BVR10"/>
    <mergeCell ref="BVS10:BVU10"/>
    <mergeCell ref="BVQ11:BVR11"/>
    <mergeCell ref="BVS11:BVU11"/>
    <mergeCell ref="BVQ12:BVR12"/>
    <mergeCell ref="BVS12:BVU12"/>
    <mergeCell ref="BVY22:BVZ22"/>
    <mergeCell ref="BVY23:BVZ23"/>
    <mergeCell ref="BVY24:BVZ24"/>
    <mergeCell ref="BVY25:BVZ25"/>
    <mergeCell ref="BVY26:BVZ26"/>
    <mergeCell ref="BVV27:BVZ27"/>
    <mergeCell ref="BVV28:BVZ29"/>
    <mergeCell ref="BVV13:BVW13"/>
    <mergeCell ref="BVX13:BVZ13"/>
    <mergeCell ref="BVV14:BVW14"/>
    <mergeCell ref="BVX14:BVZ14"/>
    <mergeCell ref="BVV15:BVX15"/>
    <mergeCell ref="BVY15:BVZ15"/>
    <mergeCell ref="BVV16:BVW16"/>
    <mergeCell ref="BVX16:BVZ16"/>
    <mergeCell ref="BVV17:BVW17"/>
    <mergeCell ref="BVX17:BVZ17"/>
    <mergeCell ref="BVV18:BVW18"/>
    <mergeCell ref="BVX18:BVZ18"/>
    <mergeCell ref="BVV19:BVW19"/>
    <mergeCell ref="BVX19:BVZ19"/>
    <mergeCell ref="BVV20:BVW20"/>
    <mergeCell ref="BVX20:BVZ20"/>
    <mergeCell ref="BVY21:BVZ21"/>
    <mergeCell ref="BVV1:BVV2"/>
    <mergeCell ref="BVW1:BVX2"/>
    <mergeCell ref="BVY1:BVY2"/>
    <mergeCell ref="BVY3:BVZ3"/>
    <mergeCell ref="BVY4:BVZ4"/>
    <mergeCell ref="BVY5:BVZ5"/>
    <mergeCell ref="BVY6:BVZ6"/>
    <mergeCell ref="BVY7:BVZ7"/>
    <mergeCell ref="BVY8:BVZ8"/>
    <mergeCell ref="BVV9:BVX9"/>
    <mergeCell ref="BVY9:BVZ9"/>
    <mergeCell ref="BVV10:BVW10"/>
    <mergeCell ref="BVX10:BVZ10"/>
    <mergeCell ref="BVV11:BVW11"/>
    <mergeCell ref="BVX11:BVZ11"/>
    <mergeCell ref="BVV12:BVW12"/>
    <mergeCell ref="BVX12:BVZ12"/>
    <mergeCell ref="BWI22:BWJ22"/>
    <mergeCell ref="BWI23:BWJ23"/>
    <mergeCell ref="BWI24:BWJ24"/>
    <mergeCell ref="BWI25:BWJ25"/>
    <mergeCell ref="BWI26:BWJ26"/>
    <mergeCell ref="BWF27:BWJ27"/>
    <mergeCell ref="BWF28:BWJ29"/>
    <mergeCell ref="BWF13:BWG13"/>
    <mergeCell ref="BWH13:BWJ13"/>
    <mergeCell ref="BWF14:BWG14"/>
    <mergeCell ref="BWH14:BWJ14"/>
    <mergeCell ref="BWF15:BWH15"/>
    <mergeCell ref="BWI15:BWJ15"/>
    <mergeCell ref="BWF16:BWG16"/>
    <mergeCell ref="BWH16:BWJ16"/>
    <mergeCell ref="BWF17:BWG17"/>
    <mergeCell ref="BWH17:BWJ17"/>
    <mergeCell ref="BWF18:BWG18"/>
    <mergeCell ref="BWH18:BWJ18"/>
    <mergeCell ref="BWF19:BWG19"/>
    <mergeCell ref="BWH19:BWJ19"/>
    <mergeCell ref="BWF20:BWG20"/>
    <mergeCell ref="BWH20:BWJ20"/>
    <mergeCell ref="BWI21:BWJ21"/>
    <mergeCell ref="BWF1:BWF2"/>
    <mergeCell ref="BWG1:BWH2"/>
    <mergeCell ref="BWI1:BWI2"/>
    <mergeCell ref="BWI3:BWJ3"/>
    <mergeCell ref="BWI4:BWJ4"/>
    <mergeCell ref="BWI5:BWJ5"/>
    <mergeCell ref="BWI6:BWJ6"/>
    <mergeCell ref="BWI7:BWJ7"/>
    <mergeCell ref="BWI8:BWJ8"/>
    <mergeCell ref="BWF9:BWH9"/>
    <mergeCell ref="BWI9:BWJ9"/>
    <mergeCell ref="BWF10:BWG10"/>
    <mergeCell ref="BWH10:BWJ10"/>
    <mergeCell ref="BWF11:BWG11"/>
    <mergeCell ref="BWH11:BWJ11"/>
    <mergeCell ref="BWF12:BWG12"/>
    <mergeCell ref="BWH12:BWJ12"/>
    <mergeCell ref="BWS22:BWT22"/>
    <mergeCell ref="BWS23:BWT23"/>
    <mergeCell ref="BWS24:BWT24"/>
    <mergeCell ref="BWS25:BWT25"/>
    <mergeCell ref="BWS26:BWT26"/>
    <mergeCell ref="BWP27:BWT27"/>
    <mergeCell ref="BWP28:BWT29"/>
    <mergeCell ref="BWP13:BWQ13"/>
    <mergeCell ref="BWR13:BWT13"/>
    <mergeCell ref="BWP14:BWQ14"/>
    <mergeCell ref="BWR14:BWT14"/>
    <mergeCell ref="BWP15:BWR15"/>
    <mergeCell ref="BWS15:BWT15"/>
    <mergeCell ref="BWP16:BWQ16"/>
    <mergeCell ref="BWR16:BWT16"/>
    <mergeCell ref="BWP17:BWQ17"/>
    <mergeCell ref="BWR17:BWT17"/>
    <mergeCell ref="BWP18:BWQ18"/>
    <mergeCell ref="BWR18:BWT18"/>
    <mergeCell ref="BWP19:BWQ19"/>
    <mergeCell ref="BWR19:BWT19"/>
    <mergeCell ref="BWP20:BWQ20"/>
    <mergeCell ref="BWR20:BWT20"/>
    <mergeCell ref="BWS21:BWT21"/>
    <mergeCell ref="BWP1:BWP2"/>
    <mergeCell ref="BWQ1:BWR2"/>
    <mergeCell ref="BWS1:BWS2"/>
    <mergeCell ref="BWS3:BWT3"/>
    <mergeCell ref="BWS4:BWT4"/>
    <mergeCell ref="BWS5:BWT5"/>
    <mergeCell ref="BWS6:BWT6"/>
    <mergeCell ref="BWS7:BWT7"/>
    <mergeCell ref="BWS8:BWT8"/>
    <mergeCell ref="BWP9:BWR9"/>
    <mergeCell ref="BWS9:BWT9"/>
    <mergeCell ref="BWP10:BWQ10"/>
    <mergeCell ref="BWR10:BWT10"/>
    <mergeCell ref="BWP11:BWQ11"/>
    <mergeCell ref="BWR11:BWT11"/>
    <mergeCell ref="BWP12:BWQ12"/>
    <mergeCell ref="BWR12:BWT12"/>
    <mergeCell ref="BXC22:BXD22"/>
    <mergeCell ref="BXC23:BXD23"/>
    <mergeCell ref="BXC24:BXD24"/>
    <mergeCell ref="BXC25:BXD25"/>
    <mergeCell ref="BXC26:BXD26"/>
    <mergeCell ref="BWZ27:BXD27"/>
    <mergeCell ref="BWZ28:BXD29"/>
    <mergeCell ref="BWZ13:BXA13"/>
    <mergeCell ref="BXB13:BXD13"/>
    <mergeCell ref="BWZ14:BXA14"/>
    <mergeCell ref="BXB14:BXD14"/>
    <mergeCell ref="BWZ15:BXB15"/>
    <mergeCell ref="BXC15:BXD15"/>
    <mergeCell ref="BWZ16:BXA16"/>
    <mergeCell ref="BXB16:BXD16"/>
    <mergeCell ref="BWZ17:BXA17"/>
    <mergeCell ref="BXB17:BXD17"/>
    <mergeCell ref="BWZ18:BXA18"/>
    <mergeCell ref="BXB18:BXD18"/>
    <mergeCell ref="BWZ19:BXA19"/>
    <mergeCell ref="BXB19:BXD19"/>
    <mergeCell ref="BWZ20:BXA20"/>
    <mergeCell ref="BXB20:BXD20"/>
    <mergeCell ref="BXC21:BXD21"/>
    <mergeCell ref="BWZ1:BWZ2"/>
    <mergeCell ref="BXA1:BXB2"/>
    <mergeCell ref="BXC1:BXC2"/>
    <mergeCell ref="BXC3:BXD3"/>
    <mergeCell ref="BXC4:BXD4"/>
    <mergeCell ref="BXC5:BXD5"/>
    <mergeCell ref="BXC6:BXD6"/>
    <mergeCell ref="BXC7:BXD7"/>
    <mergeCell ref="BXC8:BXD8"/>
    <mergeCell ref="BWZ9:BXB9"/>
    <mergeCell ref="BXC9:BXD9"/>
    <mergeCell ref="BWZ10:BXA10"/>
    <mergeCell ref="BXB10:BXD10"/>
    <mergeCell ref="BWZ11:BXA11"/>
    <mergeCell ref="BXB11:BXD11"/>
    <mergeCell ref="BWZ12:BXA12"/>
    <mergeCell ref="BXB12:BXD12"/>
    <mergeCell ref="BXM22:BXN22"/>
    <mergeCell ref="BXM23:BXN23"/>
    <mergeCell ref="BXM24:BXN24"/>
    <mergeCell ref="BXM25:BXN25"/>
    <mergeCell ref="BXM26:BXN26"/>
    <mergeCell ref="BXJ27:BXN27"/>
    <mergeCell ref="BXJ28:BXN29"/>
    <mergeCell ref="BXJ13:BXK13"/>
    <mergeCell ref="BXL13:BXN13"/>
    <mergeCell ref="BXJ14:BXK14"/>
    <mergeCell ref="BXL14:BXN14"/>
    <mergeCell ref="BXJ15:BXL15"/>
    <mergeCell ref="BXM15:BXN15"/>
    <mergeCell ref="BXJ16:BXK16"/>
    <mergeCell ref="BXL16:BXN16"/>
    <mergeCell ref="BXJ17:BXK17"/>
    <mergeCell ref="BXL17:BXN17"/>
    <mergeCell ref="BXJ18:BXK18"/>
    <mergeCell ref="BXL18:BXN18"/>
    <mergeCell ref="BXJ19:BXK19"/>
    <mergeCell ref="BXL19:BXN19"/>
    <mergeCell ref="BXJ20:BXK20"/>
    <mergeCell ref="BXL20:BXN20"/>
    <mergeCell ref="BXM21:BXN21"/>
    <mergeCell ref="BXJ1:BXJ2"/>
    <mergeCell ref="BXK1:BXL2"/>
    <mergeCell ref="BXM1:BXM2"/>
    <mergeCell ref="BXM3:BXN3"/>
    <mergeCell ref="BXM4:BXN4"/>
    <mergeCell ref="BXM5:BXN5"/>
    <mergeCell ref="BXM6:BXN6"/>
    <mergeCell ref="BXM7:BXN7"/>
    <mergeCell ref="BXM8:BXN8"/>
    <mergeCell ref="BXJ9:BXL9"/>
    <mergeCell ref="BXM9:BXN9"/>
    <mergeCell ref="BXJ10:BXK10"/>
    <mergeCell ref="BXL10:BXN10"/>
    <mergeCell ref="BXJ11:BXK11"/>
    <mergeCell ref="BXL11:BXN11"/>
    <mergeCell ref="BXJ12:BXK12"/>
    <mergeCell ref="BXL12:BXN12"/>
    <mergeCell ref="BXW21:BXX21"/>
    <mergeCell ref="BXW22:BXX22"/>
    <mergeCell ref="BXW23:BXX23"/>
    <mergeCell ref="BXW24:BXX24"/>
    <mergeCell ref="BXW25:BXX25"/>
    <mergeCell ref="BXW26:BXX26"/>
    <mergeCell ref="BXT27:BXX27"/>
    <mergeCell ref="BXT28:BXX29"/>
    <mergeCell ref="BXV12:BXX12"/>
    <mergeCell ref="BXT13:BXU13"/>
    <mergeCell ref="BXV13:BXX13"/>
    <mergeCell ref="BXT14:BXU14"/>
    <mergeCell ref="BXV14:BXX14"/>
    <mergeCell ref="BXT15:BXV15"/>
    <mergeCell ref="BXW15:BXX15"/>
    <mergeCell ref="BXT16:BXU16"/>
    <mergeCell ref="BXV16:BXX16"/>
    <mergeCell ref="BXT17:BXU17"/>
    <mergeCell ref="BXV17:BXX17"/>
    <mergeCell ref="BXT18:BXU18"/>
    <mergeCell ref="BXV18:BXX18"/>
    <mergeCell ref="BXT19:BXU19"/>
    <mergeCell ref="BXV19:BXX19"/>
    <mergeCell ref="BXT20:BXU20"/>
    <mergeCell ref="BXV20:BXX20"/>
    <mergeCell ref="BXY17:BXZ17"/>
    <mergeCell ref="BYA17:BYC17"/>
    <mergeCell ref="BXY18:BXZ18"/>
    <mergeCell ref="BYA18:BYC18"/>
    <mergeCell ref="BXY19:BXZ19"/>
    <mergeCell ref="BYA19:BYC19"/>
    <mergeCell ref="BXY20:BXZ20"/>
    <mergeCell ref="BYA20:BYC20"/>
    <mergeCell ref="BYB21:BYC21"/>
    <mergeCell ref="BYB22:BYC22"/>
    <mergeCell ref="BYB23:BYC23"/>
    <mergeCell ref="BYB24:BYC24"/>
    <mergeCell ref="BYB25:BYC25"/>
    <mergeCell ref="BYB26:BYC26"/>
    <mergeCell ref="BXY27:BYC27"/>
    <mergeCell ref="BXY28:BYC29"/>
    <mergeCell ref="BXT1:BXT2"/>
    <mergeCell ref="BXU1:BXV2"/>
    <mergeCell ref="BXW1:BXW2"/>
    <mergeCell ref="BXW3:BXX3"/>
    <mergeCell ref="BXW4:BXX4"/>
    <mergeCell ref="BXW5:BXX5"/>
    <mergeCell ref="BXW6:BXX6"/>
    <mergeCell ref="BXW7:BXX7"/>
    <mergeCell ref="BXW8:BXX8"/>
    <mergeCell ref="BXT9:BXV9"/>
    <mergeCell ref="BXW9:BXX9"/>
    <mergeCell ref="BXT10:BXU10"/>
    <mergeCell ref="BXV10:BXX10"/>
    <mergeCell ref="BXT11:BXU11"/>
    <mergeCell ref="BXV11:BXX11"/>
    <mergeCell ref="BXT12:BXU12"/>
    <mergeCell ref="BYG22:BYH22"/>
    <mergeCell ref="BYG23:BYH23"/>
    <mergeCell ref="BYG24:BYH24"/>
    <mergeCell ref="BYG25:BYH25"/>
    <mergeCell ref="BYG26:BYH26"/>
    <mergeCell ref="BYD27:BYH27"/>
    <mergeCell ref="BYD28:BYH29"/>
    <mergeCell ref="BXY1:BXY2"/>
    <mergeCell ref="BXZ1:BYA2"/>
    <mergeCell ref="BYB1:BYB2"/>
    <mergeCell ref="BYB3:BYC3"/>
    <mergeCell ref="BYB4:BYC4"/>
    <mergeCell ref="BYB5:BYC5"/>
    <mergeCell ref="BYB6:BYC6"/>
    <mergeCell ref="BYB7:BYC7"/>
    <mergeCell ref="BYB8:BYC8"/>
    <mergeCell ref="BXY9:BYA9"/>
    <mergeCell ref="BYB9:BYC9"/>
    <mergeCell ref="BXY10:BXZ10"/>
    <mergeCell ref="BYA10:BYC10"/>
    <mergeCell ref="BXY11:BXZ11"/>
    <mergeCell ref="BYA11:BYC11"/>
    <mergeCell ref="BXY12:BXZ12"/>
    <mergeCell ref="BYA12:BYC12"/>
    <mergeCell ref="BXY13:BXZ13"/>
    <mergeCell ref="BYA13:BYC13"/>
    <mergeCell ref="BXY14:BXZ14"/>
    <mergeCell ref="BYA14:BYC14"/>
    <mergeCell ref="BXY15:BYA15"/>
    <mergeCell ref="BYB15:BYC15"/>
    <mergeCell ref="BXY16:BXZ16"/>
    <mergeCell ref="BYA16:BYC16"/>
    <mergeCell ref="BYD13:BYE13"/>
    <mergeCell ref="BYF13:BYH13"/>
    <mergeCell ref="BYD14:BYE14"/>
    <mergeCell ref="BYF14:BYH14"/>
    <mergeCell ref="BYD15:BYF15"/>
    <mergeCell ref="BYG15:BYH15"/>
    <mergeCell ref="BYD16:BYE16"/>
    <mergeCell ref="BYF16:BYH16"/>
    <mergeCell ref="BYD17:BYE17"/>
    <mergeCell ref="BYF17:BYH17"/>
    <mergeCell ref="BYD18:BYE18"/>
    <mergeCell ref="BYF18:BYH18"/>
    <mergeCell ref="BYD19:BYE19"/>
    <mergeCell ref="BYF19:BYH19"/>
    <mergeCell ref="BYD20:BYE20"/>
    <mergeCell ref="BYF20:BYH20"/>
    <mergeCell ref="BYG21:BYH21"/>
    <mergeCell ref="BYD1:BYD2"/>
    <mergeCell ref="BYE1:BYF2"/>
    <mergeCell ref="BYG1:BYG2"/>
    <mergeCell ref="BYG3:BYH3"/>
    <mergeCell ref="BYG4:BYH4"/>
    <mergeCell ref="BYG5:BYH5"/>
    <mergeCell ref="BYG6:BYH6"/>
    <mergeCell ref="BYG7:BYH7"/>
    <mergeCell ref="BYG8:BYH8"/>
    <mergeCell ref="BYD9:BYF9"/>
    <mergeCell ref="BYG9:BYH9"/>
    <mergeCell ref="BYD10:BYE10"/>
    <mergeCell ref="BYF10:BYH10"/>
    <mergeCell ref="BYD11:BYE11"/>
    <mergeCell ref="BYF11:BYH11"/>
    <mergeCell ref="BYD12:BYE12"/>
    <mergeCell ref="BYF12:BYH12"/>
    <mergeCell ref="BYV22:BYW22"/>
    <mergeCell ref="BYV23:BYW23"/>
    <mergeCell ref="BYV24:BYW24"/>
    <mergeCell ref="BYV25:BYW25"/>
    <mergeCell ref="BYV26:BYW26"/>
    <mergeCell ref="BYS27:BYW27"/>
    <mergeCell ref="BYS28:BYW29"/>
    <mergeCell ref="BYS13:BYT13"/>
    <mergeCell ref="BYU13:BYW13"/>
    <mergeCell ref="BYS14:BYT14"/>
    <mergeCell ref="BYU14:BYW14"/>
    <mergeCell ref="BYS15:BYU15"/>
    <mergeCell ref="BYV15:BYW15"/>
    <mergeCell ref="BYS16:BYT16"/>
    <mergeCell ref="BYU16:BYW16"/>
    <mergeCell ref="BYS17:BYT17"/>
    <mergeCell ref="BYU17:BYW17"/>
    <mergeCell ref="BYS18:BYT18"/>
    <mergeCell ref="BYU18:BYW18"/>
    <mergeCell ref="BYS19:BYT19"/>
    <mergeCell ref="BYU19:BYW19"/>
    <mergeCell ref="BYS20:BYT20"/>
    <mergeCell ref="BYU20:BYW20"/>
    <mergeCell ref="BYV21:BYW21"/>
    <mergeCell ref="BYS1:BYS2"/>
    <mergeCell ref="BYT1:BYU2"/>
    <mergeCell ref="BYV1:BYV2"/>
    <mergeCell ref="BYV3:BYW3"/>
    <mergeCell ref="BYV4:BYW4"/>
    <mergeCell ref="BYV5:BYW5"/>
    <mergeCell ref="BYV6:BYW6"/>
    <mergeCell ref="BYV7:BYW7"/>
    <mergeCell ref="BYV8:BYW8"/>
    <mergeCell ref="BYS9:BYU9"/>
    <mergeCell ref="BYV9:BYW9"/>
    <mergeCell ref="BYS10:BYT10"/>
    <mergeCell ref="BYU10:BYW10"/>
    <mergeCell ref="BYS11:BYT11"/>
    <mergeCell ref="BYU11:BYW11"/>
    <mergeCell ref="BYS12:BYT12"/>
    <mergeCell ref="BYU12:BYW12"/>
    <mergeCell ref="BYN1:BYN2"/>
    <mergeCell ref="BYO1:BYP2"/>
    <mergeCell ref="BYQ1:BYQ2"/>
    <mergeCell ref="BYQ3:BYR3"/>
    <mergeCell ref="BYQ4:BYR4"/>
    <mergeCell ref="BZF22:BZG22"/>
    <mergeCell ref="BZF23:BZG23"/>
    <mergeCell ref="BZF24:BZG24"/>
    <mergeCell ref="BZF25:BZG25"/>
    <mergeCell ref="BZF26:BZG26"/>
    <mergeCell ref="BZC27:BZG27"/>
    <mergeCell ref="BZC28:BZG29"/>
    <mergeCell ref="BZC13:BZD13"/>
    <mergeCell ref="BZE13:BZG13"/>
    <mergeCell ref="BZC14:BZD14"/>
    <mergeCell ref="BZE14:BZG14"/>
    <mergeCell ref="BZC15:BZE15"/>
    <mergeCell ref="BZF15:BZG15"/>
    <mergeCell ref="BZC16:BZD16"/>
    <mergeCell ref="BZE16:BZG16"/>
    <mergeCell ref="BZC17:BZD17"/>
    <mergeCell ref="BZE17:BZG17"/>
    <mergeCell ref="BZC18:BZD18"/>
    <mergeCell ref="BZE18:BZG18"/>
    <mergeCell ref="BZC19:BZD19"/>
    <mergeCell ref="BZE19:BZG19"/>
    <mergeCell ref="BZC20:BZD20"/>
    <mergeCell ref="BZE20:BZG20"/>
    <mergeCell ref="BZF21:BZG21"/>
    <mergeCell ref="BZC1:BZC2"/>
    <mergeCell ref="BZD1:BZE2"/>
    <mergeCell ref="BZF1:BZF2"/>
    <mergeCell ref="BZF3:BZG3"/>
    <mergeCell ref="BZF4:BZG4"/>
    <mergeCell ref="BZF5:BZG5"/>
    <mergeCell ref="BZF6:BZG6"/>
    <mergeCell ref="BZF7:BZG7"/>
    <mergeCell ref="BZF8:BZG8"/>
    <mergeCell ref="BZC9:BZE9"/>
    <mergeCell ref="BZF9:BZG9"/>
    <mergeCell ref="BZC10:BZD10"/>
    <mergeCell ref="BZE10:BZG10"/>
    <mergeCell ref="BZC11:BZD11"/>
    <mergeCell ref="BZE11:BZG11"/>
    <mergeCell ref="BZC12:BZD12"/>
    <mergeCell ref="BZE12:BZG12"/>
    <mergeCell ref="BZP22:BZQ22"/>
    <mergeCell ref="BZP23:BZQ23"/>
    <mergeCell ref="BZP24:BZQ24"/>
    <mergeCell ref="BZP25:BZQ25"/>
    <mergeCell ref="BZP26:BZQ26"/>
    <mergeCell ref="BZM27:BZQ27"/>
    <mergeCell ref="BZM28:BZQ29"/>
    <mergeCell ref="BZM13:BZN13"/>
    <mergeCell ref="BZO13:BZQ13"/>
    <mergeCell ref="BZM14:BZN14"/>
    <mergeCell ref="BZO14:BZQ14"/>
    <mergeCell ref="BZM15:BZO15"/>
    <mergeCell ref="BZP15:BZQ15"/>
    <mergeCell ref="BZM16:BZN16"/>
    <mergeCell ref="BZO16:BZQ16"/>
    <mergeCell ref="BZM17:BZN17"/>
    <mergeCell ref="BZO17:BZQ17"/>
    <mergeCell ref="BZM18:BZN18"/>
    <mergeCell ref="BZO18:BZQ18"/>
    <mergeCell ref="BZM19:BZN19"/>
    <mergeCell ref="BZO19:BZQ19"/>
    <mergeCell ref="BZM20:BZN20"/>
    <mergeCell ref="BZO20:BZQ20"/>
    <mergeCell ref="BZP21:BZQ21"/>
    <mergeCell ref="BZM1:BZM2"/>
    <mergeCell ref="BZN1:BZO2"/>
    <mergeCell ref="BZP1:BZP2"/>
    <mergeCell ref="BZP3:BZQ3"/>
    <mergeCell ref="BZP4:BZQ4"/>
    <mergeCell ref="BZP5:BZQ5"/>
    <mergeCell ref="BZP6:BZQ6"/>
    <mergeCell ref="BZP7:BZQ7"/>
    <mergeCell ref="BZP8:BZQ8"/>
    <mergeCell ref="BZM9:BZO9"/>
    <mergeCell ref="BZP9:BZQ9"/>
    <mergeCell ref="BZM10:BZN10"/>
    <mergeCell ref="BZO10:BZQ10"/>
    <mergeCell ref="BZM11:BZN11"/>
    <mergeCell ref="BZO11:BZQ11"/>
    <mergeCell ref="BZM12:BZN12"/>
    <mergeCell ref="BZO12:BZQ12"/>
    <mergeCell ref="BZZ22:CAA22"/>
    <mergeCell ref="BZZ23:CAA23"/>
    <mergeCell ref="BZZ24:CAA24"/>
    <mergeCell ref="BZZ25:CAA25"/>
    <mergeCell ref="BZZ26:CAA26"/>
    <mergeCell ref="BZW27:CAA27"/>
    <mergeCell ref="BZW28:CAA29"/>
    <mergeCell ref="BZW13:BZX13"/>
    <mergeCell ref="BZY13:CAA13"/>
    <mergeCell ref="BZW14:BZX14"/>
    <mergeCell ref="BZY14:CAA14"/>
    <mergeCell ref="BZW15:BZY15"/>
    <mergeCell ref="BZZ15:CAA15"/>
    <mergeCell ref="BZW16:BZX16"/>
    <mergeCell ref="BZY16:CAA16"/>
    <mergeCell ref="BZW17:BZX17"/>
    <mergeCell ref="BZY17:CAA17"/>
    <mergeCell ref="BZW18:BZX18"/>
    <mergeCell ref="BZY18:CAA18"/>
    <mergeCell ref="BZW19:BZX19"/>
    <mergeCell ref="BZY19:CAA19"/>
    <mergeCell ref="BZW20:BZX20"/>
    <mergeCell ref="BZY20:CAA20"/>
    <mergeCell ref="BZZ21:CAA21"/>
    <mergeCell ref="BZW1:BZW2"/>
    <mergeCell ref="BZX1:BZY2"/>
    <mergeCell ref="BZZ1:BZZ2"/>
    <mergeCell ref="BZZ3:CAA3"/>
    <mergeCell ref="BZZ4:CAA4"/>
    <mergeCell ref="BZZ5:CAA5"/>
    <mergeCell ref="BZZ6:CAA6"/>
    <mergeCell ref="BZZ7:CAA7"/>
    <mergeCell ref="BZZ8:CAA8"/>
    <mergeCell ref="BZW9:BZY9"/>
    <mergeCell ref="BZZ9:CAA9"/>
    <mergeCell ref="BZW10:BZX10"/>
    <mergeCell ref="BZY10:CAA10"/>
    <mergeCell ref="BZW11:BZX11"/>
    <mergeCell ref="BZY11:CAA11"/>
    <mergeCell ref="BZW12:BZX12"/>
    <mergeCell ref="BZY12:CAA12"/>
    <mergeCell ref="CAJ22:CAK22"/>
    <mergeCell ref="CAJ23:CAK23"/>
    <mergeCell ref="CAJ24:CAK24"/>
    <mergeCell ref="CAJ25:CAK25"/>
    <mergeCell ref="CAJ26:CAK26"/>
    <mergeCell ref="CAG27:CAK27"/>
    <mergeCell ref="CAG28:CAK29"/>
    <mergeCell ref="CAG13:CAH13"/>
    <mergeCell ref="CAI13:CAK13"/>
    <mergeCell ref="CAG14:CAH14"/>
    <mergeCell ref="CAI14:CAK14"/>
    <mergeCell ref="CAG15:CAI15"/>
    <mergeCell ref="CAJ15:CAK15"/>
    <mergeCell ref="CAG16:CAH16"/>
    <mergeCell ref="CAI16:CAK16"/>
    <mergeCell ref="CAG17:CAH17"/>
    <mergeCell ref="CAI17:CAK17"/>
    <mergeCell ref="CAG18:CAH18"/>
    <mergeCell ref="CAI18:CAK18"/>
    <mergeCell ref="CAG19:CAH19"/>
    <mergeCell ref="CAI19:CAK19"/>
    <mergeCell ref="CAG20:CAH20"/>
    <mergeCell ref="CAI20:CAK20"/>
    <mergeCell ref="CAJ21:CAK21"/>
    <mergeCell ref="CAG1:CAG2"/>
    <mergeCell ref="CAH1:CAI2"/>
    <mergeCell ref="CAJ1:CAJ2"/>
    <mergeCell ref="CAJ3:CAK3"/>
    <mergeCell ref="CAJ4:CAK4"/>
    <mergeCell ref="CAJ5:CAK5"/>
    <mergeCell ref="CAJ6:CAK6"/>
    <mergeCell ref="CAJ7:CAK7"/>
    <mergeCell ref="CAJ8:CAK8"/>
    <mergeCell ref="CAG9:CAI9"/>
    <mergeCell ref="CAJ9:CAK9"/>
    <mergeCell ref="CAG10:CAH10"/>
    <mergeCell ref="CAI10:CAK10"/>
    <mergeCell ref="CAG11:CAH11"/>
    <mergeCell ref="CAI11:CAK11"/>
    <mergeCell ref="CAG12:CAH12"/>
    <mergeCell ref="CAI12:CAK12"/>
    <mergeCell ref="CAT22:CAU22"/>
    <mergeCell ref="CAT23:CAU23"/>
    <mergeCell ref="CAT24:CAU24"/>
    <mergeCell ref="CAT25:CAU25"/>
    <mergeCell ref="CAT26:CAU26"/>
    <mergeCell ref="CAQ27:CAU27"/>
    <mergeCell ref="CAQ28:CAU29"/>
    <mergeCell ref="CAQ13:CAR13"/>
    <mergeCell ref="CAS13:CAU13"/>
    <mergeCell ref="CAQ14:CAR14"/>
    <mergeCell ref="CAS14:CAU14"/>
    <mergeCell ref="CAQ15:CAS15"/>
    <mergeCell ref="CAT15:CAU15"/>
    <mergeCell ref="CAQ16:CAR16"/>
    <mergeCell ref="CAS16:CAU16"/>
    <mergeCell ref="CAQ17:CAR17"/>
    <mergeCell ref="CAS17:CAU17"/>
    <mergeCell ref="CAQ18:CAR18"/>
    <mergeCell ref="CAS18:CAU18"/>
    <mergeCell ref="CAQ19:CAR19"/>
    <mergeCell ref="CAS19:CAU19"/>
    <mergeCell ref="CAQ20:CAR20"/>
    <mergeCell ref="CAS20:CAU20"/>
    <mergeCell ref="CAT21:CAU21"/>
    <mergeCell ref="CAQ1:CAQ2"/>
    <mergeCell ref="CAR1:CAS2"/>
    <mergeCell ref="CAT1:CAT2"/>
    <mergeCell ref="CAT3:CAU3"/>
    <mergeCell ref="CAT4:CAU4"/>
    <mergeCell ref="CAT5:CAU5"/>
    <mergeCell ref="CAT6:CAU6"/>
    <mergeCell ref="CAT7:CAU7"/>
    <mergeCell ref="CAT8:CAU8"/>
    <mergeCell ref="CAQ9:CAS9"/>
    <mergeCell ref="CAT9:CAU9"/>
    <mergeCell ref="CAQ10:CAR10"/>
    <mergeCell ref="CAS10:CAU10"/>
    <mergeCell ref="CAQ11:CAR11"/>
    <mergeCell ref="CAS11:CAU11"/>
    <mergeCell ref="CAQ12:CAR12"/>
    <mergeCell ref="CAS12:CAU12"/>
    <mergeCell ref="CBD22:CBE22"/>
    <mergeCell ref="CBD23:CBE23"/>
    <mergeCell ref="CBD24:CBE24"/>
    <mergeCell ref="CBD25:CBE25"/>
    <mergeCell ref="CBD26:CBE26"/>
    <mergeCell ref="CBA27:CBE27"/>
    <mergeCell ref="CBA28:CBE29"/>
    <mergeCell ref="CBA13:CBB13"/>
    <mergeCell ref="CBC13:CBE13"/>
    <mergeCell ref="CBA14:CBB14"/>
    <mergeCell ref="CBC14:CBE14"/>
    <mergeCell ref="CBA15:CBC15"/>
    <mergeCell ref="CBD15:CBE15"/>
    <mergeCell ref="CBA16:CBB16"/>
    <mergeCell ref="CBC16:CBE16"/>
    <mergeCell ref="CBA17:CBB17"/>
    <mergeCell ref="CBC17:CBE17"/>
    <mergeCell ref="CBA18:CBB18"/>
    <mergeCell ref="CBC18:CBE18"/>
    <mergeCell ref="CBA19:CBB19"/>
    <mergeCell ref="CBC19:CBE19"/>
    <mergeCell ref="CBA20:CBB20"/>
    <mergeCell ref="CBC20:CBE20"/>
    <mergeCell ref="CBD21:CBE21"/>
    <mergeCell ref="CBA1:CBA2"/>
    <mergeCell ref="CBB1:CBC2"/>
    <mergeCell ref="CBD1:CBD2"/>
    <mergeCell ref="CBD3:CBE3"/>
    <mergeCell ref="CBD4:CBE4"/>
    <mergeCell ref="CBD5:CBE5"/>
    <mergeCell ref="CBD6:CBE6"/>
    <mergeCell ref="CBD7:CBE7"/>
    <mergeCell ref="CBD8:CBE8"/>
    <mergeCell ref="CBA9:CBC9"/>
    <mergeCell ref="CBD9:CBE9"/>
    <mergeCell ref="CBA10:CBB10"/>
    <mergeCell ref="CBC10:CBE10"/>
    <mergeCell ref="CBA11:CBB11"/>
    <mergeCell ref="CBC11:CBE11"/>
    <mergeCell ref="CBA12:CBB12"/>
    <mergeCell ref="CBC12:CBE12"/>
    <mergeCell ref="CBI22:CBJ22"/>
    <mergeCell ref="CBI23:CBJ23"/>
    <mergeCell ref="CBI24:CBJ24"/>
    <mergeCell ref="CBI25:CBJ25"/>
    <mergeCell ref="CBI26:CBJ26"/>
    <mergeCell ref="CBF27:CBJ27"/>
    <mergeCell ref="CBF28:CBJ29"/>
    <mergeCell ref="CBF13:CBG13"/>
    <mergeCell ref="CBH13:CBJ13"/>
    <mergeCell ref="CBF14:CBG14"/>
    <mergeCell ref="CBH14:CBJ14"/>
    <mergeCell ref="CBF15:CBH15"/>
    <mergeCell ref="CBI15:CBJ15"/>
    <mergeCell ref="CBF16:CBG16"/>
    <mergeCell ref="CBH16:CBJ16"/>
    <mergeCell ref="CBF17:CBG17"/>
    <mergeCell ref="CBH17:CBJ17"/>
    <mergeCell ref="CBF18:CBG18"/>
    <mergeCell ref="CBH18:CBJ18"/>
    <mergeCell ref="CBF19:CBG19"/>
    <mergeCell ref="CBH19:CBJ19"/>
    <mergeCell ref="CBF20:CBG20"/>
    <mergeCell ref="CBH20:CBJ20"/>
    <mergeCell ref="CBI21:CBJ21"/>
    <mergeCell ref="CBF1:CBF2"/>
    <mergeCell ref="CBG1:CBH2"/>
    <mergeCell ref="CBI1:CBI2"/>
    <mergeCell ref="CBI3:CBJ3"/>
    <mergeCell ref="CBI4:CBJ4"/>
    <mergeCell ref="CBI5:CBJ5"/>
    <mergeCell ref="CBI6:CBJ6"/>
    <mergeCell ref="CBI7:CBJ7"/>
    <mergeCell ref="CBI8:CBJ8"/>
    <mergeCell ref="CBF9:CBH9"/>
    <mergeCell ref="CBI9:CBJ9"/>
    <mergeCell ref="CBF10:CBG10"/>
    <mergeCell ref="CBH10:CBJ10"/>
    <mergeCell ref="CBF11:CBG11"/>
    <mergeCell ref="CBH11:CBJ11"/>
    <mergeCell ref="CBF12:CBG12"/>
    <mergeCell ref="CBH12:CBJ12"/>
    <mergeCell ref="CBS22:CBT22"/>
    <mergeCell ref="CBS23:CBT23"/>
    <mergeCell ref="CBS24:CBT24"/>
    <mergeCell ref="CBS25:CBT25"/>
    <mergeCell ref="CBS26:CBT26"/>
    <mergeCell ref="CBP27:CBT27"/>
    <mergeCell ref="CBP28:CBT29"/>
    <mergeCell ref="CBP13:CBQ13"/>
    <mergeCell ref="CBR13:CBT13"/>
    <mergeCell ref="CBP14:CBQ14"/>
    <mergeCell ref="CBR14:CBT14"/>
    <mergeCell ref="CBP15:CBR15"/>
    <mergeCell ref="CBS15:CBT15"/>
    <mergeCell ref="CBP16:CBQ16"/>
    <mergeCell ref="CBR16:CBT16"/>
    <mergeCell ref="CBP17:CBQ17"/>
    <mergeCell ref="CBR17:CBT17"/>
    <mergeCell ref="CBP18:CBQ18"/>
    <mergeCell ref="CBR18:CBT18"/>
    <mergeCell ref="CBP19:CBQ19"/>
    <mergeCell ref="CBR19:CBT19"/>
    <mergeCell ref="CBP20:CBQ20"/>
    <mergeCell ref="CBR20:CBT20"/>
    <mergeCell ref="CBS21:CBT21"/>
    <mergeCell ref="CBP1:CBP2"/>
    <mergeCell ref="CBQ1:CBR2"/>
    <mergeCell ref="CBS1:CBS2"/>
    <mergeCell ref="CBS3:CBT3"/>
    <mergeCell ref="CBS4:CBT4"/>
    <mergeCell ref="CBS5:CBT5"/>
    <mergeCell ref="CBS6:CBT6"/>
    <mergeCell ref="CBS7:CBT7"/>
    <mergeCell ref="CBS8:CBT8"/>
    <mergeCell ref="CBP9:CBR9"/>
    <mergeCell ref="CBS9:CBT9"/>
    <mergeCell ref="CBP10:CBQ10"/>
    <mergeCell ref="CBR10:CBT10"/>
    <mergeCell ref="CBP11:CBQ11"/>
    <mergeCell ref="CBR11:CBT11"/>
    <mergeCell ref="CBP12:CBQ12"/>
    <mergeCell ref="CBR12:CBT12"/>
    <mergeCell ref="CCC22:CCD22"/>
    <mergeCell ref="CCC23:CCD23"/>
    <mergeCell ref="CCC24:CCD24"/>
    <mergeCell ref="CCC25:CCD25"/>
    <mergeCell ref="CCC26:CCD26"/>
    <mergeCell ref="CBZ27:CCD27"/>
    <mergeCell ref="CBZ28:CCD29"/>
    <mergeCell ref="CBZ13:CCA13"/>
    <mergeCell ref="CCB13:CCD13"/>
    <mergeCell ref="CBZ14:CCA14"/>
    <mergeCell ref="CCB14:CCD14"/>
    <mergeCell ref="CBZ15:CCB15"/>
    <mergeCell ref="CCC15:CCD15"/>
    <mergeCell ref="CBZ16:CCA16"/>
    <mergeCell ref="CCB16:CCD16"/>
    <mergeCell ref="CBZ17:CCA17"/>
    <mergeCell ref="CCB17:CCD17"/>
    <mergeCell ref="CBZ18:CCA18"/>
    <mergeCell ref="CCB18:CCD18"/>
    <mergeCell ref="CBZ19:CCA19"/>
    <mergeCell ref="CCB19:CCD19"/>
    <mergeCell ref="CBZ20:CCA20"/>
    <mergeCell ref="CCB20:CCD20"/>
    <mergeCell ref="CCC21:CCD21"/>
    <mergeCell ref="CBZ1:CBZ2"/>
    <mergeCell ref="CCA1:CCB2"/>
    <mergeCell ref="CCC1:CCC2"/>
    <mergeCell ref="CCC3:CCD3"/>
    <mergeCell ref="CCC4:CCD4"/>
    <mergeCell ref="CCC5:CCD5"/>
    <mergeCell ref="CCC6:CCD6"/>
    <mergeCell ref="CCC7:CCD7"/>
    <mergeCell ref="CCC8:CCD8"/>
    <mergeCell ref="CBZ9:CCB9"/>
    <mergeCell ref="CCC9:CCD9"/>
    <mergeCell ref="CBZ10:CCA10"/>
    <mergeCell ref="CCB10:CCD10"/>
    <mergeCell ref="CBZ11:CCA11"/>
    <mergeCell ref="CCB11:CCD11"/>
    <mergeCell ref="CBZ12:CCA12"/>
    <mergeCell ref="CCB12:CCD12"/>
    <mergeCell ref="CCR22:CCS22"/>
    <mergeCell ref="CCR23:CCS23"/>
    <mergeCell ref="CCR24:CCS24"/>
    <mergeCell ref="CCR25:CCS25"/>
    <mergeCell ref="CCR26:CCS26"/>
    <mergeCell ref="CCO27:CCS27"/>
    <mergeCell ref="CCO28:CCS29"/>
    <mergeCell ref="CCO13:CCP13"/>
    <mergeCell ref="CCQ13:CCS13"/>
    <mergeCell ref="CCO14:CCP14"/>
    <mergeCell ref="CCQ14:CCS14"/>
    <mergeCell ref="CCO15:CCQ15"/>
    <mergeCell ref="CCR15:CCS15"/>
    <mergeCell ref="CCO16:CCP16"/>
    <mergeCell ref="CCQ16:CCS16"/>
    <mergeCell ref="CCO17:CCP17"/>
    <mergeCell ref="CCQ17:CCS17"/>
    <mergeCell ref="CCO18:CCP18"/>
    <mergeCell ref="CCQ18:CCS18"/>
    <mergeCell ref="CCO19:CCP19"/>
    <mergeCell ref="CCQ19:CCS19"/>
    <mergeCell ref="CCO20:CCP20"/>
    <mergeCell ref="CCQ20:CCS20"/>
    <mergeCell ref="CCR21:CCS21"/>
    <mergeCell ref="CCO1:CCO2"/>
    <mergeCell ref="CCP1:CCQ2"/>
    <mergeCell ref="CCR1:CCR2"/>
    <mergeCell ref="CCR3:CCS3"/>
    <mergeCell ref="CCR4:CCS4"/>
    <mergeCell ref="CCR5:CCS5"/>
    <mergeCell ref="CCR6:CCS6"/>
    <mergeCell ref="CCR7:CCS7"/>
    <mergeCell ref="CCR8:CCS8"/>
    <mergeCell ref="CCO9:CCQ9"/>
    <mergeCell ref="CCR9:CCS9"/>
    <mergeCell ref="CCO10:CCP10"/>
    <mergeCell ref="CCQ10:CCS10"/>
    <mergeCell ref="CCO11:CCP11"/>
    <mergeCell ref="CCQ11:CCS11"/>
    <mergeCell ref="CCO12:CCP12"/>
    <mergeCell ref="CCQ12:CCS12"/>
    <mergeCell ref="CDB22:CDC22"/>
    <mergeCell ref="CDB23:CDC23"/>
    <mergeCell ref="CDB24:CDC24"/>
    <mergeCell ref="CDB25:CDC25"/>
    <mergeCell ref="CDB26:CDC26"/>
    <mergeCell ref="CCY27:CDC27"/>
    <mergeCell ref="CCY28:CDC29"/>
    <mergeCell ref="CCY13:CCZ13"/>
    <mergeCell ref="CDA13:CDC13"/>
    <mergeCell ref="CCY14:CCZ14"/>
    <mergeCell ref="CDA14:CDC14"/>
    <mergeCell ref="CCY15:CDA15"/>
    <mergeCell ref="CDB15:CDC15"/>
    <mergeCell ref="CCY16:CCZ16"/>
    <mergeCell ref="CDA16:CDC16"/>
    <mergeCell ref="CCY17:CCZ17"/>
    <mergeCell ref="CDA17:CDC17"/>
    <mergeCell ref="CCY18:CCZ18"/>
    <mergeCell ref="CDA18:CDC18"/>
    <mergeCell ref="CCY19:CCZ19"/>
    <mergeCell ref="CDA19:CDC19"/>
    <mergeCell ref="CCY20:CCZ20"/>
    <mergeCell ref="CDA20:CDC20"/>
    <mergeCell ref="CDB21:CDC21"/>
    <mergeCell ref="CCY1:CCY2"/>
    <mergeCell ref="CCZ1:CDA2"/>
    <mergeCell ref="CDB1:CDB2"/>
    <mergeCell ref="CDB3:CDC3"/>
    <mergeCell ref="CDB4:CDC4"/>
    <mergeCell ref="CDB5:CDC5"/>
    <mergeCell ref="CDB6:CDC6"/>
    <mergeCell ref="CDB7:CDC7"/>
    <mergeCell ref="CDB8:CDC8"/>
    <mergeCell ref="CCY9:CDA9"/>
    <mergeCell ref="CDB9:CDC9"/>
    <mergeCell ref="CCY10:CCZ10"/>
    <mergeCell ref="CDA10:CDC10"/>
    <mergeCell ref="CCY11:CCZ11"/>
    <mergeCell ref="CDA11:CDC11"/>
    <mergeCell ref="CCY12:CCZ12"/>
    <mergeCell ref="CDA12:CDC12"/>
    <mergeCell ref="CDL22:CDM22"/>
    <mergeCell ref="CDL23:CDM23"/>
    <mergeCell ref="CDL24:CDM24"/>
    <mergeCell ref="CDL25:CDM25"/>
    <mergeCell ref="CDL26:CDM26"/>
    <mergeCell ref="CDI27:CDM27"/>
    <mergeCell ref="CDI28:CDM29"/>
    <mergeCell ref="CDI13:CDJ13"/>
    <mergeCell ref="CDK13:CDM13"/>
    <mergeCell ref="CDI14:CDJ14"/>
    <mergeCell ref="CDK14:CDM14"/>
    <mergeCell ref="CDI15:CDK15"/>
    <mergeCell ref="CDL15:CDM15"/>
    <mergeCell ref="CDI16:CDJ16"/>
    <mergeCell ref="CDK16:CDM16"/>
    <mergeCell ref="CDI17:CDJ17"/>
    <mergeCell ref="CDK17:CDM17"/>
    <mergeCell ref="CDI18:CDJ18"/>
    <mergeCell ref="CDK18:CDM18"/>
    <mergeCell ref="CDI19:CDJ19"/>
    <mergeCell ref="CDK19:CDM19"/>
    <mergeCell ref="CDI20:CDJ20"/>
    <mergeCell ref="CDK20:CDM20"/>
    <mergeCell ref="CDL21:CDM21"/>
    <mergeCell ref="CDI1:CDI2"/>
    <mergeCell ref="CDJ1:CDK2"/>
    <mergeCell ref="CDL1:CDL2"/>
    <mergeCell ref="CDL3:CDM3"/>
    <mergeCell ref="CDL4:CDM4"/>
    <mergeCell ref="CDL5:CDM5"/>
    <mergeCell ref="CDL6:CDM6"/>
    <mergeCell ref="CDL7:CDM7"/>
    <mergeCell ref="CDL8:CDM8"/>
    <mergeCell ref="CDI9:CDK9"/>
    <mergeCell ref="CDL9:CDM9"/>
    <mergeCell ref="CDI10:CDJ10"/>
    <mergeCell ref="CDK10:CDM10"/>
    <mergeCell ref="CDI11:CDJ11"/>
    <mergeCell ref="CDK11:CDM11"/>
    <mergeCell ref="CDI12:CDJ12"/>
    <mergeCell ref="CDK12:CDM12"/>
    <mergeCell ref="CDQ22:CDR22"/>
    <mergeCell ref="CDQ23:CDR23"/>
    <mergeCell ref="CDQ24:CDR24"/>
    <mergeCell ref="CDQ25:CDR25"/>
    <mergeCell ref="CDQ26:CDR26"/>
    <mergeCell ref="CDN27:CDR27"/>
    <mergeCell ref="CDN28:CDR29"/>
    <mergeCell ref="CDN13:CDO13"/>
    <mergeCell ref="CDP13:CDR13"/>
    <mergeCell ref="CDN14:CDO14"/>
    <mergeCell ref="CDP14:CDR14"/>
    <mergeCell ref="CDN15:CDP15"/>
    <mergeCell ref="CDQ15:CDR15"/>
    <mergeCell ref="CDN16:CDO16"/>
    <mergeCell ref="CDP16:CDR16"/>
    <mergeCell ref="CDN17:CDO17"/>
    <mergeCell ref="CDP17:CDR17"/>
    <mergeCell ref="CDN18:CDO18"/>
    <mergeCell ref="CDP18:CDR18"/>
    <mergeCell ref="CDN19:CDO19"/>
    <mergeCell ref="CDP19:CDR19"/>
    <mergeCell ref="CDN20:CDO20"/>
    <mergeCell ref="CDP20:CDR20"/>
    <mergeCell ref="CDQ21:CDR21"/>
    <mergeCell ref="CDN1:CDN2"/>
    <mergeCell ref="CDO1:CDP2"/>
    <mergeCell ref="CDQ1:CDQ2"/>
    <mergeCell ref="CDQ3:CDR3"/>
    <mergeCell ref="CDQ4:CDR4"/>
    <mergeCell ref="CDQ5:CDR5"/>
    <mergeCell ref="CDQ6:CDR6"/>
    <mergeCell ref="CDQ7:CDR7"/>
    <mergeCell ref="CDQ8:CDR8"/>
    <mergeCell ref="CDN9:CDP9"/>
    <mergeCell ref="CDQ9:CDR9"/>
    <mergeCell ref="CDN10:CDO10"/>
    <mergeCell ref="CDP10:CDR10"/>
    <mergeCell ref="CDN11:CDO11"/>
    <mergeCell ref="CDP11:CDR11"/>
    <mergeCell ref="CDN12:CDO12"/>
    <mergeCell ref="CDP12:CDR12"/>
    <mergeCell ref="CEA22:CEB22"/>
    <mergeCell ref="CEA23:CEB23"/>
    <mergeCell ref="CEA24:CEB24"/>
    <mergeCell ref="CEA25:CEB25"/>
    <mergeCell ref="CEA26:CEB26"/>
    <mergeCell ref="CDX27:CEB27"/>
    <mergeCell ref="CDX28:CEB29"/>
    <mergeCell ref="CDX13:CDY13"/>
    <mergeCell ref="CDZ13:CEB13"/>
    <mergeCell ref="CDX14:CDY14"/>
    <mergeCell ref="CDZ14:CEB14"/>
    <mergeCell ref="CDX15:CDZ15"/>
    <mergeCell ref="CEA15:CEB15"/>
    <mergeCell ref="CDX16:CDY16"/>
    <mergeCell ref="CDZ16:CEB16"/>
    <mergeCell ref="CDX17:CDY17"/>
    <mergeCell ref="CDZ17:CEB17"/>
    <mergeCell ref="CDX18:CDY18"/>
    <mergeCell ref="CDZ18:CEB18"/>
    <mergeCell ref="CDX19:CDY19"/>
    <mergeCell ref="CDZ19:CEB19"/>
    <mergeCell ref="CDX20:CDY20"/>
    <mergeCell ref="CDZ20:CEB20"/>
    <mergeCell ref="CEA21:CEB21"/>
    <mergeCell ref="CDX1:CDX2"/>
    <mergeCell ref="CDY1:CDZ2"/>
    <mergeCell ref="CEA1:CEA2"/>
    <mergeCell ref="CEA3:CEB3"/>
    <mergeCell ref="CEA4:CEB4"/>
    <mergeCell ref="CEA5:CEB5"/>
    <mergeCell ref="CEA6:CEB6"/>
    <mergeCell ref="CEA7:CEB7"/>
    <mergeCell ref="CEA8:CEB8"/>
    <mergeCell ref="CDX9:CDZ9"/>
    <mergeCell ref="CEA9:CEB9"/>
    <mergeCell ref="CDX10:CDY10"/>
    <mergeCell ref="CDZ10:CEB10"/>
    <mergeCell ref="CDX11:CDY11"/>
    <mergeCell ref="CDZ11:CEB11"/>
    <mergeCell ref="CDX12:CDY12"/>
    <mergeCell ref="CDZ12:CEB12"/>
    <mergeCell ref="CEK22:CEL22"/>
    <mergeCell ref="CEK23:CEL23"/>
    <mergeCell ref="CEK24:CEL24"/>
    <mergeCell ref="CEK25:CEL25"/>
    <mergeCell ref="CEK26:CEL26"/>
    <mergeCell ref="CEH27:CEL27"/>
    <mergeCell ref="CEH28:CEL29"/>
    <mergeCell ref="CEH13:CEI13"/>
    <mergeCell ref="CEJ13:CEL13"/>
    <mergeCell ref="CEH14:CEI14"/>
    <mergeCell ref="CEJ14:CEL14"/>
    <mergeCell ref="CEH15:CEJ15"/>
    <mergeCell ref="CEK15:CEL15"/>
    <mergeCell ref="CEH16:CEI16"/>
    <mergeCell ref="CEJ16:CEL16"/>
    <mergeCell ref="CEH17:CEI17"/>
    <mergeCell ref="CEJ17:CEL17"/>
    <mergeCell ref="CEH18:CEI18"/>
    <mergeCell ref="CEJ18:CEL18"/>
    <mergeCell ref="CEH19:CEI19"/>
    <mergeCell ref="CEJ19:CEL19"/>
    <mergeCell ref="CEH20:CEI20"/>
    <mergeCell ref="CEJ20:CEL20"/>
    <mergeCell ref="CEK21:CEL21"/>
    <mergeCell ref="CEH1:CEH2"/>
    <mergeCell ref="CEI1:CEJ2"/>
    <mergeCell ref="CEK1:CEK2"/>
    <mergeCell ref="CEK3:CEL3"/>
    <mergeCell ref="CEK4:CEL4"/>
    <mergeCell ref="CEK5:CEL5"/>
    <mergeCell ref="CEK6:CEL6"/>
    <mergeCell ref="CEK7:CEL7"/>
    <mergeCell ref="CEK8:CEL8"/>
    <mergeCell ref="CEH9:CEJ9"/>
    <mergeCell ref="CEK9:CEL9"/>
    <mergeCell ref="CEH10:CEI10"/>
    <mergeCell ref="CEJ10:CEL10"/>
    <mergeCell ref="CEH11:CEI11"/>
    <mergeCell ref="CEJ11:CEL11"/>
    <mergeCell ref="CEH12:CEI12"/>
    <mergeCell ref="CEJ12:CEL12"/>
    <mergeCell ref="CEZ22:CFA22"/>
    <mergeCell ref="CEZ23:CFA23"/>
    <mergeCell ref="CEZ24:CFA24"/>
    <mergeCell ref="CEZ25:CFA25"/>
    <mergeCell ref="CEZ26:CFA26"/>
    <mergeCell ref="CEW27:CFA27"/>
    <mergeCell ref="CEW28:CFA29"/>
    <mergeCell ref="CEW13:CEX13"/>
    <mergeCell ref="CEY13:CFA13"/>
    <mergeCell ref="CEW14:CEX14"/>
    <mergeCell ref="CEY14:CFA14"/>
    <mergeCell ref="CEW15:CEY15"/>
    <mergeCell ref="CEZ15:CFA15"/>
    <mergeCell ref="CEW16:CEX16"/>
    <mergeCell ref="CEY16:CFA16"/>
    <mergeCell ref="CEW17:CEX17"/>
    <mergeCell ref="CEY17:CFA17"/>
    <mergeCell ref="CEW18:CEX18"/>
    <mergeCell ref="CEY18:CFA18"/>
    <mergeCell ref="CEW19:CEX19"/>
    <mergeCell ref="CEY19:CFA19"/>
    <mergeCell ref="CEW20:CEX20"/>
    <mergeCell ref="CEY20:CFA20"/>
    <mergeCell ref="CEZ21:CFA21"/>
    <mergeCell ref="CEW1:CEW2"/>
    <mergeCell ref="CEX1:CEY2"/>
    <mergeCell ref="CEZ1:CEZ2"/>
    <mergeCell ref="CEZ3:CFA3"/>
    <mergeCell ref="CEZ4:CFA4"/>
    <mergeCell ref="CEZ5:CFA5"/>
    <mergeCell ref="CEZ6:CFA6"/>
    <mergeCell ref="CEZ7:CFA7"/>
    <mergeCell ref="CEZ8:CFA8"/>
    <mergeCell ref="CEW9:CEY9"/>
    <mergeCell ref="CEZ9:CFA9"/>
    <mergeCell ref="CEW10:CEX10"/>
    <mergeCell ref="CEY10:CFA10"/>
    <mergeCell ref="CEW11:CEX11"/>
    <mergeCell ref="CEY11:CFA11"/>
    <mergeCell ref="CEW12:CEX12"/>
    <mergeCell ref="CEY12:CFA12"/>
    <mergeCell ref="CFJ22:CFK22"/>
    <mergeCell ref="CFJ23:CFK23"/>
    <mergeCell ref="CFJ24:CFK24"/>
    <mergeCell ref="CFJ25:CFK25"/>
    <mergeCell ref="CFJ26:CFK26"/>
    <mergeCell ref="CFG27:CFK27"/>
    <mergeCell ref="CFG28:CFK29"/>
    <mergeCell ref="CFG13:CFH13"/>
    <mergeCell ref="CFI13:CFK13"/>
    <mergeCell ref="CFG14:CFH14"/>
    <mergeCell ref="CFI14:CFK14"/>
    <mergeCell ref="CFG15:CFI15"/>
    <mergeCell ref="CFJ15:CFK15"/>
    <mergeCell ref="CFG16:CFH16"/>
    <mergeCell ref="CFI16:CFK16"/>
    <mergeCell ref="CFG17:CFH17"/>
    <mergeCell ref="CFI17:CFK17"/>
    <mergeCell ref="CFG18:CFH18"/>
    <mergeCell ref="CFI18:CFK18"/>
    <mergeCell ref="CFG19:CFH19"/>
    <mergeCell ref="CFI19:CFK19"/>
    <mergeCell ref="CFG20:CFH20"/>
    <mergeCell ref="CFI20:CFK20"/>
    <mergeCell ref="CFJ21:CFK21"/>
    <mergeCell ref="CFG1:CFG2"/>
    <mergeCell ref="CFH1:CFI2"/>
    <mergeCell ref="CFJ1:CFJ2"/>
    <mergeCell ref="CFJ3:CFK3"/>
    <mergeCell ref="CFJ4:CFK4"/>
    <mergeCell ref="CFJ5:CFK5"/>
    <mergeCell ref="CFJ6:CFK6"/>
    <mergeCell ref="CFJ7:CFK7"/>
    <mergeCell ref="CFJ8:CFK8"/>
    <mergeCell ref="CFG9:CFI9"/>
    <mergeCell ref="CFJ9:CFK9"/>
    <mergeCell ref="CFG10:CFH10"/>
    <mergeCell ref="CFI10:CFK10"/>
    <mergeCell ref="CFG11:CFH11"/>
    <mergeCell ref="CFI11:CFK11"/>
    <mergeCell ref="CFG12:CFH12"/>
    <mergeCell ref="CFI12:CFK12"/>
    <mergeCell ref="CFY22:CFZ22"/>
    <mergeCell ref="CFY23:CFZ23"/>
    <mergeCell ref="CFY24:CFZ24"/>
    <mergeCell ref="CFY25:CFZ25"/>
    <mergeCell ref="CFY26:CFZ26"/>
    <mergeCell ref="CFV27:CFZ27"/>
    <mergeCell ref="CFV28:CFZ29"/>
    <mergeCell ref="CFV13:CFW13"/>
    <mergeCell ref="CFX13:CFZ13"/>
    <mergeCell ref="CFV14:CFW14"/>
    <mergeCell ref="CFX14:CFZ14"/>
    <mergeCell ref="CFV15:CFX15"/>
    <mergeCell ref="CFY15:CFZ15"/>
    <mergeCell ref="CFV16:CFW16"/>
    <mergeCell ref="CFX16:CFZ16"/>
    <mergeCell ref="CFV17:CFW17"/>
    <mergeCell ref="CFX17:CFZ17"/>
    <mergeCell ref="CFV18:CFW18"/>
    <mergeCell ref="CFX18:CFZ18"/>
    <mergeCell ref="CFV19:CFW19"/>
    <mergeCell ref="CFX19:CFZ19"/>
    <mergeCell ref="CFV20:CFW20"/>
    <mergeCell ref="CFX20:CFZ20"/>
    <mergeCell ref="CFY21:CFZ21"/>
    <mergeCell ref="CFV1:CFV2"/>
    <mergeCell ref="CFW1:CFX2"/>
    <mergeCell ref="CFY1:CFY2"/>
    <mergeCell ref="CFY3:CFZ3"/>
    <mergeCell ref="CFY4:CFZ4"/>
    <mergeCell ref="CFY5:CFZ5"/>
    <mergeCell ref="CFY6:CFZ6"/>
    <mergeCell ref="CFY7:CFZ7"/>
    <mergeCell ref="CFY8:CFZ8"/>
    <mergeCell ref="CFV9:CFX9"/>
    <mergeCell ref="CFY9:CFZ9"/>
    <mergeCell ref="CFV10:CFW10"/>
    <mergeCell ref="CFX10:CFZ10"/>
    <mergeCell ref="CFV11:CFW11"/>
    <mergeCell ref="CFX11:CFZ11"/>
    <mergeCell ref="CFV12:CFW12"/>
    <mergeCell ref="CFX12:CFZ12"/>
    <mergeCell ref="CGI22:CGJ22"/>
    <mergeCell ref="CGI23:CGJ23"/>
    <mergeCell ref="CGI24:CGJ24"/>
    <mergeCell ref="CGI25:CGJ25"/>
    <mergeCell ref="CGI26:CGJ26"/>
    <mergeCell ref="CGF27:CGJ27"/>
    <mergeCell ref="CGF28:CGJ29"/>
    <mergeCell ref="CGF13:CGG13"/>
    <mergeCell ref="CGH13:CGJ13"/>
    <mergeCell ref="CGF14:CGG14"/>
    <mergeCell ref="CGH14:CGJ14"/>
    <mergeCell ref="CGF15:CGH15"/>
    <mergeCell ref="CGI15:CGJ15"/>
    <mergeCell ref="CGF16:CGG16"/>
    <mergeCell ref="CGH16:CGJ16"/>
    <mergeCell ref="CGF17:CGG17"/>
    <mergeCell ref="CGH17:CGJ17"/>
    <mergeCell ref="CGF18:CGG18"/>
    <mergeCell ref="CGH18:CGJ18"/>
    <mergeCell ref="CGF19:CGG19"/>
    <mergeCell ref="CGH19:CGJ19"/>
    <mergeCell ref="CGF20:CGG20"/>
    <mergeCell ref="CGH20:CGJ20"/>
    <mergeCell ref="CGI21:CGJ21"/>
    <mergeCell ref="CGF1:CGF2"/>
    <mergeCell ref="CGG1:CGH2"/>
    <mergeCell ref="CGI1:CGI2"/>
    <mergeCell ref="CGI3:CGJ3"/>
    <mergeCell ref="CGI4:CGJ4"/>
    <mergeCell ref="CGI5:CGJ5"/>
    <mergeCell ref="CGI6:CGJ6"/>
    <mergeCell ref="CGI7:CGJ7"/>
    <mergeCell ref="CGI8:CGJ8"/>
    <mergeCell ref="CGF9:CGH9"/>
    <mergeCell ref="CGI9:CGJ9"/>
    <mergeCell ref="CGF10:CGG10"/>
    <mergeCell ref="CGH10:CGJ10"/>
    <mergeCell ref="CGF11:CGG11"/>
    <mergeCell ref="CGH11:CGJ11"/>
    <mergeCell ref="CGF12:CGG12"/>
    <mergeCell ref="CGH12:CGJ12"/>
    <mergeCell ref="CGS22:CGT22"/>
    <mergeCell ref="CGS23:CGT23"/>
    <mergeCell ref="CGS24:CGT24"/>
    <mergeCell ref="CGS25:CGT25"/>
    <mergeCell ref="CGS26:CGT26"/>
    <mergeCell ref="CGP27:CGT27"/>
    <mergeCell ref="CGP28:CGT29"/>
    <mergeCell ref="CGP13:CGQ13"/>
    <mergeCell ref="CGR13:CGT13"/>
    <mergeCell ref="CGP14:CGQ14"/>
    <mergeCell ref="CGR14:CGT14"/>
    <mergeCell ref="CGP15:CGR15"/>
    <mergeCell ref="CGS15:CGT15"/>
    <mergeCell ref="CGP16:CGQ16"/>
    <mergeCell ref="CGR16:CGT16"/>
    <mergeCell ref="CGP17:CGQ17"/>
    <mergeCell ref="CGR17:CGT17"/>
    <mergeCell ref="CGP18:CGQ18"/>
    <mergeCell ref="CGR18:CGT18"/>
    <mergeCell ref="CGP19:CGQ19"/>
    <mergeCell ref="CGR19:CGT19"/>
    <mergeCell ref="CGP20:CGQ20"/>
    <mergeCell ref="CGR20:CGT20"/>
    <mergeCell ref="CGS21:CGT21"/>
    <mergeCell ref="CGP1:CGP2"/>
    <mergeCell ref="CGQ1:CGR2"/>
    <mergeCell ref="CGS1:CGS2"/>
    <mergeCell ref="CGS3:CGT3"/>
    <mergeCell ref="CGS4:CGT4"/>
    <mergeCell ref="CGS5:CGT5"/>
    <mergeCell ref="CGS6:CGT6"/>
    <mergeCell ref="CGS7:CGT7"/>
    <mergeCell ref="CGS8:CGT8"/>
    <mergeCell ref="CGP9:CGR9"/>
    <mergeCell ref="CGS9:CGT9"/>
    <mergeCell ref="CGP10:CGQ10"/>
    <mergeCell ref="CGR10:CGT10"/>
    <mergeCell ref="CGP11:CGQ11"/>
    <mergeCell ref="CGR11:CGT11"/>
    <mergeCell ref="CGP12:CGQ12"/>
    <mergeCell ref="CGR12:CGT12"/>
    <mergeCell ref="CHH22:CHI22"/>
    <mergeCell ref="CHH23:CHI23"/>
    <mergeCell ref="CHH24:CHI24"/>
    <mergeCell ref="CHH25:CHI25"/>
    <mergeCell ref="CHH26:CHI26"/>
    <mergeCell ref="CHE27:CHI27"/>
    <mergeCell ref="CHE28:CHI29"/>
    <mergeCell ref="CHE13:CHF13"/>
    <mergeCell ref="CHG13:CHI13"/>
    <mergeCell ref="CHE14:CHF14"/>
    <mergeCell ref="CHG14:CHI14"/>
    <mergeCell ref="CHE15:CHG15"/>
    <mergeCell ref="CHH15:CHI15"/>
    <mergeCell ref="CHE16:CHF16"/>
    <mergeCell ref="CHG16:CHI16"/>
    <mergeCell ref="CHE17:CHF17"/>
    <mergeCell ref="CHG17:CHI17"/>
    <mergeCell ref="CHE18:CHF18"/>
    <mergeCell ref="CHG18:CHI18"/>
    <mergeCell ref="CHE19:CHF19"/>
    <mergeCell ref="CHG19:CHI19"/>
    <mergeCell ref="CHE20:CHF20"/>
    <mergeCell ref="CHG20:CHI20"/>
    <mergeCell ref="CHH21:CHI21"/>
    <mergeCell ref="CHE1:CHE2"/>
    <mergeCell ref="CHF1:CHG2"/>
    <mergeCell ref="CHH1:CHH2"/>
    <mergeCell ref="CHH3:CHI3"/>
    <mergeCell ref="CHH4:CHI4"/>
    <mergeCell ref="CHH5:CHI5"/>
    <mergeCell ref="CHH6:CHI6"/>
    <mergeCell ref="CHH7:CHI7"/>
    <mergeCell ref="CHH8:CHI8"/>
    <mergeCell ref="CHE9:CHG9"/>
    <mergeCell ref="CHH9:CHI9"/>
    <mergeCell ref="CHE10:CHF10"/>
    <mergeCell ref="CHG10:CHI10"/>
    <mergeCell ref="CHE11:CHF11"/>
    <mergeCell ref="CHG11:CHI11"/>
    <mergeCell ref="CHE12:CHF12"/>
    <mergeCell ref="CHG12:CHI12"/>
    <mergeCell ref="CHR22:CHS22"/>
    <mergeCell ref="CHR23:CHS23"/>
    <mergeCell ref="CHR24:CHS24"/>
    <mergeCell ref="CHR25:CHS25"/>
    <mergeCell ref="CHR26:CHS26"/>
    <mergeCell ref="CHO27:CHS27"/>
    <mergeCell ref="CHO28:CHS29"/>
    <mergeCell ref="CHO13:CHP13"/>
    <mergeCell ref="CHQ13:CHS13"/>
    <mergeCell ref="CHO14:CHP14"/>
    <mergeCell ref="CHQ14:CHS14"/>
    <mergeCell ref="CHO15:CHQ15"/>
    <mergeCell ref="CHR15:CHS15"/>
    <mergeCell ref="CHO16:CHP16"/>
    <mergeCell ref="CHQ16:CHS16"/>
    <mergeCell ref="CHO17:CHP17"/>
    <mergeCell ref="CHQ17:CHS17"/>
    <mergeCell ref="CHO18:CHP18"/>
    <mergeCell ref="CHQ18:CHS18"/>
    <mergeCell ref="CHO19:CHP19"/>
    <mergeCell ref="CHQ19:CHS19"/>
    <mergeCell ref="CHO20:CHP20"/>
    <mergeCell ref="CHQ20:CHS20"/>
    <mergeCell ref="CHR21:CHS21"/>
    <mergeCell ref="CHO1:CHO2"/>
    <mergeCell ref="CHP1:CHQ2"/>
    <mergeCell ref="CHR1:CHR2"/>
    <mergeCell ref="CHR3:CHS3"/>
    <mergeCell ref="CHR4:CHS4"/>
    <mergeCell ref="CHR5:CHS5"/>
    <mergeCell ref="CHR6:CHS6"/>
    <mergeCell ref="CHR7:CHS7"/>
    <mergeCell ref="CHR8:CHS8"/>
    <mergeCell ref="CHO9:CHQ9"/>
    <mergeCell ref="CHR9:CHS9"/>
    <mergeCell ref="CHO10:CHP10"/>
    <mergeCell ref="CHQ10:CHS10"/>
    <mergeCell ref="CHO11:CHP11"/>
    <mergeCell ref="CHQ11:CHS11"/>
    <mergeCell ref="CHO12:CHP12"/>
    <mergeCell ref="CHQ12:CHS12"/>
    <mergeCell ref="CIB22:CIC22"/>
    <mergeCell ref="CIB23:CIC23"/>
    <mergeCell ref="CIB24:CIC24"/>
    <mergeCell ref="CIB25:CIC25"/>
    <mergeCell ref="CIB26:CIC26"/>
    <mergeCell ref="CHY27:CIC27"/>
    <mergeCell ref="CHY28:CIC29"/>
    <mergeCell ref="CHY13:CHZ13"/>
    <mergeCell ref="CIA13:CIC13"/>
    <mergeCell ref="CHY14:CHZ14"/>
    <mergeCell ref="CIA14:CIC14"/>
    <mergeCell ref="CHY15:CIA15"/>
    <mergeCell ref="CIB15:CIC15"/>
    <mergeCell ref="CHY16:CHZ16"/>
    <mergeCell ref="CIA16:CIC16"/>
    <mergeCell ref="CHY17:CHZ17"/>
    <mergeCell ref="CIA17:CIC17"/>
    <mergeCell ref="CHY18:CHZ18"/>
    <mergeCell ref="CIA18:CIC18"/>
    <mergeCell ref="CHY19:CHZ19"/>
    <mergeCell ref="CIA19:CIC19"/>
    <mergeCell ref="CHY20:CHZ20"/>
    <mergeCell ref="CIA20:CIC20"/>
    <mergeCell ref="CIB21:CIC21"/>
    <mergeCell ref="CHY1:CHY2"/>
    <mergeCell ref="CHZ1:CIA2"/>
    <mergeCell ref="CIB1:CIB2"/>
    <mergeCell ref="CIB3:CIC3"/>
    <mergeCell ref="CIB4:CIC4"/>
    <mergeCell ref="CIB5:CIC5"/>
    <mergeCell ref="CIB6:CIC6"/>
    <mergeCell ref="CIB7:CIC7"/>
    <mergeCell ref="CIB8:CIC8"/>
    <mergeCell ref="CHY9:CIA9"/>
    <mergeCell ref="CIB9:CIC9"/>
    <mergeCell ref="CHY10:CHZ10"/>
    <mergeCell ref="CIA10:CIC10"/>
    <mergeCell ref="CHY11:CHZ11"/>
    <mergeCell ref="CIA11:CIC11"/>
    <mergeCell ref="CHY12:CHZ12"/>
    <mergeCell ref="CIA12:CIC12"/>
    <mergeCell ref="CIL22:CIM22"/>
    <mergeCell ref="CIL23:CIM23"/>
    <mergeCell ref="CIL24:CIM24"/>
    <mergeCell ref="CIL25:CIM25"/>
    <mergeCell ref="CIL26:CIM26"/>
    <mergeCell ref="CII27:CIM27"/>
    <mergeCell ref="CII28:CIM29"/>
    <mergeCell ref="CII13:CIJ13"/>
    <mergeCell ref="CIK13:CIM13"/>
    <mergeCell ref="CII14:CIJ14"/>
    <mergeCell ref="CIK14:CIM14"/>
    <mergeCell ref="CII15:CIK15"/>
    <mergeCell ref="CIL15:CIM15"/>
    <mergeCell ref="CII16:CIJ16"/>
    <mergeCell ref="CIK16:CIM16"/>
    <mergeCell ref="CII17:CIJ17"/>
    <mergeCell ref="CIK17:CIM17"/>
    <mergeCell ref="CII18:CIJ18"/>
    <mergeCell ref="CIK18:CIM18"/>
    <mergeCell ref="CII19:CIJ19"/>
    <mergeCell ref="CIK19:CIM19"/>
    <mergeCell ref="CII20:CIJ20"/>
    <mergeCell ref="CIK20:CIM20"/>
    <mergeCell ref="CIL21:CIM21"/>
    <mergeCell ref="CII1:CII2"/>
    <mergeCell ref="CIJ1:CIK2"/>
    <mergeCell ref="CIL1:CIL2"/>
    <mergeCell ref="CIL3:CIM3"/>
    <mergeCell ref="CIL4:CIM4"/>
    <mergeCell ref="CIL5:CIM5"/>
    <mergeCell ref="CIL6:CIM6"/>
    <mergeCell ref="CIL7:CIM7"/>
    <mergeCell ref="CIL8:CIM8"/>
    <mergeCell ref="CII9:CIK9"/>
    <mergeCell ref="CIL9:CIM9"/>
    <mergeCell ref="CII10:CIJ10"/>
    <mergeCell ref="CIK10:CIM10"/>
    <mergeCell ref="CII11:CIJ11"/>
    <mergeCell ref="CIK11:CIM11"/>
    <mergeCell ref="CII12:CIJ12"/>
    <mergeCell ref="CIK12:CIM12"/>
    <mergeCell ref="CIQ22:CIR22"/>
    <mergeCell ref="CIQ23:CIR23"/>
    <mergeCell ref="CIQ24:CIR24"/>
    <mergeCell ref="CIQ25:CIR25"/>
    <mergeCell ref="CIQ26:CIR26"/>
    <mergeCell ref="CIN27:CIR27"/>
    <mergeCell ref="CIN28:CIR29"/>
    <mergeCell ref="CIN13:CIO13"/>
    <mergeCell ref="CIP13:CIR13"/>
    <mergeCell ref="CIN14:CIO14"/>
    <mergeCell ref="CIP14:CIR14"/>
    <mergeCell ref="CIN15:CIP15"/>
    <mergeCell ref="CIQ15:CIR15"/>
    <mergeCell ref="CIN16:CIO16"/>
    <mergeCell ref="CIP16:CIR16"/>
    <mergeCell ref="CIN17:CIO17"/>
    <mergeCell ref="CIP17:CIR17"/>
    <mergeCell ref="CIN18:CIO18"/>
    <mergeCell ref="CIP18:CIR18"/>
    <mergeCell ref="CIN19:CIO19"/>
    <mergeCell ref="CIP19:CIR19"/>
    <mergeCell ref="CIN20:CIO20"/>
    <mergeCell ref="CIP20:CIR20"/>
    <mergeCell ref="CIQ21:CIR21"/>
    <mergeCell ref="CIN1:CIN2"/>
    <mergeCell ref="CIO1:CIP2"/>
    <mergeCell ref="CIQ1:CIQ2"/>
    <mergeCell ref="CIQ3:CIR3"/>
    <mergeCell ref="CIQ4:CIR4"/>
    <mergeCell ref="CIQ5:CIR5"/>
    <mergeCell ref="CIQ6:CIR6"/>
    <mergeCell ref="CIQ7:CIR7"/>
    <mergeCell ref="CIQ8:CIR8"/>
    <mergeCell ref="CIN9:CIP9"/>
    <mergeCell ref="CIQ9:CIR9"/>
    <mergeCell ref="CIN10:CIO10"/>
    <mergeCell ref="CIP10:CIR10"/>
    <mergeCell ref="CIN11:CIO11"/>
    <mergeCell ref="CIP11:CIR11"/>
    <mergeCell ref="CIN12:CIO12"/>
    <mergeCell ref="CIP12:CIR12"/>
    <mergeCell ref="CJA22:CJB22"/>
    <mergeCell ref="CJA23:CJB23"/>
    <mergeCell ref="CJA24:CJB24"/>
    <mergeCell ref="CJA25:CJB25"/>
    <mergeCell ref="CJA26:CJB26"/>
    <mergeCell ref="CIX27:CJB27"/>
    <mergeCell ref="CIX28:CJB29"/>
    <mergeCell ref="CIX13:CIY13"/>
    <mergeCell ref="CIZ13:CJB13"/>
    <mergeCell ref="CIX14:CIY14"/>
    <mergeCell ref="CIZ14:CJB14"/>
    <mergeCell ref="CIX15:CIZ15"/>
    <mergeCell ref="CJA15:CJB15"/>
    <mergeCell ref="CIX16:CIY16"/>
    <mergeCell ref="CIZ16:CJB16"/>
    <mergeCell ref="CIX17:CIY17"/>
    <mergeCell ref="CIZ17:CJB17"/>
    <mergeCell ref="CIX18:CIY18"/>
    <mergeCell ref="CIZ18:CJB18"/>
    <mergeCell ref="CIX19:CIY19"/>
    <mergeCell ref="CIZ19:CJB19"/>
    <mergeCell ref="CIX20:CIY20"/>
    <mergeCell ref="CIZ20:CJB20"/>
    <mergeCell ref="CJA21:CJB21"/>
    <mergeCell ref="CIX1:CIX2"/>
    <mergeCell ref="CIY1:CIZ2"/>
    <mergeCell ref="CJA1:CJA2"/>
    <mergeCell ref="CJA3:CJB3"/>
    <mergeCell ref="CJA4:CJB4"/>
    <mergeCell ref="CJA5:CJB5"/>
    <mergeCell ref="CJA6:CJB6"/>
    <mergeCell ref="CJA7:CJB7"/>
    <mergeCell ref="CJA8:CJB8"/>
    <mergeCell ref="CIX9:CIZ9"/>
    <mergeCell ref="CJA9:CJB9"/>
    <mergeCell ref="CIX10:CIY10"/>
    <mergeCell ref="CIZ10:CJB10"/>
    <mergeCell ref="CIX11:CIY11"/>
    <mergeCell ref="CIZ11:CJB11"/>
    <mergeCell ref="CIX12:CIY12"/>
    <mergeCell ref="CIZ12:CJB12"/>
    <mergeCell ref="CJK22:CJL22"/>
    <mergeCell ref="CJK23:CJL23"/>
    <mergeCell ref="CJK24:CJL24"/>
    <mergeCell ref="CJK25:CJL25"/>
    <mergeCell ref="CJK26:CJL26"/>
    <mergeCell ref="CJH27:CJL27"/>
    <mergeCell ref="CJH28:CJL29"/>
    <mergeCell ref="CJH13:CJI13"/>
    <mergeCell ref="CJJ13:CJL13"/>
    <mergeCell ref="CJH14:CJI14"/>
    <mergeCell ref="CJJ14:CJL14"/>
    <mergeCell ref="CJH15:CJJ15"/>
    <mergeCell ref="CJK15:CJL15"/>
    <mergeCell ref="CJH16:CJI16"/>
    <mergeCell ref="CJJ16:CJL16"/>
    <mergeCell ref="CJH17:CJI17"/>
    <mergeCell ref="CJJ17:CJL17"/>
    <mergeCell ref="CJH18:CJI18"/>
    <mergeCell ref="CJJ18:CJL18"/>
    <mergeCell ref="CJH19:CJI19"/>
    <mergeCell ref="CJJ19:CJL19"/>
    <mergeCell ref="CJH20:CJI20"/>
    <mergeCell ref="CJJ20:CJL20"/>
    <mergeCell ref="CJK21:CJL21"/>
    <mergeCell ref="CJH1:CJH2"/>
    <mergeCell ref="CJI1:CJJ2"/>
    <mergeCell ref="CJK1:CJK2"/>
    <mergeCell ref="CJK3:CJL3"/>
    <mergeCell ref="CJK4:CJL4"/>
    <mergeCell ref="CJK5:CJL5"/>
    <mergeCell ref="CJK6:CJL6"/>
    <mergeCell ref="CJK7:CJL7"/>
    <mergeCell ref="CJK8:CJL8"/>
    <mergeCell ref="CJH9:CJJ9"/>
    <mergeCell ref="CJK9:CJL9"/>
    <mergeCell ref="CJH10:CJI10"/>
    <mergeCell ref="CJJ10:CJL10"/>
    <mergeCell ref="CJH11:CJI11"/>
    <mergeCell ref="CJJ11:CJL11"/>
    <mergeCell ref="CJH12:CJI12"/>
    <mergeCell ref="CJJ12:CJL12"/>
    <mergeCell ref="CJU22:CJV22"/>
    <mergeCell ref="CJU23:CJV23"/>
    <mergeCell ref="CJU24:CJV24"/>
    <mergeCell ref="CJU25:CJV25"/>
    <mergeCell ref="CJU26:CJV26"/>
    <mergeCell ref="CJR27:CJV27"/>
    <mergeCell ref="CJR28:CJV29"/>
    <mergeCell ref="CJR13:CJS13"/>
    <mergeCell ref="CJT13:CJV13"/>
    <mergeCell ref="CJR14:CJS14"/>
    <mergeCell ref="CJT14:CJV14"/>
    <mergeCell ref="CJR15:CJT15"/>
    <mergeCell ref="CJU15:CJV15"/>
    <mergeCell ref="CJR16:CJS16"/>
    <mergeCell ref="CJT16:CJV16"/>
    <mergeCell ref="CJR17:CJS17"/>
    <mergeCell ref="CJT17:CJV17"/>
    <mergeCell ref="CJR18:CJS18"/>
    <mergeCell ref="CJT18:CJV18"/>
    <mergeCell ref="CJR19:CJS19"/>
    <mergeCell ref="CJT19:CJV19"/>
    <mergeCell ref="CJR20:CJS20"/>
    <mergeCell ref="CJT20:CJV20"/>
    <mergeCell ref="CJU21:CJV21"/>
    <mergeCell ref="CJR1:CJR2"/>
    <mergeCell ref="CJS1:CJT2"/>
    <mergeCell ref="CJU1:CJU2"/>
    <mergeCell ref="CJU3:CJV3"/>
    <mergeCell ref="CJU4:CJV4"/>
    <mergeCell ref="CJU5:CJV5"/>
    <mergeCell ref="CJU6:CJV6"/>
    <mergeCell ref="CJU7:CJV7"/>
    <mergeCell ref="CJU8:CJV8"/>
    <mergeCell ref="CJR9:CJT9"/>
    <mergeCell ref="CJU9:CJV9"/>
    <mergeCell ref="CJR10:CJS10"/>
    <mergeCell ref="CJT10:CJV10"/>
    <mergeCell ref="CJR11:CJS11"/>
    <mergeCell ref="CJT11:CJV11"/>
    <mergeCell ref="CJR12:CJS12"/>
    <mergeCell ref="CJT12:CJV12"/>
    <mergeCell ref="CJZ22:CKA22"/>
    <mergeCell ref="CJZ23:CKA23"/>
    <mergeCell ref="CJZ24:CKA24"/>
    <mergeCell ref="CJZ25:CKA25"/>
    <mergeCell ref="CJZ26:CKA26"/>
    <mergeCell ref="CJW27:CKA27"/>
    <mergeCell ref="CJW28:CKA29"/>
    <mergeCell ref="CJW13:CJX13"/>
    <mergeCell ref="CJY13:CKA13"/>
    <mergeCell ref="CJW14:CJX14"/>
    <mergeCell ref="CJY14:CKA14"/>
    <mergeCell ref="CJW15:CJY15"/>
    <mergeCell ref="CJZ15:CKA15"/>
    <mergeCell ref="CJW16:CJX16"/>
    <mergeCell ref="CJY16:CKA16"/>
    <mergeCell ref="CJW17:CJX17"/>
    <mergeCell ref="CJY17:CKA17"/>
    <mergeCell ref="CJW18:CJX18"/>
    <mergeCell ref="CJY18:CKA18"/>
    <mergeCell ref="CJW19:CJX19"/>
    <mergeCell ref="CJY19:CKA19"/>
    <mergeCell ref="CJW20:CJX20"/>
    <mergeCell ref="CJY20:CKA20"/>
    <mergeCell ref="CJZ21:CKA21"/>
    <mergeCell ref="CJW1:CJW2"/>
    <mergeCell ref="CJX1:CJY2"/>
    <mergeCell ref="CJZ1:CJZ2"/>
    <mergeCell ref="CJZ3:CKA3"/>
    <mergeCell ref="CJZ4:CKA4"/>
    <mergeCell ref="CJZ5:CKA5"/>
    <mergeCell ref="CJZ6:CKA6"/>
    <mergeCell ref="CJZ7:CKA7"/>
    <mergeCell ref="CJZ8:CKA8"/>
    <mergeCell ref="CJW9:CJY9"/>
    <mergeCell ref="CJZ9:CKA9"/>
    <mergeCell ref="CJW10:CJX10"/>
    <mergeCell ref="CJY10:CKA10"/>
    <mergeCell ref="CJW11:CJX11"/>
    <mergeCell ref="CJY11:CKA11"/>
    <mergeCell ref="CJW12:CJX12"/>
    <mergeCell ref="CJY12:CKA12"/>
    <mergeCell ref="CKG18:CKH18"/>
    <mergeCell ref="CKI18:CKK18"/>
    <mergeCell ref="CKG19:CKH19"/>
    <mergeCell ref="CKI19:CKK19"/>
    <mergeCell ref="CKG20:CKH20"/>
    <mergeCell ref="CKI20:CKK20"/>
    <mergeCell ref="CKJ21:CKK21"/>
    <mergeCell ref="CKJ22:CKK22"/>
    <mergeCell ref="CKJ23:CKK23"/>
    <mergeCell ref="CKJ24:CKK24"/>
    <mergeCell ref="CKJ25:CKK25"/>
    <mergeCell ref="CKJ26:CKK26"/>
    <mergeCell ref="CKG27:CKK27"/>
    <mergeCell ref="CKG28:CKK29"/>
    <mergeCell ref="CKO22:CKP22"/>
    <mergeCell ref="CKO23:CKP23"/>
    <mergeCell ref="CKO24:CKP24"/>
    <mergeCell ref="CKO25:CKP25"/>
    <mergeCell ref="CKO26:CKP26"/>
    <mergeCell ref="CKL27:CKP27"/>
    <mergeCell ref="CKL28:CKP29"/>
    <mergeCell ref="CKL18:CKM18"/>
    <mergeCell ref="CKN18:CKP18"/>
    <mergeCell ref="CKL19:CKM19"/>
    <mergeCell ref="CKN19:CKP19"/>
    <mergeCell ref="CKL20:CKM20"/>
    <mergeCell ref="CKN20:CKP20"/>
    <mergeCell ref="CKO21:CKP21"/>
    <mergeCell ref="CKG1:CKG2"/>
    <mergeCell ref="CKH1:CKI2"/>
    <mergeCell ref="CKJ1:CKJ2"/>
    <mergeCell ref="CKJ3:CKK3"/>
    <mergeCell ref="CKJ4:CKK4"/>
    <mergeCell ref="CKJ5:CKK5"/>
    <mergeCell ref="CKJ6:CKK6"/>
    <mergeCell ref="CKJ7:CKK7"/>
    <mergeCell ref="CKJ8:CKK8"/>
    <mergeCell ref="CKG9:CKI9"/>
    <mergeCell ref="CKJ9:CKK9"/>
    <mergeCell ref="CKG10:CKH10"/>
    <mergeCell ref="CKI10:CKK10"/>
    <mergeCell ref="CKG11:CKH11"/>
    <mergeCell ref="CKI11:CKK11"/>
    <mergeCell ref="CKG12:CKH12"/>
    <mergeCell ref="CKI12:CKK12"/>
    <mergeCell ref="CKG13:CKH13"/>
    <mergeCell ref="CKI13:CKK13"/>
    <mergeCell ref="CKG14:CKH14"/>
    <mergeCell ref="CKI14:CKK14"/>
    <mergeCell ref="CKG15:CKI15"/>
    <mergeCell ref="CKJ15:CKK15"/>
    <mergeCell ref="CKG16:CKH16"/>
    <mergeCell ref="CKI16:CKK16"/>
    <mergeCell ref="CKL13:CKM13"/>
    <mergeCell ref="CKN13:CKP13"/>
    <mergeCell ref="CKL14:CKM14"/>
    <mergeCell ref="CKN14:CKP14"/>
    <mergeCell ref="CKL15:CKN15"/>
    <mergeCell ref="CKO15:CKP15"/>
    <mergeCell ref="CKL16:CKM16"/>
    <mergeCell ref="CKN16:CKP16"/>
    <mergeCell ref="CKL17:CKM17"/>
    <mergeCell ref="CKN17:CKP17"/>
    <mergeCell ref="CKG17:CKH17"/>
    <mergeCell ref="CKI17:CKK17"/>
    <mergeCell ref="CKL1:CKL2"/>
    <mergeCell ref="CKM1:CKN2"/>
    <mergeCell ref="CKO1:CKO2"/>
    <mergeCell ref="CKO3:CKP3"/>
    <mergeCell ref="CKO4:CKP4"/>
    <mergeCell ref="CKO5:CKP5"/>
    <mergeCell ref="CKO6:CKP6"/>
    <mergeCell ref="CKO7:CKP7"/>
    <mergeCell ref="CKO8:CKP8"/>
    <mergeCell ref="CKL9:CKN9"/>
    <mergeCell ref="CKO9:CKP9"/>
    <mergeCell ref="CKL10:CKM10"/>
    <mergeCell ref="CKN10:CKP10"/>
    <mergeCell ref="CKL11:CKM11"/>
    <mergeCell ref="CKN11:CKP11"/>
    <mergeCell ref="CKL12:CKM12"/>
    <mergeCell ref="CKN12:CKP12"/>
    <mergeCell ref="CKY22:CKZ22"/>
    <mergeCell ref="CKY23:CKZ23"/>
    <mergeCell ref="CKY24:CKZ24"/>
    <mergeCell ref="CKY25:CKZ25"/>
    <mergeCell ref="CKY26:CKZ26"/>
    <mergeCell ref="CKV27:CKZ27"/>
    <mergeCell ref="CKV28:CKZ29"/>
    <mergeCell ref="CKV13:CKW13"/>
    <mergeCell ref="CKX13:CKZ13"/>
    <mergeCell ref="CKV14:CKW14"/>
    <mergeCell ref="CKX14:CKZ14"/>
    <mergeCell ref="CKV15:CKX15"/>
    <mergeCell ref="CKY15:CKZ15"/>
    <mergeCell ref="CKV16:CKW16"/>
    <mergeCell ref="CKX16:CKZ16"/>
    <mergeCell ref="CKV17:CKW17"/>
    <mergeCell ref="CKX17:CKZ17"/>
    <mergeCell ref="CKV18:CKW18"/>
    <mergeCell ref="CKX18:CKZ18"/>
    <mergeCell ref="CKV19:CKW19"/>
    <mergeCell ref="CKX19:CKZ19"/>
    <mergeCell ref="CKV20:CKW20"/>
    <mergeCell ref="CKX20:CKZ20"/>
    <mergeCell ref="CKY21:CKZ21"/>
    <mergeCell ref="CKV1:CKV2"/>
    <mergeCell ref="CKW1:CKX2"/>
    <mergeCell ref="CKY1:CKY2"/>
    <mergeCell ref="CKY3:CKZ3"/>
    <mergeCell ref="CKY4:CKZ4"/>
    <mergeCell ref="CKY5:CKZ5"/>
    <mergeCell ref="CKY6:CKZ6"/>
    <mergeCell ref="CKY7:CKZ7"/>
    <mergeCell ref="CKY8:CKZ8"/>
    <mergeCell ref="CKV9:CKX9"/>
    <mergeCell ref="CKY9:CKZ9"/>
    <mergeCell ref="CKV10:CKW10"/>
    <mergeCell ref="CKX10:CKZ10"/>
    <mergeCell ref="CKV11:CKW11"/>
    <mergeCell ref="CKX11:CKZ11"/>
    <mergeCell ref="CKV12:CKW12"/>
    <mergeCell ref="CKX12:CKZ12"/>
    <mergeCell ref="CKQ1:CKQ2"/>
    <mergeCell ref="CKR1:CKS2"/>
    <mergeCell ref="CKT1:CKT2"/>
    <mergeCell ref="CKT3:CKU3"/>
    <mergeCell ref="CKT4:CKU4"/>
    <mergeCell ref="CLF18:CLG18"/>
    <mergeCell ref="CLH18:CLJ18"/>
    <mergeCell ref="CLF19:CLG19"/>
    <mergeCell ref="CLH19:CLJ19"/>
    <mergeCell ref="CLF20:CLG20"/>
    <mergeCell ref="CLH20:CLJ20"/>
    <mergeCell ref="CLI21:CLJ21"/>
    <mergeCell ref="CLI22:CLJ22"/>
    <mergeCell ref="CLI23:CLJ23"/>
    <mergeCell ref="CLI24:CLJ24"/>
    <mergeCell ref="CLI25:CLJ25"/>
    <mergeCell ref="CLI26:CLJ26"/>
    <mergeCell ref="CLF27:CLJ27"/>
    <mergeCell ref="CLF28:CLJ29"/>
    <mergeCell ref="CLN22:CLO22"/>
    <mergeCell ref="CLN23:CLO23"/>
    <mergeCell ref="CLN24:CLO24"/>
    <mergeCell ref="CLN25:CLO25"/>
    <mergeCell ref="CLN26:CLO26"/>
    <mergeCell ref="CLK27:CLO27"/>
    <mergeCell ref="CLK28:CLO29"/>
    <mergeCell ref="CLK18:CLL18"/>
    <mergeCell ref="CLM18:CLO18"/>
    <mergeCell ref="CLK19:CLL19"/>
    <mergeCell ref="CLM19:CLO19"/>
    <mergeCell ref="CLK20:CLL20"/>
    <mergeCell ref="CLM20:CLO20"/>
    <mergeCell ref="CLN21:CLO21"/>
    <mergeCell ref="CLF1:CLF2"/>
    <mergeCell ref="CLG1:CLH2"/>
    <mergeCell ref="CLI1:CLI2"/>
    <mergeCell ref="CLI3:CLJ3"/>
    <mergeCell ref="CLI4:CLJ4"/>
    <mergeCell ref="CLI5:CLJ5"/>
    <mergeCell ref="CLI6:CLJ6"/>
    <mergeCell ref="CLI7:CLJ7"/>
    <mergeCell ref="CLI8:CLJ8"/>
    <mergeCell ref="CLF9:CLH9"/>
    <mergeCell ref="CLI9:CLJ9"/>
    <mergeCell ref="CLF10:CLG10"/>
    <mergeCell ref="CLH10:CLJ10"/>
    <mergeCell ref="CLF11:CLG11"/>
    <mergeCell ref="CLH11:CLJ11"/>
    <mergeCell ref="CLF12:CLG12"/>
    <mergeCell ref="CLH12:CLJ12"/>
    <mergeCell ref="CLF13:CLG13"/>
    <mergeCell ref="CLH13:CLJ13"/>
    <mergeCell ref="CLF14:CLG14"/>
    <mergeCell ref="CLH14:CLJ14"/>
    <mergeCell ref="CLF15:CLH15"/>
    <mergeCell ref="CLI15:CLJ15"/>
    <mergeCell ref="CLF16:CLG16"/>
    <mergeCell ref="CLH16:CLJ16"/>
    <mergeCell ref="CLK13:CLL13"/>
    <mergeCell ref="CLM13:CLO13"/>
    <mergeCell ref="CLK14:CLL14"/>
    <mergeCell ref="CLM14:CLO14"/>
    <mergeCell ref="CLK15:CLM15"/>
    <mergeCell ref="CLN15:CLO15"/>
    <mergeCell ref="CLK16:CLL16"/>
    <mergeCell ref="CLM16:CLO16"/>
    <mergeCell ref="CLK17:CLL17"/>
    <mergeCell ref="CLM17:CLO17"/>
    <mergeCell ref="CLF17:CLG17"/>
    <mergeCell ref="CLH17:CLJ17"/>
    <mergeCell ref="CLK1:CLK2"/>
    <mergeCell ref="CLL1:CLM2"/>
    <mergeCell ref="CLN1:CLN2"/>
    <mergeCell ref="CLN3:CLO3"/>
    <mergeCell ref="CLN4:CLO4"/>
    <mergeCell ref="CLN5:CLO5"/>
    <mergeCell ref="CLN6:CLO6"/>
    <mergeCell ref="CLN7:CLO7"/>
    <mergeCell ref="CLN8:CLO8"/>
    <mergeCell ref="CLK9:CLM9"/>
    <mergeCell ref="CLN9:CLO9"/>
    <mergeCell ref="CLK10:CLL10"/>
    <mergeCell ref="CLM10:CLO10"/>
    <mergeCell ref="CLK11:CLL11"/>
    <mergeCell ref="CLM11:CLO11"/>
    <mergeCell ref="CLK12:CLL12"/>
    <mergeCell ref="CLM12:CLO12"/>
    <mergeCell ref="CLX22:CLY22"/>
    <mergeCell ref="CLX23:CLY23"/>
    <mergeCell ref="CLX24:CLY24"/>
    <mergeCell ref="CLX25:CLY25"/>
    <mergeCell ref="CLX26:CLY26"/>
    <mergeCell ref="CLU27:CLY27"/>
    <mergeCell ref="CLU28:CLY29"/>
    <mergeCell ref="CLU13:CLV13"/>
    <mergeCell ref="CLW13:CLY13"/>
    <mergeCell ref="CLU14:CLV14"/>
    <mergeCell ref="CLW14:CLY14"/>
    <mergeCell ref="CLU15:CLW15"/>
    <mergeCell ref="CLX15:CLY15"/>
    <mergeCell ref="CLU16:CLV16"/>
    <mergeCell ref="CLW16:CLY16"/>
    <mergeCell ref="CLU17:CLV17"/>
    <mergeCell ref="CLW17:CLY17"/>
    <mergeCell ref="CLU18:CLV18"/>
    <mergeCell ref="CLW18:CLY18"/>
    <mergeCell ref="CLU19:CLV19"/>
    <mergeCell ref="CLW19:CLY19"/>
    <mergeCell ref="CLU20:CLV20"/>
    <mergeCell ref="CLW20:CLY20"/>
    <mergeCell ref="CLX21:CLY21"/>
    <mergeCell ref="CLU1:CLU2"/>
    <mergeCell ref="CLV1:CLW2"/>
    <mergeCell ref="CLX1:CLX2"/>
    <mergeCell ref="CLX3:CLY3"/>
    <mergeCell ref="CLX4:CLY4"/>
    <mergeCell ref="CLX5:CLY5"/>
    <mergeCell ref="CLX6:CLY6"/>
    <mergeCell ref="CLX7:CLY7"/>
    <mergeCell ref="CLX8:CLY8"/>
    <mergeCell ref="CLU9:CLW9"/>
    <mergeCell ref="CLX9:CLY9"/>
    <mergeCell ref="CLU10:CLV10"/>
    <mergeCell ref="CLW10:CLY10"/>
    <mergeCell ref="CLU11:CLV11"/>
    <mergeCell ref="CLW11:CLY11"/>
    <mergeCell ref="CLU12:CLV12"/>
    <mergeCell ref="CLW12:CLY12"/>
    <mergeCell ref="CLP1:CLP2"/>
    <mergeCell ref="CLQ1:CLR2"/>
    <mergeCell ref="CLS1:CLS2"/>
    <mergeCell ref="CLS3:CLT3"/>
    <mergeCell ref="CLS4:CLT4"/>
    <mergeCell ref="CMC22:CMD22"/>
    <mergeCell ref="CMC23:CMD23"/>
    <mergeCell ref="CMC24:CMD24"/>
    <mergeCell ref="CMC25:CMD25"/>
    <mergeCell ref="CMC26:CMD26"/>
    <mergeCell ref="CLZ27:CMD27"/>
    <mergeCell ref="CLZ28:CMD29"/>
    <mergeCell ref="CLZ13:CMA13"/>
    <mergeCell ref="CMB13:CMD13"/>
    <mergeCell ref="CLZ14:CMA14"/>
    <mergeCell ref="CMB14:CMD14"/>
    <mergeCell ref="CLZ15:CMB15"/>
    <mergeCell ref="CMC15:CMD15"/>
    <mergeCell ref="CLZ16:CMA16"/>
    <mergeCell ref="CMB16:CMD16"/>
    <mergeCell ref="CLZ17:CMA17"/>
    <mergeCell ref="CMB17:CMD17"/>
    <mergeCell ref="CLZ18:CMA18"/>
    <mergeCell ref="CMB18:CMD18"/>
    <mergeCell ref="CLZ19:CMA19"/>
    <mergeCell ref="CMB19:CMD19"/>
    <mergeCell ref="CLZ20:CMA20"/>
    <mergeCell ref="CMB20:CMD20"/>
    <mergeCell ref="CMC21:CMD21"/>
    <mergeCell ref="CLZ1:CLZ2"/>
    <mergeCell ref="CMA1:CMB2"/>
    <mergeCell ref="CMC1:CMC2"/>
    <mergeCell ref="CMC3:CMD3"/>
    <mergeCell ref="CMC4:CMD4"/>
    <mergeCell ref="CMC5:CMD5"/>
    <mergeCell ref="CMC6:CMD6"/>
    <mergeCell ref="CMC7:CMD7"/>
    <mergeCell ref="CMC8:CMD8"/>
    <mergeCell ref="CLZ9:CMB9"/>
    <mergeCell ref="CMC9:CMD9"/>
    <mergeCell ref="CLZ10:CMA10"/>
    <mergeCell ref="CMB10:CMD10"/>
    <mergeCell ref="CLZ11:CMA11"/>
    <mergeCell ref="CMB11:CMD11"/>
    <mergeCell ref="CLZ12:CMA12"/>
    <mergeCell ref="CMB12:CMD12"/>
    <mergeCell ref="CMR22:CMS22"/>
    <mergeCell ref="CMR23:CMS23"/>
    <mergeCell ref="CMR24:CMS24"/>
    <mergeCell ref="CMR25:CMS25"/>
    <mergeCell ref="CMR26:CMS26"/>
    <mergeCell ref="CMO27:CMS27"/>
    <mergeCell ref="CMO28:CMS29"/>
    <mergeCell ref="CMO13:CMP13"/>
    <mergeCell ref="CMQ13:CMS13"/>
    <mergeCell ref="CMO14:CMP14"/>
    <mergeCell ref="CMQ14:CMS14"/>
    <mergeCell ref="CMO15:CMQ15"/>
    <mergeCell ref="CMR15:CMS15"/>
    <mergeCell ref="CMO16:CMP16"/>
    <mergeCell ref="CMQ16:CMS16"/>
    <mergeCell ref="CMO17:CMP17"/>
    <mergeCell ref="CMQ17:CMS17"/>
    <mergeCell ref="CMO18:CMP18"/>
    <mergeCell ref="CMQ18:CMS18"/>
    <mergeCell ref="CMO19:CMP19"/>
    <mergeCell ref="CMQ19:CMS19"/>
    <mergeCell ref="CMO20:CMP20"/>
    <mergeCell ref="CMQ20:CMS20"/>
    <mergeCell ref="CMR21:CMS21"/>
    <mergeCell ref="CMO1:CMO2"/>
    <mergeCell ref="CMP1:CMQ2"/>
    <mergeCell ref="CMR1:CMR2"/>
    <mergeCell ref="CMR3:CMS3"/>
    <mergeCell ref="CMR4:CMS4"/>
    <mergeCell ref="CMR5:CMS5"/>
    <mergeCell ref="CMR6:CMS6"/>
    <mergeCell ref="CMR7:CMS7"/>
    <mergeCell ref="CMR8:CMS8"/>
    <mergeCell ref="CMO9:CMQ9"/>
    <mergeCell ref="CMR9:CMS9"/>
    <mergeCell ref="CMO10:CMP10"/>
    <mergeCell ref="CMQ10:CMS10"/>
    <mergeCell ref="CMO11:CMP11"/>
    <mergeCell ref="CMQ11:CMS11"/>
    <mergeCell ref="CMO12:CMP12"/>
    <mergeCell ref="CMQ12:CMS12"/>
    <mergeCell ref="CNB22:CNC22"/>
    <mergeCell ref="CNB23:CNC23"/>
    <mergeCell ref="CNB24:CNC24"/>
    <mergeCell ref="CNB25:CNC25"/>
    <mergeCell ref="CNB26:CNC26"/>
    <mergeCell ref="CMY27:CNC27"/>
    <mergeCell ref="CMY28:CNC29"/>
    <mergeCell ref="CMY13:CMZ13"/>
    <mergeCell ref="CNA13:CNC13"/>
    <mergeCell ref="CMY14:CMZ14"/>
    <mergeCell ref="CNA14:CNC14"/>
    <mergeCell ref="CMY15:CNA15"/>
    <mergeCell ref="CNB15:CNC15"/>
    <mergeCell ref="CMY16:CMZ16"/>
    <mergeCell ref="CNA16:CNC16"/>
    <mergeCell ref="CMY17:CMZ17"/>
    <mergeCell ref="CNA17:CNC17"/>
    <mergeCell ref="CMY18:CMZ18"/>
    <mergeCell ref="CNA18:CNC18"/>
    <mergeCell ref="CMY19:CMZ19"/>
    <mergeCell ref="CNA19:CNC19"/>
    <mergeCell ref="CMY20:CMZ20"/>
    <mergeCell ref="CNA20:CNC20"/>
    <mergeCell ref="CNB21:CNC21"/>
    <mergeCell ref="CMY1:CMY2"/>
    <mergeCell ref="CMZ1:CNA2"/>
    <mergeCell ref="CNB1:CNB2"/>
    <mergeCell ref="CNB3:CNC3"/>
    <mergeCell ref="CNB4:CNC4"/>
    <mergeCell ref="CNB5:CNC5"/>
    <mergeCell ref="CNB6:CNC6"/>
    <mergeCell ref="CNB7:CNC7"/>
    <mergeCell ref="CNB8:CNC8"/>
    <mergeCell ref="CMY9:CNA9"/>
    <mergeCell ref="CNB9:CNC9"/>
    <mergeCell ref="CMY10:CMZ10"/>
    <mergeCell ref="CNA10:CNC10"/>
    <mergeCell ref="CMY11:CMZ11"/>
    <mergeCell ref="CNA11:CNC11"/>
    <mergeCell ref="CMY12:CMZ12"/>
    <mergeCell ref="CNA12:CNC12"/>
    <mergeCell ref="CNL22:CNM22"/>
    <mergeCell ref="CNL23:CNM23"/>
    <mergeCell ref="CNL24:CNM24"/>
    <mergeCell ref="CNL25:CNM25"/>
    <mergeCell ref="CNL26:CNM26"/>
    <mergeCell ref="CNI27:CNM27"/>
    <mergeCell ref="CNI28:CNM29"/>
    <mergeCell ref="CNI13:CNJ13"/>
    <mergeCell ref="CNK13:CNM13"/>
    <mergeCell ref="CNI14:CNJ14"/>
    <mergeCell ref="CNK14:CNM14"/>
    <mergeCell ref="CNI15:CNK15"/>
    <mergeCell ref="CNL15:CNM15"/>
    <mergeCell ref="CNI16:CNJ16"/>
    <mergeCell ref="CNK16:CNM16"/>
    <mergeCell ref="CNI17:CNJ17"/>
    <mergeCell ref="CNK17:CNM17"/>
    <mergeCell ref="CNI18:CNJ18"/>
    <mergeCell ref="CNK18:CNM18"/>
    <mergeCell ref="CNI19:CNJ19"/>
    <mergeCell ref="CNK19:CNM19"/>
    <mergeCell ref="CNI20:CNJ20"/>
    <mergeCell ref="CNK20:CNM20"/>
    <mergeCell ref="CNL21:CNM21"/>
    <mergeCell ref="CNI1:CNI2"/>
    <mergeCell ref="CNJ1:CNK2"/>
    <mergeCell ref="CNL1:CNL2"/>
    <mergeCell ref="CNL3:CNM3"/>
    <mergeCell ref="CNL4:CNM4"/>
    <mergeCell ref="CNL5:CNM5"/>
    <mergeCell ref="CNL6:CNM6"/>
    <mergeCell ref="CNL7:CNM7"/>
    <mergeCell ref="CNL8:CNM8"/>
    <mergeCell ref="CNI9:CNK9"/>
    <mergeCell ref="CNL9:CNM9"/>
    <mergeCell ref="CNI10:CNJ10"/>
    <mergeCell ref="CNK10:CNM10"/>
    <mergeCell ref="CNI11:CNJ11"/>
    <mergeCell ref="CNK11:CNM11"/>
    <mergeCell ref="CNI12:CNJ12"/>
    <mergeCell ref="CNK12:CNM12"/>
    <mergeCell ref="CNV22:CNW22"/>
    <mergeCell ref="CNV23:CNW23"/>
    <mergeCell ref="CNV24:CNW24"/>
    <mergeCell ref="CNV25:CNW25"/>
    <mergeCell ref="CNV26:CNW26"/>
    <mergeCell ref="CNS27:CNW27"/>
    <mergeCell ref="CNS28:CNW29"/>
    <mergeCell ref="CNS13:CNT13"/>
    <mergeCell ref="CNU13:CNW13"/>
    <mergeCell ref="CNS14:CNT14"/>
    <mergeCell ref="CNU14:CNW14"/>
    <mergeCell ref="CNS15:CNU15"/>
    <mergeCell ref="CNV15:CNW15"/>
    <mergeCell ref="CNS16:CNT16"/>
    <mergeCell ref="CNU16:CNW16"/>
    <mergeCell ref="CNS17:CNT17"/>
    <mergeCell ref="CNU17:CNW17"/>
    <mergeCell ref="CNS18:CNT18"/>
    <mergeCell ref="CNU18:CNW18"/>
    <mergeCell ref="CNS19:CNT19"/>
    <mergeCell ref="CNU19:CNW19"/>
    <mergeCell ref="CNS20:CNT20"/>
    <mergeCell ref="CNU20:CNW20"/>
    <mergeCell ref="CNV21:CNW21"/>
    <mergeCell ref="CNS1:CNS2"/>
    <mergeCell ref="CNT1:CNU2"/>
    <mergeCell ref="CNV1:CNV2"/>
    <mergeCell ref="CNV3:CNW3"/>
    <mergeCell ref="CNV4:CNW4"/>
    <mergeCell ref="CNV5:CNW5"/>
    <mergeCell ref="CNV6:CNW6"/>
    <mergeCell ref="CNV7:CNW7"/>
    <mergeCell ref="CNV8:CNW8"/>
    <mergeCell ref="CNS9:CNU9"/>
    <mergeCell ref="CNV9:CNW9"/>
    <mergeCell ref="CNS10:CNT10"/>
    <mergeCell ref="CNU10:CNW10"/>
    <mergeCell ref="CNS11:CNT11"/>
    <mergeCell ref="CNU11:CNW11"/>
    <mergeCell ref="CNS12:CNT12"/>
    <mergeCell ref="CNU12:CNW12"/>
    <mergeCell ref="COF22:COG22"/>
    <mergeCell ref="COF23:COG23"/>
    <mergeCell ref="COF24:COG24"/>
    <mergeCell ref="COF25:COG25"/>
    <mergeCell ref="COF26:COG26"/>
    <mergeCell ref="COC27:COG27"/>
    <mergeCell ref="COC28:COG29"/>
    <mergeCell ref="COC13:COD13"/>
    <mergeCell ref="COE13:COG13"/>
    <mergeCell ref="COC14:COD14"/>
    <mergeCell ref="COE14:COG14"/>
    <mergeCell ref="COC15:COE15"/>
    <mergeCell ref="COF15:COG15"/>
    <mergeCell ref="COC16:COD16"/>
    <mergeCell ref="COE16:COG16"/>
    <mergeCell ref="COC17:COD17"/>
    <mergeCell ref="COE17:COG17"/>
    <mergeCell ref="COC18:COD18"/>
    <mergeCell ref="COE18:COG18"/>
    <mergeCell ref="COC19:COD19"/>
    <mergeCell ref="COE19:COG19"/>
    <mergeCell ref="COC20:COD20"/>
    <mergeCell ref="COE20:COG20"/>
    <mergeCell ref="COF21:COG21"/>
    <mergeCell ref="COC1:COC2"/>
    <mergeCell ref="COD1:COE2"/>
    <mergeCell ref="COF1:COF2"/>
    <mergeCell ref="COF3:COG3"/>
    <mergeCell ref="COF4:COG4"/>
    <mergeCell ref="COF5:COG5"/>
    <mergeCell ref="COF6:COG6"/>
    <mergeCell ref="COF7:COG7"/>
    <mergeCell ref="COF8:COG8"/>
    <mergeCell ref="COC9:COE9"/>
    <mergeCell ref="COF9:COG9"/>
    <mergeCell ref="COC10:COD10"/>
    <mergeCell ref="COE10:COG10"/>
    <mergeCell ref="COC11:COD11"/>
    <mergeCell ref="COE11:COG11"/>
    <mergeCell ref="COC12:COD12"/>
    <mergeCell ref="COE12:COG12"/>
    <mergeCell ref="COK22:COL22"/>
    <mergeCell ref="COK23:COL23"/>
    <mergeCell ref="COK24:COL24"/>
    <mergeCell ref="COK25:COL25"/>
    <mergeCell ref="COK26:COL26"/>
    <mergeCell ref="COH27:COL27"/>
    <mergeCell ref="COH28:COL29"/>
    <mergeCell ref="COH13:COI13"/>
    <mergeCell ref="COJ13:COL13"/>
    <mergeCell ref="COH14:COI14"/>
    <mergeCell ref="COJ14:COL14"/>
    <mergeCell ref="COH15:COJ15"/>
    <mergeCell ref="COK15:COL15"/>
    <mergeCell ref="COH16:COI16"/>
    <mergeCell ref="COJ16:COL16"/>
    <mergeCell ref="COH17:COI17"/>
    <mergeCell ref="COJ17:COL17"/>
    <mergeCell ref="COH18:COI18"/>
    <mergeCell ref="COJ18:COL18"/>
    <mergeCell ref="COH19:COI19"/>
    <mergeCell ref="COJ19:COL19"/>
    <mergeCell ref="COH20:COI20"/>
    <mergeCell ref="COJ20:COL20"/>
    <mergeCell ref="COK21:COL21"/>
    <mergeCell ref="COH1:COH2"/>
    <mergeCell ref="COI1:COJ2"/>
    <mergeCell ref="COK1:COK2"/>
    <mergeCell ref="COK3:COL3"/>
    <mergeCell ref="COK4:COL4"/>
    <mergeCell ref="COK5:COL5"/>
    <mergeCell ref="COK6:COL6"/>
    <mergeCell ref="COK7:COL7"/>
    <mergeCell ref="COK8:COL8"/>
    <mergeCell ref="COH9:COJ9"/>
    <mergeCell ref="COK9:COL9"/>
    <mergeCell ref="COH10:COI10"/>
    <mergeCell ref="COJ10:COL10"/>
    <mergeCell ref="COH11:COI11"/>
    <mergeCell ref="COJ11:COL11"/>
    <mergeCell ref="COH12:COI12"/>
    <mergeCell ref="COJ12:COL12"/>
    <mergeCell ref="CPE22:CPF22"/>
    <mergeCell ref="CPE23:CPF23"/>
    <mergeCell ref="CPE24:CPF24"/>
    <mergeCell ref="CPE25:CPF25"/>
    <mergeCell ref="CPE26:CPF26"/>
    <mergeCell ref="CPB27:CPF27"/>
    <mergeCell ref="CPB28:CPF29"/>
    <mergeCell ref="CPB13:CPC13"/>
    <mergeCell ref="CPD13:CPF13"/>
    <mergeCell ref="CPB14:CPC14"/>
    <mergeCell ref="CPD14:CPF14"/>
    <mergeCell ref="CPB15:CPD15"/>
    <mergeCell ref="CPE15:CPF15"/>
    <mergeCell ref="CPB16:CPC16"/>
    <mergeCell ref="CPD16:CPF16"/>
    <mergeCell ref="CPB17:CPC17"/>
    <mergeCell ref="CPD17:CPF17"/>
    <mergeCell ref="CPB18:CPC18"/>
    <mergeCell ref="CPD18:CPF18"/>
    <mergeCell ref="CPB19:CPC19"/>
    <mergeCell ref="CPD19:CPF19"/>
    <mergeCell ref="CPB20:CPC20"/>
    <mergeCell ref="CPD20:CPF20"/>
    <mergeCell ref="CPE21:CPF21"/>
    <mergeCell ref="CPB1:CPB2"/>
    <mergeCell ref="CPC1:CPD2"/>
    <mergeCell ref="CPE1:CPE2"/>
    <mergeCell ref="CPE3:CPF3"/>
    <mergeCell ref="CPE4:CPF4"/>
    <mergeCell ref="CPE5:CPF5"/>
    <mergeCell ref="CPE6:CPF6"/>
    <mergeCell ref="CPE7:CPF7"/>
    <mergeCell ref="CPE8:CPF8"/>
    <mergeCell ref="CPB9:CPD9"/>
    <mergeCell ref="CPE9:CPF9"/>
    <mergeCell ref="CPB10:CPC10"/>
    <mergeCell ref="CPD10:CPF10"/>
    <mergeCell ref="CPB11:CPC11"/>
    <mergeCell ref="CPD11:CPF11"/>
    <mergeCell ref="CPB12:CPC12"/>
    <mergeCell ref="CPD12:CPF12"/>
    <mergeCell ref="CPJ22:CPK22"/>
    <mergeCell ref="CPJ23:CPK23"/>
    <mergeCell ref="CPJ24:CPK24"/>
    <mergeCell ref="CPJ25:CPK25"/>
    <mergeCell ref="CPJ26:CPK26"/>
    <mergeCell ref="CPG27:CPK27"/>
    <mergeCell ref="CPG28:CPK29"/>
    <mergeCell ref="CPG13:CPH13"/>
    <mergeCell ref="CPI13:CPK13"/>
    <mergeCell ref="CPG14:CPH14"/>
    <mergeCell ref="CPI14:CPK14"/>
    <mergeCell ref="CPG15:CPI15"/>
    <mergeCell ref="CPJ15:CPK15"/>
    <mergeCell ref="CPG16:CPH16"/>
    <mergeCell ref="CPI16:CPK16"/>
    <mergeCell ref="CPG17:CPH17"/>
    <mergeCell ref="CPI17:CPK17"/>
    <mergeCell ref="CPG18:CPH18"/>
    <mergeCell ref="CPI18:CPK18"/>
    <mergeCell ref="CPG19:CPH19"/>
    <mergeCell ref="CPI19:CPK19"/>
    <mergeCell ref="CPG20:CPH20"/>
    <mergeCell ref="CPI20:CPK20"/>
    <mergeCell ref="CPJ21:CPK21"/>
    <mergeCell ref="CPG1:CPG2"/>
    <mergeCell ref="CPH1:CPI2"/>
    <mergeCell ref="CPJ1:CPJ2"/>
    <mergeCell ref="CPJ3:CPK3"/>
    <mergeCell ref="CPJ4:CPK4"/>
    <mergeCell ref="CPJ5:CPK5"/>
    <mergeCell ref="CPJ6:CPK6"/>
    <mergeCell ref="CPJ7:CPK7"/>
    <mergeCell ref="CPJ8:CPK8"/>
    <mergeCell ref="CPG9:CPI9"/>
    <mergeCell ref="CPJ9:CPK9"/>
    <mergeCell ref="CPG10:CPH10"/>
    <mergeCell ref="CPI10:CPK10"/>
    <mergeCell ref="CPG11:CPH11"/>
    <mergeCell ref="CPI11:CPK11"/>
    <mergeCell ref="CPG12:CPH12"/>
    <mergeCell ref="CPI12:CPK12"/>
    <mergeCell ref="CPT22:CPU22"/>
    <mergeCell ref="CPT23:CPU23"/>
    <mergeCell ref="CPT24:CPU24"/>
    <mergeCell ref="CPT25:CPU25"/>
    <mergeCell ref="CPT26:CPU26"/>
    <mergeCell ref="CPQ27:CPU27"/>
    <mergeCell ref="CPQ28:CPU29"/>
    <mergeCell ref="CPQ13:CPR13"/>
    <mergeCell ref="CPS13:CPU13"/>
    <mergeCell ref="CPQ14:CPR14"/>
    <mergeCell ref="CPS14:CPU14"/>
    <mergeCell ref="CPQ15:CPS15"/>
    <mergeCell ref="CPT15:CPU15"/>
    <mergeCell ref="CPQ16:CPR16"/>
    <mergeCell ref="CPS16:CPU16"/>
    <mergeCell ref="CPQ17:CPR17"/>
    <mergeCell ref="CPS17:CPU17"/>
    <mergeCell ref="CPQ18:CPR18"/>
    <mergeCell ref="CPS18:CPU18"/>
    <mergeCell ref="CPQ19:CPR19"/>
    <mergeCell ref="CPS19:CPU19"/>
    <mergeCell ref="CPQ20:CPR20"/>
    <mergeCell ref="CPS20:CPU20"/>
    <mergeCell ref="CPT21:CPU21"/>
    <mergeCell ref="CPQ1:CPQ2"/>
    <mergeCell ref="CPR1:CPS2"/>
    <mergeCell ref="CPT1:CPT2"/>
    <mergeCell ref="CPT3:CPU3"/>
    <mergeCell ref="CPT4:CPU4"/>
    <mergeCell ref="CPT5:CPU5"/>
    <mergeCell ref="CPT6:CPU6"/>
    <mergeCell ref="CPT7:CPU7"/>
    <mergeCell ref="CPT8:CPU8"/>
    <mergeCell ref="CPQ9:CPS9"/>
    <mergeCell ref="CPT9:CPU9"/>
    <mergeCell ref="CPQ10:CPR10"/>
    <mergeCell ref="CPS10:CPU10"/>
    <mergeCell ref="CPQ11:CPR11"/>
    <mergeCell ref="CPS11:CPU11"/>
    <mergeCell ref="CPQ12:CPR12"/>
    <mergeCell ref="CPS12:CPU12"/>
    <mergeCell ref="CQD22:CQE22"/>
    <mergeCell ref="CQD23:CQE23"/>
    <mergeCell ref="CQD24:CQE24"/>
    <mergeCell ref="CQD25:CQE25"/>
    <mergeCell ref="CQD26:CQE26"/>
    <mergeCell ref="CQA27:CQE27"/>
    <mergeCell ref="CQA28:CQE29"/>
    <mergeCell ref="CQA13:CQB13"/>
    <mergeCell ref="CQC13:CQE13"/>
    <mergeCell ref="CQA14:CQB14"/>
    <mergeCell ref="CQC14:CQE14"/>
    <mergeCell ref="CQA15:CQC15"/>
    <mergeCell ref="CQD15:CQE15"/>
    <mergeCell ref="CQA16:CQB16"/>
    <mergeCell ref="CQC16:CQE16"/>
    <mergeCell ref="CQA17:CQB17"/>
    <mergeCell ref="CQC17:CQE17"/>
    <mergeCell ref="CQA18:CQB18"/>
    <mergeCell ref="CQC18:CQE18"/>
    <mergeCell ref="CQA19:CQB19"/>
    <mergeCell ref="CQC19:CQE19"/>
    <mergeCell ref="CQA20:CQB20"/>
    <mergeCell ref="CQC20:CQE20"/>
    <mergeCell ref="CQD21:CQE21"/>
    <mergeCell ref="CQA1:CQA2"/>
    <mergeCell ref="CQB1:CQC2"/>
    <mergeCell ref="CQD1:CQD2"/>
    <mergeCell ref="CQD3:CQE3"/>
    <mergeCell ref="CQD4:CQE4"/>
    <mergeCell ref="CQD5:CQE5"/>
    <mergeCell ref="CQD6:CQE6"/>
    <mergeCell ref="CQD7:CQE7"/>
    <mergeCell ref="CQD8:CQE8"/>
    <mergeCell ref="CQA9:CQC9"/>
    <mergeCell ref="CQD9:CQE9"/>
    <mergeCell ref="CQA10:CQB10"/>
    <mergeCell ref="CQC10:CQE10"/>
    <mergeCell ref="CQA11:CQB11"/>
    <mergeCell ref="CQC11:CQE11"/>
    <mergeCell ref="CQA12:CQB12"/>
    <mergeCell ref="CQC12:CQE12"/>
    <mergeCell ref="CQI22:CQJ22"/>
    <mergeCell ref="CQI23:CQJ23"/>
    <mergeCell ref="CQI24:CQJ24"/>
    <mergeCell ref="CQI25:CQJ25"/>
    <mergeCell ref="CQI26:CQJ26"/>
    <mergeCell ref="CQF27:CQJ27"/>
    <mergeCell ref="CQF28:CQJ29"/>
    <mergeCell ref="CQF13:CQG13"/>
    <mergeCell ref="CQH13:CQJ13"/>
    <mergeCell ref="CQF14:CQG14"/>
    <mergeCell ref="CQH14:CQJ14"/>
    <mergeCell ref="CQF15:CQH15"/>
    <mergeCell ref="CQI15:CQJ15"/>
    <mergeCell ref="CQF16:CQG16"/>
    <mergeCell ref="CQH16:CQJ16"/>
    <mergeCell ref="CQF17:CQG17"/>
    <mergeCell ref="CQH17:CQJ17"/>
    <mergeCell ref="CQF18:CQG18"/>
    <mergeCell ref="CQH18:CQJ18"/>
    <mergeCell ref="CQF19:CQG19"/>
    <mergeCell ref="CQH19:CQJ19"/>
    <mergeCell ref="CQF20:CQG20"/>
    <mergeCell ref="CQH20:CQJ20"/>
    <mergeCell ref="CQI21:CQJ21"/>
    <mergeCell ref="CQF1:CQF2"/>
    <mergeCell ref="CQG1:CQH2"/>
    <mergeCell ref="CQI1:CQI2"/>
    <mergeCell ref="CQI3:CQJ3"/>
    <mergeCell ref="CQI4:CQJ4"/>
    <mergeCell ref="CQI5:CQJ5"/>
    <mergeCell ref="CQI6:CQJ6"/>
    <mergeCell ref="CQI7:CQJ7"/>
    <mergeCell ref="CQI8:CQJ8"/>
    <mergeCell ref="CQF9:CQH9"/>
    <mergeCell ref="CQI9:CQJ9"/>
    <mergeCell ref="CQF10:CQG10"/>
    <mergeCell ref="CQH10:CQJ10"/>
    <mergeCell ref="CQF11:CQG11"/>
    <mergeCell ref="CQH11:CQJ11"/>
    <mergeCell ref="CQF12:CQG12"/>
    <mergeCell ref="CQH12:CQJ12"/>
    <mergeCell ref="CQN22:CQO22"/>
    <mergeCell ref="CQN23:CQO23"/>
    <mergeCell ref="CQN24:CQO24"/>
    <mergeCell ref="CQN25:CQO25"/>
    <mergeCell ref="CQN26:CQO26"/>
    <mergeCell ref="CQK27:CQO27"/>
    <mergeCell ref="CQK28:CQO29"/>
    <mergeCell ref="CQK13:CQL13"/>
    <mergeCell ref="CQM13:CQO13"/>
    <mergeCell ref="CQK14:CQL14"/>
    <mergeCell ref="CQM14:CQO14"/>
    <mergeCell ref="CQK15:CQM15"/>
    <mergeCell ref="CQN15:CQO15"/>
    <mergeCell ref="CQK16:CQL16"/>
    <mergeCell ref="CQM16:CQO16"/>
    <mergeCell ref="CQK17:CQL17"/>
    <mergeCell ref="CQM17:CQO17"/>
    <mergeCell ref="CQK18:CQL18"/>
    <mergeCell ref="CQM18:CQO18"/>
    <mergeCell ref="CQK19:CQL19"/>
    <mergeCell ref="CQM19:CQO19"/>
    <mergeCell ref="CQK20:CQL20"/>
    <mergeCell ref="CQM20:CQO20"/>
    <mergeCell ref="CQN21:CQO21"/>
    <mergeCell ref="CQK1:CQK2"/>
    <mergeCell ref="CQL1:CQM2"/>
    <mergeCell ref="CQN1:CQN2"/>
    <mergeCell ref="CQN3:CQO3"/>
    <mergeCell ref="CQN4:CQO4"/>
    <mergeCell ref="CQN5:CQO5"/>
    <mergeCell ref="CQN6:CQO6"/>
    <mergeCell ref="CQN7:CQO7"/>
    <mergeCell ref="CQN8:CQO8"/>
    <mergeCell ref="CQK9:CQM9"/>
    <mergeCell ref="CQN9:CQO9"/>
    <mergeCell ref="CQK10:CQL10"/>
    <mergeCell ref="CQM10:CQO10"/>
    <mergeCell ref="CQK11:CQL11"/>
    <mergeCell ref="CQM11:CQO11"/>
    <mergeCell ref="CQK12:CQL12"/>
    <mergeCell ref="CQM12:CQO12"/>
    <mergeCell ref="CQS22:CQT22"/>
    <mergeCell ref="CQS23:CQT23"/>
    <mergeCell ref="CQS24:CQT24"/>
    <mergeCell ref="CQS25:CQT25"/>
    <mergeCell ref="CQS26:CQT26"/>
    <mergeCell ref="CQP27:CQT27"/>
    <mergeCell ref="CQP28:CQT29"/>
    <mergeCell ref="CQP13:CQQ13"/>
    <mergeCell ref="CQR13:CQT13"/>
    <mergeCell ref="CQP14:CQQ14"/>
    <mergeCell ref="CQR14:CQT14"/>
    <mergeCell ref="CQP15:CQR15"/>
    <mergeCell ref="CQS15:CQT15"/>
    <mergeCell ref="CQP16:CQQ16"/>
    <mergeCell ref="CQR16:CQT16"/>
    <mergeCell ref="CQP17:CQQ17"/>
    <mergeCell ref="CQR17:CQT17"/>
    <mergeCell ref="CQP18:CQQ18"/>
    <mergeCell ref="CQR18:CQT18"/>
    <mergeCell ref="CQP19:CQQ19"/>
    <mergeCell ref="CQR19:CQT19"/>
    <mergeCell ref="CQP20:CQQ20"/>
    <mergeCell ref="CQR20:CQT20"/>
    <mergeCell ref="CQS21:CQT21"/>
    <mergeCell ref="CQP1:CQP2"/>
    <mergeCell ref="CQQ1:CQR2"/>
    <mergeCell ref="CQS1:CQS2"/>
    <mergeCell ref="CQS3:CQT3"/>
    <mergeCell ref="CQS4:CQT4"/>
    <mergeCell ref="CQS5:CQT5"/>
    <mergeCell ref="CQS6:CQT6"/>
    <mergeCell ref="CQS7:CQT7"/>
    <mergeCell ref="CQS8:CQT8"/>
    <mergeCell ref="CQP9:CQR9"/>
    <mergeCell ref="CQS9:CQT9"/>
    <mergeCell ref="CQP10:CQQ10"/>
    <mergeCell ref="CQR10:CQT10"/>
    <mergeCell ref="CQP11:CQQ11"/>
    <mergeCell ref="CQR11:CQT11"/>
    <mergeCell ref="CQP12:CQQ12"/>
    <mergeCell ref="CQR12:CQT12"/>
    <mergeCell ref="CRC22:CRD22"/>
    <mergeCell ref="CRC23:CRD23"/>
    <mergeCell ref="CRC24:CRD24"/>
    <mergeCell ref="CRC25:CRD25"/>
    <mergeCell ref="CRC26:CRD26"/>
    <mergeCell ref="CQZ27:CRD27"/>
    <mergeCell ref="CQZ28:CRD29"/>
    <mergeCell ref="CQZ13:CRA13"/>
    <mergeCell ref="CRB13:CRD13"/>
    <mergeCell ref="CQZ14:CRA14"/>
    <mergeCell ref="CRB14:CRD14"/>
    <mergeCell ref="CQZ15:CRB15"/>
    <mergeCell ref="CRC15:CRD15"/>
    <mergeCell ref="CQZ16:CRA16"/>
    <mergeCell ref="CRB16:CRD16"/>
    <mergeCell ref="CQZ17:CRA17"/>
    <mergeCell ref="CRB17:CRD17"/>
    <mergeCell ref="CQZ18:CRA18"/>
    <mergeCell ref="CRB18:CRD18"/>
    <mergeCell ref="CQZ19:CRA19"/>
    <mergeCell ref="CRB19:CRD19"/>
    <mergeCell ref="CQZ20:CRA20"/>
    <mergeCell ref="CRB20:CRD20"/>
    <mergeCell ref="CRC21:CRD21"/>
    <mergeCell ref="CQZ1:CQZ2"/>
    <mergeCell ref="CRA1:CRB2"/>
    <mergeCell ref="CRC1:CRC2"/>
    <mergeCell ref="CRC3:CRD3"/>
    <mergeCell ref="CRC4:CRD4"/>
    <mergeCell ref="CRC5:CRD5"/>
    <mergeCell ref="CRC6:CRD6"/>
    <mergeCell ref="CRC7:CRD7"/>
    <mergeCell ref="CRC8:CRD8"/>
    <mergeCell ref="CQZ9:CRB9"/>
    <mergeCell ref="CRC9:CRD9"/>
    <mergeCell ref="CQZ10:CRA10"/>
    <mergeCell ref="CRB10:CRD10"/>
    <mergeCell ref="CQZ11:CRA11"/>
    <mergeCell ref="CRB11:CRD11"/>
    <mergeCell ref="CQZ12:CRA12"/>
    <mergeCell ref="CRB12:CRD12"/>
    <mergeCell ref="CSC1:CSC2"/>
    <mergeCell ref="CSD1:CSE2"/>
    <mergeCell ref="CSF1:CSF2"/>
    <mergeCell ref="CSC9:CSE9"/>
    <mergeCell ref="CSC10:CSD10"/>
    <mergeCell ref="CSE10:CSF10"/>
    <mergeCell ref="CSC11:CSD11"/>
    <mergeCell ref="CSE11:CSF11"/>
    <mergeCell ref="CSC12:CSD12"/>
    <mergeCell ref="CSE12:CSF12"/>
    <mergeCell ref="CRY1:CRY2"/>
    <mergeCell ref="CRZ1:CSA2"/>
    <mergeCell ref="CSB1:CSB2"/>
    <mergeCell ref="CRY9:CSA9"/>
    <mergeCell ref="CRY10:CRZ10"/>
    <mergeCell ref="CSA10:CSB10"/>
    <mergeCell ref="CRY11:CRZ11"/>
    <mergeCell ref="CSA11:CSB11"/>
    <mergeCell ref="CRY12:CRZ12"/>
    <mergeCell ref="CSA12:CSB12"/>
    <mergeCell ref="CRR22:CRS22"/>
    <mergeCell ref="CRR23:CRS23"/>
    <mergeCell ref="CRR24:CRS24"/>
    <mergeCell ref="CRR25:CRS25"/>
    <mergeCell ref="CRR26:CRS26"/>
    <mergeCell ref="CRR27:CRS27"/>
    <mergeCell ref="CRR28:CRS28"/>
    <mergeCell ref="CRO29:CRS29"/>
    <mergeCell ref="CRO30:CRS31"/>
    <mergeCell ref="CRO13:CRP13"/>
    <mergeCell ref="CRQ13:CRS13"/>
    <mergeCell ref="CRO14:CRP14"/>
    <mergeCell ref="CRQ14:CRS14"/>
    <mergeCell ref="CRO15:CRQ15"/>
    <mergeCell ref="CRR15:CRS15"/>
    <mergeCell ref="CRO16:CRP16"/>
    <mergeCell ref="CRQ16:CRS16"/>
    <mergeCell ref="CRO17:CRP17"/>
    <mergeCell ref="CRQ17:CRS17"/>
    <mergeCell ref="CRO18:CRP18"/>
    <mergeCell ref="CRQ18:CRS18"/>
    <mergeCell ref="CRO19:CRP19"/>
    <mergeCell ref="CRQ19:CRS19"/>
    <mergeCell ref="CRO20:CRP20"/>
    <mergeCell ref="CRQ20:CRS20"/>
    <mergeCell ref="CRR21:CRS21"/>
    <mergeCell ref="CRO1:CRO2"/>
    <mergeCell ref="CRP1:CRQ2"/>
    <mergeCell ref="CRR1:CRR2"/>
    <mergeCell ref="CRS1:CRS2"/>
    <mergeCell ref="CRR3:CRS3"/>
    <mergeCell ref="CRR4:CRS4"/>
    <mergeCell ref="CRR5:CRS5"/>
    <mergeCell ref="CRR6:CRS6"/>
    <mergeCell ref="CRR7:CRS7"/>
    <mergeCell ref="CRR8:CRS8"/>
    <mergeCell ref="CRO9:CRQ9"/>
    <mergeCell ref="CRR9:CRS9"/>
    <mergeCell ref="CRO10:CRP10"/>
    <mergeCell ref="CRQ10:CRS10"/>
    <mergeCell ref="CRO11:CRP11"/>
    <mergeCell ref="CRQ11:CRS11"/>
    <mergeCell ref="CRO12:CRP12"/>
    <mergeCell ref="CRQ12:CRS12"/>
    <mergeCell ref="CSC31:CSF32"/>
    <mergeCell ref="CSC13:CSD13"/>
    <mergeCell ref="CSE13:CSF13"/>
    <mergeCell ref="CSC14:CSD14"/>
    <mergeCell ref="CSE14:CSF14"/>
    <mergeCell ref="CSC15:CSE15"/>
    <mergeCell ref="CSC16:CSD16"/>
    <mergeCell ref="CSE16:CSF16"/>
    <mergeCell ref="CSC17:CSD17"/>
    <mergeCell ref="CSE17:CSF17"/>
    <mergeCell ref="CSC18:CSD18"/>
    <mergeCell ref="CSE18:CSF18"/>
    <mergeCell ref="CSC19:CSD19"/>
    <mergeCell ref="CSE19:CSF19"/>
    <mergeCell ref="CSC20:CSD20"/>
    <mergeCell ref="CSE20:CSF20"/>
    <mergeCell ref="CSC30:CSF30"/>
    <mergeCell ref="CSO31:CSR32"/>
    <mergeCell ref="CSO13:CSP13"/>
    <mergeCell ref="CSQ13:CSR13"/>
    <mergeCell ref="CSO14:CSP14"/>
    <mergeCell ref="CSQ14:CSR14"/>
    <mergeCell ref="CSO15:CSQ15"/>
    <mergeCell ref="CSO16:CSP16"/>
    <mergeCell ref="CSQ16:CSR16"/>
    <mergeCell ref="CSO17:CSP17"/>
    <mergeCell ref="CSQ17:CSR17"/>
    <mergeCell ref="CRY18:CRZ18"/>
    <mergeCell ref="CSA18:CSB18"/>
    <mergeCell ref="CRY19:CRZ19"/>
    <mergeCell ref="CSA19:CSB19"/>
    <mergeCell ref="CRY20:CRZ20"/>
    <mergeCell ref="CSA20:CSB20"/>
    <mergeCell ref="CRY29:CSB29"/>
    <mergeCell ref="CRY30:CSB31"/>
    <mergeCell ref="CRY13:CRZ13"/>
    <mergeCell ref="CSA13:CSB13"/>
    <mergeCell ref="CRY14:CRZ14"/>
    <mergeCell ref="CSA14:CSB14"/>
    <mergeCell ref="CRY15:CSA15"/>
    <mergeCell ref="CRY16:CRZ16"/>
    <mergeCell ref="CSA16:CSB16"/>
    <mergeCell ref="CRY17:CRZ17"/>
    <mergeCell ref="CSA17:CSB17"/>
    <mergeCell ref="CSG20:CSH20"/>
    <mergeCell ref="CSI20:CSJ20"/>
    <mergeCell ref="CSG30:CSJ30"/>
    <mergeCell ref="CSG31:CSJ32"/>
    <mergeCell ref="CSK20:CSL20"/>
    <mergeCell ref="CSM20:CSN20"/>
    <mergeCell ref="CSK30:CSN30"/>
    <mergeCell ref="CSK31:CSN32"/>
    <mergeCell ref="CSG16:CSH16"/>
    <mergeCell ref="CSI16:CSJ16"/>
    <mergeCell ref="CSG17:CSH17"/>
    <mergeCell ref="CSI17:CSJ17"/>
    <mergeCell ref="CSK19:CSL19"/>
    <mergeCell ref="CSM19:CSN19"/>
    <mergeCell ref="CSK13:CSL13"/>
    <mergeCell ref="CSM13:CSN13"/>
    <mergeCell ref="CSK14:CSL14"/>
    <mergeCell ref="CSM14:CSN14"/>
    <mergeCell ref="CSK15:CSM15"/>
    <mergeCell ref="CSK16:CSL16"/>
    <mergeCell ref="CSO1:CSO2"/>
    <mergeCell ref="CSP1:CSQ2"/>
    <mergeCell ref="CSR1:CSR2"/>
    <mergeCell ref="CSO9:CSQ9"/>
    <mergeCell ref="CSO10:CSP10"/>
    <mergeCell ref="CSQ10:CSR10"/>
    <mergeCell ref="CSO11:CSP11"/>
    <mergeCell ref="CSQ11:CSR11"/>
    <mergeCell ref="CSO12:CSP12"/>
    <mergeCell ref="CSQ12:CSR12"/>
    <mergeCell ref="CSO18:CSP18"/>
    <mergeCell ref="CSQ18:CSR18"/>
    <mergeCell ref="CSO19:CSP19"/>
    <mergeCell ref="CSQ19:CSR19"/>
    <mergeCell ref="CSO20:CSP20"/>
    <mergeCell ref="CSQ20:CSR20"/>
    <mergeCell ref="CSO30:CSR30"/>
    <mergeCell ref="CTA18:CTB18"/>
    <mergeCell ref="CTC18:CTD18"/>
    <mergeCell ref="CTA19:CTB19"/>
    <mergeCell ref="CTC19:CTD19"/>
    <mergeCell ref="CTA20:CTB20"/>
    <mergeCell ref="CTC20:CTD20"/>
    <mergeCell ref="CTA30:CTD30"/>
    <mergeCell ref="CTA31:CTD32"/>
    <mergeCell ref="CTA13:CTB13"/>
    <mergeCell ref="CTC13:CTD13"/>
    <mergeCell ref="CTA14:CTB14"/>
    <mergeCell ref="CTC14:CTD14"/>
    <mergeCell ref="CTA15:CTC15"/>
    <mergeCell ref="CTA16:CTB16"/>
    <mergeCell ref="CTC16:CTD16"/>
    <mergeCell ref="CTA17:CTB17"/>
    <mergeCell ref="CTC17:CTD17"/>
    <mergeCell ref="CTA1:CTA2"/>
    <mergeCell ref="CTB1:CTC2"/>
    <mergeCell ref="CTD1:CTD2"/>
    <mergeCell ref="CTA9:CTC9"/>
    <mergeCell ref="CTA10:CTB10"/>
    <mergeCell ref="CTC10:CTD10"/>
    <mergeCell ref="CTA11:CTB11"/>
    <mergeCell ref="CTC11:CTD11"/>
    <mergeCell ref="CTA12:CTB12"/>
    <mergeCell ref="CTC12:CTD12"/>
    <mergeCell ref="CSW1:CSW2"/>
    <mergeCell ref="CSX1:CSY2"/>
    <mergeCell ref="CSZ1:CSZ2"/>
    <mergeCell ref="CSW9:CSY9"/>
    <mergeCell ref="CSW10:CSX10"/>
    <mergeCell ref="CSY10:CSZ10"/>
    <mergeCell ref="CSW11:CSX11"/>
    <mergeCell ref="CSY11:CSZ11"/>
    <mergeCell ref="CSW12:CSX12"/>
    <mergeCell ref="CSY12:CSZ12"/>
    <mergeCell ref="CSW18:CSX18"/>
    <mergeCell ref="CSY18:CSZ18"/>
    <mergeCell ref="CSW19:CSX19"/>
    <mergeCell ref="CSY19:CSZ19"/>
    <mergeCell ref="CSW20:CSX20"/>
    <mergeCell ref="CSY20:CSZ20"/>
    <mergeCell ref="CSW30:CSZ30"/>
    <mergeCell ref="CSW31:CSZ32"/>
    <mergeCell ref="CSW13:CSX13"/>
    <mergeCell ref="CSY13:CSZ13"/>
    <mergeCell ref="CTE18:CTF18"/>
    <mergeCell ref="CTG18:CTH18"/>
    <mergeCell ref="CTE19:CTF19"/>
    <mergeCell ref="CTG19:CTH19"/>
    <mergeCell ref="CTE20:CTF20"/>
    <mergeCell ref="CTG20:CTH20"/>
    <mergeCell ref="CTE30:CTH30"/>
    <mergeCell ref="CTE31:CTH32"/>
    <mergeCell ref="CTE13:CTF13"/>
    <mergeCell ref="CTG13:CTH13"/>
    <mergeCell ref="CTE14:CTF14"/>
    <mergeCell ref="CTG14:CTH14"/>
    <mergeCell ref="CTE15:CTG15"/>
    <mergeCell ref="CTE16:CTF16"/>
    <mergeCell ref="CTG16:CTH16"/>
    <mergeCell ref="CTE17:CTF17"/>
    <mergeCell ref="CTG17:CTH17"/>
    <mergeCell ref="CTI1:CTI2"/>
    <mergeCell ref="CTJ1:CTK2"/>
    <mergeCell ref="CTL1:CTL2"/>
    <mergeCell ref="CTI9:CTK9"/>
    <mergeCell ref="CTI10:CTJ10"/>
    <mergeCell ref="CTK10:CTL10"/>
    <mergeCell ref="CTI11:CTJ11"/>
    <mergeCell ref="CTK11:CTL11"/>
    <mergeCell ref="CTI12:CTJ12"/>
    <mergeCell ref="CTK12:CTL12"/>
    <mergeCell ref="CTI18:CTJ18"/>
    <mergeCell ref="CTK18:CTL18"/>
    <mergeCell ref="CTI19:CTJ19"/>
    <mergeCell ref="CTK19:CTL19"/>
    <mergeCell ref="CTI20:CTJ20"/>
    <mergeCell ref="CTK20:CTL20"/>
    <mergeCell ref="CTI30:CTL30"/>
    <mergeCell ref="CTI31:CTL32"/>
    <mergeCell ref="CTI13:CTJ13"/>
    <mergeCell ref="CTK13:CTL13"/>
    <mergeCell ref="CTI14:CTJ14"/>
    <mergeCell ref="CTK14:CTL14"/>
    <mergeCell ref="CTI15:CTK15"/>
    <mergeCell ref="CTI16:CTJ16"/>
    <mergeCell ref="CTK16:CTL16"/>
    <mergeCell ref="CTI17:CTJ17"/>
    <mergeCell ref="CTK17:CTL17"/>
    <mergeCell ref="CTE1:CTE2"/>
    <mergeCell ref="CTF1:CTG2"/>
    <mergeCell ref="CTH1:CTH2"/>
    <mergeCell ref="CTE9:CTG9"/>
    <mergeCell ref="CTE10:CTF10"/>
    <mergeCell ref="CTG10:CTH10"/>
    <mergeCell ref="CTE11:CTF11"/>
    <mergeCell ref="CTG11:CTH11"/>
    <mergeCell ref="CTE12:CTF12"/>
    <mergeCell ref="CTG12:CTH12"/>
    <mergeCell ref="CTY30:CUB30"/>
    <mergeCell ref="CTY31:CUB32"/>
    <mergeCell ref="CTY13:CTZ13"/>
    <mergeCell ref="CUA13:CUB13"/>
    <mergeCell ref="CTY14:CTZ14"/>
    <mergeCell ref="CUA14:CUB14"/>
    <mergeCell ref="CTM18:CTN18"/>
    <mergeCell ref="CTO18:CTP18"/>
    <mergeCell ref="CTM19:CTN19"/>
    <mergeCell ref="CTO19:CTP19"/>
    <mergeCell ref="CTM20:CTN20"/>
    <mergeCell ref="CTO20:CTP20"/>
    <mergeCell ref="CTM30:CTP30"/>
    <mergeCell ref="CTQ1:CTQ2"/>
    <mergeCell ref="CTR1:CTS2"/>
    <mergeCell ref="CTT1:CTT2"/>
    <mergeCell ref="CTQ9:CTS9"/>
    <mergeCell ref="CTQ10:CTR10"/>
    <mergeCell ref="CTS10:CTT10"/>
    <mergeCell ref="CTQ11:CTR11"/>
    <mergeCell ref="CTS11:CTT11"/>
    <mergeCell ref="CTQ12:CTR12"/>
    <mergeCell ref="CTS12:CTT12"/>
    <mergeCell ref="CTQ18:CTR18"/>
    <mergeCell ref="CTS18:CTT18"/>
    <mergeCell ref="CTQ19:CTR19"/>
    <mergeCell ref="CTS19:CTT19"/>
    <mergeCell ref="CTQ20:CTR20"/>
    <mergeCell ref="CTS20:CTT20"/>
    <mergeCell ref="CTQ30:CTT30"/>
    <mergeCell ref="CTQ31:CTT32"/>
    <mergeCell ref="CTQ13:CTR13"/>
    <mergeCell ref="CTS13:CTT13"/>
    <mergeCell ref="CTQ14:CTR14"/>
    <mergeCell ref="CTS14:CTT14"/>
    <mergeCell ref="CTQ15:CTS15"/>
    <mergeCell ref="CTQ16:CTR16"/>
    <mergeCell ref="CTS16:CTT16"/>
    <mergeCell ref="CTQ17:CTR17"/>
    <mergeCell ref="CTS17:CTT17"/>
    <mergeCell ref="CTM31:CTP32"/>
    <mergeCell ref="CTM13:CTN13"/>
    <mergeCell ref="CTO13:CTP13"/>
    <mergeCell ref="CTM14:CTN14"/>
    <mergeCell ref="CTO14:CTP14"/>
    <mergeCell ref="CTM15:CTO15"/>
    <mergeCell ref="CTM16:CTN16"/>
    <mergeCell ref="CTO16:CTP16"/>
    <mergeCell ref="CTM17:CTN17"/>
    <mergeCell ref="CTO17:CTP17"/>
    <mergeCell ref="CTM1:CTM2"/>
    <mergeCell ref="CTN1:CTO2"/>
    <mergeCell ref="CTP1:CTP2"/>
    <mergeCell ref="CTM9:CTO9"/>
    <mergeCell ref="CTM10:CTN10"/>
    <mergeCell ref="CTO10:CTP10"/>
    <mergeCell ref="CTM11:CTN11"/>
    <mergeCell ref="CTO11:CTP11"/>
    <mergeCell ref="CTM12:CTN12"/>
    <mergeCell ref="CTO12:CTP12"/>
    <mergeCell ref="CUG1:CUG2"/>
    <mergeCell ref="CUH1:CUI2"/>
    <mergeCell ref="CUJ1:CUJ2"/>
    <mergeCell ref="CUG9:CUI9"/>
    <mergeCell ref="CUG10:CUH10"/>
    <mergeCell ref="CUI10:CUJ10"/>
    <mergeCell ref="CUG11:CUH11"/>
    <mergeCell ref="CUI11:CUJ11"/>
    <mergeCell ref="CUG12:CUH12"/>
    <mergeCell ref="CUI12:CUJ12"/>
    <mergeCell ref="CTY15:CUA15"/>
    <mergeCell ref="CTY16:CTZ16"/>
    <mergeCell ref="CUA16:CUB16"/>
    <mergeCell ref="CTY17:CTZ17"/>
    <mergeCell ref="CUA17:CUB17"/>
    <mergeCell ref="CTU18:CTV18"/>
    <mergeCell ref="CTW18:CTX18"/>
    <mergeCell ref="CTU19:CTV19"/>
    <mergeCell ref="CTW19:CTX19"/>
    <mergeCell ref="CTU20:CTV20"/>
    <mergeCell ref="CTW20:CTX20"/>
    <mergeCell ref="CTU30:CTX30"/>
    <mergeCell ref="CTU31:CTX32"/>
    <mergeCell ref="CTU13:CTV13"/>
    <mergeCell ref="CTW13:CTX13"/>
    <mergeCell ref="CTU14:CTV14"/>
    <mergeCell ref="CTW14:CTX14"/>
    <mergeCell ref="CTU15:CTW15"/>
    <mergeCell ref="CTU16:CTV16"/>
    <mergeCell ref="CTW16:CTX16"/>
    <mergeCell ref="CTU17:CTV17"/>
    <mergeCell ref="CTW17:CTX17"/>
    <mergeCell ref="CUC1:CUC2"/>
    <mergeCell ref="CUD1:CUE2"/>
    <mergeCell ref="CUF1:CUF2"/>
    <mergeCell ref="CUC9:CUE9"/>
    <mergeCell ref="CUC10:CUD10"/>
    <mergeCell ref="CUE10:CUF10"/>
    <mergeCell ref="CUC11:CUD11"/>
    <mergeCell ref="CUE11:CUF11"/>
    <mergeCell ref="CUC12:CUD12"/>
    <mergeCell ref="CUE12:CUF12"/>
    <mergeCell ref="CTU1:CTU2"/>
    <mergeCell ref="CTV1:CTW2"/>
    <mergeCell ref="CTX1:CTX2"/>
    <mergeCell ref="CTU9:CTW9"/>
    <mergeCell ref="CTU10:CTV10"/>
    <mergeCell ref="CTW10:CTX10"/>
    <mergeCell ref="CTU11:CTV11"/>
    <mergeCell ref="CTW11:CTX11"/>
    <mergeCell ref="CTU12:CTV12"/>
    <mergeCell ref="CTW12:CTX12"/>
    <mergeCell ref="CTY1:CTY2"/>
    <mergeCell ref="CTZ1:CUA2"/>
    <mergeCell ref="CUB1:CUB2"/>
    <mergeCell ref="CTY9:CUA9"/>
    <mergeCell ref="CTY10:CTZ10"/>
    <mergeCell ref="CUA10:CUB10"/>
    <mergeCell ref="CTY11:CTZ11"/>
    <mergeCell ref="CUA11:CUB11"/>
    <mergeCell ref="CTY12:CTZ12"/>
    <mergeCell ref="CUA12:CUB12"/>
    <mergeCell ref="CTY18:CTZ18"/>
    <mergeCell ref="CUA18:CUB18"/>
    <mergeCell ref="CUW31:CUZ32"/>
    <mergeCell ref="CUW13:CUX13"/>
    <mergeCell ref="CUY13:CUZ13"/>
    <mergeCell ref="CUW14:CUX14"/>
    <mergeCell ref="CUY14:CUZ14"/>
    <mergeCell ref="CUW15:CUY15"/>
    <mergeCell ref="CUW16:CUX16"/>
    <mergeCell ref="CUY16:CUZ16"/>
    <mergeCell ref="CUW17:CUX17"/>
    <mergeCell ref="CUY17:CUZ17"/>
    <mergeCell ref="CUO31:CUR32"/>
    <mergeCell ref="CUO13:CUP13"/>
    <mergeCell ref="CUQ13:CUR13"/>
    <mergeCell ref="CUO14:CUP14"/>
    <mergeCell ref="CUQ14:CUR14"/>
    <mergeCell ref="CUO15:CUQ15"/>
    <mergeCell ref="CUO16:CUP16"/>
    <mergeCell ref="CUQ16:CUR16"/>
    <mergeCell ref="CUO17:CUP17"/>
    <mergeCell ref="CUQ17:CUR17"/>
    <mergeCell ref="CUS15:CUU15"/>
    <mergeCell ref="CUS16:CUT16"/>
    <mergeCell ref="CUU16:CUV16"/>
    <mergeCell ref="CUS17:CUT17"/>
    <mergeCell ref="CUU17:CUV17"/>
    <mergeCell ref="CUW1:CUW2"/>
    <mergeCell ref="CUX1:CUY2"/>
    <mergeCell ref="CUZ1:CUZ2"/>
    <mergeCell ref="CUW9:CUY9"/>
    <mergeCell ref="CUW10:CUX10"/>
    <mergeCell ref="CUY10:CUZ10"/>
    <mergeCell ref="CUW11:CUX11"/>
    <mergeCell ref="CUY11:CUZ11"/>
    <mergeCell ref="CUW12:CUX12"/>
    <mergeCell ref="CUY12:CUZ12"/>
    <mergeCell ref="CUS1:CUS2"/>
    <mergeCell ref="CUT1:CUU2"/>
    <mergeCell ref="CUV1:CUV2"/>
    <mergeCell ref="CUS9:CUU9"/>
    <mergeCell ref="CUS10:CUT10"/>
    <mergeCell ref="CUU10:CUV10"/>
    <mergeCell ref="CUS11:CUT11"/>
    <mergeCell ref="CUW18:CUX18"/>
    <mergeCell ref="CUY18:CUZ18"/>
    <mergeCell ref="CUW19:CUX19"/>
    <mergeCell ref="CUY19:CUZ19"/>
    <mergeCell ref="CUW20:CUX20"/>
    <mergeCell ref="CUY20:CUZ20"/>
    <mergeCell ref="CUW30:CUZ30"/>
    <mergeCell ref="CUU11:CUV11"/>
    <mergeCell ref="CUS12:CUT12"/>
    <mergeCell ref="CUU12:CUV12"/>
    <mergeCell ref="CUS18:CUT18"/>
    <mergeCell ref="CUU18:CUV18"/>
    <mergeCell ref="CUS19:CUT19"/>
    <mergeCell ref="CUU19:CUV19"/>
    <mergeCell ref="CUS20:CUT20"/>
    <mergeCell ref="CUU20:CUV20"/>
    <mergeCell ref="CUS30:CUV30"/>
    <mergeCell ref="CUS31:CUV32"/>
    <mergeCell ref="CUS13:CUT13"/>
    <mergeCell ref="CUU13:CUV13"/>
    <mergeCell ref="CUS14:CUT14"/>
    <mergeCell ref="CUU14:CUV14"/>
    <mergeCell ref="CVM31:CVP32"/>
    <mergeCell ref="CVM13:CVN13"/>
    <mergeCell ref="CVO13:CVP13"/>
    <mergeCell ref="CVM14:CVN14"/>
    <mergeCell ref="CVO14:CVP14"/>
    <mergeCell ref="CVM15:CVO15"/>
    <mergeCell ref="CVM16:CVN16"/>
    <mergeCell ref="CVO16:CVP16"/>
    <mergeCell ref="CVM17:CVN17"/>
    <mergeCell ref="CVO17:CVP17"/>
    <mergeCell ref="CVE31:CVH32"/>
    <mergeCell ref="CVE13:CVF13"/>
    <mergeCell ref="CVG13:CVH13"/>
    <mergeCell ref="CVE14:CVF14"/>
    <mergeCell ref="CVG14:CVH14"/>
    <mergeCell ref="CVE15:CVG15"/>
    <mergeCell ref="CVE16:CVF16"/>
    <mergeCell ref="CVG16:CVH16"/>
    <mergeCell ref="CVE17:CVF17"/>
    <mergeCell ref="CVG17:CVH17"/>
    <mergeCell ref="CVI15:CVK15"/>
    <mergeCell ref="CVI16:CVJ16"/>
    <mergeCell ref="CVK16:CVL16"/>
    <mergeCell ref="CVI17:CVJ17"/>
    <mergeCell ref="CVK17:CVL17"/>
    <mergeCell ref="CVM1:CVM2"/>
    <mergeCell ref="CVN1:CVO2"/>
    <mergeCell ref="CVP1:CVP2"/>
    <mergeCell ref="CVM9:CVO9"/>
    <mergeCell ref="CVM10:CVN10"/>
    <mergeCell ref="CVO10:CVP10"/>
    <mergeCell ref="CVM11:CVN11"/>
    <mergeCell ref="CVO11:CVP11"/>
    <mergeCell ref="CVM12:CVN12"/>
    <mergeCell ref="CVO12:CVP12"/>
    <mergeCell ref="CVI1:CVI2"/>
    <mergeCell ref="CVJ1:CVK2"/>
    <mergeCell ref="CVL1:CVL2"/>
    <mergeCell ref="CVI9:CVK9"/>
    <mergeCell ref="CVI10:CVJ10"/>
    <mergeCell ref="CVK10:CVL10"/>
    <mergeCell ref="CVI11:CVJ11"/>
    <mergeCell ref="CVM18:CVN18"/>
    <mergeCell ref="CVO18:CVP18"/>
    <mergeCell ref="CVM19:CVN19"/>
    <mergeCell ref="CVO19:CVP19"/>
    <mergeCell ref="CVM20:CVN20"/>
    <mergeCell ref="CVO20:CVP20"/>
    <mergeCell ref="CVM30:CVP30"/>
    <mergeCell ref="CVK11:CVL11"/>
    <mergeCell ref="CVI12:CVJ12"/>
    <mergeCell ref="CVK12:CVL12"/>
    <mergeCell ref="CVI18:CVJ18"/>
    <mergeCell ref="CVK18:CVL18"/>
    <mergeCell ref="CVI19:CVJ19"/>
    <mergeCell ref="CVK19:CVL19"/>
    <mergeCell ref="CVI20:CVJ20"/>
    <mergeCell ref="CVK20:CVL20"/>
    <mergeCell ref="CVI30:CVL30"/>
    <mergeCell ref="CVI31:CVL32"/>
    <mergeCell ref="CVI13:CVJ13"/>
    <mergeCell ref="CVK13:CVL13"/>
    <mergeCell ref="CVI14:CVJ14"/>
    <mergeCell ref="CVK14:CVL14"/>
    <mergeCell ref="CWK18:CWL18"/>
    <mergeCell ref="CWM18:CWN18"/>
    <mergeCell ref="CWK19:CWL19"/>
    <mergeCell ref="CWM19:CWN19"/>
    <mergeCell ref="CWK20:CWL20"/>
    <mergeCell ref="CWM20:CWN20"/>
    <mergeCell ref="CWK30:CWN30"/>
    <mergeCell ref="CVU31:CVX32"/>
    <mergeCell ref="CVU13:CVV13"/>
    <mergeCell ref="CVW13:CVX13"/>
    <mergeCell ref="CVU14:CVV14"/>
    <mergeCell ref="CVW14:CVX14"/>
    <mergeCell ref="CVU15:CVW15"/>
    <mergeCell ref="CVU16:CVV16"/>
    <mergeCell ref="CVW16:CVX16"/>
    <mergeCell ref="CVU17:CVV17"/>
    <mergeCell ref="CVW17:CVX17"/>
    <mergeCell ref="CVU1:CVU2"/>
    <mergeCell ref="CVV1:CVW2"/>
    <mergeCell ref="CVX1:CVX2"/>
    <mergeCell ref="CVU9:CVW9"/>
    <mergeCell ref="CVU10:CVV10"/>
    <mergeCell ref="CVW10:CVX10"/>
    <mergeCell ref="CVU11:CVV11"/>
    <mergeCell ref="CVW11:CVX11"/>
    <mergeCell ref="CVU12:CVV12"/>
    <mergeCell ref="CVW12:CVX12"/>
    <mergeCell ref="CVE18:CVF18"/>
    <mergeCell ref="CVG18:CVH18"/>
    <mergeCell ref="CVE19:CVF19"/>
    <mergeCell ref="CVG19:CVH19"/>
    <mergeCell ref="CVE20:CVF20"/>
    <mergeCell ref="CVG20:CVH20"/>
    <mergeCell ref="CVE30:CVH30"/>
    <mergeCell ref="CWG31:CWJ32"/>
    <mergeCell ref="CWG13:CWH13"/>
    <mergeCell ref="CWI13:CWJ13"/>
    <mergeCell ref="CWG14:CWH14"/>
    <mergeCell ref="CWI14:CWJ14"/>
    <mergeCell ref="CWG15:CWI15"/>
    <mergeCell ref="CWG16:CWH16"/>
    <mergeCell ref="CWI16:CWJ16"/>
    <mergeCell ref="CWG17:CWH17"/>
    <mergeCell ref="CWI17:CWJ17"/>
    <mergeCell ref="CWG18:CWH18"/>
    <mergeCell ref="CWI18:CWJ18"/>
    <mergeCell ref="CWG19:CWH19"/>
    <mergeCell ref="CWI19:CWJ19"/>
    <mergeCell ref="CWG20:CWH20"/>
    <mergeCell ref="CWI20:CWJ20"/>
    <mergeCell ref="CWG30:CWJ30"/>
    <mergeCell ref="CVY1:CVY2"/>
    <mergeCell ref="CVZ1:CWA2"/>
    <mergeCell ref="CWB1:CWB2"/>
    <mergeCell ref="CVY9:CWA9"/>
    <mergeCell ref="CVY10:CVZ10"/>
    <mergeCell ref="CWA10:CWB10"/>
    <mergeCell ref="CVY11:CVZ11"/>
    <mergeCell ref="CWA11:CWB11"/>
    <mergeCell ref="CVY12:CVZ12"/>
    <mergeCell ref="CWA12:CWB12"/>
    <mergeCell ref="CVY18:CVZ18"/>
    <mergeCell ref="CWA18:CWB18"/>
    <mergeCell ref="CVY19:CVZ19"/>
    <mergeCell ref="CWC18:CWD18"/>
    <mergeCell ref="CWE18:CWF18"/>
    <mergeCell ref="CWC19:CWD19"/>
    <mergeCell ref="CWE19:CWF19"/>
    <mergeCell ref="CWC20:CWD20"/>
    <mergeCell ref="CWE20:CWF20"/>
    <mergeCell ref="CWC30:CWF30"/>
    <mergeCell ref="CWC31:CWF32"/>
    <mergeCell ref="CWC13:CWD13"/>
    <mergeCell ref="CWE13:CWF13"/>
    <mergeCell ref="CWC14:CWD14"/>
    <mergeCell ref="CWE14:CWF14"/>
    <mergeCell ref="CWC15:CWE15"/>
    <mergeCell ref="CWC16:CWD16"/>
    <mergeCell ref="CWE16:CWF16"/>
    <mergeCell ref="CWC17:CWD17"/>
    <mergeCell ref="CWE17:CWF17"/>
    <mergeCell ref="CWG1:CWG2"/>
    <mergeCell ref="CWH1:CWI2"/>
    <mergeCell ref="CWJ1:CWJ2"/>
    <mergeCell ref="CWG9:CWI9"/>
    <mergeCell ref="CWG10:CWH10"/>
    <mergeCell ref="CWI10:CWJ10"/>
    <mergeCell ref="CWG11:CWH11"/>
    <mergeCell ref="CWI11:CWJ11"/>
    <mergeCell ref="CWG12:CWH12"/>
    <mergeCell ref="CWI12:CWJ12"/>
    <mergeCell ref="CWC1:CWC2"/>
    <mergeCell ref="CWD1:CWE2"/>
    <mergeCell ref="CWF1:CWF2"/>
    <mergeCell ref="CWC9:CWE9"/>
    <mergeCell ref="CWC10:CWD10"/>
    <mergeCell ref="CWE10:CWF10"/>
    <mergeCell ref="CWC11:CWD11"/>
    <mergeCell ref="CWE11:CWF11"/>
    <mergeCell ref="CWC12:CWD12"/>
    <mergeCell ref="CWE12:CWF12"/>
    <mergeCell ref="CWS1:CWS2"/>
    <mergeCell ref="CWT1:CWU2"/>
    <mergeCell ref="CWV1:CWV2"/>
    <mergeCell ref="CWS9:CWU9"/>
    <mergeCell ref="CWS10:CWT10"/>
    <mergeCell ref="CWU10:CWV10"/>
    <mergeCell ref="CWS11:CWT11"/>
    <mergeCell ref="CWU11:CWV11"/>
    <mergeCell ref="CWS12:CWT12"/>
    <mergeCell ref="CWU12:CWV12"/>
    <mergeCell ref="CWK31:CWN32"/>
    <mergeCell ref="CWK13:CWL13"/>
    <mergeCell ref="CWM13:CWN13"/>
    <mergeCell ref="CWK14:CWL14"/>
    <mergeCell ref="CWM14:CWN14"/>
    <mergeCell ref="CWK15:CWM15"/>
    <mergeCell ref="CWK16:CWL16"/>
    <mergeCell ref="CWM16:CWN16"/>
    <mergeCell ref="CWK17:CWL17"/>
    <mergeCell ref="CWM17:CWN17"/>
    <mergeCell ref="CXA18:CXB18"/>
    <mergeCell ref="CXC18:CXD18"/>
    <mergeCell ref="CXA19:CXB19"/>
    <mergeCell ref="CXC19:CXD19"/>
    <mergeCell ref="CXA20:CXB20"/>
    <mergeCell ref="CXC20:CXD20"/>
    <mergeCell ref="CXA30:CXD30"/>
    <mergeCell ref="CXA31:CXD32"/>
    <mergeCell ref="CXA13:CXB13"/>
    <mergeCell ref="CXC13:CXD13"/>
    <mergeCell ref="CXA14:CXB14"/>
    <mergeCell ref="CXC14:CXD14"/>
    <mergeCell ref="CXA15:CXC15"/>
    <mergeCell ref="CXA16:CXB16"/>
    <mergeCell ref="CXC16:CXD16"/>
    <mergeCell ref="CXA17:CXB17"/>
    <mergeCell ref="CXC17:CXD17"/>
    <mergeCell ref="CXA1:CXA2"/>
    <mergeCell ref="CXB1:CXC2"/>
    <mergeCell ref="CXD1:CXD2"/>
    <mergeCell ref="CXA9:CXC9"/>
    <mergeCell ref="CXA10:CXB10"/>
    <mergeCell ref="CXC10:CXD10"/>
    <mergeCell ref="CXA11:CXB11"/>
    <mergeCell ref="CXC11:CXD11"/>
    <mergeCell ref="CXA12:CXB12"/>
    <mergeCell ref="CXC12:CXD12"/>
    <mergeCell ref="CWW1:CWW2"/>
    <mergeCell ref="CWX1:CWY2"/>
    <mergeCell ref="CWZ1:CWZ2"/>
    <mergeCell ref="CWW9:CWY9"/>
    <mergeCell ref="CWW10:CWX10"/>
    <mergeCell ref="CWY10:CWZ10"/>
    <mergeCell ref="CWW11:CWX11"/>
    <mergeCell ref="CWK1:CWK2"/>
    <mergeCell ref="CWL1:CWM2"/>
    <mergeCell ref="CWN1:CWN2"/>
    <mergeCell ref="CWK9:CWM9"/>
    <mergeCell ref="CWK10:CWL10"/>
    <mergeCell ref="CWM10:CWN10"/>
    <mergeCell ref="CWK11:CWL11"/>
    <mergeCell ref="CWM11:CWN11"/>
    <mergeCell ref="CWK12:CWL12"/>
    <mergeCell ref="CWM12:CWN12"/>
    <mergeCell ref="CXQ1:CXQ2"/>
    <mergeCell ref="CXR1:CXS2"/>
    <mergeCell ref="CXT1:CXT2"/>
    <mergeCell ref="CXQ9:CXS9"/>
    <mergeCell ref="CXQ10:CXR10"/>
    <mergeCell ref="CXS10:CXT10"/>
    <mergeCell ref="CXM1:CXM2"/>
    <mergeCell ref="CXN1:CXO2"/>
    <mergeCell ref="CXP1:CXP2"/>
    <mergeCell ref="CXM9:CXO9"/>
    <mergeCell ref="CXM10:CXN10"/>
    <mergeCell ref="CXO10:CXP10"/>
    <mergeCell ref="CXQ14:CXR14"/>
    <mergeCell ref="CXS14:CXT14"/>
    <mergeCell ref="CXQ15:CXS15"/>
    <mergeCell ref="CXQ16:CXR16"/>
    <mergeCell ref="CXS16:CXT16"/>
    <mergeCell ref="CXQ11:CXR11"/>
    <mergeCell ref="CXS11:CXT11"/>
    <mergeCell ref="CXQ12:CXR12"/>
    <mergeCell ref="CXS12:CXT12"/>
    <mergeCell ref="CXQ13:CXR13"/>
    <mergeCell ref="CXS13:CXT13"/>
    <mergeCell ref="CXQ20:CXR20"/>
    <mergeCell ref="CXS20:CXT20"/>
    <mergeCell ref="CXQ30:CXT30"/>
    <mergeCell ref="CXQ31:CXT32"/>
    <mergeCell ref="CXQ17:CXR17"/>
    <mergeCell ref="CXS17:CXT17"/>
    <mergeCell ref="CXQ18:CXR18"/>
    <mergeCell ref="CXS18:CXT18"/>
    <mergeCell ref="CXQ19:CXR19"/>
    <mergeCell ref="CXS19:CXT19"/>
    <mergeCell ref="CXM16:CXN16"/>
    <mergeCell ref="CXO16:CXP16"/>
    <mergeCell ref="CXM20:CXN20"/>
    <mergeCell ref="CXO20:CXP20"/>
    <mergeCell ref="CXM30:CXP30"/>
    <mergeCell ref="CXM31:CXP32"/>
    <mergeCell ref="CXM17:CXN17"/>
    <mergeCell ref="CXO17:CXP17"/>
    <mergeCell ref="CXM18:CXN18"/>
    <mergeCell ref="CXO18:CXP18"/>
    <mergeCell ref="CXM19:CXN19"/>
    <mergeCell ref="CXO19:CXP19"/>
    <mergeCell ref="CXM11:CXN11"/>
    <mergeCell ref="CXO11:CXP11"/>
    <mergeCell ref="CXM12:CXN12"/>
    <mergeCell ref="CXO12:CXP12"/>
    <mergeCell ref="CXM13:CXN13"/>
    <mergeCell ref="CXO13:CXP13"/>
    <mergeCell ref="CXM14:CXN14"/>
    <mergeCell ref="CXO14:CXP14"/>
    <mergeCell ref="CXM15:CXO15"/>
    <mergeCell ref="CXI1:CXI2"/>
    <mergeCell ref="CXJ1:CXK2"/>
    <mergeCell ref="CXL1:CXL2"/>
    <mergeCell ref="CXI9:CXK9"/>
    <mergeCell ref="CXI10:CXJ10"/>
    <mergeCell ref="CXK10:CXL10"/>
    <mergeCell ref="CXE1:CXE2"/>
    <mergeCell ref="CXF1:CXG2"/>
    <mergeCell ref="CXH1:CXH2"/>
    <mergeCell ref="CXE9:CXG9"/>
    <mergeCell ref="CXE10:CXF10"/>
    <mergeCell ref="CXG10:CXH10"/>
    <mergeCell ref="CXE11:CXF11"/>
    <mergeCell ref="CXG11:CXH11"/>
    <mergeCell ref="CXE12:CXF12"/>
    <mergeCell ref="CXG12:CXH12"/>
    <mergeCell ref="CXE13:CXF13"/>
    <mergeCell ref="CXG13:CXH13"/>
    <mergeCell ref="CXE14:CXF14"/>
    <mergeCell ref="CXG14:CXH14"/>
    <mergeCell ref="CXE15:CXG15"/>
    <mergeCell ref="CXE16:CXF16"/>
    <mergeCell ref="CXE30:CXH30"/>
    <mergeCell ref="CXE31:CXH32"/>
    <mergeCell ref="CXG16:CXH16"/>
    <mergeCell ref="CXE17:CXF17"/>
    <mergeCell ref="CXG17:CXH17"/>
    <mergeCell ref="CXE18:CXF18"/>
    <mergeCell ref="CXG18:CXH18"/>
    <mergeCell ref="CXE19:CXF19"/>
    <mergeCell ref="CXG19:CXH19"/>
    <mergeCell ref="CXE20:CXF20"/>
    <mergeCell ref="CXG20:CXH20"/>
    <mergeCell ref="CXI14:CXJ14"/>
    <mergeCell ref="CXI31:CXL32"/>
    <mergeCell ref="CXI17:CXJ17"/>
    <mergeCell ref="CXK17:CXL17"/>
    <mergeCell ref="CXI18:CXJ18"/>
    <mergeCell ref="CXK18:CXL18"/>
    <mergeCell ref="CXI19:CXJ19"/>
    <mergeCell ref="CXK19:CXL19"/>
    <mergeCell ref="CXK14:CXL14"/>
    <mergeCell ref="CXI15:CXK15"/>
    <mergeCell ref="CXI16:CXJ16"/>
    <mergeCell ref="CXK16:CXL16"/>
    <mergeCell ref="CXI20:CXJ20"/>
    <mergeCell ref="CXK20:CXL20"/>
    <mergeCell ref="CXI30:CXL30"/>
    <mergeCell ref="CXI11:CXJ11"/>
    <mergeCell ref="CXK11:CXL11"/>
    <mergeCell ref="CXI12:CXJ12"/>
    <mergeCell ref="CXK12:CXL12"/>
    <mergeCell ref="CXI13:CXJ13"/>
    <mergeCell ref="CXK13:CXL13"/>
    <mergeCell ref="CWY11:CWZ11"/>
    <mergeCell ref="CWW12:CWX12"/>
    <mergeCell ref="CWY12:CWZ12"/>
    <mergeCell ref="CWW18:CWX18"/>
    <mergeCell ref="CWY18:CWZ18"/>
    <mergeCell ref="CWW19:CWX19"/>
    <mergeCell ref="CWY19:CWZ19"/>
    <mergeCell ref="CWW20:CWX20"/>
    <mergeCell ref="CWY20:CWZ20"/>
    <mergeCell ref="CWW30:CWZ30"/>
    <mergeCell ref="CWW31:CWZ32"/>
    <mergeCell ref="CWW13:CWX13"/>
    <mergeCell ref="CWY13:CWZ13"/>
    <mergeCell ref="CWW14:CWX14"/>
    <mergeCell ref="CWY14:CWZ14"/>
    <mergeCell ref="CWW15:CWY15"/>
    <mergeCell ref="CWW16:CWX16"/>
    <mergeCell ref="CWY16:CWZ16"/>
    <mergeCell ref="CWW17:CWX17"/>
    <mergeCell ref="CWY17:CWZ17"/>
    <mergeCell ref="CWO1:CWO2"/>
    <mergeCell ref="CWP1:CWQ2"/>
    <mergeCell ref="CWR1:CWR2"/>
    <mergeCell ref="CWO9:CWQ9"/>
    <mergeCell ref="CWO10:CWP10"/>
    <mergeCell ref="CWQ10:CWR10"/>
    <mergeCell ref="CWO11:CWP11"/>
    <mergeCell ref="CWQ11:CWR11"/>
    <mergeCell ref="CWO12:CWP12"/>
    <mergeCell ref="CWQ12:CWR12"/>
    <mergeCell ref="CWO18:CWP18"/>
    <mergeCell ref="CWQ18:CWR18"/>
    <mergeCell ref="CWO31:CWR32"/>
    <mergeCell ref="CWO13:CWP13"/>
    <mergeCell ref="CWQ13:CWR13"/>
    <mergeCell ref="CWO14:CWP14"/>
    <mergeCell ref="CWQ14:CWR14"/>
    <mergeCell ref="CWO15:CWQ15"/>
    <mergeCell ref="CWO16:CWP16"/>
    <mergeCell ref="CWQ16:CWR16"/>
    <mergeCell ref="CWO17:CWP17"/>
    <mergeCell ref="CWQ17:CWR17"/>
    <mergeCell ref="CWS18:CWT18"/>
    <mergeCell ref="CWU18:CWV18"/>
    <mergeCell ref="CWS19:CWT19"/>
    <mergeCell ref="CWU19:CWV19"/>
    <mergeCell ref="CWS20:CWT20"/>
    <mergeCell ref="CWU20:CWV20"/>
    <mergeCell ref="CWS30:CWV30"/>
    <mergeCell ref="CWO19:CWP19"/>
    <mergeCell ref="CWQ19:CWR19"/>
    <mergeCell ref="CWO20:CWP20"/>
    <mergeCell ref="CWQ20:CWR20"/>
    <mergeCell ref="CWO30:CWR30"/>
    <mergeCell ref="CWS31:CWV32"/>
    <mergeCell ref="CWS13:CWT13"/>
    <mergeCell ref="CWU13:CWV13"/>
    <mergeCell ref="CWS14:CWT14"/>
    <mergeCell ref="CWU14:CWV14"/>
    <mergeCell ref="CWS15:CWU15"/>
    <mergeCell ref="CWS16:CWT16"/>
    <mergeCell ref="CWU16:CWV16"/>
    <mergeCell ref="CWS17:CWT17"/>
    <mergeCell ref="CWU17:CWV17"/>
    <mergeCell ref="CVY14:CVZ14"/>
    <mergeCell ref="CWA14:CWB14"/>
    <mergeCell ref="CVY15:CWA15"/>
    <mergeCell ref="CVY16:CVZ16"/>
    <mergeCell ref="CWA16:CWB16"/>
    <mergeCell ref="CVY17:CVZ17"/>
    <mergeCell ref="CWA17:CWB17"/>
    <mergeCell ref="CVQ1:CVQ2"/>
    <mergeCell ref="CVR1:CVS2"/>
    <mergeCell ref="CVT1:CVT2"/>
    <mergeCell ref="CVQ9:CVS9"/>
    <mergeCell ref="CVQ10:CVR10"/>
    <mergeCell ref="CVS10:CVT10"/>
    <mergeCell ref="CVQ11:CVR11"/>
    <mergeCell ref="CVS11:CVT11"/>
    <mergeCell ref="CVQ12:CVR12"/>
    <mergeCell ref="CVS12:CVT12"/>
    <mergeCell ref="CVQ18:CVR18"/>
    <mergeCell ref="CVS18:CVT18"/>
    <mergeCell ref="CVQ31:CVT32"/>
    <mergeCell ref="CVQ13:CVR13"/>
    <mergeCell ref="CVS13:CVT13"/>
    <mergeCell ref="CVQ14:CVR14"/>
    <mergeCell ref="CVS14:CVT14"/>
    <mergeCell ref="CVQ15:CVS15"/>
    <mergeCell ref="CVQ16:CVR16"/>
    <mergeCell ref="CVS16:CVT16"/>
    <mergeCell ref="CVQ17:CVR17"/>
    <mergeCell ref="CVS17:CVT17"/>
    <mergeCell ref="CVU18:CVV18"/>
    <mergeCell ref="CVW18:CVX18"/>
    <mergeCell ref="CVU19:CVV19"/>
    <mergeCell ref="CVW19:CVX19"/>
    <mergeCell ref="CVU20:CVV20"/>
    <mergeCell ref="CVW20:CVX20"/>
    <mergeCell ref="CVU30:CVX30"/>
    <mergeCell ref="CVQ19:CVR19"/>
    <mergeCell ref="CVS19:CVT19"/>
    <mergeCell ref="CVQ20:CVR20"/>
    <mergeCell ref="CVS20:CVT20"/>
    <mergeCell ref="CVQ30:CVT30"/>
    <mergeCell ref="CWA19:CWB19"/>
    <mergeCell ref="CVY20:CVZ20"/>
    <mergeCell ref="CWA20:CWB20"/>
    <mergeCell ref="CVY30:CWB30"/>
    <mergeCell ref="CVY31:CWB32"/>
    <mergeCell ref="CVY13:CVZ13"/>
    <mergeCell ref="CWA13:CWB13"/>
    <mergeCell ref="CVA9:CVC9"/>
    <mergeCell ref="CVA10:CVB10"/>
    <mergeCell ref="CVC10:CVD10"/>
    <mergeCell ref="CVA11:CVB11"/>
    <mergeCell ref="CVC11:CVD11"/>
    <mergeCell ref="CVA12:CVB12"/>
    <mergeCell ref="CVC12:CVD12"/>
    <mergeCell ref="CVA18:CVB18"/>
    <mergeCell ref="CVC18:CVD18"/>
    <mergeCell ref="CVE1:CVE2"/>
    <mergeCell ref="CVF1:CVG2"/>
    <mergeCell ref="CVH1:CVH2"/>
    <mergeCell ref="CVE9:CVG9"/>
    <mergeCell ref="CVE10:CVF10"/>
    <mergeCell ref="CVG10:CVH10"/>
    <mergeCell ref="CVE11:CVF11"/>
    <mergeCell ref="CVG11:CVH11"/>
    <mergeCell ref="CVE12:CVF12"/>
    <mergeCell ref="CVG12:CVH12"/>
    <mergeCell ref="CVA31:CVD32"/>
    <mergeCell ref="CVA13:CVB13"/>
    <mergeCell ref="CVC13:CVD13"/>
    <mergeCell ref="CVA14:CVB14"/>
    <mergeCell ref="CVC14:CVD14"/>
    <mergeCell ref="CVA15:CVC15"/>
    <mergeCell ref="CVA16:CVB16"/>
    <mergeCell ref="CVC16:CVD16"/>
    <mergeCell ref="CVA17:CVB17"/>
    <mergeCell ref="CVC17:CVD17"/>
    <mergeCell ref="CVA19:CVB19"/>
    <mergeCell ref="CVC19:CVD19"/>
    <mergeCell ref="CVA20:CVB20"/>
    <mergeCell ref="CVC20:CVD20"/>
    <mergeCell ref="CVA30:CVD30"/>
    <mergeCell ref="CVA1:CVA2"/>
    <mergeCell ref="CVB1:CVC2"/>
    <mergeCell ref="CVD1:CVD2"/>
    <mergeCell ref="CUK9:CUM9"/>
    <mergeCell ref="CUK10:CUL10"/>
    <mergeCell ref="CUM10:CUN10"/>
    <mergeCell ref="CUK11:CUL11"/>
    <mergeCell ref="CUM11:CUN11"/>
    <mergeCell ref="CUK12:CUL12"/>
    <mergeCell ref="CUM12:CUN12"/>
    <mergeCell ref="CUK18:CUL18"/>
    <mergeCell ref="CUM18:CUN18"/>
    <mergeCell ref="CUO1:CUO2"/>
    <mergeCell ref="CUP1:CUQ2"/>
    <mergeCell ref="CUR1:CUR2"/>
    <mergeCell ref="CUO9:CUQ9"/>
    <mergeCell ref="CUO10:CUP10"/>
    <mergeCell ref="CUQ10:CUR10"/>
    <mergeCell ref="CUO11:CUP11"/>
    <mergeCell ref="CUQ11:CUR11"/>
    <mergeCell ref="CUO12:CUP12"/>
    <mergeCell ref="CUQ12:CUR12"/>
    <mergeCell ref="CUK31:CUN32"/>
    <mergeCell ref="CUK13:CUL13"/>
    <mergeCell ref="CUM13:CUN13"/>
    <mergeCell ref="CUK14:CUL14"/>
    <mergeCell ref="CUM14:CUN14"/>
    <mergeCell ref="CUK15:CUM15"/>
    <mergeCell ref="CUK16:CUL16"/>
    <mergeCell ref="CUM16:CUN16"/>
    <mergeCell ref="CUK17:CUL17"/>
    <mergeCell ref="CUM17:CUN17"/>
    <mergeCell ref="CUO18:CUP18"/>
    <mergeCell ref="CUQ18:CUR18"/>
    <mergeCell ref="CUO19:CUP19"/>
    <mergeCell ref="CUQ19:CUR19"/>
    <mergeCell ref="CUO20:CUP20"/>
    <mergeCell ref="CUQ20:CUR20"/>
    <mergeCell ref="CUO30:CUR30"/>
    <mergeCell ref="CUK19:CUL19"/>
    <mergeCell ref="CUM19:CUN19"/>
    <mergeCell ref="CUK20:CUL20"/>
    <mergeCell ref="CUM20:CUN20"/>
    <mergeCell ref="CUK30:CUN30"/>
    <mergeCell ref="CUK1:CUK2"/>
    <mergeCell ref="CUL1:CUM2"/>
    <mergeCell ref="CUN1:CUN2"/>
    <mergeCell ref="CSS12:CST12"/>
    <mergeCell ref="CSU12:CSV12"/>
    <mergeCell ref="CSS18:CST18"/>
    <mergeCell ref="CSU18:CSV18"/>
    <mergeCell ref="CSS19:CST19"/>
    <mergeCell ref="CSU19:CSV19"/>
    <mergeCell ref="CSS20:CST20"/>
    <mergeCell ref="CSU20:CSV20"/>
    <mergeCell ref="CSS30:CSV30"/>
    <mergeCell ref="CSS31:CSV32"/>
    <mergeCell ref="CSS13:CST13"/>
    <mergeCell ref="CSU13:CSV13"/>
    <mergeCell ref="CSS14:CST14"/>
    <mergeCell ref="CSU14:CSV14"/>
    <mergeCell ref="CSS15:CSU15"/>
    <mergeCell ref="CSS16:CST16"/>
    <mergeCell ref="CSU16:CSV16"/>
    <mergeCell ref="CSS17:CST17"/>
    <mergeCell ref="CSU17:CSV17"/>
    <mergeCell ref="CSW14:CSX14"/>
    <mergeCell ref="CSY14:CSZ14"/>
    <mergeCell ref="CSW15:CSY15"/>
    <mergeCell ref="CSW16:CSX16"/>
    <mergeCell ref="CSY16:CSZ16"/>
    <mergeCell ref="CSW17:CSX17"/>
    <mergeCell ref="CSY17:CSZ17"/>
    <mergeCell ref="CUG18:CUH18"/>
    <mergeCell ref="CUI18:CUJ18"/>
    <mergeCell ref="CUG19:CUH19"/>
    <mergeCell ref="CUI19:CUJ19"/>
    <mergeCell ref="CUG20:CUH20"/>
    <mergeCell ref="CUI20:CUJ20"/>
    <mergeCell ref="CUG30:CUJ30"/>
    <mergeCell ref="CUG31:CUJ32"/>
    <mergeCell ref="CUG13:CUH13"/>
    <mergeCell ref="CUI13:CUJ13"/>
    <mergeCell ref="CUG14:CUH14"/>
    <mergeCell ref="CUI14:CUJ14"/>
    <mergeCell ref="CUG15:CUI15"/>
    <mergeCell ref="CUG16:CUH16"/>
    <mergeCell ref="CUI16:CUJ16"/>
    <mergeCell ref="CUG17:CUH17"/>
    <mergeCell ref="CUI17:CUJ17"/>
    <mergeCell ref="CUC31:CUF32"/>
    <mergeCell ref="CUC13:CUD13"/>
    <mergeCell ref="CUE13:CUF13"/>
    <mergeCell ref="CUC14:CUD14"/>
    <mergeCell ref="CUE14:CUF14"/>
    <mergeCell ref="CUC15:CUE15"/>
    <mergeCell ref="CUC16:CUD16"/>
    <mergeCell ref="CUE16:CUF16"/>
    <mergeCell ref="CUC17:CUD17"/>
    <mergeCell ref="CUE17:CUF17"/>
    <mergeCell ref="CUC18:CUD18"/>
    <mergeCell ref="CUE18:CUF18"/>
    <mergeCell ref="CUC19:CUD19"/>
    <mergeCell ref="CUE19:CUF19"/>
    <mergeCell ref="CUC20:CUD20"/>
    <mergeCell ref="CUE20:CUF20"/>
    <mergeCell ref="CUC30:CUF30"/>
    <mergeCell ref="CTY19:CTZ19"/>
    <mergeCell ref="CUA19:CUB19"/>
    <mergeCell ref="CTY20:CTZ20"/>
    <mergeCell ref="CUA20:CUB20"/>
    <mergeCell ref="CSS1:CSS2"/>
    <mergeCell ref="CST1:CSU2"/>
    <mergeCell ref="CSV1:CSV2"/>
    <mergeCell ref="CSS9:CSU9"/>
    <mergeCell ref="CRT1:CRT2"/>
    <mergeCell ref="CRU1:CRV2"/>
    <mergeCell ref="CRW1:CRW2"/>
    <mergeCell ref="CRX1:CRX2"/>
    <mergeCell ref="CRW3:CRX3"/>
    <mergeCell ref="CRW4:CRX4"/>
    <mergeCell ref="CRW5:CRX5"/>
    <mergeCell ref="CRW6:CRX6"/>
    <mergeCell ref="CRW7:CRX7"/>
    <mergeCell ref="CRW8:CRX8"/>
    <mergeCell ref="CRT9:CRV9"/>
    <mergeCell ref="CRW9:CRX9"/>
    <mergeCell ref="CRT10:CRU10"/>
    <mergeCell ref="CRV10:CRX10"/>
    <mergeCell ref="CRT11:CRU11"/>
    <mergeCell ref="CRV11:CRX11"/>
    <mergeCell ref="CRT12:CRU12"/>
    <mergeCell ref="CRW21:CRX21"/>
    <mergeCell ref="CRW22:CRX22"/>
    <mergeCell ref="CRW23:CRX23"/>
    <mergeCell ref="CRW24:CRX24"/>
    <mergeCell ref="CRW25:CRX25"/>
    <mergeCell ref="CSG1:CSG2"/>
    <mergeCell ref="CSH1:CSI2"/>
    <mergeCell ref="CSJ1:CSJ2"/>
    <mergeCell ref="CSG9:CSI9"/>
    <mergeCell ref="CSG10:CSH10"/>
    <mergeCell ref="CSI10:CSJ10"/>
    <mergeCell ref="CSG11:CSH11"/>
    <mergeCell ref="CSI11:CSJ11"/>
    <mergeCell ref="CSG12:CSH12"/>
    <mergeCell ref="CSI12:CSJ12"/>
    <mergeCell ref="CSG18:CSH18"/>
    <mergeCell ref="CSI18:CSJ18"/>
    <mergeCell ref="CSK1:CSK2"/>
    <mergeCell ref="CSL1:CSM2"/>
    <mergeCell ref="CSN1:CSN2"/>
    <mergeCell ref="CSK9:CSM9"/>
    <mergeCell ref="CSK10:CSL10"/>
    <mergeCell ref="CSM10:CSN10"/>
    <mergeCell ref="CSK11:CSL11"/>
    <mergeCell ref="CSM11:CSN11"/>
    <mergeCell ref="CSK12:CSL12"/>
    <mergeCell ref="CSM12:CSN12"/>
    <mergeCell ref="CSK18:CSL18"/>
    <mergeCell ref="CSM18:CSN18"/>
    <mergeCell ref="CSG19:CSH19"/>
    <mergeCell ref="CSI19:CSJ19"/>
    <mergeCell ref="CSG13:CSH13"/>
    <mergeCell ref="CSI13:CSJ13"/>
    <mergeCell ref="CSG14:CSH14"/>
    <mergeCell ref="CSI14:CSJ14"/>
    <mergeCell ref="CSG15:CSI15"/>
    <mergeCell ref="CSM16:CSN16"/>
    <mergeCell ref="CSK17:CSL17"/>
    <mergeCell ref="CSM17:CSN17"/>
    <mergeCell ref="CSS10:CST10"/>
    <mergeCell ref="CSU10:CSV10"/>
    <mergeCell ref="CSS11:CST11"/>
    <mergeCell ref="CSU11:CSV11"/>
    <mergeCell ref="CRW26:CRX26"/>
    <mergeCell ref="CRW27:CRX27"/>
    <mergeCell ref="CRW28:CRX28"/>
    <mergeCell ref="CRT29:CRX29"/>
    <mergeCell ref="CRT30:CRX31"/>
    <mergeCell ref="CRV12:CRX12"/>
    <mergeCell ref="CRT13:CRU13"/>
    <mergeCell ref="CRV13:CRX13"/>
    <mergeCell ref="CRT14:CRU14"/>
    <mergeCell ref="CRV14:CRX14"/>
    <mergeCell ref="CRT15:CRV15"/>
    <mergeCell ref="CRW15:CRX15"/>
    <mergeCell ref="CRT16:CRU16"/>
    <mergeCell ref="CRV16:CRX16"/>
    <mergeCell ref="CRT17:CRU17"/>
    <mergeCell ref="CRV17:CRX17"/>
    <mergeCell ref="CRT18:CRU18"/>
    <mergeCell ref="CRV18:CRX18"/>
    <mergeCell ref="CRT19:CRU19"/>
    <mergeCell ref="CRV19:CRX19"/>
    <mergeCell ref="CRT20:CRU20"/>
    <mergeCell ref="CRV20:CRX20"/>
    <mergeCell ref="CRJ1:CRJ2"/>
    <mergeCell ref="CRK1:CRL2"/>
    <mergeCell ref="CRM1:CRM2"/>
    <mergeCell ref="CRN1:CRN2"/>
    <mergeCell ref="CRM3:CRN3"/>
    <mergeCell ref="CRM4:CRN4"/>
    <mergeCell ref="CRM5:CRN5"/>
    <mergeCell ref="CRM6:CRN6"/>
    <mergeCell ref="CRM7:CRN7"/>
    <mergeCell ref="CRM8:CRN8"/>
    <mergeCell ref="CRJ9:CRL9"/>
    <mergeCell ref="CRM9:CRN9"/>
    <mergeCell ref="CRJ10:CRK10"/>
    <mergeCell ref="CRL10:CRN10"/>
    <mergeCell ref="CRJ11:CRK11"/>
    <mergeCell ref="CRL11:CRN11"/>
    <mergeCell ref="CRJ12:CRK12"/>
    <mergeCell ref="CRL12:CRN12"/>
    <mergeCell ref="CRM22:CRN22"/>
    <mergeCell ref="CRM23:CRN23"/>
    <mergeCell ref="CRM24:CRN24"/>
    <mergeCell ref="CRM25:CRN25"/>
    <mergeCell ref="CRM26:CRN26"/>
    <mergeCell ref="CRM27:CRN27"/>
    <mergeCell ref="CRM28:CRN28"/>
    <mergeCell ref="CRJ29:CRN29"/>
    <mergeCell ref="CRJ30:CRN31"/>
    <mergeCell ref="CRJ13:CRK13"/>
    <mergeCell ref="CRL13:CRN13"/>
    <mergeCell ref="CRJ14:CRK14"/>
    <mergeCell ref="CRL14:CRN14"/>
    <mergeCell ref="CRJ15:CRL15"/>
    <mergeCell ref="CRM15:CRN15"/>
    <mergeCell ref="CRJ16:CRK16"/>
    <mergeCell ref="CRL16:CRN16"/>
    <mergeCell ref="CRJ17:CRK17"/>
    <mergeCell ref="CRL17:CRN17"/>
    <mergeCell ref="CRJ18:CRK18"/>
    <mergeCell ref="CRL18:CRN18"/>
    <mergeCell ref="CRJ19:CRK19"/>
    <mergeCell ref="CRL19:CRN19"/>
    <mergeCell ref="CRJ20:CRK20"/>
    <mergeCell ref="CRL20:CRN20"/>
    <mergeCell ref="CRM21:CRN21"/>
    <mergeCell ref="CRE1:CRE2"/>
    <mergeCell ref="CRF1:CRG2"/>
    <mergeCell ref="CRH1:CRH2"/>
    <mergeCell ref="CRI1:CRI2"/>
    <mergeCell ref="CRH3:CRI3"/>
    <mergeCell ref="CRH4:CRI4"/>
    <mergeCell ref="CRH5:CRI5"/>
    <mergeCell ref="CRH6:CRI6"/>
    <mergeCell ref="CRH7:CRI7"/>
    <mergeCell ref="CRH8:CRI8"/>
    <mergeCell ref="CRE9:CRG9"/>
    <mergeCell ref="CRH9:CRI9"/>
    <mergeCell ref="CRE10:CRF10"/>
    <mergeCell ref="CRG10:CRI10"/>
    <mergeCell ref="CRE11:CRF11"/>
    <mergeCell ref="CRG11:CRI11"/>
    <mergeCell ref="CRE12:CRF12"/>
    <mergeCell ref="CRG12:CRI12"/>
    <mergeCell ref="CRH22:CRI22"/>
    <mergeCell ref="CRH23:CRI23"/>
    <mergeCell ref="CRH24:CRI24"/>
    <mergeCell ref="CRH25:CRI25"/>
    <mergeCell ref="CRH26:CRI26"/>
    <mergeCell ref="CRH27:CRI27"/>
    <mergeCell ref="CRH28:CRI28"/>
    <mergeCell ref="CRE29:CRI29"/>
    <mergeCell ref="CRE30:CRI31"/>
    <mergeCell ref="CRE13:CRF13"/>
    <mergeCell ref="CRG13:CRI13"/>
    <mergeCell ref="CRE14:CRF14"/>
    <mergeCell ref="CRG14:CRI14"/>
    <mergeCell ref="CRE15:CRG15"/>
    <mergeCell ref="CRH15:CRI15"/>
    <mergeCell ref="CRE16:CRF16"/>
    <mergeCell ref="CRG16:CRI16"/>
    <mergeCell ref="CRE17:CRF17"/>
    <mergeCell ref="CRG17:CRI17"/>
    <mergeCell ref="CRE18:CRF18"/>
    <mergeCell ref="CRG18:CRI18"/>
    <mergeCell ref="CRE19:CRF19"/>
    <mergeCell ref="CRG19:CRI19"/>
    <mergeCell ref="CRE20:CRF20"/>
    <mergeCell ref="CRG20:CRI20"/>
    <mergeCell ref="CRH21:CRI21"/>
    <mergeCell ref="CQU1:CQU2"/>
    <mergeCell ref="CQV1:CQW2"/>
    <mergeCell ref="CQX1:CQX2"/>
    <mergeCell ref="CQX3:CQY3"/>
    <mergeCell ref="CQX4:CQY4"/>
    <mergeCell ref="CQX5:CQY5"/>
    <mergeCell ref="CQX6:CQY6"/>
    <mergeCell ref="CQX7:CQY7"/>
    <mergeCell ref="CQX8:CQY8"/>
    <mergeCell ref="CQU9:CQW9"/>
    <mergeCell ref="CQX9:CQY9"/>
    <mergeCell ref="CQU10:CQV10"/>
    <mergeCell ref="CQW10:CQY10"/>
    <mergeCell ref="CQU11:CQV11"/>
    <mergeCell ref="CQW11:CQY11"/>
    <mergeCell ref="CQU12:CQV12"/>
    <mergeCell ref="CQW12:CQY12"/>
    <mergeCell ref="CQX22:CQY22"/>
    <mergeCell ref="CQX23:CQY23"/>
    <mergeCell ref="CQX24:CQY24"/>
    <mergeCell ref="CQX25:CQY25"/>
    <mergeCell ref="CQX26:CQY26"/>
    <mergeCell ref="CQU27:CQY27"/>
    <mergeCell ref="CQU28:CQY29"/>
    <mergeCell ref="CQU13:CQV13"/>
    <mergeCell ref="CQW13:CQY13"/>
    <mergeCell ref="CQU14:CQV14"/>
    <mergeCell ref="CQW14:CQY14"/>
    <mergeCell ref="CQU15:CQW15"/>
    <mergeCell ref="CQX15:CQY15"/>
    <mergeCell ref="CQU16:CQV16"/>
    <mergeCell ref="CQW16:CQY16"/>
    <mergeCell ref="CQU17:CQV17"/>
    <mergeCell ref="CQW17:CQY17"/>
    <mergeCell ref="CQU18:CQV18"/>
    <mergeCell ref="CQW18:CQY18"/>
    <mergeCell ref="CQU19:CQV19"/>
    <mergeCell ref="CQW19:CQY19"/>
    <mergeCell ref="CQU20:CQV20"/>
    <mergeCell ref="CQW20:CQY20"/>
    <mergeCell ref="CQX21:CQY21"/>
    <mergeCell ref="CPV1:CPV2"/>
    <mergeCell ref="CPW1:CPX2"/>
    <mergeCell ref="CPY1:CPY2"/>
    <mergeCell ref="CPY3:CPZ3"/>
    <mergeCell ref="CPY4:CPZ4"/>
    <mergeCell ref="CPY5:CPZ5"/>
    <mergeCell ref="CPY6:CPZ6"/>
    <mergeCell ref="CPY7:CPZ7"/>
    <mergeCell ref="CPY8:CPZ8"/>
    <mergeCell ref="CPV9:CPX9"/>
    <mergeCell ref="CPY9:CPZ9"/>
    <mergeCell ref="CPV10:CPW10"/>
    <mergeCell ref="CPX10:CPZ10"/>
    <mergeCell ref="CPV11:CPW11"/>
    <mergeCell ref="CPX11:CPZ11"/>
    <mergeCell ref="CPV12:CPW12"/>
    <mergeCell ref="CPX12:CPZ12"/>
    <mergeCell ref="CPY22:CPZ22"/>
    <mergeCell ref="CPY23:CPZ23"/>
    <mergeCell ref="CPY24:CPZ24"/>
    <mergeCell ref="CPY25:CPZ25"/>
    <mergeCell ref="CPY26:CPZ26"/>
    <mergeCell ref="CPV27:CPZ27"/>
    <mergeCell ref="CPV28:CPZ29"/>
    <mergeCell ref="CPV13:CPW13"/>
    <mergeCell ref="CPX13:CPZ13"/>
    <mergeCell ref="CPV14:CPW14"/>
    <mergeCell ref="CPX14:CPZ14"/>
    <mergeCell ref="CPV15:CPX15"/>
    <mergeCell ref="CPY15:CPZ15"/>
    <mergeCell ref="CPV16:CPW16"/>
    <mergeCell ref="CPX16:CPZ16"/>
    <mergeCell ref="CPV17:CPW17"/>
    <mergeCell ref="CPX17:CPZ17"/>
    <mergeCell ref="CPV18:CPW18"/>
    <mergeCell ref="CPX18:CPZ18"/>
    <mergeCell ref="CPV19:CPW19"/>
    <mergeCell ref="CPX19:CPZ19"/>
    <mergeCell ref="CPV20:CPW20"/>
    <mergeCell ref="CPX20:CPZ20"/>
    <mergeCell ref="CPY21:CPZ21"/>
    <mergeCell ref="CPL1:CPL2"/>
    <mergeCell ref="CPM1:CPN2"/>
    <mergeCell ref="CPO1:CPO2"/>
    <mergeCell ref="CPO3:CPP3"/>
    <mergeCell ref="CPO4:CPP4"/>
    <mergeCell ref="CPO5:CPP5"/>
    <mergeCell ref="CPO6:CPP6"/>
    <mergeCell ref="CPO7:CPP7"/>
    <mergeCell ref="CPO8:CPP8"/>
    <mergeCell ref="CPL9:CPN9"/>
    <mergeCell ref="CPO9:CPP9"/>
    <mergeCell ref="CPL10:CPM10"/>
    <mergeCell ref="CPN10:CPP10"/>
    <mergeCell ref="CPL11:CPM11"/>
    <mergeCell ref="CPN11:CPP11"/>
    <mergeCell ref="CPL12:CPM12"/>
    <mergeCell ref="CPN12:CPP12"/>
    <mergeCell ref="CPO22:CPP22"/>
    <mergeCell ref="CPO23:CPP23"/>
    <mergeCell ref="CPO24:CPP24"/>
    <mergeCell ref="CPO25:CPP25"/>
    <mergeCell ref="CPO26:CPP26"/>
    <mergeCell ref="CPL27:CPP27"/>
    <mergeCell ref="CPL28:CPP29"/>
    <mergeCell ref="CPL13:CPM13"/>
    <mergeCell ref="CPN13:CPP13"/>
    <mergeCell ref="CPL14:CPM14"/>
    <mergeCell ref="CPN14:CPP14"/>
    <mergeCell ref="CPL15:CPN15"/>
    <mergeCell ref="CPO15:CPP15"/>
    <mergeCell ref="CPL16:CPM16"/>
    <mergeCell ref="CPN16:CPP16"/>
    <mergeCell ref="CPL17:CPM17"/>
    <mergeCell ref="CPN17:CPP17"/>
    <mergeCell ref="CPL18:CPM18"/>
    <mergeCell ref="CPN18:CPP18"/>
    <mergeCell ref="CPL19:CPM19"/>
    <mergeCell ref="CPN19:CPP19"/>
    <mergeCell ref="CPL20:CPM20"/>
    <mergeCell ref="CPN20:CPP20"/>
    <mergeCell ref="CPO21:CPP21"/>
    <mergeCell ref="COW1:COW2"/>
    <mergeCell ref="COX1:COY2"/>
    <mergeCell ref="COZ1:COZ2"/>
    <mergeCell ref="COZ3:CPA3"/>
    <mergeCell ref="COZ4:CPA4"/>
    <mergeCell ref="COZ5:CPA5"/>
    <mergeCell ref="COZ6:CPA6"/>
    <mergeCell ref="COZ7:CPA7"/>
    <mergeCell ref="COZ8:CPA8"/>
    <mergeCell ref="COW9:COY9"/>
    <mergeCell ref="COZ9:CPA9"/>
    <mergeCell ref="COW10:COX10"/>
    <mergeCell ref="COY10:CPA10"/>
    <mergeCell ref="COW11:COX11"/>
    <mergeCell ref="COY11:CPA11"/>
    <mergeCell ref="COW12:COX12"/>
    <mergeCell ref="COY12:CPA12"/>
    <mergeCell ref="COZ22:CPA22"/>
    <mergeCell ref="COZ23:CPA23"/>
    <mergeCell ref="COZ24:CPA24"/>
    <mergeCell ref="COZ25:CPA25"/>
    <mergeCell ref="COZ26:CPA26"/>
    <mergeCell ref="COW27:CPA27"/>
    <mergeCell ref="COW28:CPA29"/>
    <mergeCell ref="COW13:COX13"/>
    <mergeCell ref="COY13:CPA13"/>
    <mergeCell ref="COW14:COX14"/>
    <mergeCell ref="COY14:CPA14"/>
    <mergeCell ref="COW15:COY15"/>
    <mergeCell ref="COZ15:CPA15"/>
    <mergeCell ref="COW16:COX16"/>
    <mergeCell ref="COY16:CPA16"/>
    <mergeCell ref="COW17:COX17"/>
    <mergeCell ref="COY17:CPA17"/>
    <mergeCell ref="COW18:COX18"/>
    <mergeCell ref="COY18:CPA18"/>
    <mergeCell ref="COW19:COX19"/>
    <mergeCell ref="COY19:CPA19"/>
    <mergeCell ref="COW20:COX20"/>
    <mergeCell ref="COY20:CPA20"/>
    <mergeCell ref="COZ21:CPA21"/>
    <mergeCell ref="COP3:COQ3"/>
    <mergeCell ref="COP4:COQ4"/>
    <mergeCell ref="COP5:COQ5"/>
    <mergeCell ref="COP6:COQ6"/>
    <mergeCell ref="COP7:COQ7"/>
    <mergeCell ref="COP8:COQ8"/>
    <mergeCell ref="COM9:COO9"/>
    <mergeCell ref="COP9:COQ9"/>
    <mergeCell ref="COM10:CON10"/>
    <mergeCell ref="COO10:COQ10"/>
    <mergeCell ref="COM11:CON11"/>
    <mergeCell ref="COO11:COQ11"/>
    <mergeCell ref="COM12:CON12"/>
    <mergeCell ref="COO12:COQ12"/>
    <mergeCell ref="COM18:CON18"/>
    <mergeCell ref="COO18:COQ18"/>
    <mergeCell ref="COM19:CON19"/>
    <mergeCell ref="COO19:COQ19"/>
    <mergeCell ref="COM20:CON20"/>
    <mergeCell ref="COO20:COQ20"/>
    <mergeCell ref="COP21:COQ21"/>
    <mergeCell ref="COP22:COQ22"/>
    <mergeCell ref="COP23:COQ23"/>
    <mergeCell ref="COP24:COQ24"/>
    <mergeCell ref="COP25:COQ25"/>
    <mergeCell ref="COP26:COQ26"/>
    <mergeCell ref="COR1:COR2"/>
    <mergeCell ref="COS1:COT2"/>
    <mergeCell ref="COU1:COU2"/>
    <mergeCell ref="COU3:COV3"/>
    <mergeCell ref="COU4:COV4"/>
    <mergeCell ref="COU5:COV5"/>
    <mergeCell ref="COU6:COV6"/>
    <mergeCell ref="COU7:COV7"/>
    <mergeCell ref="COU8:COV8"/>
    <mergeCell ref="COR9:COT9"/>
    <mergeCell ref="COU9:COV9"/>
    <mergeCell ref="COR10:COS10"/>
    <mergeCell ref="COT10:COV10"/>
    <mergeCell ref="COR11:COS11"/>
    <mergeCell ref="COT11:COV11"/>
    <mergeCell ref="COR12:COS12"/>
    <mergeCell ref="COT12:COV12"/>
    <mergeCell ref="COM13:CON13"/>
    <mergeCell ref="COO13:COQ13"/>
    <mergeCell ref="COM14:CON14"/>
    <mergeCell ref="COO14:COQ14"/>
    <mergeCell ref="COM15:COO15"/>
    <mergeCell ref="COP15:COQ15"/>
    <mergeCell ref="COM16:CON16"/>
    <mergeCell ref="COO16:COQ16"/>
    <mergeCell ref="COR13:COS13"/>
    <mergeCell ref="COT13:COV13"/>
    <mergeCell ref="COR14:COS14"/>
    <mergeCell ref="COT14:COV14"/>
    <mergeCell ref="COR15:COT15"/>
    <mergeCell ref="COU15:COV15"/>
    <mergeCell ref="COR16:COS16"/>
    <mergeCell ref="COT16:COV16"/>
    <mergeCell ref="COM27:COQ27"/>
    <mergeCell ref="COM28:COQ29"/>
    <mergeCell ref="COU22:COV22"/>
    <mergeCell ref="COU23:COV23"/>
    <mergeCell ref="COU24:COV24"/>
    <mergeCell ref="COU25:COV25"/>
    <mergeCell ref="COU26:COV26"/>
    <mergeCell ref="COR27:COV27"/>
    <mergeCell ref="COR28:COV29"/>
    <mergeCell ref="COR18:COS18"/>
    <mergeCell ref="COT18:COV18"/>
    <mergeCell ref="COR19:COS19"/>
    <mergeCell ref="COT19:COV19"/>
    <mergeCell ref="COR20:COS20"/>
    <mergeCell ref="COT20:COV20"/>
    <mergeCell ref="COU21:COV21"/>
    <mergeCell ref="CNX1:CNX2"/>
    <mergeCell ref="CNY1:CNZ2"/>
    <mergeCell ref="COA1:COA2"/>
    <mergeCell ref="COA3:COB3"/>
    <mergeCell ref="COA4:COB4"/>
    <mergeCell ref="COA5:COB5"/>
    <mergeCell ref="COA6:COB6"/>
    <mergeCell ref="COA7:COB7"/>
    <mergeCell ref="COA8:COB8"/>
    <mergeCell ref="CNX9:CNZ9"/>
    <mergeCell ref="COA9:COB9"/>
    <mergeCell ref="CNX10:CNY10"/>
    <mergeCell ref="CNZ10:COB10"/>
    <mergeCell ref="CNX11:CNY11"/>
    <mergeCell ref="CNZ11:COB11"/>
    <mergeCell ref="CNX12:CNY12"/>
    <mergeCell ref="CNZ12:COB12"/>
    <mergeCell ref="COA22:COB22"/>
    <mergeCell ref="COA23:COB23"/>
    <mergeCell ref="COA24:COB24"/>
    <mergeCell ref="COA25:COB25"/>
    <mergeCell ref="COA26:COB26"/>
    <mergeCell ref="CNX27:COB27"/>
    <mergeCell ref="CNX28:COB29"/>
    <mergeCell ref="CNX13:CNY13"/>
    <mergeCell ref="CNZ13:COB13"/>
    <mergeCell ref="CNX14:CNY14"/>
    <mergeCell ref="CNZ14:COB14"/>
    <mergeCell ref="CNX15:CNZ15"/>
    <mergeCell ref="COA15:COB15"/>
    <mergeCell ref="CNX16:CNY16"/>
    <mergeCell ref="CNZ16:COB16"/>
    <mergeCell ref="CNX17:CNY17"/>
    <mergeCell ref="CNZ17:COB17"/>
    <mergeCell ref="CNX18:CNY18"/>
    <mergeCell ref="CNZ18:COB18"/>
    <mergeCell ref="CNX19:CNY19"/>
    <mergeCell ref="CNZ19:COB19"/>
    <mergeCell ref="CNX20:CNY20"/>
    <mergeCell ref="CNZ20:COB20"/>
    <mergeCell ref="COA21:COB21"/>
    <mergeCell ref="COR17:COS17"/>
    <mergeCell ref="COT17:COV17"/>
    <mergeCell ref="COM17:CON17"/>
    <mergeCell ref="COO17:COQ17"/>
    <mergeCell ref="COM1:COM2"/>
    <mergeCell ref="CON1:COO2"/>
    <mergeCell ref="COP1:COP2"/>
    <mergeCell ref="CNN1:CNN2"/>
    <mergeCell ref="CNO1:CNP2"/>
    <mergeCell ref="CNQ1:CNQ2"/>
    <mergeCell ref="CNQ3:CNR3"/>
    <mergeCell ref="CNQ4:CNR4"/>
    <mergeCell ref="CNQ5:CNR5"/>
    <mergeCell ref="CNQ6:CNR6"/>
    <mergeCell ref="CNQ7:CNR7"/>
    <mergeCell ref="CNQ8:CNR8"/>
    <mergeCell ref="CNN9:CNP9"/>
    <mergeCell ref="CNQ9:CNR9"/>
    <mergeCell ref="CNN10:CNO10"/>
    <mergeCell ref="CNP10:CNR10"/>
    <mergeCell ref="CNN11:CNO11"/>
    <mergeCell ref="CNP11:CNR11"/>
    <mergeCell ref="CNN12:CNO12"/>
    <mergeCell ref="CNP12:CNR12"/>
    <mergeCell ref="CNQ22:CNR22"/>
    <mergeCell ref="CNQ23:CNR23"/>
    <mergeCell ref="CNQ24:CNR24"/>
    <mergeCell ref="CNQ25:CNR25"/>
    <mergeCell ref="CNQ26:CNR26"/>
    <mergeCell ref="CNN27:CNR27"/>
    <mergeCell ref="CNN28:CNR29"/>
    <mergeCell ref="CNN13:CNO13"/>
    <mergeCell ref="CNP13:CNR13"/>
    <mergeCell ref="CNN14:CNO14"/>
    <mergeCell ref="CNP14:CNR14"/>
    <mergeCell ref="CNN15:CNP15"/>
    <mergeCell ref="CNQ15:CNR15"/>
    <mergeCell ref="CNN16:CNO16"/>
    <mergeCell ref="CNP16:CNR16"/>
    <mergeCell ref="CNN17:CNO17"/>
    <mergeCell ref="CNP17:CNR17"/>
    <mergeCell ref="CNN18:CNO18"/>
    <mergeCell ref="CNP18:CNR18"/>
    <mergeCell ref="CNN19:CNO19"/>
    <mergeCell ref="CNP19:CNR19"/>
    <mergeCell ref="CNN20:CNO20"/>
    <mergeCell ref="CNP20:CNR20"/>
    <mergeCell ref="CNQ21:CNR21"/>
    <mergeCell ref="CND1:CND2"/>
    <mergeCell ref="CNE1:CNF2"/>
    <mergeCell ref="CNG1:CNG2"/>
    <mergeCell ref="CNG3:CNH3"/>
    <mergeCell ref="CNG4:CNH4"/>
    <mergeCell ref="CNG5:CNH5"/>
    <mergeCell ref="CNG6:CNH6"/>
    <mergeCell ref="CNG7:CNH7"/>
    <mergeCell ref="CNG8:CNH8"/>
    <mergeCell ref="CND9:CNF9"/>
    <mergeCell ref="CNG9:CNH9"/>
    <mergeCell ref="CND10:CNE10"/>
    <mergeCell ref="CNF10:CNH10"/>
    <mergeCell ref="CND11:CNE11"/>
    <mergeCell ref="CNF11:CNH11"/>
    <mergeCell ref="CND12:CNE12"/>
    <mergeCell ref="CNF12:CNH12"/>
    <mergeCell ref="CNG22:CNH22"/>
    <mergeCell ref="CNG23:CNH23"/>
    <mergeCell ref="CNG24:CNH24"/>
    <mergeCell ref="CNG25:CNH25"/>
    <mergeCell ref="CNG26:CNH26"/>
    <mergeCell ref="CND27:CNH27"/>
    <mergeCell ref="CND28:CNH29"/>
    <mergeCell ref="CND13:CNE13"/>
    <mergeCell ref="CNF13:CNH13"/>
    <mergeCell ref="CND14:CNE14"/>
    <mergeCell ref="CNF14:CNH14"/>
    <mergeCell ref="CND15:CNF15"/>
    <mergeCell ref="CNG15:CNH15"/>
    <mergeCell ref="CND16:CNE16"/>
    <mergeCell ref="CNF16:CNH16"/>
    <mergeCell ref="CND17:CNE17"/>
    <mergeCell ref="CNF17:CNH17"/>
    <mergeCell ref="CND18:CNE18"/>
    <mergeCell ref="CNF18:CNH18"/>
    <mergeCell ref="CND19:CNE19"/>
    <mergeCell ref="CNF19:CNH19"/>
    <mergeCell ref="CND20:CNE20"/>
    <mergeCell ref="CNF20:CNH20"/>
    <mergeCell ref="CNG21:CNH21"/>
    <mergeCell ref="CMT1:CMT2"/>
    <mergeCell ref="CMU1:CMV2"/>
    <mergeCell ref="CMW1:CMW2"/>
    <mergeCell ref="CMW3:CMX3"/>
    <mergeCell ref="CMW4:CMX4"/>
    <mergeCell ref="CMW5:CMX5"/>
    <mergeCell ref="CMW6:CMX6"/>
    <mergeCell ref="CMW7:CMX7"/>
    <mergeCell ref="CMW8:CMX8"/>
    <mergeCell ref="CMT9:CMV9"/>
    <mergeCell ref="CMW9:CMX9"/>
    <mergeCell ref="CMT10:CMU10"/>
    <mergeCell ref="CMV10:CMX10"/>
    <mergeCell ref="CMT11:CMU11"/>
    <mergeCell ref="CMV11:CMX11"/>
    <mergeCell ref="CMT12:CMU12"/>
    <mergeCell ref="CMV12:CMX12"/>
    <mergeCell ref="CMW22:CMX22"/>
    <mergeCell ref="CMW23:CMX23"/>
    <mergeCell ref="CMW24:CMX24"/>
    <mergeCell ref="CMW25:CMX25"/>
    <mergeCell ref="CMW26:CMX26"/>
    <mergeCell ref="CMT27:CMX27"/>
    <mergeCell ref="CMT28:CMX29"/>
    <mergeCell ref="CMT13:CMU13"/>
    <mergeCell ref="CMV13:CMX13"/>
    <mergeCell ref="CMT14:CMU14"/>
    <mergeCell ref="CMV14:CMX14"/>
    <mergeCell ref="CMT15:CMV15"/>
    <mergeCell ref="CMW15:CMX15"/>
    <mergeCell ref="CMT16:CMU16"/>
    <mergeCell ref="CMV16:CMX16"/>
    <mergeCell ref="CMT17:CMU17"/>
    <mergeCell ref="CMV17:CMX17"/>
    <mergeCell ref="CMT18:CMU18"/>
    <mergeCell ref="CMV18:CMX18"/>
    <mergeCell ref="CMT19:CMU19"/>
    <mergeCell ref="CMV19:CMX19"/>
    <mergeCell ref="CMT20:CMU20"/>
    <mergeCell ref="CMV20:CMX20"/>
    <mergeCell ref="CMW21:CMX21"/>
    <mergeCell ref="CMJ1:CMJ2"/>
    <mergeCell ref="CMK1:CML2"/>
    <mergeCell ref="CMM1:CMM2"/>
    <mergeCell ref="CMM3:CMN3"/>
    <mergeCell ref="CMM4:CMN4"/>
    <mergeCell ref="CMM5:CMN5"/>
    <mergeCell ref="CMM6:CMN6"/>
    <mergeCell ref="CMM7:CMN7"/>
    <mergeCell ref="CMM8:CMN8"/>
    <mergeCell ref="CMJ9:CML9"/>
    <mergeCell ref="CMM9:CMN9"/>
    <mergeCell ref="CMJ10:CMK10"/>
    <mergeCell ref="CML10:CMN10"/>
    <mergeCell ref="CMJ11:CMK11"/>
    <mergeCell ref="CML11:CMN11"/>
    <mergeCell ref="CMJ12:CMK12"/>
    <mergeCell ref="CML12:CMN12"/>
    <mergeCell ref="CMM22:CMN22"/>
    <mergeCell ref="CMM23:CMN23"/>
    <mergeCell ref="CMM24:CMN24"/>
    <mergeCell ref="CMM25:CMN25"/>
    <mergeCell ref="CMM26:CMN26"/>
    <mergeCell ref="CMJ27:CMN27"/>
    <mergeCell ref="CMJ28:CMN29"/>
    <mergeCell ref="CMJ13:CMK13"/>
    <mergeCell ref="CML13:CMN13"/>
    <mergeCell ref="CMJ14:CMK14"/>
    <mergeCell ref="CML14:CMN14"/>
    <mergeCell ref="CMJ15:CML15"/>
    <mergeCell ref="CMM15:CMN15"/>
    <mergeCell ref="CMJ16:CMK16"/>
    <mergeCell ref="CML16:CMN16"/>
    <mergeCell ref="CMJ17:CMK17"/>
    <mergeCell ref="CML17:CMN17"/>
    <mergeCell ref="CMJ18:CMK18"/>
    <mergeCell ref="CML18:CMN18"/>
    <mergeCell ref="CMJ19:CMK19"/>
    <mergeCell ref="CML19:CMN19"/>
    <mergeCell ref="CMJ20:CMK20"/>
    <mergeCell ref="CML20:CMN20"/>
    <mergeCell ref="CMM21:CMN21"/>
    <mergeCell ref="CME1:CME2"/>
    <mergeCell ref="CMF1:CMG2"/>
    <mergeCell ref="CMH1:CMH2"/>
    <mergeCell ref="CMH3:CMI3"/>
    <mergeCell ref="CMH4:CMI4"/>
    <mergeCell ref="CMH5:CMI5"/>
    <mergeCell ref="CMH6:CMI6"/>
    <mergeCell ref="CMH7:CMI7"/>
    <mergeCell ref="CMH8:CMI8"/>
    <mergeCell ref="CME9:CMG9"/>
    <mergeCell ref="CMH9:CMI9"/>
    <mergeCell ref="CME10:CMF10"/>
    <mergeCell ref="CMG10:CMI10"/>
    <mergeCell ref="CME11:CMF11"/>
    <mergeCell ref="CMG11:CMI11"/>
    <mergeCell ref="CME12:CMF12"/>
    <mergeCell ref="CMG12:CMI12"/>
    <mergeCell ref="CMH22:CMI22"/>
    <mergeCell ref="CMH23:CMI23"/>
    <mergeCell ref="CMH24:CMI24"/>
    <mergeCell ref="CMH25:CMI25"/>
    <mergeCell ref="CMH26:CMI26"/>
    <mergeCell ref="CME27:CMI27"/>
    <mergeCell ref="CME28:CMI29"/>
    <mergeCell ref="CME13:CMF13"/>
    <mergeCell ref="CMG13:CMI13"/>
    <mergeCell ref="CME14:CMF14"/>
    <mergeCell ref="CMG14:CMI14"/>
    <mergeCell ref="CME15:CMG15"/>
    <mergeCell ref="CMH15:CMI15"/>
    <mergeCell ref="CME16:CMF16"/>
    <mergeCell ref="CMG16:CMI16"/>
    <mergeCell ref="CME17:CMF17"/>
    <mergeCell ref="CMG17:CMI17"/>
    <mergeCell ref="CME18:CMF18"/>
    <mergeCell ref="CMG18:CMI18"/>
    <mergeCell ref="CME19:CMF19"/>
    <mergeCell ref="CMG19:CMI19"/>
    <mergeCell ref="CME20:CMF20"/>
    <mergeCell ref="CMG20:CMI20"/>
    <mergeCell ref="CMH21:CMI21"/>
    <mergeCell ref="CLS5:CLT5"/>
    <mergeCell ref="CLS6:CLT6"/>
    <mergeCell ref="CLS7:CLT7"/>
    <mergeCell ref="CLS8:CLT8"/>
    <mergeCell ref="CLP9:CLR9"/>
    <mergeCell ref="CLS9:CLT9"/>
    <mergeCell ref="CLP10:CLQ10"/>
    <mergeCell ref="CLR10:CLT10"/>
    <mergeCell ref="CLP11:CLQ11"/>
    <mergeCell ref="CLR11:CLT11"/>
    <mergeCell ref="CLP12:CLQ12"/>
    <mergeCell ref="CLR12:CLT12"/>
    <mergeCell ref="CLS22:CLT22"/>
    <mergeCell ref="CLS23:CLT23"/>
    <mergeCell ref="CLS24:CLT24"/>
    <mergeCell ref="CLS25:CLT25"/>
    <mergeCell ref="CLS26:CLT26"/>
    <mergeCell ref="CLP27:CLT27"/>
    <mergeCell ref="CLP28:CLT29"/>
    <mergeCell ref="CLP13:CLQ13"/>
    <mergeCell ref="CLR13:CLT13"/>
    <mergeCell ref="CLP14:CLQ14"/>
    <mergeCell ref="CLR14:CLT14"/>
    <mergeCell ref="CLP15:CLR15"/>
    <mergeCell ref="CLS15:CLT15"/>
    <mergeCell ref="CLP16:CLQ16"/>
    <mergeCell ref="CLR16:CLT16"/>
    <mergeCell ref="CLP17:CLQ17"/>
    <mergeCell ref="CLR17:CLT17"/>
    <mergeCell ref="CLP18:CLQ18"/>
    <mergeCell ref="CLR18:CLT18"/>
    <mergeCell ref="CLP19:CLQ19"/>
    <mergeCell ref="CLR19:CLT19"/>
    <mergeCell ref="CLP20:CLQ20"/>
    <mergeCell ref="CLR20:CLT20"/>
    <mergeCell ref="CLS21:CLT21"/>
    <mergeCell ref="CLA1:CLA2"/>
    <mergeCell ref="CLB1:CLC2"/>
    <mergeCell ref="CLD1:CLD2"/>
    <mergeCell ref="CLD3:CLE3"/>
    <mergeCell ref="CLD4:CLE4"/>
    <mergeCell ref="CLD5:CLE5"/>
    <mergeCell ref="CLD6:CLE6"/>
    <mergeCell ref="CLD7:CLE7"/>
    <mergeCell ref="CLD8:CLE8"/>
    <mergeCell ref="CLA9:CLC9"/>
    <mergeCell ref="CLD9:CLE9"/>
    <mergeCell ref="CLA10:CLB10"/>
    <mergeCell ref="CLC10:CLE10"/>
    <mergeCell ref="CLA11:CLB11"/>
    <mergeCell ref="CLC11:CLE11"/>
    <mergeCell ref="CLA12:CLB12"/>
    <mergeCell ref="CLC12:CLE12"/>
    <mergeCell ref="CLD22:CLE22"/>
    <mergeCell ref="CLD23:CLE23"/>
    <mergeCell ref="CLD24:CLE24"/>
    <mergeCell ref="CLD25:CLE25"/>
    <mergeCell ref="CLD26:CLE26"/>
    <mergeCell ref="CLA27:CLE27"/>
    <mergeCell ref="CLA28:CLE29"/>
    <mergeCell ref="CLA13:CLB13"/>
    <mergeCell ref="CLC13:CLE13"/>
    <mergeCell ref="CLA14:CLB14"/>
    <mergeCell ref="CLC14:CLE14"/>
    <mergeCell ref="CLA15:CLC15"/>
    <mergeCell ref="CLD15:CLE15"/>
    <mergeCell ref="CLA16:CLB16"/>
    <mergeCell ref="CLC16:CLE16"/>
    <mergeCell ref="CLA17:CLB17"/>
    <mergeCell ref="CLC17:CLE17"/>
    <mergeCell ref="CLA18:CLB18"/>
    <mergeCell ref="CLC18:CLE18"/>
    <mergeCell ref="CLA19:CLB19"/>
    <mergeCell ref="CLC19:CLE19"/>
    <mergeCell ref="CLA20:CLB20"/>
    <mergeCell ref="CLC20:CLE20"/>
    <mergeCell ref="CLD21:CLE21"/>
    <mergeCell ref="CKT5:CKU5"/>
    <mergeCell ref="CKT6:CKU6"/>
    <mergeCell ref="CKT7:CKU7"/>
    <mergeCell ref="CKT8:CKU8"/>
    <mergeCell ref="CKQ9:CKS9"/>
    <mergeCell ref="CKT9:CKU9"/>
    <mergeCell ref="CKQ10:CKR10"/>
    <mergeCell ref="CKS10:CKU10"/>
    <mergeCell ref="CKQ11:CKR11"/>
    <mergeCell ref="CKS11:CKU11"/>
    <mergeCell ref="CKQ12:CKR12"/>
    <mergeCell ref="CKS12:CKU12"/>
    <mergeCell ref="CKT22:CKU22"/>
    <mergeCell ref="CKT23:CKU23"/>
    <mergeCell ref="CKT24:CKU24"/>
    <mergeCell ref="CKT25:CKU25"/>
    <mergeCell ref="CKT26:CKU26"/>
    <mergeCell ref="CKQ27:CKU27"/>
    <mergeCell ref="CKQ28:CKU29"/>
    <mergeCell ref="CKQ13:CKR13"/>
    <mergeCell ref="CKS13:CKU13"/>
    <mergeCell ref="CKQ14:CKR14"/>
    <mergeCell ref="CKS14:CKU14"/>
    <mergeCell ref="CKQ15:CKS15"/>
    <mergeCell ref="CKT15:CKU15"/>
    <mergeCell ref="CKQ16:CKR16"/>
    <mergeCell ref="CKS16:CKU16"/>
    <mergeCell ref="CKQ17:CKR17"/>
    <mergeCell ref="CKS17:CKU17"/>
    <mergeCell ref="CKQ18:CKR18"/>
    <mergeCell ref="CKS18:CKU18"/>
    <mergeCell ref="CKQ19:CKR19"/>
    <mergeCell ref="CKS19:CKU19"/>
    <mergeCell ref="CKQ20:CKR20"/>
    <mergeCell ref="CKS20:CKU20"/>
    <mergeCell ref="CKT21:CKU21"/>
    <mergeCell ref="CKB1:CKB2"/>
    <mergeCell ref="CKC1:CKD2"/>
    <mergeCell ref="CKE1:CKE2"/>
    <mergeCell ref="CKE3:CKF3"/>
    <mergeCell ref="CKE4:CKF4"/>
    <mergeCell ref="CKE5:CKF5"/>
    <mergeCell ref="CKE6:CKF6"/>
    <mergeCell ref="CKE7:CKF7"/>
    <mergeCell ref="CKE8:CKF8"/>
    <mergeCell ref="CKB9:CKD9"/>
    <mergeCell ref="CKE9:CKF9"/>
    <mergeCell ref="CKB10:CKC10"/>
    <mergeCell ref="CKD10:CKF10"/>
    <mergeCell ref="CKB11:CKC11"/>
    <mergeCell ref="CKD11:CKF11"/>
    <mergeCell ref="CKB12:CKC12"/>
    <mergeCell ref="CKD12:CKF12"/>
    <mergeCell ref="CKE22:CKF22"/>
    <mergeCell ref="CKE23:CKF23"/>
    <mergeCell ref="CKE24:CKF24"/>
    <mergeCell ref="CKE25:CKF25"/>
    <mergeCell ref="CKE26:CKF26"/>
    <mergeCell ref="CKB27:CKF27"/>
    <mergeCell ref="CKB28:CKF29"/>
    <mergeCell ref="CKB13:CKC13"/>
    <mergeCell ref="CKD13:CKF13"/>
    <mergeCell ref="CKB14:CKC14"/>
    <mergeCell ref="CKD14:CKF14"/>
    <mergeCell ref="CKB15:CKD15"/>
    <mergeCell ref="CKE15:CKF15"/>
    <mergeCell ref="CKB16:CKC16"/>
    <mergeCell ref="CKD16:CKF16"/>
    <mergeCell ref="CKB17:CKC17"/>
    <mergeCell ref="CKD17:CKF17"/>
    <mergeCell ref="CKB18:CKC18"/>
    <mergeCell ref="CKD18:CKF18"/>
    <mergeCell ref="CKB19:CKC19"/>
    <mergeCell ref="CKD19:CKF19"/>
    <mergeCell ref="CKB20:CKC20"/>
    <mergeCell ref="CKD20:CKF20"/>
    <mergeCell ref="CKE21:CKF21"/>
    <mergeCell ref="CJM1:CJM2"/>
    <mergeCell ref="CJN1:CJO2"/>
    <mergeCell ref="CJP1:CJP2"/>
    <mergeCell ref="CJP3:CJQ3"/>
    <mergeCell ref="CJP4:CJQ4"/>
    <mergeCell ref="CJP5:CJQ5"/>
    <mergeCell ref="CJP6:CJQ6"/>
    <mergeCell ref="CJP7:CJQ7"/>
    <mergeCell ref="CJP8:CJQ8"/>
    <mergeCell ref="CJM9:CJO9"/>
    <mergeCell ref="CJP9:CJQ9"/>
    <mergeCell ref="CJM10:CJN10"/>
    <mergeCell ref="CJO10:CJQ10"/>
    <mergeCell ref="CJM11:CJN11"/>
    <mergeCell ref="CJO11:CJQ11"/>
    <mergeCell ref="CJM12:CJN12"/>
    <mergeCell ref="CJO12:CJQ12"/>
    <mergeCell ref="CJP22:CJQ22"/>
    <mergeCell ref="CJP23:CJQ23"/>
    <mergeCell ref="CJP24:CJQ24"/>
    <mergeCell ref="CJP25:CJQ25"/>
    <mergeCell ref="CJP26:CJQ26"/>
    <mergeCell ref="CJM27:CJQ27"/>
    <mergeCell ref="CJM28:CJQ29"/>
    <mergeCell ref="CJM13:CJN13"/>
    <mergeCell ref="CJO13:CJQ13"/>
    <mergeCell ref="CJM14:CJN14"/>
    <mergeCell ref="CJO14:CJQ14"/>
    <mergeCell ref="CJM15:CJO15"/>
    <mergeCell ref="CJP15:CJQ15"/>
    <mergeCell ref="CJM16:CJN16"/>
    <mergeCell ref="CJO16:CJQ16"/>
    <mergeCell ref="CJM17:CJN17"/>
    <mergeCell ref="CJO17:CJQ17"/>
    <mergeCell ref="CJM18:CJN18"/>
    <mergeCell ref="CJO18:CJQ18"/>
    <mergeCell ref="CJM19:CJN19"/>
    <mergeCell ref="CJO19:CJQ19"/>
    <mergeCell ref="CJM20:CJN20"/>
    <mergeCell ref="CJO20:CJQ20"/>
    <mergeCell ref="CJP21:CJQ21"/>
    <mergeCell ref="CJC1:CJC2"/>
    <mergeCell ref="CJD1:CJE2"/>
    <mergeCell ref="CJF1:CJF2"/>
    <mergeCell ref="CJF3:CJG3"/>
    <mergeCell ref="CJF4:CJG4"/>
    <mergeCell ref="CJF5:CJG5"/>
    <mergeCell ref="CJF6:CJG6"/>
    <mergeCell ref="CJF7:CJG7"/>
    <mergeCell ref="CJF8:CJG8"/>
    <mergeCell ref="CJC9:CJE9"/>
    <mergeCell ref="CJF9:CJG9"/>
    <mergeCell ref="CJC10:CJD10"/>
    <mergeCell ref="CJE10:CJG10"/>
    <mergeCell ref="CJC11:CJD11"/>
    <mergeCell ref="CJE11:CJG11"/>
    <mergeCell ref="CJC12:CJD12"/>
    <mergeCell ref="CJE12:CJG12"/>
    <mergeCell ref="CJF22:CJG22"/>
    <mergeCell ref="CJF23:CJG23"/>
    <mergeCell ref="CJF24:CJG24"/>
    <mergeCell ref="CJF25:CJG25"/>
    <mergeCell ref="CJF26:CJG26"/>
    <mergeCell ref="CJC27:CJG27"/>
    <mergeCell ref="CJC28:CJG29"/>
    <mergeCell ref="CJC13:CJD13"/>
    <mergeCell ref="CJE13:CJG13"/>
    <mergeCell ref="CJC14:CJD14"/>
    <mergeCell ref="CJE14:CJG14"/>
    <mergeCell ref="CJC15:CJE15"/>
    <mergeCell ref="CJF15:CJG15"/>
    <mergeCell ref="CJC16:CJD16"/>
    <mergeCell ref="CJE16:CJG16"/>
    <mergeCell ref="CJC17:CJD17"/>
    <mergeCell ref="CJE17:CJG17"/>
    <mergeCell ref="CJC18:CJD18"/>
    <mergeCell ref="CJE18:CJG18"/>
    <mergeCell ref="CJC19:CJD19"/>
    <mergeCell ref="CJE19:CJG19"/>
    <mergeCell ref="CJC20:CJD20"/>
    <mergeCell ref="CJE20:CJG20"/>
    <mergeCell ref="CJF21:CJG21"/>
    <mergeCell ref="CIS1:CIS2"/>
    <mergeCell ref="CIT1:CIU2"/>
    <mergeCell ref="CIV1:CIV2"/>
    <mergeCell ref="CIV3:CIW3"/>
    <mergeCell ref="CIV4:CIW4"/>
    <mergeCell ref="CIV5:CIW5"/>
    <mergeCell ref="CIV6:CIW6"/>
    <mergeCell ref="CIV7:CIW7"/>
    <mergeCell ref="CIV8:CIW8"/>
    <mergeCell ref="CIS9:CIU9"/>
    <mergeCell ref="CIV9:CIW9"/>
    <mergeCell ref="CIS10:CIT10"/>
    <mergeCell ref="CIU10:CIW10"/>
    <mergeCell ref="CIS11:CIT11"/>
    <mergeCell ref="CIU11:CIW11"/>
    <mergeCell ref="CIS12:CIT12"/>
    <mergeCell ref="CIU12:CIW12"/>
    <mergeCell ref="CIV22:CIW22"/>
    <mergeCell ref="CIV23:CIW23"/>
    <mergeCell ref="CIV24:CIW24"/>
    <mergeCell ref="CIV25:CIW25"/>
    <mergeCell ref="CIV26:CIW26"/>
    <mergeCell ref="CIS27:CIW27"/>
    <mergeCell ref="CIS28:CIW29"/>
    <mergeCell ref="CIS13:CIT13"/>
    <mergeCell ref="CIU13:CIW13"/>
    <mergeCell ref="CIS14:CIT14"/>
    <mergeCell ref="CIU14:CIW14"/>
    <mergeCell ref="CIS15:CIU15"/>
    <mergeCell ref="CIV15:CIW15"/>
    <mergeCell ref="CIS16:CIT16"/>
    <mergeCell ref="CIU16:CIW16"/>
    <mergeCell ref="CIS17:CIT17"/>
    <mergeCell ref="CIU17:CIW17"/>
    <mergeCell ref="CIS18:CIT18"/>
    <mergeCell ref="CIU18:CIW18"/>
    <mergeCell ref="CIS19:CIT19"/>
    <mergeCell ref="CIU19:CIW19"/>
    <mergeCell ref="CIS20:CIT20"/>
    <mergeCell ref="CIU20:CIW20"/>
    <mergeCell ref="CIV21:CIW21"/>
    <mergeCell ref="CID1:CID2"/>
    <mergeCell ref="CIE1:CIF2"/>
    <mergeCell ref="CIG1:CIG2"/>
    <mergeCell ref="CIG3:CIH3"/>
    <mergeCell ref="CIG4:CIH4"/>
    <mergeCell ref="CIG5:CIH5"/>
    <mergeCell ref="CIG6:CIH6"/>
    <mergeCell ref="CIG7:CIH7"/>
    <mergeCell ref="CIG8:CIH8"/>
    <mergeCell ref="CID9:CIF9"/>
    <mergeCell ref="CIG9:CIH9"/>
    <mergeCell ref="CID10:CIE10"/>
    <mergeCell ref="CIF10:CIH10"/>
    <mergeCell ref="CID11:CIE11"/>
    <mergeCell ref="CIF11:CIH11"/>
    <mergeCell ref="CID12:CIE12"/>
    <mergeCell ref="CIF12:CIH12"/>
    <mergeCell ref="CIG22:CIH22"/>
    <mergeCell ref="CIG23:CIH23"/>
    <mergeCell ref="CIG24:CIH24"/>
    <mergeCell ref="CIG25:CIH25"/>
    <mergeCell ref="CIG26:CIH26"/>
    <mergeCell ref="CID27:CIH27"/>
    <mergeCell ref="CID28:CIH29"/>
    <mergeCell ref="CID13:CIE13"/>
    <mergeCell ref="CIF13:CIH13"/>
    <mergeCell ref="CID14:CIE14"/>
    <mergeCell ref="CIF14:CIH14"/>
    <mergeCell ref="CID15:CIF15"/>
    <mergeCell ref="CIG15:CIH15"/>
    <mergeCell ref="CID16:CIE16"/>
    <mergeCell ref="CIF16:CIH16"/>
    <mergeCell ref="CID17:CIE17"/>
    <mergeCell ref="CIF17:CIH17"/>
    <mergeCell ref="CID18:CIE18"/>
    <mergeCell ref="CIF18:CIH18"/>
    <mergeCell ref="CID19:CIE19"/>
    <mergeCell ref="CIF19:CIH19"/>
    <mergeCell ref="CID20:CIE20"/>
    <mergeCell ref="CIF20:CIH20"/>
    <mergeCell ref="CIG21:CIH21"/>
    <mergeCell ref="CHT1:CHT2"/>
    <mergeCell ref="CHU1:CHV2"/>
    <mergeCell ref="CHW1:CHW2"/>
    <mergeCell ref="CHW3:CHX3"/>
    <mergeCell ref="CHW4:CHX4"/>
    <mergeCell ref="CHW5:CHX5"/>
    <mergeCell ref="CHW6:CHX6"/>
    <mergeCell ref="CHW7:CHX7"/>
    <mergeCell ref="CHW8:CHX8"/>
    <mergeCell ref="CHT9:CHV9"/>
    <mergeCell ref="CHW9:CHX9"/>
    <mergeCell ref="CHT10:CHU10"/>
    <mergeCell ref="CHV10:CHX10"/>
    <mergeCell ref="CHT11:CHU11"/>
    <mergeCell ref="CHV11:CHX11"/>
    <mergeCell ref="CHT12:CHU12"/>
    <mergeCell ref="CHV12:CHX12"/>
    <mergeCell ref="CHW22:CHX22"/>
    <mergeCell ref="CHW23:CHX23"/>
    <mergeCell ref="CHW24:CHX24"/>
    <mergeCell ref="CHW25:CHX25"/>
    <mergeCell ref="CHW26:CHX26"/>
    <mergeCell ref="CHT27:CHX27"/>
    <mergeCell ref="CHT28:CHX29"/>
    <mergeCell ref="CHT13:CHU13"/>
    <mergeCell ref="CHV13:CHX13"/>
    <mergeCell ref="CHT14:CHU14"/>
    <mergeCell ref="CHV14:CHX14"/>
    <mergeCell ref="CHT15:CHV15"/>
    <mergeCell ref="CHW15:CHX15"/>
    <mergeCell ref="CHT16:CHU16"/>
    <mergeCell ref="CHV16:CHX16"/>
    <mergeCell ref="CHT17:CHU17"/>
    <mergeCell ref="CHV17:CHX17"/>
    <mergeCell ref="CHT18:CHU18"/>
    <mergeCell ref="CHV18:CHX18"/>
    <mergeCell ref="CHT19:CHU19"/>
    <mergeCell ref="CHV19:CHX19"/>
    <mergeCell ref="CHT20:CHU20"/>
    <mergeCell ref="CHV20:CHX20"/>
    <mergeCell ref="CHW21:CHX21"/>
    <mergeCell ref="CHJ1:CHJ2"/>
    <mergeCell ref="CHK1:CHL2"/>
    <mergeCell ref="CHM1:CHM2"/>
    <mergeCell ref="CHM3:CHN3"/>
    <mergeCell ref="CHM4:CHN4"/>
    <mergeCell ref="CHM5:CHN5"/>
    <mergeCell ref="CHM6:CHN6"/>
    <mergeCell ref="CHM7:CHN7"/>
    <mergeCell ref="CHM8:CHN8"/>
    <mergeCell ref="CHJ9:CHL9"/>
    <mergeCell ref="CHM9:CHN9"/>
    <mergeCell ref="CHJ10:CHK10"/>
    <mergeCell ref="CHL10:CHN10"/>
    <mergeCell ref="CHJ11:CHK11"/>
    <mergeCell ref="CHL11:CHN11"/>
    <mergeCell ref="CHJ12:CHK12"/>
    <mergeCell ref="CHL12:CHN12"/>
    <mergeCell ref="CHM22:CHN22"/>
    <mergeCell ref="CHM23:CHN23"/>
    <mergeCell ref="CHM24:CHN24"/>
    <mergeCell ref="CHM25:CHN25"/>
    <mergeCell ref="CHM26:CHN26"/>
    <mergeCell ref="CHJ27:CHN27"/>
    <mergeCell ref="CHJ28:CHN29"/>
    <mergeCell ref="CHJ13:CHK13"/>
    <mergeCell ref="CHL13:CHN13"/>
    <mergeCell ref="CHJ14:CHK14"/>
    <mergeCell ref="CHL14:CHN14"/>
    <mergeCell ref="CHJ15:CHL15"/>
    <mergeCell ref="CHM15:CHN15"/>
    <mergeCell ref="CHJ16:CHK16"/>
    <mergeCell ref="CHL16:CHN16"/>
    <mergeCell ref="CHJ17:CHK17"/>
    <mergeCell ref="CHL17:CHN17"/>
    <mergeCell ref="CHJ18:CHK18"/>
    <mergeCell ref="CHL18:CHN18"/>
    <mergeCell ref="CHJ19:CHK19"/>
    <mergeCell ref="CHL19:CHN19"/>
    <mergeCell ref="CHJ20:CHK20"/>
    <mergeCell ref="CHL20:CHN20"/>
    <mergeCell ref="CHM21:CHN21"/>
    <mergeCell ref="CGZ1:CGZ2"/>
    <mergeCell ref="CHA1:CHB2"/>
    <mergeCell ref="CHC1:CHC2"/>
    <mergeCell ref="CHC3:CHD3"/>
    <mergeCell ref="CHC4:CHD4"/>
    <mergeCell ref="CHC5:CHD5"/>
    <mergeCell ref="CHC6:CHD6"/>
    <mergeCell ref="CHC7:CHD7"/>
    <mergeCell ref="CHC8:CHD8"/>
    <mergeCell ref="CGZ9:CHB9"/>
    <mergeCell ref="CHC9:CHD9"/>
    <mergeCell ref="CGZ10:CHA10"/>
    <mergeCell ref="CHB10:CHD10"/>
    <mergeCell ref="CGZ11:CHA11"/>
    <mergeCell ref="CHB11:CHD11"/>
    <mergeCell ref="CGZ12:CHA12"/>
    <mergeCell ref="CHB12:CHD12"/>
    <mergeCell ref="CHC22:CHD22"/>
    <mergeCell ref="CHC23:CHD23"/>
    <mergeCell ref="CHC24:CHD24"/>
    <mergeCell ref="CHC25:CHD25"/>
    <mergeCell ref="CHC26:CHD26"/>
    <mergeCell ref="CGZ27:CHD27"/>
    <mergeCell ref="CGZ28:CHD29"/>
    <mergeCell ref="CGZ13:CHA13"/>
    <mergeCell ref="CHB13:CHD13"/>
    <mergeCell ref="CGZ14:CHA14"/>
    <mergeCell ref="CHB14:CHD14"/>
    <mergeCell ref="CGZ15:CHB15"/>
    <mergeCell ref="CHC15:CHD15"/>
    <mergeCell ref="CGZ16:CHA16"/>
    <mergeCell ref="CHB16:CHD16"/>
    <mergeCell ref="CGZ17:CHA17"/>
    <mergeCell ref="CHB17:CHD17"/>
    <mergeCell ref="CGZ18:CHA18"/>
    <mergeCell ref="CHB18:CHD18"/>
    <mergeCell ref="CGZ19:CHA19"/>
    <mergeCell ref="CHB19:CHD19"/>
    <mergeCell ref="CGZ20:CHA20"/>
    <mergeCell ref="CHB20:CHD20"/>
    <mergeCell ref="CHC21:CHD21"/>
    <mergeCell ref="CGU1:CGU2"/>
    <mergeCell ref="CGV1:CGW2"/>
    <mergeCell ref="CGX1:CGX2"/>
    <mergeCell ref="CGX3:CGY3"/>
    <mergeCell ref="CGX4:CGY4"/>
    <mergeCell ref="CGX5:CGY5"/>
    <mergeCell ref="CGX6:CGY6"/>
    <mergeCell ref="CGX7:CGY7"/>
    <mergeCell ref="CGX8:CGY8"/>
    <mergeCell ref="CGU9:CGW9"/>
    <mergeCell ref="CGX9:CGY9"/>
    <mergeCell ref="CGU10:CGV10"/>
    <mergeCell ref="CGW10:CGY10"/>
    <mergeCell ref="CGU11:CGV11"/>
    <mergeCell ref="CGW11:CGY11"/>
    <mergeCell ref="CGU12:CGV12"/>
    <mergeCell ref="CGW12:CGY12"/>
    <mergeCell ref="CGX22:CGY22"/>
    <mergeCell ref="CGX23:CGY23"/>
    <mergeCell ref="CGX24:CGY24"/>
    <mergeCell ref="CGX25:CGY25"/>
    <mergeCell ref="CGX26:CGY26"/>
    <mergeCell ref="CGU27:CGY27"/>
    <mergeCell ref="CGU28:CGY29"/>
    <mergeCell ref="CGU13:CGV13"/>
    <mergeCell ref="CGW13:CGY13"/>
    <mergeCell ref="CGU14:CGV14"/>
    <mergeCell ref="CGW14:CGY14"/>
    <mergeCell ref="CGU15:CGW15"/>
    <mergeCell ref="CGX15:CGY15"/>
    <mergeCell ref="CGU16:CGV16"/>
    <mergeCell ref="CGW16:CGY16"/>
    <mergeCell ref="CGU17:CGV17"/>
    <mergeCell ref="CGW17:CGY17"/>
    <mergeCell ref="CGU18:CGV18"/>
    <mergeCell ref="CGW18:CGY18"/>
    <mergeCell ref="CGU19:CGV19"/>
    <mergeCell ref="CGW19:CGY19"/>
    <mergeCell ref="CGU20:CGV20"/>
    <mergeCell ref="CGW20:CGY20"/>
    <mergeCell ref="CGX21:CGY21"/>
    <mergeCell ref="CGK1:CGK2"/>
    <mergeCell ref="CGL1:CGM2"/>
    <mergeCell ref="CGN1:CGN2"/>
    <mergeCell ref="CGN3:CGO3"/>
    <mergeCell ref="CGN4:CGO4"/>
    <mergeCell ref="CGN5:CGO5"/>
    <mergeCell ref="CGN6:CGO6"/>
    <mergeCell ref="CGN7:CGO7"/>
    <mergeCell ref="CGN8:CGO8"/>
    <mergeCell ref="CGK9:CGM9"/>
    <mergeCell ref="CGN9:CGO9"/>
    <mergeCell ref="CGK10:CGL10"/>
    <mergeCell ref="CGM10:CGO10"/>
    <mergeCell ref="CGK11:CGL11"/>
    <mergeCell ref="CGM11:CGO11"/>
    <mergeCell ref="CGK12:CGL12"/>
    <mergeCell ref="CGM12:CGO12"/>
    <mergeCell ref="CGN22:CGO22"/>
    <mergeCell ref="CGN23:CGO23"/>
    <mergeCell ref="CGN24:CGO24"/>
    <mergeCell ref="CGN25:CGO25"/>
    <mergeCell ref="CGN26:CGO26"/>
    <mergeCell ref="CGK27:CGO27"/>
    <mergeCell ref="CGK28:CGO29"/>
    <mergeCell ref="CGK13:CGL13"/>
    <mergeCell ref="CGM13:CGO13"/>
    <mergeCell ref="CGK14:CGL14"/>
    <mergeCell ref="CGM14:CGO14"/>
    <mergeCell ref="CGK15:CGM15"/>
    <mergeCell ref="CGN15:CGO15"/>
    <mergeCell ref="CGK16:CGL16"/>
    <mergeCell ref="CGM16:CGO16"/>
    <mergeCell ref="CGK17:CGL17"/>
    <mergeCell ref="CGM17:CGO17"/>
    <mergeCell ref="CGK18:CGL18"/>
    <mergeCell ref="CGM18:CGO18"/>
    <mergeCell ref="CGK19:CGL19"/>
    <mergeCell ref="CGM19:CGO19"/>
    <mergeCell ref="CGK20:CGL20"/>
    <mergeCell ref="CGM20:CGO20"/>
    <mergeCell ref="CGN21:CGO21"/>
    <mergeCell ref="CGA1:CGA2"/>
    <mergeCell ref="CGB1:CGC2"/>
    <mergeCell ref="CGD1:CGD2"/>
    <mergeCell ref="CGD3:CGE3"/>
    <mergeCell ref="CGD4:CGE4"/>
    <mergeCell ref="CGD5:CGE5"/>
    <mergeCell ref="CGD6:CGE6"/>
    <mergeCell ref="CGD7:CGE7"/>
    <mergeCell ref="CGD8:CGE8"/>
    <mergeCell ref="CGA9:CGC9"/>
    <mergeCell ref="CGD9:CGE9"/>
    <mergeCell ref="CGA10:CGB10"/>
    <mergeCell ref="CGC10:CGE10"/>
    <mergeCell ref="CGA11:CGB11"/>
    <mergeCell ref="CGC11:CGE11"/>
    <mergeCell ref="CGA12:CGB12"/>
    <mergeCell ref="CGC12:CGE12"/>
    <mergeCell ref="CGD22:CGE22"/>
    <mergeCell ref="CGD23:CGE23"/>
    <mergeCell ref="CGD24:CGE24"/>
    <mergeCell ref="CGD25:CGE25"/>
    <mergeCell ref="CGD26:CGE26"/>
    <mergeCell ref="CGA27:CGE27"/>
    <mergeCell ref="CGA28:CGE29"/>
    <mergeCell ref="CGA13:CGB13"/>
    <mergeCell ref="CGC13:CGE13"/>
    <mergeCell ref="CGA14:CGB14"/>
    <mergeCell ref="CGC14:CGE14"/>
    <mergeCell ref="CGA15:CGC15"/>
    <mergeCell ref="CGD15:CGE15"/>
    <mergeCell ref="CGA16:CGB16"/>
    <mergeCell ref="CGC16:CGE16"/>
    <mergeCell ref="CGA17:CGB17"/>
    <mergeCell ref="CGC17:CGE17"/>
    <mergeCell ref="CGA18:CGB18"/>
    <mergeCell ref="CGC18:CGE18"/>
    <mergeCell ref="CGA19:CGB19"/>
    <mergeCell ref="CGC19:CGE19"/>
    <mergeCell ref="CGA20:CGB20"/>
    <mergeCell ref="CGC20:CGE20"/>
    <mergeCell ref="CGD21:CGE21"/>
    <mergeCell ref="CFQ1:CFQ2"/>
    <mergeCell ref="CFR1:CFS2"/>
    <mergeCell ref="CFT1:CFT2"/>
    <mergeCell ref="CFT3:CFU3"/>
    <mergeCell ref="CFT4:CFU4"/>
    <mergeCell ref="CFT5:CFU5"/>
    <mergeCell ref="CFT6:CFU6"/>
    <mergeCell ref="CFT7:CFU7"/>
    <mergeCell ref="CFT8:CFU8"/>
    <mergeCell ref="CFQ9:CFS9"/>
    <mergeCell ref="CFT9:CFU9"/>
    <mergeCell ref="CFQ10:CFR10"/>
    <mergeCell ref="CFS10:CFU10"/>
    <mergeCell ref="CFQ11:CFR11"/>
    <mergeCell ref="CFS11:CFU11"/>
    <mergeCell ref="CFQ12:CFR12"/>
    <mergeCell ref="CFS12:CFU12"/>
    <mergeCell ref="CFT22:CFU22"/>
    <mergeCell ref="CFT23:CFU23"/>
    <mergeCell ref="CFT24:CFU24"/>
    <mergeCell ref="CFT25:CFU25"/>
    <mergeCell ref="CFT26:CFU26"/>
    <mergeCell ref="CFQ27:CFU27"/>
    <mergeCell ref="CFQ28:CFU29"/>
    <mergeCell ref="CFQ13:CFR13"/>
    <mergeCell ref="CFS13:CFU13"/>
    <mergeCell ref="CFQ14:CFR14"/>
    <mergeCell ref="CFS14:CFU14"/>
    <mergeCell ref="CFQ15:CFS15"/>
    <mergeCell ref="CFT15:CFU15"/>
    <mergeCell ref="CFQ16:CFR16"/>
    <mergeCell ref="CFS16:CFU16"/>
    <mergeCell ref="CFQ17:CFR17"/>
    <mergeCell ref="CFS17:CFU17"/>
    <mergeCell ref="CFQ18:CFR18"/>
    <mergeCell ref="CFS18:CFU18"/>
    <mergeCell ref="CFQ19:CFR19"/>
    <mergeCell ref="CFS19:CFU19"/>
    <mergeCell ref="CFQ20:CFR20"/>
    <mergeCell ref="CFS20:CFU20"/>
    <mergeCell ref="CFT21:CFU21"/>
    <mergeCell ref="CFL1:CFL2"/>
    <mergeCell ref="CFM1:CFN2"/>
    <mergeCell ref="CFO1:CFO2"/>
    <mergeCell ref="CFO3:CFP3"/>
    <mergeCell ref="CFO4:CFP4"/>
    <mergeCell ref="CFO5:CFP5"/>
    <mergeCell ref="CFO6:CFP6"/>
    <mergeCell ref="CFO7:CFP7"/>
    <mergeCell ref="CFO8:CFP8"/>
    <mergeCell ref="CFL9:CFN9"/>
    <mergeCell ref="CFO9:CFP9"/>
    <mergeCell ref="CFL10:CFM10"/>
    <mergeCell ref="CFN10:CFP10"/>
    <mergeCell ref="CFL11:CFM11"/>
    <mergeCell ref="CFN11:CFP11"/>
    <mergeCell ref="CFL12:CFM12"/>
    <mergeCell ref="CFN12:CFP12"/>
    <mergeCell ref="CFO22:CFP22"/>
    <mergeCell ref="CFO23:CFP23"/>
    <mergeCell ref="CFO24:CFP24"/>
    <mergeCell ref="CFO25:CFP25"/>
    <mergeCell ref="CFO26:CFP26"/>
    <mergeCell ref="CFL27:CFP27"/>
    <mergeCell ref="CFL28:CFP29"/>
    <mergeCell ref="CFL13:CFM13"/>
    <mergeCell ref="CFN13:CFP13"/>
    <mergeCell ref="CFL14:CFM14"/>
    <mergeCell ref="CFN14:CFP14"/>
    <mergeCell ref="CFL15:CFN15"/>
    <mergeCell ref="CFO15:CFP15"/>
    <mergeCell ref="CFL16:CFM16"/>
    <mergeCell ref="CFN16:CFP16"/>
    <mergeCell ref="CFL17:CFM17"/>
    <mergeCell ref="CFN17:CFP17"/>
    <mergeCell ref="CFL18:CFM18"/>
    <mergeCell ref="CFN18:CFP18"/>
    <mergeCell ref="CFL19:CFM19"/>
    <mergeCell ref="CFN19:CFP19"/>
    <mergeCell ref="CFL20:CFM20"/>
    <mergeCell ref="CFN20:CFP20"/>
    <mergeCell ref="CFO21:CFP21"/>
    <mergeCell ref="CFB1:CFB2"/>
    <mergeCell ref="CFC1:CFD2"/>
    <mergeCell ref="CFE1:CFE2"/>
    <mergeCell ref="CFE3:CFF3"/>
    <mergeCell ref="CFE4:CFF4"/>
    <mergeCell ref="CFE5:CFF5"/>
    <mergeCell ref="CFE6:CFF6"/>
    <mergeCell ref="CFE7:CFF7"/>
    <mergeCell ref="CFE8:CFF8"/>
    <mergeCell ref="CFB9:CFD9"/>
    <mergeCell ref="CFE9:CFF9"/>
    <mergeCell ref="CFB10:CFC10"/>
    <mergeCell ref="CFD10:CFF10"/>
    <mergeCell ref="CFB11:CFC11"/>
    <mergeCell ref="CFD11:CFF11"/>
    <mergeCell ref="CFB12:CFC12"/>
    <mergeCell ref="CFD12:CFF12"/>
    <mergeCell ref="CFE22:CFF22"/>
    <mergeCell ref="CFE23:CFF23"/>
    <mergeCell ref="CFE24:CFF24"/>
    <mergeCell ref="CFE25:CFF25"/>
    <mergeCell ref="CFE26:CFF26"/>
    <mergeCell ref="CFB27:CFF27"/>
    <mergeCell ref="CFB28:CFF29"/>
    <mergeCell ref="CFB13:CFC13"/>
    <mergeCell ref="CFD13:CFF13"/>
    <mergeCell ref="CFB14:CFC14"/>
    <mergeCell ref="CFD14:CFF14"/>
    <mergeCell ref="CFB15:CFD15"/>
    <mergeCell ref="CFE15:CFF15"/>
    <mergeCell ref="CFB16:CFC16"/>
    <mergeCell ref="CFD16:CFF16"/>
    <mergeCell ref="CFB17:CFC17"/>
    <mergeCell ref="CFD17:CFF17"/>
    <mergeCell ref="CFB18:CFC18"/>
    <mergeCell ref="CFD18:CFF18"/>
    <mergeCell ref="CFB19:CFC19"/>
    <mergeCell ref="CFD19:CFF19"/>
    <mergeCell ref="CFB20:CFC20"/>
    <mergeCell ref="CFD20:CFF20"/>
    <mergeCell ref="CFE21:CFF21"/>
    <mergeCell ref="CER1:CER2"/>
    <mergeCell ref="CES1:CET2"/>
    <mergeCell ref="CEU1:CEU2"/>
    <mergeCell ref="CEU3:CEV3"/>
    <mergeCell ref="CEU4:CEV4"/>
    <mergeCell ref="CEU5:CEV5"/>
    <mergeCell ref="CEU6:CEV6"/>
    <mergeCell ref="CEU7:CEV7"/>
    <mergeCell ref="CEU8:CEV8"/>
    <mergeCell ref="CER9:CET9"/>
    <mergeCell ref="CEU9:CEV9"/>
    <mergeCell ref="CER10:CES10"/>
    <mergeCell ref="CET10:CEV10"/>
    <mergeCell ref="CER11:CES11"/>
    <mergeCell ref="CET11:CEV11"/>
    <mergeCell ref="CER12:CES12"/>
    <mergeCell ref="CET12:CEV12"/>
    <mergeCell ref="CEU22:CEV22"/>
    <mergeCell ref="CEU23:CEV23"/>
    <mergeCell ref="CEU24:CEV24"/>
    <mergeCell ref="CEU25:CEV25"/>
    <mergeCell ref="CEU26:CEV26"/>
    <mergeCell ref="CER27:CEV27"/>
    <mergeCell ref="CER28:CEV29"/>
    <mergeCell ref="CER13:CES13"/>
    <mergeCell ref="CET13:CEV13"/>
    <mergeCell ref="CER14:CES14"/>
    <mergeCell ref="CET14:CEV14"/>
    <mergeCell ref="CER15:CET15"/>
    <mergeCell ref="CEU15:CEV15"/>
    <mergeCell ref="CER16:CES16"/>
    <mergeCell ref="CET16:CEV16"/>
    <mergeCell ref="CER17:CES17"/>
    <mergeCell ref="CET17:CEV17"/>
    <mergeCell ref="CER18:CES18"/>
    <mergeCell ref="CET18:CEV18"/>
    <mergeCell ref="CER19:CES19"/>
    <mergeCell ref="CET19:CEV19"/>
    <mergeCell ref="CER20:CES20"/>
    <mergeCell ref="CET20:CEV20"/>
    <mergeCell ref="CEU21:CEV21"/>
    <mergeCell ref="CEM1:CEM2"/>
    <mergeCell ref="CEN1:CEO2"/>
    <mergeCell ref="CEP1:CEP2"/>
    <mergeCell ref="CEP3:CEQ3"/>
    <mergeCell ref="CEP4:CEQ4"/>
    <mergeCell ref="CEP5:CEQ5"/>
    <mergeCell ref="CEP6:CEQ6"/>
    <mergeCell ref="CEP7:CEQ7"/>
    <mergeCell ref="CEP8:CEQ8"/>
    <mergeCell ref="CEM9:CEO9"/>
    <mergeCell ref="CEP9:CEQ9"/>
    <mergeCell ref="CEM10:CEN10"/>
    <mergeCell ref="CEO10:CEQ10"/>
    <mergeCell ref="CEM11:CEN11"/>
    <mergeCell ref="CEO11:CEQ11"/>
    <mergeCell ref="CEM12:CEN12"/>
    <mergeCell ref="CEO12:CEQ12"/>
    <mergeCell ref="CEP22:CEQ22"/>
    <mergeCell ref="CEP23:CEQ23"/>
    <mergeCell ref="CEP24:CEQ24"/>
    <mergeCell ref="CEP25:CEQ25"/>
    <mergeCell ref="CEP26:CEQ26"/>
    <mergeCell ref="CEM27:CEQ27"/>
    <mergeCell ref="CEM28:CEQ29"/>
    <mergeCell ref="CEM13:CEN13"/>
    <mergeCell ref="CEO13:CEQ13"/>
    <mergeCell ref="CEM14:CEN14"/>
    <mergeCell ref="CEO14:CEQ14"/>
    <mergeCell ref="CEM15:CEO15"/>
    <mergeCell ref="CEP15:CEQ15"/>
    <mergeCell ref="CEM16:CEN16"/>
    <mergeCell ref="CEO16:CEQ16"/>
    <mergeCell ref="CEM17:CEN17"/>
    <mergeCell ref="CEO17:CEQ17"/>
    <mergeCell ref="CEM18:CEN18"/>
    <mergeCell ref="CEO18:CEQ18"/>
    <mergeCell ref="CEM19:CEN19"/>
    <mergeCell ref="CEO19:CEQ19"/>
    <mergeCell ref="CEM20:CEN20"/>
    <mergeCell ref="CEO20:CEQ20"/>
    <mergeCell ref="CEP21:CEQ21"/>
    <mergeCell ref="CEC1:CEC2"/>
    <mergeCell ref="CED1:CEE2"/>
    <mergeCell ref="CEF1:CEF2"/>
    <mergeCell ref="CEF3:CEG3"/>
    <mergeCell ref="CEF4:CEG4"/>
    <mergeCell ref="CEF5:CEG5"/>
    <mergeCell ref="CEF6:CEG6"/>
    <mergeCell ref="CEF7:CEG7"/>
    <mergeCell ref="CEF8:CEG8"/>
    <mergeCell ref="CEC9:CEE9"/>
    <mergeCell ref="CEF9:CEG9"/>
    <mergeCell ref="CEC10:CED10"/>
    <mergeCell ref="CEE10:CEG10"/>
    <mergeCell ref="CEC11:CED11"/>
    <mergeCell ref="CEE11:CEG11"/>
    <mergeCell ref="CEC12:CED12"/>
    <mergeCell ref="CEE12:CEG12"/>
    <mergeCell ref="CEF22:CEG22"/>
    <mergeCell ref="CEF23:CEG23"/>
    <mergeCell ref="CEF24:CEG24"/>
    <mergeCell ref="CEF25:CEG25"/>
    <mergeCell ref="CEF26:CEG26"/>
    <mergeCell ref="CEC27:CEG27"/>
    <mergeCell ref="CEC28:CEG29"/>
    <mergeCell ref="CEC13:CED13"/>
    <mergeCell ref="CEE13:CEG13"/>
    <mergeCell ref="CEC14:CED14"/>
    <mergeCell ref="CEE14:CEG14"/>
    <mergeCell ref="CEC15:CEE15"/>
    <mergeCell ref="CEF15:CEG15"/>
    <mergeCell ref="CEC16:CED16"/>
    <mergeCell ref="CEE16:CEG16"/>
    <mergeCell ref="CEC17:CED17"/>
    <mergeCell ref="CEE17:CEG17"/>
    <mergeCell ref="CEC18:CED18"/>
    <mergeCell ref="CEE18:CEG18"/>
    <mergeCell ref="CEC19:CED19"/>
    <mergeCell ref="CEE19:CEG19"/>
    <mergeCell ref="CEC20:CED20"/>
    <mergeCell ref="CEE20:CEG20"/>
    <mergeCell ref="CEF21:CEG21"/>
    <mergeCell ref="CDS1:CDS2"/>
    <mergeCell ref="CDT1:CDU2"/>
    <mergeCell ref="CDV1:CDV2"/>
    <mergeCell ref="CDV3:CDW3"/>
    <mergeCell ref="CDV4:CDW4"/>
    <mergeCell ref="CDV5:CDW5"/>
    <mergeCell ref="CDV6:CDW6"/>
    <mergeCell ref="CDV7:CDW7"/>
    <mergeCell ref="CDV8:CDW8"/>
    <mergeCell ref="CDS9:CDU9"/>
    <mergeCell ref="CDV9:CDW9"/>
    <mergeCell ref="CDS10:CDT10"/>
    <mergeCell ref="CDU10:CDW10"/>
    <mergeCell ref="CDS11:CDT11"/>
    <mergeCell ref="CDU11:CDW11"/>
    <mergeCell ref="CDS12:CDT12"/>
    <mergeCell ref="CDU12:CDW12"/>
    <mergeCell ref="CDV22:CDW22"/>
    <mergeCell ref="CDV23:CDW23"/>
    <mergeCell ref="CDV24:CDW24"/>
    <mergeCell ref="CDV25:CDW25"/>
    <mergeCell ref="CDV26:CDW26"/>
    <mergeCell ref="CDS27:CDW27"/>
    <mergeCell ref="CDS28:CDW29"/>
    <mergeCell ref="CDS13:CDT13"/>
    <mergeCell ref="CDU13:CDW13"/>
    <mergeCell ref="CDS14:CDT14"/>
    <mergeCell ref="CDU14:CDW14"/>
    <mergeCell ref="CDS15:CDU15"/>
    <mergeCell ref="CDV15:CDW15"/>
    <mergeCell ref="CDS16:CDT16"/>
    <mergeCell ref="CDU16:CDW16"/>
    <mergeCell ref="CDS17:CDT17"/>
    <mergeCell ref="CDU17:CDW17"/>
    <mergeCell ref="CDS18:CDT18"/>
    <mergeCell ref="CDU18:CDW18"/>
    <mergeCell ref="CDS19:CDT19"/>
    <mergeCell ref="CDU19:CDW19"/>
    <mergeCell ref="CDS20:CDT20"/>
    <mergeCell ref="CDU20:CDW20"/>
    <mergeCell ref="CDV21:CDW21"/>
    <mergeCell ref="CDD1:CDD2"/>
    <mergeCell ref="CDE1:CDF2"/>
    <mergeCell ref="CDG1:CDG2"/>
    <mergeCell ref="CDG3:CDH3"/>
    <mergeCell ref="CDG4:CDH4"/>
    <mergeCell ref="CDG5:CDH5"/>
    <mergeCell ref="CDG6:CDH6"/>
    <mergeCell ref="CDG7:CDH7"/>
    <mergeCell ref="CDG8:CDH8"/>
    <mergeCell ref="CDD9:CDF9"/>
    <mergeCell ref="CDG9:CDH9"/>
    <mergeCell ref="CDD10:CDE10"/>
    <mergeCell ref="CDF10:CDH10"/>
    <mergeCell ref="CDD11:CDE11"/>
    <mergeCell ref="CDF11:CDH11"/>
    <mergeCell ref="CDD12:CDE12"/>
    <mergeCell ref="CDF12:CDH12"/>
    <mergeCell ref="CDG22:CDH22"/>
    <mergeCell ref="CDG23:CDH23"/>
    <mergeCell ref="CDG24:CDH24"/>
    <mergeCell ref="CDG25:CDH25"/>
    <mergeCell ref="CDG26:CDH26"/>
    <mergeCell ref="CDD27:CDH27"/>
    <mergeCell ref="CDD28:CDH29"/>
    <mergeCell ref="CDD13:CDE13"/>
    <mergeCell ref="CDF13:CDH13"/>
    <mergeCell ref="CDD14:CDE14"/>
    <mergeCell ref="CDF14:CDH14"/>
    <mergeCell ref="CDD15:CDF15"/>
    <mergeCell ref="CDG15:CDH15"/>
    <mergeCell ref="CDD16:CDE16"/>
    <mergeCell ref="CDF16:CDH16"/>
    <mergeCell ref="CDD17:CDE17"/>
    <mergeCell ref="CDF17:CDH17"/>
    <mergeCell ref="CDD18:CDE18"/>
    <mergeCell ref="CDF18:CDH18"/>
    <mergeCell ref="CDD19:CDE19"/>
    <mergeCell ref="CDF19:CDH19"/>
    <mergeCell ref="CDD20:CDE20"/>
    <mergeCell ref="CDF20:CDH20"/>
    <mergeCell ref="CDG21:CDH21"/>
    <mergeCell ref="CCT1:CCT2"/>
    <mergeCell ref="CCU1:CCV2"/>
    <mergeCell ref="CCW1:CCW2"/>
    <mergeCell ref="CCW3:CCX3"/>
    <mergeCell ref="CCW4:CCX4"/>
    <mergeCell ref="CCW5:CCX5"/>
    <mergeCell ref="CCW6:CCX6"/>
    <mergeCell ref="CCW7:CCX7"/>
    <mergeCell ref="CCW8:CCX8"/>
    <mergeCell ref="CCT9:CCV9"/>
    <mergeCell ref="CCW9:CCX9"/>
    <mergeCell ref="CCT10:CCU10"/>
    <mergeCell ref="CCV10:CCX10"/>
    <mergeCell ref="CCT11:CCU11"/>
    <mergeCell ref="CCV11:CCX11"/>
    <mergeCell ref="CCT12:CCU12"/>
    <mergeCell ref="CCV12:CCX12"/>
    <mergeCell ref="CCW22:CCX22"/>
    <mergeCell ref="CCW23:CCX23"/>
    <mergeCell ref="CCW24:CCX24"/>
    <mergeCell ref="CCW25:CCX25"/>
    <mergeCell ref="CCW26:CCX26"/>
    <mergeCell ref="CCT27:CCX27"/>
    <mergeCell ref="CCT28:CCX29"/>
    <mergeCell ref="CCT13:CCU13"/>
    <mergeCell ref="CCV13:CCX13"/>
    <mergeCell ref="CCT14:CCU14"/>
    <mergeCell ref="CCV14:CCX14"/>
    <mergeCell ref="CCT15:CCV15"/>
    <mergeCell ref="CCW15:CCX15"/>
    <mergeCell ref="CCT16:CCU16"/>
    <mergeCell ref="CCV16:CCX16"/>
    <mergeCell ref="CCT17:CCU17"/>
    <mergeCell ref="CCV17:CCX17"/>
    <mergeCell ref="CCT18:CCU18"/>
    <mergeCell ref="CCV18:CCX18"/>
    <mergeCell ref="CCT19:CCU19"/>
    <mergeCell ref="CCV19:CCX19"/>
    <mergeCell ref="CCT20:CCU20"/>
    <mergeCell ref="CCV20:CCX20"/>
    <mergeCell ref="CCW21:CCX21"/>
    <mergeCell ref="CCJ1:CCJ2"/>
    <mergeCell ref="CCK1:CCL2"/>
    <mergeCell ref="CCM1:CCM2"/>
    <mergeCell ref="CCM3:CCN3"/>
    <mergeCell ref="CCM4:CCN4"/>
    <mergeCell ref="CCM5:CCN5"/>
    <mergeCell ref="CCM6:CCN6"/>
    <mergeCell ref="CCM7:CCN7"/>
    <mergeCell ref="CCM8:CCN8"/>
    <mergeCell ref="CCJ9:CCL9"/>
    <mergeCell ref="CCM9:CCN9"/>
    <mergeCell ref="CCJ10:CCK10"/>
    <mergeCell ref="CCL10:CCN10"/>
    <mergeCell ref="CCJ11:CCK11"/>
    <mergeCell ref="CCL11:CCN11"/>
    <mergeCell ref="CCJ12:CCK12"/>
    <mergeCell ref="CCL12:CCN12"/>
    <mergeCell ref="CCM22:CCN22"/>
    <mergeCell ref="CCM23:CCN23"/>
    <mergeCell ref="CCM24:CCN24"/>
    <mergeCell ref="CCM25:CCN25"/>
    <mergeCell ref="CCM26:CCN26"/>
    <mergeCell ref="CCJ27:CCN27"/>
    <mergeCell ref="CCJ28:CCN29"/>
    <mergeCell ref="CCJ13:CCK13"/>
    <mergeCell ref="CCL13:CCN13"/>
    <mergeCell ref="CCJ14:CCK14"/>
    <mergeCell ref="CCL14:CCN14"/>
    <mergeCell ref="CCJ15:CCL15"/>
    <mergeCell ref="CCM15:CCN15"/>
    <mergeCell ref="CCJ16:CCK16"/>
    <mergeCell ref="CCL16:CCN16"/>
    <mergeCell ref="CCJ17:CCK17"/>
    <mergeCell ref="CCL17:CCN17"/>
    <mergeCell ref="CCJ18:CCK18"/>
    <mergeCell ref="CCL18:CCN18"/>
    <mergeCell ref="CCJ19:CCK19"/>
    <mergeCell ref="CCL19:CCN19"/>
    <mergeCell ref="CCJ20:CCK20"/>
    <mergeCell ref="CCL20:CCN20"/>
    <mergeCell ref="CCM21:CCN21"/>
    <mergeCell ref="CCE1:CCE2"/>
    <mergeCell ref="CCF1:CCG2"/>
    <mergeCell ref="CCH1:CCH2"/>
    <mergeCell ref="CCH3:CCI3"/>
    <mergeCell ref="CCH4:CCI4"/>
    <mergeCell ref="CCH5:CCI5"/>
    <mergeCell ref="CCH6:CCI6"/>
    <mergeCell ref="CCH7:CCI7"/>
    <mergeCell ref="CCH8:CCI8"/>
    <mergeCell ref="CCE9:CCG9"/>
    <mergeCell ref="CCH9:CCI9"/>
    <mergeCell ref="CCE10:CCF10"/>
    <mergeCell ref="CCG10:CCI10"/>
    <mergeCell ref="CCE11:CCF11"/>
    <mergeCell ref="CCG11:CCI11"/>
    <mergeCell ref="CCE12:CCF12"/>
    <mergeCell ref="CCG12:CCI12"/>
    <mergeCell ref="CCH22:CCI22"/>
    <mergeCell ref="CCH23:CCI23"/>
    <mergeCell ref="CCH24:CCI24"/>
    <mergeCell ref="CCH25:CCI25"/>
    <mergeCell ref="CCH26:CCI26"/>
    <mergeCell ref="CCE27:CCI27"/>
    <mergeCell ref="CCE28:CCI29"/>
    <mergeCell ref="CCE13:CCF13"/>
    <mergeCell ref="CCG13:CCI13"/>
    <mergeCell ref="CCE14:CCF14"/>
    <mergeCell ref="CCG14:CCI14"/>
    <mergeCell ref="CCE15:CCG15"/>
    <mergeCell ref="CCH15:CCI15"/>
    <mergeCell ref="CCE16:CCF16"/>
    <mergeCell ref="CCG16:CCI16"/>
    <mergeCell ref="CCE17:CCF17"/>
    <mergeCell ref="CCG17:CCI17"/>
    <mergeCell ref="CCE18:CCF18"/>
    <mergeCell ref="CCG18:CCI18"/>
    <mergeCell ref="CCE19:CCF19"/>
    <mergeCell ref="CCG19:CCI19"/>
    <mergeCell ref="CCE20:CCF20"/>
    <mergeCell ref="CCG20:CCI20"/>
    <mergeCell ref="CCH21:CCI21"/>
    <mergeCell ref="CBU1:CBU2"/>
    <mergeCell ref="CBV1:CBW2"/>
    <mergeCell ref="CBX1:CBX2"/>
    <mergeCell ref="CBX3:CBY3"/>
    <mergeCell ref="CBX4:CBY4"/>
    <mergeCell ref="CBX5:CBY5"/>
    <mergeCell ref="CBX6:CBY6"/>
    <mergeCell ref="CBX7:CBY7"/>
    <mergeCell ref="CBX8:CBY8"/>
    <mergeCell ref="CBU9:CBW9"/>
    <mergeCell ref="CBX9:CBY9"/>
    <mergeCell ref="CBU10:CBV10"/>
    <mergeCell ref="CBW10:CBY10"/>
    <mergeCell ref="CBU11:CBV11"/>
    <mergeCell ref="CBW11:CBY11"/>
    <mergeCell ref="CBU12:CBV12"/>
    <mergeCell ref="CBW12:CBY12"/>
    <mergeCell ref="CBX22:CBY22"/>
    <mergeCell ref="CBX23:CBY23"/>
    <mergeCell ref="CBX24:CBY24"/>
    <mergeCell ref="CBX25:CBY25"/>
    <mergeCell ref="CBX26:CBY26"/>
    <mergeCell ref="CBU27:CBY27"/>
    <mergeCell ref="CBU28:CBY29"/>
    <mergeCell ref="CBU13:CBV13"/>
    <mergeCell ref="CBW13:CBY13"/>
    <mergeCell ref="CBU14:CBV14"/>
    <mergeCell ref="CBW14:CBY14"/>
    <mergeCell ref="CBU15:CBW15"/>
    <mergeCell ref="CBX15:CBY15"/>
    <mergeCell ref="CBU16:CBV16"/>
    <mergeCell ref="CBW16:CBY16"/>
    <mergeCell ref="CBU17:CBV17"/>
    <mergeCell ref="CBW17:CBY17"/>
    <mergeCell ref="CBU18:CBV18"/>
    <mergeCell ref="CBW18:CBY18"/>
    <mergeCell ref="CBU19:CBV19"/>
    <mergeCell ref="CBW19:CBY19"/>
    <mergeCell ref="CBU20:CBV20"/>
    <mergeCell ref="CBW20:CBY20"/>
    <mergeCell ref="CBX21:CBY21"/>
    <mergeCell ref="CBK1:CBK2"/>
    <mergeCell ref="CBL1:CBM2"/>
    <mergeCell ref="CBN1:CBN2"/>
    <mergeCell ref="CBN3:CBO3"/>
    <mergeCell ref="CBN4:CBO4"/>
    <mergeCell ref="CBN5:CBO5"/>
    <mergeCell ref="CBN6:CBO6"/>
    <mergeCell ref="CBN7:CBO7"/>
    <mergeCell ref="CBN8:CBO8"/>
    <mergeCell ref="CBK9:CBM9"/>
    <mergeCell ref="CBN9:CBO9"/>
    <mergeCell ref="CBK10:CBL10"/>
    <mergeCell ref="CBM10:CBO10"/>
    <mergeCell ref="CBK11:CBL11"/>
    <mergeCell ref="CBM11:CBO11"/>
    <mergeCell ref="CBK12:CBL12"/>
    <mergeCell ref="CBM12:CBO12"/>
    <mergeCell ref="CBN22:CBO22"/>
    <mergeCell ref="CBN23:CBO23"/>
    <mergeCell ref="CBN24:CBO24"/>
    <mergeCell ref="CBN25:CBO25"/>
    <mergeCell ref="CBN26:CBO26"/>
    <mergeCell ref="CBK27:CBO27"/>
    <mergeCell ref="CBK28:CBO29"/>
    <mergeCell ref="CBK13:CBL13"/>
    <mergeCell ref="CBM13:CBO13"/>
    <mergeCell ref="CBK14:CBL14"/>
    <mergeCell ref="CBM14:CBO14"/>
    <mergeCell ref="CBK15:CBM15"/>
    <mergeCell ref="CBN15:CBO15"/>
    <mergeCell ref="CBK16:CBL16"/>
    <mergeCell ref="CBM16:CBO16"/>
    <mergeCell ref="CBK17:CBL17"/>
    <mergeCell ref="CBM17:CBO17"/>
    <mergeCell ref="CBK18:CBL18"/>
    <mergeCell ref="CBM18:CBO18"/>
    <mergeCell ref="CBK19:CBL19"/>
    <mergeCell ref="CBM19:CBO19"/>
    <mergeCell ref="CBK20:CBL20"/>
    <mergeCell ref="CBM20:CBO20"/>
    <mergeCell ref="CBN21:CBO21"/>
    <mergeCell ref="CAV1:CAV2"/>
    <mergeCell ref="CAW1:CAX2"/>
    <mergeCell ref="CAY1:CAY2"/>
    <mergeCell ref="CAY3:CAZ3"/>
    <mergeCell ref="CAY4:CAZ4"/>
    <mergeCell ref="CAY5:CAZ5"/>
    <mergeCell ref="CAY6:CAZ6"/>
    <mergeCell ref="CAY7:CAZ7"/>
    <mergeCell ref="CAY8:CAZ8"/>
    <mergeCell ref="CAV9:CAX9"/>
    <mergeCell ref="CAY9:CAZ9"/>
    <mergeCell ref="CAV10:CAW10"/>
    <mergeCell ref="CAX10:CAZ10"/>
    <mergeCell ref="CAV11:CAW11"/>
    <mergeCell ref="CAX11:CAZ11"/>
    <mergeCell ref="CAV12:CAW12"/>
    <mergeCell ref="CAX12:CAZ12"/>
    <mergeCell ref="CAY22:CAZ22"/>
    <mergeCell ref="CAY23:CAZ23"/>
    <mergeCell ref="CAY24:CAZ24"/>
    <mergeCell ref="CAY25:CAZ25"/>
    <mergeCell ref="CAY26:CAZ26"/>
    <mergeCell ref="CAV27:CAZ27"/>
    <mergeCell ref="CAV28:CAZ29"/>
    <mergeCell ref="CAV13:CAW13"/>
    <mergeCell ref="CAX13:CAZ13"/>
    <mergeCell ref="CAV14:CAW14"/>
    <mergeCell ref="CAX14:CAZ14"/>
    <mergeCell ref="CAV15:CAX15"/>
    <mergeCell ref="CAY15:CAZ15"/>
    <mergeCell ref="CAV16:CAW16"/>
    <mergeCell ref="CAX16:CAZ16"/>
    <mergeCell ref="CAV17:CAW17"/>
    <mergeCell ref="CAX17:CAZ17"/>
    <mergeCell ref="CAV18:CAW18"/>
    <mergeCell ref="CAX18:CAZ18"/>
    <mergeCell ref="CAV19:CAW19"/>
    <mergeCell ref="CAX19:CAZ19"/>
    <mergeCell ref="CAV20:CAW20"/>
    <mergeCell ref="CAX20:CAZ20"/>
    <mergeCell ref="CAY21:CAZ21"/>
    <mergeCell ref="CAL1:CAL2"/>
    <mergeCell ref="CAM1:CAN2"/>
    <mergeCell ref="CAO1:CAO2"/>
    <mergeCell ref="CAO3:CAP3"/>
    <mergeCell ref="CAO4:CAP4"/>
    <mergeCell ref="CAO5:CAP5"/>
    <mergeCell ref="CAO6:CAP6"/>
    <mergeCell ref="CAO7:CAP7"/>
    <mergeCell ref="CAO8:CAP8"/>
    <mergeCell ref="CAL9:CAN9"/>
    <mergeCell ref="CAO9:CAP9"/>
    <mergeCell ref="CAL10:CAM10"/>
    <mergeCell ref="CAN10:CAP10"/>
    <mergeCell ref="CAL11:CAM11"/>
    <mergeCell ref="CAN11:CAP11"/>
    <mergeCell ref="CAL12:CAM12"/>
    <mergeCell ref="CAN12:CAP12"/>
    <mergeCell ref="CAO22:CAP22"/>
    <mergeCell ref="CAO23:CAP23"/>
    <mergeCell ref="CAO24:CAP24"/>
    <mergeCell ref="CAO25:CAP25"/>
    <mergeCell ref="CAO26:CAP26"/>
    <mergeCell ref="CAL27:CAP27"/>
    <mergeCell ref="CAL28:CAP29"/>
    <mergeCell ref="CAL13:CAM13"/>
    <mergeCell ref="CAN13:CAP13"/>
    <mergeCell ref="CAL14:CAM14"/>
    <mergeCell ref="CAN14:CAP14"/>
    <mergeCell ref="CAL15:CAN15"/>
    <mergeCell ref="CAO15:CAP15"/>
    <mergeCell ref="CAL16:CAM16"/>
    <mergeCell ref="CAN16:CAP16"/>
    <mergeCell ref="CAL17:CAM17"/>
    <mergeCell ref="CAN17:CAP17"/>
    <mergeCell ref="CAL18:CAM18"/>
    <mergeCell ref="CAN18:CAP18"/>
    <mergeCell ref="CAL19:CAM19"/>
    <mergeCell ref="CAN19:CAP19"/>
    <mergeCell ref="CAL20:CAM20"/>
    <mergeCell ref="CAN20:CAP20"/>
    <mergeCell ref="CAO21:CAP21"/>
    <mergeCell ref="CAB1:CAB2"/>
    <mergeCell ref="CAC1:CAD2"/>
    <mergeCell ref="CAE1:CAE2"/>
    <mergeCell ref="CAE3:CAF3"/>
    <mergeCell ref="CAE4:CAF4"/>
    <mergeCell ref="CAE5:CAF5"/>
    <mergeCell ref="CAE6:CAF6"/>
    <mergeCell ref="CAE7:CAF7"/>
    <mergeCell ref="CAE8:CAF8"/>
    <mergeCell ref="CAB9:CAD9"/>
    <mergeCell ref="CAE9:CAF9"/>
    <mergeCell ref="CAB10:CAC10"/>
    <mergeCell ref="CAD10:CAF10"/>
    <mergeCell ref="CAB11:CAC11"/>
    <mergeCell ref="CAD11:CAF11"/>
    <mergeCell ref="CAB12:CAC12"/>
    <mergeCell ref="CAD12:CAF12"/>
    <mergeCell ref="CAE22:CAF22"/>
    <mergeCell ref="CAE23:CAF23"/>
    <mergeCell ref="CAE24:CAF24"/>
    <mergeCell ref="CAE25:CAF25"/>
    <mergeCell ref="CAE26:CAF26"/>
    <mergeCell ref="CAB27:CAF27"/>
    <mergeCell ref="CAB28:CAF29"/>
    <mergeCell ref="CAB13:CAC13"/>
    <mergeCell ref="CAD13:CAF13"/>
    <mergeCell ref="CAB14:CAC14"/>
    <mergeCell ref="CAD14:CAF14"/>
    <mergeCell ref="CAB15:CAD15"/>
    <mergeCell ref="CAE15:CAF15"/>
    <mergeCell ref="CAB16:CAC16"/>
    <mergeCell ref="CAD16:CAF16"/>
    <mergeCell ref="CAB17:CAC17"/>
    <mergeCell ref="CAD17:CAF17"/>
    <mergeCell ref="CAB18:CAC18"/>
    <mergeCell ref="CAD18:CAF18"/>
    <mergeCell ref="CAB19:CAC19"/>
    <mergeCell ref="CAD19:CAF19"/>
    <mergeCell ref="CAB20:CAC20"/>
    <mergeCell ref="CAD20:CAF20"/>
    <mergeCell ref="CAE21:CAF21"/>
    <mergeCell ref="BZR1:BZR2"/>
    <mergeCell ref="BZS1:BZT2"/>
    <mergeCell ref="BZU1:BZU2"/>
    <mergeCell ref="BZU3:BZV3"/>
    <mergeCell ref="BZU4:BZV4"/>
    <mergeCell ref="BZU5:BZV5"/>
    <mergeCell ref="BZU6:BZV6"/>
    <mergeCell ref="BZU7:BZV7"/>
    <mergeCell ref="BZU8:BZV8"/>
    <mergeCell ref="BZR9:BZT9"/>
    <mergeCell ref="BZU9:BZV9"/>
    <mergeCell ref="BZR10:BZS10"/>
    <mergeCell ref="BZT10:BZV10"/>
    <mergeCell ref="BZR11:BZS11"/>
    <mergeCell ref="BZT11:BZV11"/>
    <mergeCell ref="BZR12:BZS12"/>
    <mergeCell ref="BZT12:BZV12"/>
    <mergeCell ref="BZU22:BZV22"/>
    <mergeCell ref="BZU23:BZV23"/>
    <mergeCell ref="BZU24:BZV24"/>
    <mergeCell ref="BZU25:BZV25"/>
    <mergeCell ref="BZU26:BZV26"/>
    <mergeCell ref="BZR27:BZV27"/>
    <mergeCell ref="BZR28:BZV29"/>
    <mergeCell ref="BZR13:BZS13"/>
    <mergeCell ref="BZT13:BZV13"/>
    <mergeCell ref="BZR14:BZS14"/>
    <mergeCell ref="BZT14:BZV14"/>
    <mergeCell ref="BZR15:BZT15"/>
    <mergeCell ref="BZU15:BZV15"/>
    <mergeCell ref="BZR16:BZS16"/>
    <mergeCell ref="BZT16:BZV16"/>
    <mergeCell ref="BZR17:BZS17"/>
    <mergeCell ref="BZT17:BZV17"/>
    <mergeCell ref="BZR18:BZS18"/>
    <mergeCell ref="BZT18:BZV18"/>
    <mergeCell ref="BZR19:BZS19"/>
    <mergeCell ref="BZT19:BZV19"/>
    <mergeCell ref="BZR20:BZS20"/>
    <mergeCell ref="BZT20:BZV20"/>
    <mergeCell ref="BZU21:BZV21"/>
    <mergeCell ref="BZH1:BZH2"/>
    <mergeCell ref="BZI1:BZJ2"/>
    <mergeCell ref="BZK1:BZK2"/>
    <mergeCell ref="BZK3:BZL3"/>
    <mergeCell ref="BZK4:BZL4"/>
    <mergeCell ref="BZK5:BZL5"/>
    <mergeCell ref="BZK6:BZL6"/>
    <mergeCell ref="BZK7:BZL7"/>
    <mergeCell ref="BZK8:BZL8"/>
    <mergeCell ref="BZH9:BZJ9"/>
    <mergeCell ref="BZK9:BZL9"/>
    <mergeCell ref="BZH10:BZI10"/>
    <mergeCell ref="BZJ10:BZL10"/>
    <mergeCell ref="BZH11:BZI11"/>
    <mergeCell ref="BZJ11:BZL11"/>
    <mergeCell ref="BZH12:BZI12"/>
    <mergeCell ref="BZJ12:BZL12"/>
    <mergeCell ref="BZK22:BZL22"/>
    <mergeCell ref="BZK23:BZL23"/>
    <mergeCell ref="BZK24:BZL24"/>
    <mergeCell ref="BZK25:BZL25"/>
    <mergeCell ref="BZK26:BZL26"/>
    <mergeCell ref="BZH27:BZL27"/>
    <mergeCell ref="BZH28:BZL29"/>
    <mergeCell ref="BZH13:BZI13"/>
    <mergeCell ref="BZJ13:BZL13"/>
    <mergeCell ref="BZH14:BZI14"/>
    <mergeCell ref="BZJ14:BZL14"/>
    <mergeCell ref="BZH15:BZJ15"/>
    <mergeCell ref="BZK15:BZL15"/>
    <mergeCell ref="BZH16:BZI16"/>
    <mergeCell ref="BZJ16:BZL16"/>
    <mergeCell ref="BZH17:BZI17"/>
    <mergeCell ref="BZJ17:BZL17"/>
    <mergeCell ref="BZH18:BZI18"/>
    <mergeCell ref="BZJ18:BZL18"/>
    <mergeCell ref="BZH19:BZI19"/>
    <mergeCell ref="BZJ19:BZL19"/>
    <mergeCell ref="BZH20:BZI20"/>
    <mergeCell ref="BZJ20:BZL20"/>
    <mergeCell ref="BZK21:BZL21"/>
    <mergeCell ref="BYX1:BYX2"/>
    <mergeCell ref="BYY1:BYZ2"/>
    <mergeCell ref="BZA1:BZA2"/>
    <mergeCell ref="BZA3:BZB3"/>
    <mergeCell ref="BZA4:BZB4"/>
    <mergeCell ref="BZA5:BZB5"/>
    <mergeCell ref="BZA6:BZB6"/>
    <mergeCell ref="BZA7:BZB7"/>
    <mergeCell ref="BZA8:BZB8"/>
    <mergeCell ref="BYX9:BYZ9"/>
    <mergeCell ref="BZA9:BZB9"/>
    <mergeCell ref="BYX10:BYY10"/>
    <mergeCell ref="BYZ10:BZB10"/>
    <mergeCell ref="BYX11:BYY11"/>
    <mergeCell ref="BYZ11:BZB11"/>
    <mergeCell ref="BYX12:BYY12"/>
    <mergeCell ref="BYZ12:BZB12"/>
    <mergeCell ref="BZA22:BZB22"/>
    <mergeCell ref="BZA23:BZB23"/>
    <mergeCell ref="BZA24:BZB24"/>
    <mergeCell ref="BZA25:BZB25"/>
    <mergeCell ref="BZA26:BZB26"/>
    <mergeCell ref="BYX27:BZB27"/>
    <mergeCell ref="BYX28:BZB29"/>
    <mergeCell ref="BYX13:BYY13"/>
    <mergeCell ref="BYZ13:BZB13"/>
    <mergeCell ref="BYX14:BYY14"/>
    <mergeCell ref="BYZ14:BZB14"/>
    <mergeCell ref="BYX15:BYZ15"/>
    <mergeCell ref="BZA15:BZB15"/>
    <mergeCell ref="BYX16:BYY16"/>
    <mergeCell ref="BYZ16:BZB16"/>
    <mergeCell ref="BYX17:BYY17"/>
    <mergeCell ref="BYZ17:BZB17"/>
    <mergeCell ref="BYX18:BYY18"/>
    <mergeCell ref="BYZ18:BZB18"/>
    <mergeCell ref="BYX19:BYY19"/>
    <mergeCell ref="BYZ19:BZB19"/>
    <mergeCell ref="BYX20:BYY20"/>
    <mergeCell ref="BYZ20:BZB20"/>
    <mergeCell ref="BZA21:BZB21"/>
    <mergeCell ref="BYQ5:BYR5"/>
    <mergeCell ref="BYQ6:BYR6"/>
    <mergeCell ref="BYQ7:BYR7"/>
    <mergeCell ref="BYQ8:BYR8"/>
    <mergeCell ref="BYN9:BYP9"/>
    <mergeCell ref="BYQ9:BYR9"/>
    <mergeCell ref="BYN10:BYO10"/>
    <mergeCell ref="BYP10:BYR10"/>
    <mergeCell ref="BYN11:BYO11"/>
    <mergeCell ref="BYP11:BYR11"/>
    <mergeCell ref="BYN12:BYO12"/>
    <mergeCell ref="BYP12:BYR12"/>
    <mergeCell ref="BYQ22:BYR22"/>
    <mergeCell ref="BYQ23:BYR23"/>
    <mergeCell ref="BYQ24:BYR24"/>
    <mergeCell ref="BYQ25:BYR25"/>
    <mergeCell ref="BYQ26:BYR26"/>
    <mergeCell ref="BYN27:BYR27"/>
    <mergeCell ref="BYN28:BYR29"/>
    <mergeCell ref="BYN13:BYO13"/>
    <mergeCell ref="BYP13:BYR13"/>
    <mergeCell ref="BYN14:BYO14"/>
    <mergeCell ref="BYP14:BYR14"/>
    <mergeCell ref="BYN15:BYP15"/>
    <mergeCell ref="BYQ15:BYR15"/>
    <mergeCell ref="BYN16:BYO16"/>
    <mergeCell ref="BYP16:BYR16"/>
    <mergeCell ref="BYN17:BYO17"/>
    <mergeCell ref="BYP17:BYR17"/>
    <mergeCell ref="BYN18:BYO18"/>
    <mergeCell ref="BYP18:BYR18"/>
    <mergeCell ref="BYN19:BYO19"/>
    <mergeCell ref="BYP19:BYR19"/>
    <mergeCell ref="BYN20:BYO20"/>
    <mergeCell ref="BYP20:BYR20"/>
    <mergeCell ref="BYQ21:BYR21"/>
    <mergeCell ref="BYI1:BYI2"/>
    <mergeCell ref="BYJ1:BYK2"/>
    <mergeCell ref="BYL1:BYL2"/>
    <mergeCell ref="BYL3:BYM3"/>
    <mergeCell ref="BYL4:BYM4"/>
    <mergeCell ref="BYL5:BYM5"/>
    <mergeCell ref="BYL6:BYM6"/>
    <mergeCell ref="BYL7:BYM7"/>
    <mergeCell ref="BYL8:BYM8"/>
    <mergeCell ref="BYI9:BYK9"/>
    <mergeCell ref="BYL9:BYM9"/>
    <mergeCell ref="BYI10:BYJ10"/>
    <mergeCell ref="BYK10:BYM10"/>
    <mergeCell ref="BYI11:BYJ11"/>
    <mergeCell ref="BYK11:BYM11"/>
    <mergeCell ref="BYI12:BYJ12"/>
    <mergeCell ref="BYK12:BYM12"/>
    <mergeCell ref="BYL22:BYM22"/>
    <mergeCell ref="BYL23:BYM23"/>
    <mergeCell ref="BYL24:BYM24"/>
    <mergeCell ref="BYL25:BYM25"/>
    <mergeCell ref="BYL26:BYM26"/>
    <mergeCell ref="BYI27:BYM27"/>
    <mergeCell ref="BYI28:BYM29"/>
    <mergeCell ref="BYI13:BYJ13"/>
    <mergeCell ref="BYK13:BYM13"/>
    <mergeCell ref="BYI14:BYJ14"/>
    <mergeCell ref="BYK14:BYM14"/>
    <mergeCell ref="BYI15:BYK15"/>
    <mergeCell ref="BYL15:BYM15"/>
    <mergeCell ref="BYI16:BYJ16"/>
    <mergeCell ref="BYK16:BYM16"/>
    <mergeCell ref="BYI17:BYJ17"/>
    <mergeCell ref="BYK17:BYM17"/>
    <mergeCell ref="BYI18:BYJ18"/>
    <mergeCell ref="BYK18:BYM18"/>
    <mergeCell ref="BYI19:BYJ19"/>
    <mergeCell ref="BYK19:BYM19"/>
    <mergeCell ref="BYI20:BYJ20"/>
    <mergeCell ref="BYK20:BYM20"/>
    <mergeCell ref="BYL21:BYM21"/>
    <mergeCell ref="BXO1:BXO2"/>
    <mergeCell ref="BXP1:BXQ2"/>
    <mergeCell ref="BXR1:BXR2"/>
    <mergeCell ref="BXR3:BXS3"/>
    <mergeCell ref="BXR4:BXS4"/>
    <mergeCell ref="BXR5:BXS5"/>
    <mergeCell ref="BXR6:BXS6"/>
    <mergeCell ref="BXR7:BXS7"/>
    <mergeCell ref="BXR8:BXS8"/>
    <mergeCell ref="BXO9:BXQ9"/>
    <mergeCell ref="BXR9:BXS9"/>
    <mergeCell ref="BXO10:BXP10"/>
    <mergeCell ref="BXQ10:BXS10"/>
    <mergeCell ref="BXO11:BXP11"/>
    <mergeCell ref="BXQ11:BXS11"/>
    <mergeCell ref="BXO12:BXP12"/>
    <mergeCell ref="BXQ12:BXS12"/>
    <mergeCell ref="BXR22:BXS22"/>
    <mergeCell ref="BXR23:BXS23"/>
    <mergeCell ref="BXR24:BXS24"/>
    <mergeCell ref="BXR25:BXS25"/>
    <mergeCell ref="BXR26:BXS26"/>
    <mergeCell ref="BXO27:BXS27"/>
    <mergeCell ref="BXO28:BXS29"/>
    <mergeCell ref="BXO13:BXP13"/>
    <mergeCell ref="BXQ13:BXS13"/>
    <mergeCell ref="BXO14:BXP14"/>
    <mergeCell ref="BXQ14:BXS14"/>
    <mergeCell ref="BXO15:BXQ15"/>
    <mergeCell ref="BXR15:BXS15"/>
    <mergeCell ref="BXO16:BXP16"/>
    <mergeCell ref="BXQ16:BXS16"/>
    <mergeCell ref="BXO17:BXP17"/>
    <mergeCell ref="BXQ17:BXS17"/>
    <mergeCell ref="BXO18:BXP18"/>
    <mergeCell ref="BXQ18:BXS18"/>
    <mergeCell ref="BXO19:BXP19"/>
    <mergeCell ref="BXQ19:BXS19"/>
    <mergeCell ref="BXO20:BXP20"/>
    <mergeCell ref="BXQ20:BXS20"/>
    <mergeCell ref="BXR21:BXS21"/>
    <mergeCell ref="BXE1:BXE2"/>
    <mergeCell ref="BXF1:BXG2"/>
    <mergeCell ref="BXH1:BXH2"/>
    <mergeCell ref="BXH3:BXI3"/>
    <mergeCell ref="BXH4:BXI4"/>
    <mergeCell ref="BXH5:BXI5"/>
    <mergeCell ref="BXH6:BXI6"/>
    <mergeCell ref="BXH7:BXI7"/>
    <mergeCell ref="BXH8:BXI8"/>
    <mergeCell ref="BXE9:BXG9"/>
    <mergeCell ref="BXH9:BXI9"/>
    <mergeCell ref="BXE10:BXF10"/>
    <mergeCell ref="BXG10:BXI10"/>
    <mergeCell ref="BXE11:BXF11"/>
    <mergeCell ref="BXG11:BXI11"/>
    <mergeCell ref="BXE12:BXF12"/>
    <mergeCell ref="BXG12:BXI12"/>
    <mergeCell ref="BXH22:BXI22"/>
    <mergeCell ref="BXH23:BXI23"/>
    <mergeCell ref="BXH24:BXI24"/>
    <mergeCell ref="BXH25:BXI25"/>
    <mergeCell ref="BXH26:BXI26"/>
    <mergeCell ref="BXE27:BXI27"/>
    <mergeCell ref="BXE28:BXI29"/>
    <mergeCell ref="BXE13:BXF13"/>
    <mergeCell ref="BXG13:BXI13"/>
    <mergeCell ref="BXE14:BXF14"/>
    <mergeCell ref="BXG14:BXI14"/>
    <mergeCell ref="BXE15:BXG15"/>
    <mergeCell ref="BXH15:BXI15"/>
    <mergeCell ref="BXE16:BXF16"/>
    <mergeCell ref="BXG16:BXI16"/>
    <mergeCell ref="BXE17:BXF17"/>
    <mergeCell ref="BXG17:BXI17"/>
    <mergeCell ref="BXE18:BXF18"/>
    <mergeCell ref="BXG18:BXI18"/>
    <mergeCell ref="BXE19:BXF19"/>
    <mergeCell ref="BXG19:BXI19"/>
    <mergeCell ref="BXE20:BXF20"/>
    <mergeCell ref="BXG20:BXI20"/>
    <mergeCell ref="BXH21:BXI21"/>
    <mergeCell ref="BWU1:BWU2"/>
    <mergeCell ref="BWV1:BWW2"/>
    <mergeCell ref="BWX1:BWX2"/>
    <mergeCell ref="BWX3:BWY3"/>
    <mergeCell ref="BWX4:BWY4"/>
    <mergeCell ref="BWX5:BWY5"/>
    <mergeCell ref="BWX6:BWY6"/>
    <mergeCell ref="BWX7:BWY7"/>
    <mergeCell ref="BWX8:BWY8"/>
    <mergeCell ref="BWU9:BWW9"/>
    <mergeCell ref="BWX9:BWY9"/>
    <mergeCell ref="BWU10:BWV10"/>
    <mergeCell ref="BWW10:BWY10"/>
    <mergeCell ref="BWU11:BWV11"/>
    <mergeCell ref="BWW11:BWY11"/>
    <mergeCell ref="BWU12:BWV12"/>
    <mergeCell ref="BWW12:BWY12"/>
    <mergeCell ref="BWX22:BWY22"/>
    <mergeCell ref="BWX23:BWY23"/>
    <mergeCell ref="BWX24:BWY24"/>
    <mergeCell ref="BWX25:BWY25"/>
    <mergeCell ref="BWX26:BWY26"/>
    <mergeCell ref="BWU27:BWY27"/>
    <mergeCell ref="BWU28:BWY29"/>
    <mergeCell ref="BWU13:BWV13"/>
    <mergeCell ref="BWW13:BWY13"/>
    <mergeCell ref="BWU14:BWV14"/>
    <mergeCell ref="BWW14:BWY14"/>
    <mergeCell ref="BWU15:BWW15"/>
    <mergeCell ref="BWX15:BWY15"/>
    <mergeCell ref="BWU16:BWV16"/>
    <mergeCell ref="BWW16:BWY16"/>
    <mergeCell ref="BWU17:BWV17"/>
    <mergeCell ref="BWW17:BWY17"/>
    <mergeCell ref="BWU18:BWV18"/>
    <mergeCell ref="BWW18:BWY18"/>
    <mergeCell ref="BWU19:BWV19"/>
    <mergeCell ref="BWW19:BWY19"/>
    <mergeCell ref="BWU20:BWV20"/>
    <mergeCell ref="BWW20:BWY20"/>
    <mergeCell ref="BWX21:BWY21"/>
    <mergeCell ref="BWK1:BWK2"/>
    <mergeCell ref="BWL1:BWM2"/>
    <mergeCell ref="BWN1:BWN2"/>
    <mergeCell ref="BWN3:BWO3"/>
    <mergeCell ref="BWN4:BWO4"/>
    <mergeCell ref="BWN5:BWO5"/>
    <mergeCell ref="BWN6:BWO6"/>
    <mergeCell ref="BWN7:BWO7"/>
    <mergeCell ref="BWN8:BWO8"/>
    <mergeCell ref="BWK9:BWM9"/>
    <mergeCell ref="BWN9:BWO9"/>
    <mergeCell ref="BWK10:BWL10"/>
    <mergeCell ref="BWM10:BWO10"/>
    <mergeCell ref="BWK11:BWL11"/>
    <mergeCell ref="BWM11:BWO11"/>
    <mergeCell ref="BWK12:BWL12"/>
    <mergeCell ref="BWM12:BWO12"/>
    <mergeCell ref="BWN22:BWO22"/>
    <mergeCell ref="BWN23:BWO23"/>
    <mergeCell ref="BWN24:BWO24"/>
    <mergeCell ref="BWN25:BWO25"/>
    <mergeCell ref="BWN26:BWO26"/>
    <mergeCell ref="BWK27:BWO27"/>
    <mergeCell ref="BWK28:BWO29"/>
    <mergeCell ref="BWK13:BWL13"/>
    <mergeCell ref="BWM13:BWO13"/>
    <mergeCell ref="BWK14:BWL14"/>
    <mergeCell ref="BWM14:BWO14"/>
    <mergeCell ref="BWK15:BWM15"/>
    <mergeCell ref="BWN15:BWO15"/>
    <mergeCell ref="BWK16:BWL16"/>
    <mergeCell ref="BWM16:BWO16"/>
    <mergeCell ref="BWK17:BWL17"/>
    <mergeCell ref="BWM17:BWO17"/>
    <mergeCell ref="BWK18:BWL18"/>
    <mergeCell ref="BWM18:BWO18"/>
    <mergeCell ref="BWK19:BWL19"/>
    <mergeCell ref="BWM19:BWO19"/>
    <mergeCell ref="BWK20:BWL20"/>
    <mergeCell ref="BWM20:BWO20"/>
    <mergeCell ref="BWN21:BWO21"/>
    <mergeCell ref="BWA1:BWA2"/>
    <mergeCell ref="BWB1:BWC2"/>
    <mergeCell ref="BWD1:BWD2"/>
    <mergeCell ref="BWD3:BWE3"/>
    <mergeCell ref="BWD4:BWE4"/>
    <mergeCell ref="BWD5:BWE5"/>
    <mergeCell ref="BWD6:BWE6"/>
    <mergeCell ref="BWD7:BWE7"/>
    <mergeCell ref="BWD8:BWE8"/>
    <mergeCell ref="BWA9:BWC9"/>
    <mergeCell ref="BWD9:BWE9"/>
    <mergeCell ref="BWA10:BWB10"/>
    <mergeCell ref="BWC10:BWE10"/>
    <mergeCell ref="BWA11:BWB11"/>
    <mergeCell ref="BWC11:BWE11"/>
    <mergeCell ref="BWA12:BWB12"/>
    <mergeCell ref="BWC12:BWE12"/>
    <mergeCell ref="BWD22:BWE22"/>
    <mergeCell ref="BWD23:BWE23"/>
    <mergeCell ref="BWD24:BWE24"/>
    <mergeCell ref="BWD25:BWE25"/>
    <mergeCell ref="BWD26:BWE26"/>
    <mergeCell ref="BWA27:BWE27"/>
    <mergeCell ref="BWA28:BWE29"/>
    <mergeCell ref="BWA13:BWB13"/>
    <mergeCell ref="BWC13:BWE13"/>
    <mergeCell ref="BWA14:BWB14"/>
    <mergeCell ref="BWC14:BWE14"/>
    <mergeCell ref="BWA15:BWC15"/>
    <mergeCell ref="BWD15:BWE15"/>
    <mergeCell ref="BWA16:BWB16"/>
    <mergeCell ref="BWC16:BWE16"/>
    <mergeCell ref="BWA17:BWB17"/>
    <mergeCell ref="BWC17:BWE17"/>
    <mergeCell ref="BWA18:BWB18"/>
    <mergeCell ref="BWC18:BWE18"/>
    <mergeCell ref="BWA19:BWB19"/>
    <mergeCell ref="BWC19:BWE19"/>
    <mergeCell ref="BWA20:BWB20"/>
    <mergeCell ref="BWC20:BWE20"/>
    <mergeCell ref="BWD21:BWE21"/>
    <mergeCell ref="BVE1:BVE2"/>
    <mergeCell ref="BVE3:BVF3"/>
    <mergeCell ref="BVE4:BVF4"/>
    <mergeCell ref="BVE5:BVF5"/>
    <mergeCell ref="BVE6:BVF6"/>
    <mergeCell ref="BVE7:BVF7"/>
    <mergeCell ref="BVE8:BVF8"/>
    <mergeCell ref="BVB9:BVD9"/>
    <mergeCell ref="BVE9:BVF9"/>
    <mergeCell ref="BVB10:BVC10"/>
    <mergeCell ref="BVD10:BVF10"/>
    <mergeCell ref="BVB11:BVC11"/>
    <mergeCell ref="BVD11:BVF11"/>
    <mergeCell ref="BVB12:BVC12"/>
    <mergeCell ref="BVD12:BVF12"/>
    <mergeCell ref="BVB18:BVC18"/>
    <mergeCell ref="BVD18:BVF18"/>
    <mergeCell ref="BVB19:BVC19"/>
    <mergeCell ref="BVD19:BVF19"/>
    <mergeCell ref="BVB20:BVC20"/>
    <mergeCell ref="BVD20:BVF20"/>
    <mergeCell ref="BVE21:BVF21"/>
    <mergeCell ref="BVE22:BVF22"/>
    <mergeCell ref="BVE23:BVF23"/>
    <mergeCell ref="BVE24:BVF24"/>
    <mergeCell ref="BVE25:BVF25"/>
    <mergeCell ref="BVE26:BVF26"/>
    <mergeCell ref="BVG1:BVG2"/>
    <mergeCell ref="BVH1:BVI2"/>
    <mergeCell ref="BVJ1:BVJ2"/>
    <mergeCell ref="BVJ3:BVK3"/>
    <mergeCell ref="BVJ4:BVK4"/>
    <mergeCell ref="BVJ5:BVK5"/>
    <mergeCell ref="BVJ6:BVK6"/>
    <mergeCell ref="BVJ7:BVK7"/>
    <mergeCell ref="BVJ8:BVK8"/>
    <mergeCell ref="BVG9:BVI9"/>
    <mergeCell ref="BVJ9:BVK9"/>
    <mergeCell ref="BVG10:BVH10"/>
    <mergeCell ref="BVI10:BVK10"/>
    <mergeCell ref="BVG11:BVH11"/>
    <mergeCell ref="BVI11:BVK11"/>
    <mergeCell ref="BVG12:BVH12"/>
    <mergeCell ref="BVI12:BVK12"/>
    <mergeCell ref="BVB13:BVC13"/>
    <mergeCell ref="BVD13:BVF13"/>
    <mergeCell ref="BVB14:BVC14"/>
    <mergeCell ref="BVD14:BVF14"/>
    <mergeCell ref="BVB15:BVD15"/>
    <mergeCell ref="BVE15:BVF15"/>
    <mergeCell ref="BVB16:BVC16"/>
    <mergeCell ref="BVD16:BVF16"/>
    <mergeCell ref="BVG13:BVH13"/>
    <mergeCell ref="BVI13:BVK13"/>
    <mergeCell ref="BVG14:BVH14"/>
    <mergeCell ref="BVI14:BVK14"/>
    <mergeCell ref="BVG15:BVI15"/>
    <mergeCell ref="BVJ15:BVK15"/>
    <mergeCell ref="BVG16:BVH16"/>
    <mergeCell ref="BVI16:BVK16"/>
    <mergeCell ref="BVB27:BVF27"/>
    <mergeCell ref="BVB28:BVF29"/>
    <mergeCell ref="BVJ22:BVK22"/>
    <mergeCell ref="BVJ23:BVK23"/>
    <mergeCell ref="BVJ24:BVK24"/>
    <mergeCell ref="BVJ25:BVK25"/>
    <mergeCell ref="BVJ26:BVK26"/>
    <mergeCell ref="BVG27:BVK27"/>
    <mergeCell ref="BVG28:BVK29"/>
    <mergeCell ref="BVG18:BVH18"/>
    <mergeCell ref="BVI18:BVK18"/>
    <mergeCell ref="BVG19:BVH19"/>
    <mergeCell ref="BVI19:BVK19"/>
    <mergeCell ref="BVG20:BVH20"/>
    <mergeCell ref="BVI20:BVK20"/>
    <mergeCell ref="BVJ21:BVK21"/>
    <mergeCell ref="BUM1:BUM2"/>
    <mergeCell ref="BUN1:BUO2"/>
    <mergeCell ref="BUP1:BUP2"/>
    <mergeCell ref="BUP3:BUQ3"/>
    <mergeCell ref="BUP4:BUQ4"/>
    <mergeCell ref="BUP5:BUQ5"/>
    <mergeCell ref="BUP6:BUQ6"/>
    <mergeCell ref="BUP7:BUQ7"/>
    <mergeCell ref="BUP8:BUQ8"/>
    <mergeCell ref="BUM9:BUO9"/>
    <mergeCell ref="BUP9:BUQ9"/>
    <mergeCell ref="BUM10:BUN10"/>
    <mergeCell ref="BUO10:BUQ10"/>
    <mergeCell ref="BUM11:BUN11"/>
    <mergeCell ref="BUO11:BUQ11"/>
    <mergeCell ref="BUM12:BUN12"/>
    <mergeCell ref="BUO12:BUQ12"/>
    <mergeCell ref="BUP22:BUQ22"/>
    <mergeCell ref="BUP23:BUQ23"/>
    <mergeCell ref="BUP24:BUQ24"/>
    <mergeCell ref="BUM25:BUO25"/>
    <mergeCell ref="BUP25:BUQ25"/>
    <mergeCell ref="BUP26:BUQ26"/>
    <mergeCell ref="BUM27:BUQ27"/>
    <mergeCell ref="BUM28:BUQ29"/>
    <mergeCell ref="BUM13:BUN13"/>
    <mergeCell ref="BUO13:BUQ13"/>
    <mergeCell ref="BUM14:BUN14"/>
    <mergeCell ref="BUO14:BUQ14"/>
    <mergeCell ref="BUM15:BUO15"/>
    <mergeCell ref="BUP15:BUQ15"/>
    <mergeCell ref="BUM16:BUN16"/>
    <mergeCell ref="BUO16:BUQ16"/>
    <mergeCell ref="BUM17:BUN17"/>
    <mergeCell ref="BUO17:BUQ17"/>
    <mergeCell ref="BUM18:BUN18"/>
    <mergeCell ref="BUO18:BUQ18"/>
    <mergeCell ref="BUM19:BUN19"/>
    <mergeCell ref="BUO19:BUQ19"/>
    <mergeCell ref="BUM20:BUN20"/>
    <mergeCell ref="BUO20:BUQ20"/>
    <mergeCell ref="BUP21:BUQ21"/>
    <mergeCell ref="BVG17:BVH17"/>
    <mergeCell ref="BVI17:BVK17"/>
    <mergeCell ref="BVB17:BVC17"/>
    <mergeCell ref="BVD17:BVF17"/>
    <mergeCell ref="BVB1:BVB2"/>
    <mergeCell ref="BVC1:BVD2"/>
    <mergeCell ref="BUH1:BUH2"/>
    <mergeCell ref="BUI1:BUJ2"/>
    <mergeCell ref="BUK1:BUK2"/>
    <mergeCell ref="BUK3:BUL3"/>
    <mergeCell ref="BUK4:BUL4"/>
    <mergeCell ref="BUK5:BUL5"/>
    <mergeCell ref="BUK6:BUL6"/>
    <mergeCell ref="BUK7:BUL7"/>
    <mergeCell ref="BUK8:BUL8"/>
    <mergeCell ref="BUH9:BUJ9"/>
    <mergeCell ref="BUK9:BUL9"/>
    <mergeCell ref="BUH10:BUI10"/>
    <mergeCell ref="BUJ10:BUL10"/>
    <mergeCell ref="BUH11:BUI11"/>
    <mergeCell ref="BUJ11:BUL11"/>
    <mergeCell ref="BUH12:BUI12"/>
    <mergeCell ref="BUJ12:BUL12"/>
    <mergeCell ref="BUK22:BUL22"/>
    <mergeCell ref="BUK23:BUL23"/>
    <mergeCell ref="BUK24:BUL24"/>
    <mergeCell ref="BUH25:BUJ25"/>
    <mergeCell ref="BUK25:BUL25"/>
    <mergeCell ref="BUK26:BUL26"/>
    <mergeCell ref="BUH27:BUL27"/>
    <mergeCell ref="BUH28:BUL29"/>
    <mergeCell ref="BUH13:BUI13"/>
    <mergeCell ref="BUJ13:BUL13"/>
    <mergeCell ref="BUH14:BUI14"/>
    <mergeCell ref="BUJ14:BUL14"/>
    <mergeCell ref="BUH15:BUJ15"/>
    <mergeCell ref="BUK15:BUL15"/>
    <mergeCell ref="BUH16:BUI16"/>
    <mergeCell ref="BUJ16:BUL16"/>
    <mergeCell ref="BUH17:BUI17"/>
    <mergeCell ref="BUJ17:BUL17"/>
    <mergeCell ref="BUH18:BUI18"/>
    <mergeCell ref="BUJ18:BUL18"/>
    <mergeCell ref="BUH19:BUI19"/>
    <mergeCell ref="BUJ19:BUL19"/>
    <mergeCell ref="BUH20:BUI20"/>
    <mergeCell ref="BUJ20:BUL20"/>
    <mergeCell ref="BUK21:BUL21"/>
    <mergeCell ref="BTX1:BTX2"/>
    <mergeCell ref="BTY1:BTZ2"/>
    <mergeCell ref="BUA1:BUA2"/>
    <mergeCell ref="BUA3:BUB3"/>
    <mergeCell ref="BUA4:BUB4"/>
    <mergeCell ref="BUA5:BUB5"/>
    <mergeCell ref="BUA6:BUB6"/>
    <mergeCell ref="BUA7:BUB7"/>
    <mergeCell ref="BUA8:BUB8"/>
    <mergeCell ref="BTX9:BTZ9"/>
    <mergeCell ref="BUA9:BUB9"/>
    <mergeCell ref="BTX10:BTY10"/>
    <mergeCell ref="BTZ10:BUB10"/>
    <mergeCell ref="BTX11:BTY11"/>
    <mergeCell ref="BTZ11:BUB11"/>
    <mergeCell ref="BTX12:BTY12"/>
    <mergeCell ref="BTZ12:BUB12"/>
    <mergeCell ref="BUA22:BUB22"/>
    <mergeCell ref="BUA23:BUB23"/>
    <mergeCell ref="BUA24:BUB24"/>
    <mergeCell ref="BTX25:BTZ25"/>
    <mergeCell ref="BUA25:BUB25"/>
    <mergeCell ref="BUA26:BUB26"/>
    <mergeCell ref="BTX27:BUB27"/>
    <mergeCell ref="BTX28:BUB29"/>
    <mergeCell ref="BTX13:BTY13"/>
    <mergeCell ref="BTZ13:BUB13"/>
    <mergeCell ref="BTX14:BTY14"/>
    <mergeCell ref="BTZ14:BUB14"/>
    <mergeCell ref="BTX15:BTZ15"/>
    <mergeCell ref="BUA15:BUB15"/>
    <mergeCell ref="BTX16:BTY16"/>
    <mergeCell ref="BTZ16:BUB16"/>
    <mergeCell ref="BTX17:BTY17"/>
    <mergeCell ref="BTZ17:BUB17"/>
    <mergeCell ref="BTX18:BTY18"/>
    <mergeCell ref="BTZ18:BUB18"/>
    <mergeCell ref="BTX19:BTY19"/>
    <mergeCell ref="BTZ19:BUB19"/>
    <mergeCell ref="BTX20:BTY20"/>
    <mergeCell ref="BTZ20:BUB20"/>
    <mergeCell ref="BUA21:BUB21"/>
    <mergeCell ref="BTN1:BTN2"/>
    <mergeCell ref="BTO1:BTP2"/>
    <mergeCell ref="BTQ1:BTQ2"/>
    <mergeCell ref="BTQ3:BTR3"/>
    <mergeCell ref="BTQ4:BTR4"/>
    <mergeCell ref="BTQ5:BTR5"/>
    <mergeCell ref="BTQ6:BTR6"/>
    <mergeCell ref="BTQ7:BTR7"/>
    <mergeCell ref="BTQ8:BTR8"/>
    <mergeCell ref="BTN9:BTP9"/>
    <mergeCell ref="BTQ9:BTR9"/>
    <mergeCell ref="BTN10:BTO10"/>
    <mergeCell ref="BTP10:BTR10"/>
    <mergeCell ref="BTN11:BTO11"/>
    <mergeCell ref="BTP11:BTR11"/>
    <mergeCell ref="BTN12:BTO12"/>
    <mergeCell ref="BTP12:BTR12"/>
    <mergeCell ref="BTQ22:BTR22"/>
    <mergeCell ref="BTQ23:BTR23"/>
    <mergeCell ref="BTQ24:BTR24"/>
    <mergeCell ref="BTN25:BTP25"/>
    <mergeCell ref="BTQ25:BTR25"/>
    <mergeCell ref="BTQ26:BTR26"/>
    <mergeCell ref="BTN27:BTR27"/>
    <mergeCell ref="BTN28:BTR29"/>
    <mergeCell ref="BTN13:BTO13"/>
    <mergeCell ref="BTP13:BTR13"/>
    <mergeCell ref="BTN14:BTO14"/>
    <mergeCell ref="BTP14:BTR14"/>
    <mergeCell ref="BTN15:BTP15"/>
    <mergeCell ref="BTQ15:BTR15"/>
    <mergeCell ref="BTN16:BTO16"/>
    <mergeCell ref="BTP16:BTR16"/>
    <mergeCell ref="BTN17:BTO17"/>
    <mergeCell ref="BTP17:BTR17"/>
    <mergeCell ref="BTN18:BTO18"/>
    <mergeCell ref="BTP18:BTR18"/>
    <mergeCell ref="BTN19:BTO19"/>
    <mergeCell ref="BTP19:BTR19"/>
    <mergeCell ref="BTN20:BTO20"/>
    <mergeCell ref="BTP20:BTR20"/>
    <mergeCell ref="BTQ21:BTR21"/>
    <mergeCell ref="BSY1:BSY2"/>
    <mergeCell ref="BSZ1:BTA2"/>
    <mergeCell ref="BTB1:BTB2"/>
    <mergeCell ref="BTB3:BTC3"/>
    <mergeCell ref="BTB4:BTC4"/>
    <mergeCell ref="BTB5:BTC5"/>
    <mergeCell ref="BTB6:BTC6"/>
    <mergeCell ref="BTB7:BTC7"/>
    <mergeCell ref="BTB8:BTC8"/>
    <mergeCell ref="BSY9:BTA9"/>
    <mergeCell ref="BTB9:BTC9"/>
    <mergeCell ref="BSY10:BSZ10"/>
    <mergeCell ref="BTA10:BTC10"/>
    <mergeCell ref="BSY11:BSZ11"/>
    <mergeCell ref="BTA11:BTC11"/>
    <mergeCell ref="BSY12:BSZ12"/>
    <mergeCell ref="BTA12:BTC12"/>
    <mergeCell ref="BTB22:BTC22"/>
    <mergeCell ref="BTB23:BTC23"/>
    <mergeCell ref="BTB24:BTC24"/>
    <mergeCell ref="BSY25:BTA25"/>
    <mergeCell ref="BTB25:BTC25"/>
    <mergeCell ref="BTB26:BTC26"/>
    <mergeCell ref="BSY27:BTC27"/>
    <mergeCell ref="BSY28:BTC29"/>
    <mergeCell ref="BSY13:BSZ13"/>
    <mergeCell ref="BTA13:BTC13"/>
    <mergeCell ref="BSY14:BSZ14"/>
    <mergeCell ref="BTA14:BTC14"/>
    <mergeCell ref="BSY15:BTA15"/>
    <mergeCell ref="BTB15:BTC15"/>
    <mergeCell ref="BSY16:BSZ16"/>
    <mergeCell ref="BTA16:BTC16"/>
    <mergeCell ref="BSY17:BSZ17"/>
    <mergeCell ref="BTA17:BTC17"/>
    <mergeCell ref="BSY18:BSZ18"/>
    <mergeCell ref="BTA18:BTC18"/>
    <mergeCell ref="BSY19:BSZ19"/>
    <mergeCell ref="BTA19:BTC19"/>
    <mergeCell ref="BSY20:BSZ20"/>
    <mergeCell ref="BTA20:BTC20"/>
    <mergeCell ref="BTB21:BTC21"/>
    <mergeCell ref="BSO1:BSO2"/>
    <mergeCell ref="BSP1:BSQ2"/>
    <mergeCell ref="BSR1:BSR2"/>
    <mergeCell ref="BSR3:BSS3"/>
    <mergeCell ref="BSR4:BSS4"/>
    <mergeCell ref="BSR5:BSS5"/>
    <mergeCell ref="BSR6:BSS6"/>
    <mergeCell ref="BSR7:BSS7"/>
    <mergeCell ref="BSR8:BSS8"/>
    <mergeCell ref="BSO9:BSQ9"/>
    <mergeCell ref="BSR9:BSS9"/>
    <mergeCell ref="BSO10:BSP10"/>
    <mergeCell ref="BSQ10:BSS10"/>
    <mergeCell ref="BSO11:BSP11"/>
    <mergeCell ref="BSQ11:BSS11"/>
    <mergeCell ref="BSO12:BSP12"/>
    <mergeCell ref="BSQ12:BSS12"/>
    <mergeCell ref="BSR22:BSS22"/>
    <mergeCell ref="BSR23:BSS23"/>
    <mergeCell ref="BSR24:BSS24"/>
    <mergeCell ref="BSO25:BSQ25"/>
    <mergeCell ref="BSR25:BSS25"/>
    <mergeCell ref="BSR26:BSS26"/>
    <mergeCell ref="BSO27:BSS27"/>
    <mergeCell ref="BSO28:BSS29"/>
    <mergeCell ref="BSO13:BSP13"/>
    <mergeCell ref="BSQ13:BSS13"/>
    <mergeCell ref="BSO14:BSP14"/>
    <mergeCell ref="BSQ14:BSS14"/>
    <mergeCell ref="BSO15:BSQ15"/>
    <mergeCell ref="BSR15:BSS15"/>
    <mergeCell ref="BSO16:BSP16"/>
    <mergeCell ref="BSQ16:BSS16"/>
    <mergeCell ref="BSO17:BSP17"/>
    <mergeCell ref="BSQ17:BSS17"/>
    <mergeCell ref="BSO18:BSP18"/>
    <mergeCell ref="BSQ18:BSS18"/>
    <mergeCell ref="BSO19:BSP19"/>
    <mergeCell ref="BSQ19:BSS19"/>
    <mergeCell ref="BSO20:BSP20"/>
    <mergeCell ref="BSQ20:BSS20"/>
    <mergeCell ref="BSR21:BSS21"/>
    <mergeCell ref="BRZ1:BRZ2"/>
    <mergeCell ref="BSA1:BSB2"/>
    <mergeCell ref="BSC1:BSC2"/>
    <mergeCell ref="BSC3:BSD3"/>
    <mergeCell ref="BSC4:BSD4"/>
    <mergeCell ref="BSC5:BSD5"/>
    <mergeCell ref="BSC6:BSD6"/>
    <mergeCell ref="BSC7:BSD7"/>
    <mergeCell ref="BSC8:BSD8"/>
    <mergeCell ref="BRZ9:BSB9"/>
    <mergeCell ref="BSC9:BSD9"/>
    <mergeCell ref="BRZ10:BSA10"/>
    <mergeCell ref="BSB10:BSD10"/>
    <mergeCell ref="BRZ11:BSA11"/>
    <mergeCell ref="BSB11:BSD11"/>
    <mergeCell ref="BRZ12:BSA12"/>
    <mergeCell ref="BSB12:BSD12"/>
    <mergeCell ref="BSC22:BSD22"/>
    <mergeCell ref="BSC23:BSD23"/>
    <mergeCell ref="BSC24:BSD24"/>
    <mergeCell ref="BRZ25:BSB25"/>
    <mergeCell ref="BSC25:BSD25"/>
    <mergeCell ref="BSC26:BSD26"/>
    <mergeCell ref="BRZ27:BSD27"/>
    <mergeCell ref="BRZ28:BSD29"/>
    <mergeCell ref="BRZ13:BSA13"/>
    <mergeCell ref="BSB13:BSD13"/>
    <mergeCell ref="BRZ14:BSA14"/>
    <mergeCell ref="BSB14:BSD14"/>
    <mergeCell ref="BRZ15:BSB15"/>
    <mergeCell ref="BSC15:BSD15"/>
    <mergeCell ref="BRZ16:BSA16"/>
    <mergeCell ref="BSB16:BSD16"/>
    <mergeCell ref="BRZ17:BSA17"/>
    <mergeCell ref="BSB17:BSD17"/>
    <mergeCell ref="BRZ18:BSA18"/>
    <mergeCell ref="BSB18:BSD18"/>
    <mergeCell ref="BRZ19:BSA19"/>
    <mergeCell ref="BSB19:BSD19"/>
    <mergeCell ref="BRZ20:BSA20"/>
    <mergeCell ref="BSB20:BSD20"/>
    <mergeCell ref="BSC21:BSD21"/>
    <mergeCell ref="BRP1:BRP2"/>
    <mergeCell ref="BRQ1:BRR2"/>
    <mergeCell ref="BRS1:BRS2"/>
    <mergeCell ref="BRS3:BRT3"/>
    <mergeCell ref="BRS4:BRT4"/>
    <mergeCell ref="BRS5:BRT5"/>
    <mergeCell ref="BRS6:BRT6"/>
    <mergeCell ref="BRS7:BRT7"/>
    <mergeCell ref="BRS8:BRT8"/>
    <mergeCell ref="BRP9:BRR9"/>
    <mergeCell ref="BRS9:BRT9"/>
    <mergeCell ref="BRP10:BRQ10"/>
    <mergeCell ref="BRR10:BRT10"/>
    <mergeCell ref="BRP11:BRQ11"/>
    <mergeCell ref="BRR11:BRT11"/>
    <mergeCell ref="BRP12:BRQ12"/>
    <mergeCell ref="BRR12:BRT12"/>
    <mergeCell ref="BRS22:BRT22"/>
    <mergeCell ref="BRS23:BRT23"/>
    <mergeCell ref="BRS24:BRT24"/>
    <mergeCell ref="BRP25:BRR25"/>
    <mergeCell ref="BRS25:BRT25"/>
    <mergeCell ref="BRS26:BRT26"/>
    <mergeCell ref="BRP27:BRT27"/>
    <mergeCell ref="BRP28:BRT29"/>
    <mergeCell ref="BRP13:BRQ13"/>
    <mergeCell ref="BRR13:BRT13"/>
    <mergeCell ref="BRP14:BRQ14"/>
    <mergeCell ref="BRR14:BRT14"/>
    <mergeCell ref="BRP15:BRR15"/>
    <mergeCell ref="BRS15:BRT15"/>
    <mergeCell ref="BRP16:BRQ16"/>
    <mergeCell ref="BRR16:BRT16"/>
    <mergeCell ref="BRP17:BRQ17"/>
    <mergeCell ref="BRR17:BRT17"/>
    <mergeCell ref="BRP18:BRQ18"/>
    <mergeCell ref="BRR18:BRT18"/>
    <mergeCell ref="BRP19:BRQ19"/>
    <mergeCell ref="BRR19:BRT19"/>
    <mergeCell ref="BRP20:BRQ20"/>
    <mergeCell ref="BRR20:BRT20"/>
    <mergeCell ref="BRS21:BRT21"/>
    <mergeCell ref="BRF1:BRF2"/>
    <mergeCell ref="BRG1:BRH2"/>
    <mergeCell ref="BRI1:BRI2"/>
    <mergeCell ref="BRI3:BRJ3"/>
    <mergeCell ref="BRI4:BRJ4"/>
    <mergeCell ref="BRI5:BRJ5"/>
    <mergeCell ref="BRI6:BRJ6"/>
    <mergeCell ref="BRI7:BRJ7"/>
    <mergeCell ref="BRI8:BRJ8"/>
    <mergeCell ref="BRF9:BRH9"/>
    <mergeCell ref="BRI9:BRJ9"/>
    <mergeCell ref="BRF10:BRG10"/>
    <mergeCell ref="BRH10:BRJ10"/>
    <mergeCell ref="BRF11:BRG11"/>
    <mergeCell ref="BRH11:BRJ11"/>
    <mergeCell ref="BRF12:BRG12"/>
    <mergeCell ref="BRH12:BRJ12"/>
    <mergeCell ref="BRI22:BRJ22"/>
    <mergeCell ref="BRI23:BRJ23"/>
    <mergeCell ref="BRI24:BRJ24"/>
    <mergeCell ref="BRF25:BRH25"/>
    <mergeCell ref="BRI25:BRJ25"/>
    <mergeCell ref="BRI26:BRJ26"/>
    <mergeCell ref="BRF27:BRJ27"/>
    <mergeCell ref="BRF28:BRJ29"/>
    <mergeCell ref="BRF13:BRG13"/>
    <mergeCell ref="BRH13:BRJ13"/>
    <mergeCell ref="BRF14:BRG14"/>
    <mergeCell ref="BRH14:BRJ14"/>
    <mergeCell ref="BRF15:BRH15"/>
    <mergeCell ref="BRI15:BRJ15"/>
    <mergeCell ref="BRF16:BRG16"/>
    <mergeCell ref="BRH16:BRJ16"/>
    <mergeCell ref="BRF17:BRG17"/>
    <mergeCell ref="BRH17:BRJ17"/>
    <mergeCell ref="BRF18:BRG18"/>
    <mergeCell ref="BRH18:BRJ18"/>
    <mergeCell ref="BRF19:BRG19"/>
    <mergeCell ref="BRH19:BRJ19"/>
    <mergeCell ref="BRF20:BRG20"/>
    <mergeCell ref="BRH20:BRJ20"/>
    <mergeCell ref="BRI21:BRJ21"/>
    <mergeCell ref="BQV1:BQV2"/>
    <mergeCell ref="BQW1:BQX2"/>
    <mergeCell ref="BQY1:BQY2"/>
    <mergeCell ref="BQY3:BQZ3"/>
    <mergeCell ref="BQY4:BQZ4"/>
    <mergeCell ref="BQY5:BQZ5"/>
    <mergeCell ref="BQY6:BQZ6"/>
    <mergeCell ref="BQY7:BQZ7"/>
    <mergeCell ref="BQY8:BQZ8"/>
    <mergeCell ref="BQV9:BQX9"/>
    <mergeCell ref="BQY9:BQZ9"/>
    <mergeCell ref="BQV10:BQW10"/>
    <mergeCell ref="BQX10:BQZ10"/>
    <mergeCell ref="BQV11:BQW11"/>
    <mergeCell ref="BQX11:BQZ11"/>
    <mergeCell ref="BQV12:BQW12"/>
    <mergeCell ref="BQX12:BQZ12"/>
    <mergeCell ref="BQY22:BQZ22"/>
    <mergeCell ref="BQY23:BQZ23"/>
    <mergeCell ref="BQY24:BQZ24"/>
    <mergeCell ref="BQV25:BQX25"/>
    <mergeCell ref="BQY25:BQZ25"/>
    <mergeCell ref="BQY26:BQZ26"/>
    <mergeCell ref="BQV27:BQZ27"/>
    <mergeCell ref="BQV28:BQZ29"/>
    <mergeCell ref="BQV13:BQW13"/>
    <mergeCell ref="BQX13:BQZ13"/>
    <mergeCell ref="BQV14:BQW14"/>
    <mergeCell ref="BQX14:BQZ14"/>
    <mergeCell ref="BQV15:BQX15"/>
    <mergeCell ref="BQY15:BQZ15"/>
    <mergeCell ref="BQV16:BQW16"/>
    <mergeCell ref="BQX16:BQZ16"/>
    <mergeCell ref="BQV17:BQW17"/>
    <mergeCell ref="BQX17:BQZ17"/>
    <mergeCell ref="BQV18:BQW18"/>
    <mergeCell ref="BQX18:BQZ18"/>
    <mergeCell ref="BQV19:BQW19"/>
    <mergeCell ref="BQX19:BQZ19"/>
    <mergeCell ref="BQV20:BQW20"/>
    <mergeCell ref="BQX20:BQZ20"/>
    <mergeCell ref="BQY21:BQZ21"/>
    <mergeCell ref="BQL1:BQL2"/>
    <mergeCell ref="BQM1:BQN2"/>
    <mergeCell ref="BQO1:BQO2"/>
    <mergeCell ref="BQO3:BQP3"/>
    <mergeCell ref="BQO4:BQP4"/>
    <mergeCell ref="BQO5:BQP5"/>
    <mergeCell ref="BQO6:BQP6"/>
    <mergeCell ref="BQO7:BQP7"/>
    <mergeCell ref="BQO8:BQP8"/>
    <mergeCell ref="BQL9:BQN9"/>
    <mergeCell ref="BQO9:BQP9"/>
    <mergeCell ref="BQL10:BQM10"/>
    <mergeCell ref="BQN10:BQP10"/>
    <mergeCell ref="BQL11:BQM11"/>
    <mergeCell ref="BQN11:BQP11"/>
    <mergeCell ref="BQL12:BQM12"/>
    <mergeCell ref="BQN12:BQP12"/>
    <mergeCell ref="BQO22:BQP22"/>
    <mergeCell ref="BQO23:BQP23"/>
    <mergeCell ref="BQO24:BQP24"/>
    <mergeCell ref="BQL25:BQN25"/>
    <mergeCell ref="BQO25:BQP25"/>
    <mergeCell ref="BQO26:BQP26"/>
    <mergeCell ref="BQL27:BQP27"/>
    <mergeCell ref="BQL28:BQP29"/>
    <mergeCell ref="BQL13:BQM13"/>
    <mergeCell ref="BQN13:BQP13"/>
    <mergeCell ref="BQL14:BQM14"/>
    <mergeCell ref="BQN14:BQP14"/>
    <mergeCell ref="BQL15:BQN15"/>
    <mergeCell ref="BQO15:BQP15"/>
    <mergeCell ref="BQL16:BQM16"/>
    <mergeCell ref="BQN16:BQP16"/>
    <mergeCell ref="BQL17:BQM17"/>
    <mergeCell ref="BQN17:BQP17"/>
    <mergeCell ref="BQL18:BQM18"/>
    <mergeCell ref="BQN18:BQP18"/>
    <mergeCell ref="BQL19:BQM19"/>
    <mergeCell ref="BQN19:BQP19"/>
    <mergeCell ref="BQL20:BQM20"/>
    <mergeCell ref="BQN20:BQP20"/>
    <mergeCell ref="BQO21:BQP21"/>
    <mergeCell ref="BQB1:BQB2"/>
    <mergeCell ref="BQC1:BQD2"/>
    <mergeCell ref="BQE1:BQE2"/>
    <mergeCell ref="BQE3:BQF3"/>
    <mergeCell ref="BQE4:BQF4"/>
    <mergeCell ref="BQE5:BQF5"/>
    <mergeCell ref="BQE6:BQF6"/>
    <mergeCell ref="BQE7:BQF7"/>
    <mergeCell ref="BQE8:BQF8"/>
    <mergeCell ref="BQB9:BQD9"/>
    <mergeCell ref="BQE9:BQF9"/>
    <mergeCell ref="BQB10:BQC10"/>
    <mergeCell ref="BQD10:BQF10"/>
    <mergeCell ref="BQB11:BQC11"/>
    <mergeCell ref="BQD11:BQF11"/>
    <mergeCell ref="BQB12:BQC12"/>
    <mergeCell ref="BQD12:BQF12"/>
    <mergeCell ref="BQE22:BQF22"/>
    <mergeCell ref="BQE23:BQF23"/>
    <mergeCell ref="BQE24:BQF24"/>
    <mergeCell ref="BQB25:BQD25"/>
    <mergeCell ref="BQE25:BQF25"/>
    <mergeCell ref="BQE26:BQF26"/>
    <mergeCell ref="BQB27:BQF27"/>
    <mergeCell ref="BQB28:BQF29"/>
    <mergeCell ref="BQB13:BQC13"/>
    <mergeCell ref="BQD13:BQF13"/>
    <mergeCell ref="BQB14:BQC14"/>
    <mergeCell ref="BQD14:BQF14"/>
    <mergeCell ref="BQB15:BQD15"/>
    <mergeCell ref="BQE15:BQF15"/>
    <mergeCell ref="BQB16:BQC16"/>
    <mergeCell ref="BQD16:BQF16"/>
    <mergeCell ref="BQB17:BQC17"/>
    <mergeCell ref="BQD17:BQF17"/>
    <mergeCell ref="BQB18:BQC18"/>
    <mergeCell ref="BQD18:BQF18"/>
    <mergeCell ref="BQB19:BQC19"/>
    <mergeCell ref="BQD19:BQF19"/>
    <mergeCell ref="BQB20:BQC20"/>
    <mergeCell ref="BQD20:BQF20"/>
    <mergeCell ref="BQE21:BQF21"/>
    <mergeCell ref="BPH1:BPH2"/>
    <mergeCell ref="BPI1:BPJ2"/>
    <mergeCell ref="BPK1:BPK2"/>
    <mergeCell ref="BPK3:BPL3"/>
    <mergeCell ref="BPK4:BPL4"/>
    <mergeCell ref="BPK5:BPL5"/>
    <mergeCell ref="BPK6:BPL6"/>
    <mergeCell ref="BPK7:BPL7"/>
    <mergeCell ref="BPK8:BPL8"/>
    <mergeCell ref="BPH9:BPJ9"/>
    <mergeCell ref="BPK9:BPL9"/>
    <mergeCell ref="BPH10:BPI10"/>
    <mergeCell ref="BPJ10:BPL10"/>
    <mergeCell ref="BPH11:BPI11"/>
    <mergeCell ref="BPJ11:BPL11"/>
    <mergeCell ref="BPH12:BPI12"/>
    <mergeCell ref="BPJ12:BPL12"/>
    <mergeCell ref="BPK22:BPL22"/>
    <mergeCell ref="BPK23:BPL23"/>
    <mergeCell ref="BPK24:BPL24"/>
    <mergeCell ref="BPH25:BPJ25"/>
    <mergeCell ref="BPK25:BPL25"/>
    <mergeCell ref="BPK26:BPL26"/>
    <mergeCell ref="BPH27:BPL27"/>
    <mergeCell ref="BPH28:BPL29"/>
    <mergeCell ref="BPH13:BPI13"/>
    <mergeCell ref="BPJ13:BPL13"/>
    <mergeCell ref="BPH14:BPI14"/>
    <mergeCell ref="BPJ14:BPL14"/>
    <mergeCell ref="BPH15:BPJ15"/>
    <mergeCell ref="BPK15:BPL15"/>
    <mergeCell ref="BPH16:BPI16"/>
    <mergeCell ref="BPJ16:BPL16"/>
    <mergeCell ref="BPH17:BPI17"/>
    <mergeCell ref="BPJ17:BPL17"/>
    <mergeCell ref="BPH18:BPI18"/>
    <mergeCell ref="BPJ18:BPL18"/>
    <mergeCell ref="BPH19:BPI19"/>
    <mergeCell ref="BPJ19:BPL19"/>
    <mergeCell ref="BPH20:BPI20"/>
    <mergeCell ref="BPJ20:BPL20"/>
    <mergeCell ref="BPK21:BPL21"/>
    <mergeCell ref="BOX1:BOX2"/>
    <mergeCell ref="BOY1:BOZ2"/>
    <mergeCell ref="BPA1:BPA2"/>
    <mergeCell ref="BPA3:BPB3"/>
    <mergeCell ref="BPA4:BPB4"/>
    <mergeCell ref="BPA5:BPB5"/>
    <mergeCell ref="BPA6:BPB6"/>
    <mergeCell ref="BPA7:BPB7"/>
    <mergeCell ref="BPA8:BPB8"/>
    <mergeCell ref="BOX9:BOZ9"/>
    <mergeCell ref="BPA9:BPB9"/>
    <mergeCell ref="BOX10:BOY10"/>
    <mergeCell ref="BOZ10:BPB10"/>
    <mergeCell ref="BOX11:BOY11"/>
    <mergeCell ref="BOZ11:BPB11"/>
    <mergeCell ref="BOX12:BOY12"/>
    <mergeCell ref="BOZ12:BPB12"/>
    <mergeCell ref="BPA22:BPB22"/>
    <mergeCell ref="BPA23:BPB23"/>
    <mergeCell ref="BPA24:BPB24"/>
    <mergeCell ref="BOX25:BOZ25"/>
    <mergeCell ref="BPA25:BPB25"/>
    <mergeCell ref="BPA26:BPB26"/>
    <mergeCell ref="BOX27:BPB27"/>
    <mergeCell ref="BOX28:BPB29"/>
    <mergeCell ref="BOX13:BOY13"/>
    <mergeCell ref="BOZ13:BPB13"/>
    <mergeCell ref="BOX14:BOY14"/>
    <mergeCell ref="BOZ14:BPB14"/>
    <mergeCell ref="BOX15:BOZ15"/>
    <mergeCell ref="BPA15:BPB15"/>
    <mergeCell ref="BOX16:BOY16"/>
    <mergeCell ref="BOZ16:BPB16"/>
    <mergeCell ref="BOX17:BOY17"/>
    <mergeCell ref="BOZ17:BPB17"/>
    <mergeCell ref="BOX18:BOY18"/>
    <mergeCell ref="BOZ18:BPB18"/>
    <mergeCell ref="BOX19:BOY19"/>
    <mergeCell ref="BOZ19:BPB19"/>
    <mergeCell ref="BOX20:BOY20"/>
    <mergeCell ref="BOZ20:BPB20"/>
    <mergeCell ref="BPA21:BPB21"/>
    <mergeCell ref="BON1:BON2"/>
    <mergeCell ref="BOO1:BOP2"/>
    <mergeCell ref="BOQ1:BOQ2"/>
    <mergeCell ref="BOQ3:BOR3"/>
    <mergeCell ref="BOQ4:BOR4"/>
    <mergeCell ref="BOQ5:BOR5"/>
    <mergeCell ref="BOQ6:BOR6"/>
    <mergeCell ref="BOQ7:BOR7"/>
    <mergeCell ref="BOQ8:BOR8"/>
    <mergeCell ref="BON9:BOP9"/>
    <mergeCell ref="BOQ9:BOR9"/>
    <mergeCell ref="BON10:BOO10"/>
    <mergeCell ref="BOP10:BOR10"/>
    <mergeCell ref="BON11:BOO11"/>
    <mergeCell ref="BOP11:BOR11"/>
    <mergeCell ref="BON12:BOO12"/>
    <mergeCell ref="BOP12:BOR12"/>
    <mergeCell ref="BOQ22:BOR22"/>
    <mergeCell ref="BOQ23:BOR23"/>
    <mergeCell ref="BOQ24:BOR24"/>
    <mergeCell ref="BON25:BOP25"/>
    <mergeCell ref="BOQ25:BOR25"/>
    <mergeCell ref="BOQ26:BOR26"/>
    <mergeCell ref="BON27:BOR27"/>
    <mergeCell ref="BON28:BOR29"/>
    <mergeCell ref="BON13:BOO13"/>
    <mergeCell ref="BOP13:BOR13"/>
    <mergeCell ref="BON14:BOO14"/>
    <mergeCell ref="BOP14:BOR14"/>
    <mergeCell ref="BON15:BOP15"/>
    <mergeCell ref="BOQ15:BOR15"/>
    <mergeCell ref="BON16:BOO16"/>
    <mergeCell ref="BOP16:BOR16"/>
    <mergeCell ref="BON17:BOO17"/>
    <mergeCell ref="BOP17:BOR17"/>
    <mergeCell ref="BON18:BOO18"/>
    <mergeCell ref="BOP18:BOR18"/>
    <mergeCell ref="BON19:BOO19"/>
    <mergeCell ref="BOP19:BOR19"/>
    <mergeCell ref="BON20:BOO20"/>
    <mergeCell ref="BOP20:BOR20"/>
    <mergeCell ref="BOQ21:BOR21"/>
    <mergeCell ref="BNT1:BNT2"/>
    <mergeCell ref="BNU1:BNV2"/>
    <mergeCell ref="BNW1:BNW2"/>
    <mergeCell ref="BNW3:BNX3"/>
    <mergeCell ref="BNW4:BNX4"/>
    <mergeCell ref="BNW5:BNX5"/>
    <mergeCell ref="BNW6:BNX6"/>
    <mergeCell ref="BNW7:BNX7"/>
    <mergeCell ref="BNW8:BNX8"/>
    <mergeCell ref="BNT9:BNV9"/>
    <mergeCell ref="BNW9:BNX9"/>
    <mergeCell ref="BNT10:BNU10"/>
    <mergeCell ref="BNV10:BNX10"/>
    <mergeCell ref="BNT11:BNU11"/>
    <mergeCell ref="BNV11:BNX11"/>
    <mergeCell ref="BNT12:BNU12"/>
    <mergeCell ref="BNV12:BNX12"/>
    <mergeCell ref="BNW22:BNX22"/>
    <mergeCell ref="BNW23:BNX23"/>
    <mergeCell ref="BNW24:BNX24"/>
    <mergeCell ref="BNT25:BNV25"/>
    <mergeCell ref="BNW25:BNX25"/>
    <mergeCell ref="BNW26:BNX26"/>
    <mergeCell ref="BNT27:BNX27"/>
    <mergeCell ref="BNT28:BNX29"/>
    <mergeCell ref="BNT13:BNU13"/>
    <mergeCell ref="BNV13:BNX13"/>
    <mergeCell ref="BNT14:BNU14"/>
    <mergeCell ref="BNV14:BNX14"/>
    <mergeCell ref="BNT15:BNV15"/>
    <mergeCell ref="BNW15:BNX15"/>
    <mergeCell ref="BNT16:BNU16"/>
    <mergeCell ref="BNV16:BNX16"/>
    <mergeCell ref="BNT17:BNU17"/>
    <mergeCell ref="BNV17:BNX17"/>
    <mergeCell ref="BNT18:BNU18"/>
    <mergeCell ref="BNV18:BNX18"/>
    <mergeCell ref="BNT19:BNU19"/>
    <mergeCell ref="BNV19:BNX19"/>
    <mergeCell ref="BNT20:BNU20"/>
    <mergeCell ref="BNV20:BNX20"/>
    <mergeCell ref="BNW21:BNX21"/>
    <mergeCell ref="BNO1:BNO2"/>
    <mergeCell ref="BNP1:BNQ2"/>
    <mergeCell ref="BNR1:BNR2"/>
    <mergeCell ref="BNR3:BNS3"/>
    <mergeCell ref="BNR4:BNS4"/>
    <mergeCell ref="BNR5:BNS5"/>
    <mergeCell ref="BNR6:BNS6"/>
    <mergeCell ref="BNR7:BNS7"/>
    <mergeCell ref="BNR8:BNS8"/>
    <mergeCell ref="BNO9:BNQ9"/>
    <mergeCell ref="BNR9:BNS9"/>
    <mergeCell ref="BNO10:BNP10"/>
    <mergeCell ref="BNQ10:BNS10"/>
    <mergeCell ref="BNO11:BNP11"/>
    <mergeCell ref="BNQ11:BNS11"/>
    <mergeCell ref="BNO12:BNP12"/>
    <mergeCell ref="BNQ12:BNS12"/>
    <mergeCell ref="BNR22:BNS22"/>
    <mergeCell ref="BNR23:BNS23"/>
    <mergeCell ref="BNR24:BNS24"/>
    <mergeCell ref="BNO25:BNQ25"/>
    <mergeCell ref="BNR25:BNS25"/>
    <mergeCell ref="BNR26:BNS26"/>
    <mergeCell ref="BNO27:BNS27"/>
    <mergeCell ref="BNO28:BNS29"/>
    <mergeCell ref="BNO13:BNP13"/>
    <mergeCell ref="BNQ13:BNS13"/>
    <mergeCell ref="BNO14:BNP14"/>
    <mergeCell ref="BNQ14:BNS14"/>
    <mergeCell ref="BNO15:BNQ15"/>
    <mergeCell ref="BNR15:BNS15"/>
    <mergeCell ref="BNO16:BNP16"/>
    <mergeCell ref="BNQ16:BNS16"/>
    <mergeCell ref="BNO17:BNP17"/>
    <mergeCell ref="BNQ17:BNS17"/>
    <mergeCell ref="BNO18:BNP18"/>
    <mergeCell ref="BNQ18:BNS18"/>
    <mergeCell ref="BNO19:BNP19"/>
    <mergeCell ref="BNQ19:BNS19"/>
    <mergeCell ref="BNO20:BNP20"/>
    <mergeCell ref="BNQ20:BNS20"/>
    <mergeCell ref="BNR21:BNS21"/>
    <mergeCell ref="BNE1:BNE2"/>
    <mergeCell ref="BNF1:BNG2"/>
    <mergeCell ref="BNH1:BNH2"/>
    <mergeCell ref="BNH3:BNI3"/>
    <mergeCell ref="BNH4:BNI4"/>
    <mergeCell ref="BNH5:BNI5"/>
    <mergeCell ref="BNH6:BNI6"/>
    <mergeCell ref="BNH7:BNI7"/>
    <mergeCell ref="BNH8:BNI8"/>
    <mergeCell ref="BNE9:BNG9"/>
    <mergeCell ref="BNH9:BNI9"/>
    <mergeCell ref="BNE10:BNF10"/>
    <mergeCell ref="BNG10:BNI10"/>
    <mergeCell ref="BNE11:BNF11"/>
    <mergeCell ref="BNG11:BNI11"/>
    <mergeCell ref="BNE12:BNF12"/>
    <mergeCell ref="BNG12:BNI12"/>
    <mergeCell ref="BNH22:BNI22"/>
    <mergeCell ref="BNH23:BNI23"/>
    <mergeCell ref="BNH24:BNI24"/>
    <mergeCell ref="BNE25:BNG25"/>
    <mergeCell ref="BNH25:BNI25"/>
    <mergeCell ref="BNH26:BNI26"/>
    <mergeCell ref="BNE27:BNI27"/>
    <mergeCell ref="BNE28:BNI29"/>
    <mergeCell ref="BNE13:BNF13"/>
    <mergeCell ref="BNG13:BNI13"/>
    <mergeCell ref="BNE14:BNF14"/>
    <mergeCell ref="BNG14:BNI14"/>
    <mergeCell ref="BNE15:BNG15"/>
    <mergeCell ref="BNH15:BNI15"/>
    <mergeCell ref="BNE16:BNF16"/>
    <mergeCell ref="BNG16:BNI16"/>
    <mergeCell ref="BNE17:BNF17"/>
    <mergeCell ref="BNG17:BNI17"/>
    <mergeCell ref="BNE18:BNF18"/>
    <mergeCell ref="BNG18:BNI18"/>
    <mergeCell ref="BNE19:BNF19"/>
    <mergeCell ref="BNG19:BNI19"/>
    <mergeCell ref="BNE20:BNF20"/>
    <mergeCell ref="BNG20:BNI20"/>
    <mergeCell ref="BNH21:BNI21"/>
    <mergeCell ref="BMZ1:BMZ2"/>
    <mergeCell ref="BNA1:BNB2"/>
    <mergeCell ref="BNC1:BNC2"/>
    <mergeCell ref="BNC3:BND3"/>
    <mergeCell ref="BNC4:BND4"/>
    <mergeCell ref="BNC5:BND5"/>
    <mergeCell ref="BNC6:BND6"/>
    <mergeCell ref="BNC7:BND7"/>
    <mergeCell ref="BNC8:BND8"/>
    <mergeCell ref="BMZ9:BNB9"/>
    <mergeCell ref="BNC9:BND9"/>
    <mergeCell ref="BMZ10:BNA10"/>
    <mergeCell ref="BNB10:BND10"/>
    <mergeCell ref="BMZ11:BNA11"/>
    <mergeCell ref="BNB11:BND11"/>
    <mergeCell ref="BMZ12:BNA12"/>
    <mergeCell ref="BNB12:BND12"/>
    <mergeCell ref="BNC22:BND22"/>
    <mergeCell ref="BNC23:BND23"/>
    <mergeCell ref="BNC24:BND24"/>
    <mergeCell ref="BMZ25:BNB25"/>
    <mergeCell ref="BNC25:BND25"/>
    <mergeCell ref="BNC26:BND26"/>
    <mergeCell ref="BMZ27:BND27"/>
    <mergeCell ref="BMZ28:BND29"/>
    <mergeCell ref="BMZ13:BNA13"/>
    <mergeCell ref="BNB13:BND13"/>
    <mergeCell ref="BMZ14:BNA14"/>
    <mergeCell ref="BNB14:BND14"/>
    <mergeCell ref="BMZ15:BNB15"/>
    <mergeCell ref="BNC15:BND15"/>
    <mergeCell ref="BMZ16:BNA16"/>
    <mergeCell ref="BNB16:BND16"/>
    <mergeCell ref="BMZ17:BNA17"/>
    <mergeCell ref="BNB17:BND17"/>
    <mergeCell ref="BMZ18:BNA18"/>
    <mergeCell ref="BNB18:BND18"/>
    <mergeCell ref="BMZ19:BNA19"/>
    <mergeCell ref="BNB19:BND19"/>
    <mergeCell ref="BMZ20:BNA20"/>
    <mergeCell ref="BNB20:BND20"/>
    <mergeCell ref="BNC21:BND21"/>
    <mergeCell ref="BMP1:BMP2"/>
    <mergeCell ref="BMQ1:BMR2"/>
    <mergeCell ref="BMS1:BMS2"/>
    <mergeCell ref="BMS3:BMT3"/>
    <mergeCell ref="BMS4:BMT4"/>
    <mergeCell ref="BMS5:BMT5"/>
    <mergeCell ref="BMS6:BMT6"/>
    <mergeCell ref="BMS7:BMT7"/>
    <mergeCell ref="BMS8:BMT8"/>
    <mergeCell ref="BMP9:BMR9"/>
    <mergeCell ref="BMS9:BMT9"/>
    <mergeCell ref="BMP10:BMQ10"/>
    <mergeCell ref="BMR10:BMT10"/>
    <mergeCell ref="BMP11:BMQ11"/>
    <mergeCell ref="BMR11:BMT11"/>
    <mergeCell ref="BMP12:BMQ12"/>
    <mergeCell ref="BMR12:BMT12"/>
    <mergeCell ref="BMS22:BMT22"/>
    <mergeCell ref="BMS23:BMT23"/>
    <mergeCell ref="BMS24:BMT24"/>
    <mergeCell ref="BMP25:BMR25"/>
    <mergeCell ref="BMS25:BMT25"/>
    <mergeCell ref="BMS26:BMT26"/>
    <mergeCell ref="BMP27:BMT27"/>
    <mergeCell ref="BMP28:BMT29"/>
    <mergeCell ref="BMP13:BMQ13"/>
    <mergeCell ref="BMR13:BMT13"/>
    <mergeCell ref="BMP14:BMQ14"/>
    <mergeCell ref="BMR14:BMT14"/>
    <mergeCell ref="BMP15:BMR15"/>
    <mergeCell ref="BMS15:BMT15"/>
    <mergeCell ref="BMP16:BMQ16"/>
    <mergeCell ref="BMR16:BMT16"/>
    <mergeCell ref="BMP17:BMQ17"/>
    <mergeCell ref="BMR17:BMT17"/>
    <mergeCell ref="BMP18:BMQ18"/>
    <mergeCell ref="BMR18:BMT18"/>
    <mergeCell ref="BMP19:BMQ19"/>
    <mergeCell ref="BMR19:BMT19"/>
    <mergeCell ref="BMP20:BMQ20"/>
    <mergeCell ref="BMR20:BMT20"/>
    <mergeCell ref="BMS21:BMT21"/>
    <mergeCell ref="BMK1:BMK2"/>
    <mergeCell ref="BML1:BMM2"/>
    <mergeCell ref="BMN1:BMN2"/>
    <mergeCell ref="BMN3:BMO3"/>
    <mergeCell ref="BMN4:BMO4"/>
    <mergeCell ref="BMN5:BMO5"/>
    <mergeCell ref="BMN6:BMO6"/>
    <mergeCell ref="BMN7:BMO7"/>
    <mergeCell ref="BMN8:BMO8"/>
    <mergeCell ref="BMK9:BMM9"/>
    <mergeCell ref="BMN9:BMO9"/>
    <mergeCell ref="BMK10:BML10"/>
    <mergeCell ref="BMM10:BMO10"/>
    <mergeCell ref="BMK11:BML11"/>
    <mergeCell ref="BMM11:BMO11"/>
    <mergeCell ref="BMK12:BML12"/>
    <mergeCell ref="BMM12:BMO12"/>
    <mergeCell ref="BMN22:BMO22"/>
    <mergeCell ref="BMN23:BMO23"/>
    <mergeCell ref="BMN24:BMO24"/>
    <mergeCell ref="BMK25:BMM25"/>
    <mergeCell ref="BMN25:BMO25"/>
    <mergeCell ref="BMN26:BMO26"/>
    <mergeCell ref="BMK27:BMO27"/>
    <mergeCell ref="BMK28:BMO29"/>
    <mergeCell ref="BMK13:BML13"/>
    <mergeCell ref="BMM13:BMO13"/>
    <mergeCell ref="BMK14:BML14"/>
    <mergeCell ref="BMM14:BMO14"/>
    <mergeCell ref="BMK15:BMM15"/>
    <mergeCell ref="BMN15:BMO15"/>
    <mergeCell ref="BMK16:BML16"/>
    <mergeCell ref="BMM16:BMO16"/>
    <mergeCell ref="BMK17:BML17"/>
    <mergeCell ref="BMM17:BMO17"/>
    <mergeCell ref="BMK18:BML18"/>
    <mergeCell ref="BMM18:BMO18"/>
    <mergeCell ref="BMK19:BML19"/>
    <mergeCell ref="BMM19:BMO19"/>
    <mergeCell ref="BMK20:BML20"/>
    <mergeCell ref="BMM20:BMO20"/>
    <mergeCell ref="BMN21:BMO21"/>
    <mergeCell ref="BMA1:BMA2"/>
    <mergeCell ref="BMB1:BMC2"/>
    <mergeCell ref="BMD1:BMD2"/>
    <mergeCell ref="BMD3:BME3"/>
    <mergeCell ref="BMD4:BME4"/>
    <mergeCell ref="BMD5:BME5"/>
    <mergeCell ref="BMD6:BME6"/>
    <mergeCell ref="BMD7:BME7"/>
    <mergeCell ref="BMD8:BME8"/>
    <mergeCell ref="BMA9:BMC9"/>
    <mergeCell ref="BMD9:BME9"/>
    <mergeCell ref="BMA10:BMB10"/>
    <mergeCell ref="BMC10:BME10"/>
    <mergeCell ref="BMA11:BMB11"/>
    <mergeCell ref="BMC11:BME11"/>
    <mergeCell ref="BMA12:BMB12"/>
    <mergeCell ref="BMC12:BME12"/>
    <mergeCell ref="BMD22:BME22"/>
    <mergeCell ref="BMD23:BME23"/>
    <mergeCell ref="BMD24:BME24"/>
    <mergeCell ref="BMA25:BMC25"/>
    <mergeCell ref="BMD25:BME25"/>
    <mergeCell ref="BMD26:BME26"/>
    <mergeCell ref="BMA27:BME27"/>
    <mergeCell ref="BMA28:BME29"/>
    <mergeCell ref="BMA13:BMB13"/>
    <mergeCell ref="BMC13:BME13"/>
    <mergeCell ref="BMA14:BMB14"/>
    <mergeCell ref="BMC14:BME14"/>
    <mergeCell ref="BMA15:BMC15"/>
    <mergeCell ref="BMD15:BME15"/>
    <mergeCell ref="BMA16:BMB16"/>
    <mergeCell ref="BMC16:BME16"/>
    <mergeCell ref="BMA17:BMB17"/>
    <mergeCell ref="BMC17:BME17"/>
    <mergeCell ref="BMA18:BMB18"/>
    <mergeCell ref="BMC18:BME18"/>
    <mergeCell ref="BMA19:BMB19"/>
    <mergeCell ref="BMC19:BME19"/>
    <mergeCell ref="BMA20:BMB20"/>
    <mergeCell ref="BMC20:BME20"/>
    <mergeCell ref="BMD21:BME21"/>
    <mergeCell ref="BLV1:BLV2"/>
    <mergeCell ref="BLW1:BLX2"/>
    <mergeCell ref="BLY1:BLY2"/>
    <mergeCell ref="BLY3:BLZ3"/>
    <mergeCell ref="BLY4:BLZ4"/>
    <mergeCell ref="BLY5:BLZ5"/>
    <mergeCell ref="BLY6:BLZ6"/>
    <mergeCell ref="BLY7:BLZ7"/>
    <mergeCell ref="BLY8:BLZ8"/>
    <mergeCell ref="BLV9:BLX9"/>
    <mergeCell ref="BLY9:BLZ9"/>
    <mergeCell ref="BLV10:BLW10"/>
    <mergeCell ref="BLX10:BLZ10"/>
    <mergeCell ref="BLV11:BLW11"/>
    <mergeCell ref="BLX11:BLZ11"/>
    <mergeCell ref="BLV12:BLW12"/>
    <mergeCell ref="BLX12:BLZ12"/>
    <mergeCell ref="BLY22:BLZ22"/>
    <mergeCell ref="BLY23:BLZ23"/>
    <mergeCell ref="BLY24:BLZ24"/>
    <mergeCell ref="BLV25:BLX25"/>
    <mergeCell ref="BLY25:BLZ25"/>
    <mergeCell ref="BLY26:BLZ26"/>
    <mergeCell ref="BLV27:BLZ27"/>
    <mergeCell ref="BLV28:BLZ29"/>
    <mergeCell ref="BLV13:BLW13"/>
    <mergeCell ref="BLX13:BLZ13"/>
    <mergeCell ref="BLV14:BLW14"/>
    <mergeCell ref="BLX14:BLZ14"/>
    <mergeCell ref="BLV15:BLX15"/>
    <mergeCell ref="BLY15:BLZ15"/>
    <mergeCell ref="BLV16:BLW16"/>
    <mergeCell ref="BLX16:BLZ16"/>
    <mergeCell ref="BLV17:BLW17"/>
    <mergeCell ref="BLX17:BLZ17"/>
    <mergeCell ref="BLV18:BLW18"/>
    <mergeCell ref="BLX18:BLZ18"/>
    <mergeCell ref="BLV19:BLW19"/>
    <mergeCell ref="BLX19:BLZ19"/>
    <mergeCell ref="BLV20:BLW20"/>
    <mergeCell ref="BLX20:BLZ20"/>
    <mergeCell ref="BLY21:BLZ21"/>
    <mergeCell ref="BLL1:BLL2"/>
    <mergeCell ref="BLM1:BLN2"/>
    <mergeCell ref="BLO1:BLO2"/>
    <mergeCell ref="BLO3:BLP3"/>
    <mergeCell ref="BLO4:BLP4"/>
    <mergeCell ref="BLO5:BLP5"/>
    <mergeCell ref="BLO6:BLP6"/>
    <mergeCell ref="BLO7:BLP7"/>
    <mergeCell ref="BLO8:BLP8"/>
    <mergeCell ref="BLL9:BLN9"/>
    <mergeCell ref="BLO9:BLP9"/>
    <mergeCell ref="BLL10:BLM10"/>
    <mergeCell ref="BLN10:BLP10"/>
    <mergeCell ref="BLL11:BLM11"/>
    <mergeCell ref="BLN11:BLP11"/>
    <mergeCell ref="BLL12:BLM12"/>
    <mergeCell ref="BLN12:BLP12"/>
    <mergeCell ref="BLO22:BLP22"/>
    <mergeCell ref="BLO23:BLP23"/>
    <mergeCell ref="BLO24:BLP24"/>
    <mergeCell ref="BLL25:BLN25"/>
    <mergeCell ref="BLO25:BLP25"/>
    <mergeCell ref="BLO26:BLP26"/>
    <mergeCell ref="BLL27:BLP27"/>
    <mergeCell ref="BLL28:BLP29"/>
    <mergeCell ref="BLL13:BLM13"/>
    <mergeCell ref="BLN13:BLP13"/>
    <mergeCell ref="BLL14:BLM14"/>
    <mergeCell ref="BLN14:BLP14"/>
    <mergeCell ref="BLL15:BLN15"/>
    <mergeCell ref="BLO15:BLP15"/>
    <mergeCell ref="BLL16:BLM16"/>
    <mergeCell ref="BLN16:BLP16"/>
    <mergeCell ref="BLL17:BLM17"/>
    <mergeCell ref="BLN17:BLP17"/>
    <mergeCell ref="BLL18:BLM18"/>
    <mergeCell ref="BLN18:BLP18"/>
    <mergeCell ref="BLL19:BLM19"/>
    <mergeCell ref="BLN19:BLP19"/>
    <mergeCell ref="BLL20:BLM20"/>
    <mergeCell ref="BLN20:BLP20"/>
    <mergeCell ref="BLO21:BLP21"/>
    <mergeCell ref="BLG1:BLG2"/>
    <mergeCell ref="BLH1:BLI2"/>
    <mergeCell ref="BLJ1:BLJ2"/>
    <mergeCell ref="BLJ3:BLK3"/>
    <mergeCell ref="BLJ4:BLK4"/>
    <mergeCell ref="BLJ5:BLK5"/>
    <mergeCell ref="BLJ6:BLK6"/>
    <mergeCell ref="BLJ7:BLK7"/>
    <mergeCell ref="BLJ8:BLK8"/>
    <mergeCell ref="BLG9:BLI9"/>
    <mergeCell ref="BLJ9:BLK9"/>
    <mergeCell ref="BLG10:BLH10"/>
    <mergeCell ref="BLI10:BLK10"/>
    <mergeCell ref="BLG11:BLH11"/>
    <mergeCell ref="BLI11:BLK11"/>
    <mergeCell ref="BLG12:BLH12"/>
    <mergeCell ref="BLI12:BLK12"/>
    <mergeCell ref="BLJ22:BLK22"/>
    <mergeCell ref="BLJ23:BLK23"/>
    <mergeCell ref="BLJ24:BLK24"/>
    <mergeCell ref="BLG25:BLI25"/>
    <mergeCell ref="BLJ25:BLK25"/>
    <mergeCell ref="BLJ26:BLK26"/>
    <mergeCell ref="BLG27:BLK27"/>
    <mergeCell ref="BLG28:BLK29"/>
    <mergeCell ref="BLG13:BLH13"/>
    <mergeCell ref="BLI13:BLK13"/>
    <mergeCell ref="BLG14:BLH14"/>
    <mergeCell ref="BLI14:BLK14"/>
    <mergeCell ref="BLG15:BLI15"/>
    <mergeCell ref="BLJ15:BLK15"/>
    <mergeCell ref="BLG16:BLH16"/>
    <mergeCell ref="BLI16:BLK16"/>
    <mergeCell ref="BLG17:BLH17"/>
    <mergeCell ref="BLI17:BLK17"/>
    <mergeCell ref="BLG18:BLH18"/>
    <mergeCell ref="BLI18:BLK18"/>
    <mergeCell ref="BLG19:BLH19"/>
    <mergeCell ref="BLI19:BLK19"/>
    <mergeCell ref="BLG20:BLH20"/>
    <mergeCell ref="BLI20:BLK20"/>
    <mergeCell ref="BLJ21:BLK21"/>
    <mergeCell ref="BKM20:BKN20"/>
    <mergeCell ref="BKO20:BKQ20"/>
    <mergeCell ref="BKP21:BKQ21"/>
    <mergeCell ref="BKW1:BKW2"/>
    <mergeCell ref="BKX1:BKY2"/>
    <mergeCell ref="BKZ1:BKZ2"/>
    <mergeCell ref="BKZ3:BLA3"/>
    <mergeCell ref="BKZ4:BLA4"/>
    <mergeCell ref="BKZ5:BLA5"/>
    <mergeCell ref="BKZ6:BLA6"/>
    <mergeCell ref="BKZ7:BLA7"/>
    <mergeCell ref="BKZ8:BLA8"/>
    <mergeCell ref="BKW9:BKY9"/>
    <mergeCell ref="BKZ9:BLA9"/>
    <mergeCell ref="BKW10:BKX10"/>
    <mergeCell ref="BKY10:BLA10"/>
    <mergeCell ref="BKW11:BKX11"/>
    <mergeCell ref="BKY11:BLA11"/>
    <mergeCell ref="BKW12:BKX12"/>
    <mergeCell ref="BKY12:BLA12"/>
    <mergeCell ref="BKZ22:BLA22"/>
    <mergeCell ref="BKZ23:BLA23"/>
    <mergeCell ref="BKZ24:BLA24"/>
    <mergeCell ref="BKW25:BKY25"/>
    <mergeCell ref="BKZ25:BLA25"/>
    <mergeCell ref="BKZ26:BLA26"/>
    <mergeCell ref="BKW27:BLA27"/>
    <mergeCell ref="BKW28:BLA29"/>
    <mergeCell ref="BKW13:BKX13"/>
    <mergeCell ref="BKY13:BLA13"/>
    <mergeCell ref="BKW14:BKX14"/>
    <mergeCell ref="BKY14:BLA14"/>
    <mergeCell ref="BKW15:BKY15"/>
    <mergeCell ref="BKZ15:BLA15"/>
    <mergeCell ref="BKW16:BKX16"/>
    <mergeCell ref="BKY16:BLA16"/>
    <mergeCell ref="BKW17:BKX17"/>
    <mergeCell ref="BKY17:BLA17"/>
    <mergeCell ref="BKW18:BKX18"/>
    <mergeCell ref="BKY18:BLA18"/>
    <mergeCell ref="BKW19:BKX19"/>
    <mergeCell ref="BKY19:BLA19"/>
    <mergeCell ref="BKW20:BKX20"/>
    <mergeCell ref="BKY20:BLA20"/>
    <mergeCell ref="BKZ21:BLA21"/>
    <mergeCell ref="BKU22:BKV22"/>
    <mergeCell ref="BKU23:BKV23"/>
    <mergeCell ref="BKU24:BKV24"/>
    <mergeCell ref="BKR25:BKT25"/>
    <mergeCell ref="BKU25:BKV25"/>
    <mergeCell ref="BKU26:BKV26"/>
    <mergeCell ref="BKR27:BKV27"/>
    <mergeCell ref="BKR28:BKV29"/>
    <mergeCell ref="BKR13:BKS13"/>
    <mergeCell ref="BKT13:BKV13"/>
    <mergeCell ref="BKR14:BKS14"/>
    <mergeCell ref="BKT14:BKV14"/>
    <mergeCell ref="BKR15:BKT15"/>
    <mergeCell ref="BKU15:BKV15"/>
    <mergeCell ref="BKR16:BKS16"/>
    <mergeCell ref="BKT16:BKV16"/>
    <mergeCell ref="BKR17:BKS17"/>
    <mergeCell ref="BKT17:BKV17"/>
    <mergeCell ref="BKR18:BKS18"/>
    <mergeCell ref="BKK22:BKL22"/>
    <mergeCell ref="BKK23:BKL23"/>
    <mergeCell ref="BKK24:BKL24"/>
    <mergeCell ref="BKH25:BKJ25"/>
    <mergeCell ref="BKK25:BKL25"/>
    <mergeCell ref="BKK26:BKL26"/>
    <mergeCell ref="BKH27:BKL27"/>
    <mergeCell ref="BKH28:BKL29"/>
    <mergeCell ref="BKH13:BKI13"/>
    <mergeCell ref="BKJ13:BKL13"/>
    <mergeCell ref="BKH14:BKI14"/>
    <mergeCell ref="BKJ14:BKL14"/>
    <mergeCell ref="BKH15:BKJ15"/>
    <mergeCell ref="BKK15:BKL15"/>
    <mergeCell ref="BKH16:BKI16"/>
    <mergeCell ref="BKJ16:BKL16"/>
    <mergeCell ref="BKH17:BKI17"/>
    <mergeCell ref="BKJ17:BKL17"/>
    <mergeCell ref="BKH18:BKI18"/>
    <mergeCell ref="BKJ18:BKL18"/>
    <mergeCell ref="BKH19:BKI19"/>
    <mergeCell ref="BKJ19:BKL19"/>
    <mergeCell ref="BKH20:BKI20"/>
    <mergeCell ref="BKJ20:BKL20"/>
    <mergeCell ref="BKK21:BKL21"/>
    <mergeCell ref="BKM1:BKM2"/>
    <mergeCell ref="BKN1:BKO2"/>
    <mergeCell ref="BKP1:BKP2"/>
    <mergeCell ref="BKP3:BKQ3"/>
    <mergeCell ref="BKP4:BKQ4"/>
    <mergeCell ref="BKP5:BKQ5"/>
    <mergeCell ref="BKP6:BKQ6"/>
    <mergeCell ref="BKP7:BKQ7"/>
    <mergeCell ref="BKP8:BKQ8"/>
    <mergeCell ref="BKM9:BKO9"/>
    <mergeCell ref="BKP9:BKQ9"/>
    <mergeCell ref="BKM10:BKN10"/>
    <mergeCell ref="BKO10:BKQ10"/>
    <mergeCell ref="BKM11:BKN11"/>
    <mergeCell ref="BKO11:BKQ11"/>
    <mergeCell ref="BKM12:BKN12"/>
    <mergeCell ref="BKO12:BKQ12"/>
    <mergeCell ref="BKP22:BKQ22"/>
    <mergeCell ref="BKP23:BKQ23"/>
    <mergeCell ref="BKP24:BKQ24"/>
    <mergeCell ref="BKM25:BKO25"/>
    <mergeCell ref="BKP25:BKQ25"/>
    <mergeCell ref="BKP26:BKQ26"/>
    <mergeCell ref="BKM27:BKQ27"/>
    <mergeCell ref="BKM28:BKQ29"/>
    <mergeCell ref="BKM13:BKN13"/>
    <mergeCell ref="BKO13:BKQ13"/>
    <mergeCell ref="BKM14:BKN14"/>
    <mergeCell ref="BKO14:BKQ14"/>
    <mergeCell ref="BKM15:BKO15"/>
    <mergeCell ref="BKP15:BKQ15"/>
    <mergeCell ref="BKM16:BKN16"/>
    <mergeCell ref="BKO16:BKQ16"/>
    <mergeCell ref="BKM17:BKN17"/>
    <mergeCell ref="BKO17:BKQ17"/>
    <mergeCell ref="BKM18:BKN18"/>
    <mergeCell ref="BKO18:BKQ18"/>
    <mergeCell ref="BKM19:BKN19"/>
    <mergeCell ref="BKO19:BKQ19"/>
    <mergeCell ref="BJX11:BJY11"/>
    <mergeCell ref="BJZ11:BKB11"/>
    <mergeCell ref="BJX12:BJY12"/>
    <mergeCell ref="BJZ12:BKB12"/>
    <mergeCell ref="BJX13:BJY13"/>
    <mergeCell ref="BJZ13:BKB13"/>
    <mergeCell ref="BJX14:BJY14"/>
    <mergeCell ref="BJZ14:BKB14"/>
    <mergeCell ref="BJX15:BJZ15"/>
    <mergeCell ref="BKA15:BKB15"/>
    <mergeCell ref="BJX16:BJY16"/>
    <mergeCell ref="BJZ16:BKB16"/>
    <mergeCell ref="BJX17:BJY17"/>
    <mergeCell ref="BJZ17:BKB17"/>
    <mergeCell ref="BJX18:BJY18"/>
    <mergeCell ref="BJZ18:BKB18"/>
    <mergeCell ref="BJX19:BJY19"/>
    <mergeCell ref="BJZ19:BKB19"/>
    <mergeCell ref="BJX20:BJY20"/>
    <mergeCell ref="BJZ20:BKB20"/>
    <mergeCell ref="BKH1:BKH2"/>
    <mergeCell ref="BKI1:BKJ2"/>
    <mergeCell ref="BKK1:BKK2"/>
    <mergeCell ref="BKK3:BKL3"/>
    <mergeCell ref="BKK4:BKL4"/>
    <mergeCell ref="BKK5:BKL5"/>
    <mergeCell ref="BKK6:BKL6"/>
    <mergeCell ref="BKK7:BKL7"/>
    <mergeCell ref="BKK8:BKL8"/>
    <mergeCell ref="BKH9:BKJ9"/>
    <mergeCell ref="BKK9:BKL9"/>
    <mergeCell ref="BKH10:BKI10"/>
    <mergeCell ref="BKJ10:BKL10"/>
    <mergeCell ref="BKH11:BKI11"/>
    <mergeCell ref="BKJ11:BKL11"/>
    <mergeCell ref="BKH12:BKI12"/>
    <mergeCell ref="BKJ12:BKL12"/>
    <mergeCell ref="BKE12:BKG12"/>
    <mergeCell ref="BKA21:BKB21"/>
    <mergeCell ref="BKA22:BKB22"/>
    <mergeCell ref="BKA23:BKB23"/>
    <mergeCell ref="BKA24:BKB24"/>
    <mergeCell ref="BJX25:BJZ25"/>
    <mergeCell ref="BKA25:BKB25"/>
    <mergeCell ref="BKA26:BKB26"/>
    <mergeCell ref="BJX27:BKB27"/>
    <mergeCell ref="BJX28:BKB29"/>
    <mergeCell ref="BJS1:BJS2"/>
    <mergeCell ref="BJT1:BJU2"/>
    <mergeCell ref="BJV1:BJV2"/>
    <mergeCell ref="BJV3:BJW3"/>
    <mergeCell ref="BJV4:BJW4"/>
    <mergeCell ref="BJV5:BJW5"/>
    <mergeCell ref="BJV6:BJW6"/>
    <mergeCell ref="BJV7:BJW7"/>
    <mergeCell ref="BJV8:BJW8"/>
    <mergeCell ref="BJS9:BJU9"/>
    <mergeCell ref="BJV9:BJW9"/>
    <mergeCell ref="BJS10:BJT10"/>
    <mergeCell ref="BJU10:BJW10"/>
    <mergeCell ref="BJS11:BJT11"/>
    <mergeCell ref="BJU11:BJW11"/>
    <mergeCell ref="BJS12:BJT12"/>
    <mergeCell ref="BJU12:BJW12"/>
    <mergeCell ref="BJS13:BJT13"/>
    <mergeCell ref="BJU13:BJW13"/>
    <mergeCell ref="BJS14:BJT14"/>
    <mergeCell ref="BJU14:BJW14"/>
    <mergeCell ref="BJS15:BJU15"/>
    <mergeCell ref="BJV15:BJW15"/>
    <mergeCell ref="BJS16:BJT16"/>
    <mergeCell ref="BJS28:BJW29"/>
    <mergeCell ref="BJU16:BJW16"/>
    <mergeCell ref="BJS17:BJT17"/>
    <mergeCell ref="BJU17:BJW17"/>
    <mergeCell ref="BJS18:BJT18"/>
    <mergeCell ref="BJU18:BJW18"/>
    <mergeCell ref="BJS19:BJT19"/>
    <mergeCell ref="BJU19:BJW19"/>
    <mergeCell ref="BJS20:BJT20"/>
    <mergeCell ref="BJU20:BJW20"/>
    <mergeCell ref="BJV21:BJW21"/>
    <mergeCell ref="BJV22:BJW22"/>
    <mergeCell ref="BJV23:BJW23"/>
    <mergeCell ref="BJV24:BJW24"/>
    <mergeCell ref="BJS25:BJU25"/>
    <mergeCell ref="BJV25:BJW25"/>
    <mergeCell ref="BJV26:BJW26"/>
    <mergeCell ref="BJS27:BJW27"/>
    <mergeCell ref="BJX1:BJX2"/>
    <mergeCell ref="BJY1:BJZ2"/>
    <mergeCell ref="BKA1:BKA2"/>
    <mergeCell ref="BKA3:BKB3"/>
    <mergeCell ref="BKA4:BKB4"/>
    <mergeCell ref="BKA5:BKB5"/>
    <mergeCell ref="BKA6:BKB6"/>
    <mergeCell ref="BKA7:BKB7"/>
    <mergeCell ref="BKA8:BKB8"/>
    <mergeCell ref="BJX9:BJZ9"/>
    <mergeCell ref="BKA9:BKB9"/>
    <mergeCell ref="BJX10:BJY10"/>
    <mergeCell ref="BJZ10:BKB10"/>
    <mergeCell ref="BJI1:BJI2"/>
    <mergeCell ref="BJJ1:BJK2"/>
    <mergeCell ref="BJL1:BJL2"/>
    <mergeCell ref="BJL3:BJM3"/>
    <mergeCell ref="BJL4:BJM4"/>
    <mergeCell ref="BJL5:BJM5"/>
    <mergeCell ref="BJL6:BJM6"/>
    <mergeCell ref="BJL7:BJM7"/>
    <mergeCell ref="BJL8:BJM8"/>
    <mergeCell ref="BJI9:BJK9"/>
    <mergeCell ref="BJL9:BJM9"/>
    <mergeCell ref="BJI10:BJJ10"/>
    <mergeCell ref="BJK10:BJM10"/>
    <mergeCell ref="BJI11:BJJ11"/>
    <mergeCell ref="BJK11:BJM11"/>
    <mergeCell ref="BJI12:BJJ12"/>
    <mergeCell ref="BJK12:BJM12"/>
    <mergeCell ref="BJL22:BJM22"/>
    <mergeCell ref="BJL23:BJM23"/>
    <mergeCell ref="BJL24:BJM24"/>
    <mergeCell ref="BJI25:BJK25"/>
    <mergeCell ref="BJL25:BJM25"/>
    <mergeCell ref="BJL26:BJM26"/>
    <mergeCell ref="BJI27:BJM27"/>
    <mergeCell ref="BJI28:BJM29"/>
    <mergeCell ref="BJI13:BJJ13"/>
    <mergeCell ref="BJK13:BJM13"/>
    <mergeCell ref="BJI14:BJJ14"/>
    <mergeCell ref="BJK14:BJM14"/>
    <mergeCell ref="BJI15:BJK15"/>
    <mergeCell ref="BJL15:BJM15"/>
    <mergeCell ref="BJI16:BJJ16"/>
    <mergeCell ref="BJK16:BJM16"/>
    <mergeCell ref="BJI17:BJJ17"/>
    <mergeCell ref="BJK17:BJM17"/>
    <mergeCell ref="BJI18:BJJ18"/>
    <mergeCell ref="BJK18:BJM18"/>
    <mergeCell ref="BJI19:BJJ19"/>
    <mergeCell ref="BJK19:BJM19"/>
    <mergeCell ref="BJI20:BJJ20"/>
    <mergeCell ref="BJK20:BJM20"/>
    <mergeCell ref="BJL21:BJM21"/>
    <mergeCell ref="BIY1:BIY2"/>
    <mergeCell ref="BIZ1:BJA2"/>
    <mergeCell ref="BJB1:BJB2"/>
    <mergeCell ref="BJB3:BJC3"/>
    <mergeCell ref="BJB4:BJC4"/>
    <mergeCell ref="BJB5:BJC5"/>
    <mergeCell ref="BJB6:BJC6"/>
    <mergeCell ref="BJB7:BJC7"/>
    <mergeCell ref="BJB8:BJC8"/>
    <mergeCell ref="BIY9:BJA9"/>
    <mergeCell ref="BJB9:BJC9"/>
    <mergeCell ref="BIY10:BIZ10"/>
    <mergeCell ref="BJA10:BJC10"/>
    <mergeCell ref="BIY11:BIZ11"/>
    <mergeCell ref="BJA11:BJC11"/>
    <mergeCell ref="BIY12:BIZ12"/>
    <mergeCell ref="BJA12:BJC12"/>
    <mergeCell ref="BJB22:BJC22"/>
    <mergeCell ref="BJB23:BJC23"/>
    <mergeCell ref="BJB24:BJC24"/>
    <mergeCell ref="BIY25:BJA25"/>
    <mergeCell ref="BJB25:BJC25"/>
    <mergeCell ref="BJB26:BJC26"/>
    <mergeCell ref="BIY27:BJC27"/>
    <mergeCell ref="BIY28:BJC29"/>
    <mergeCell ref="BIY13:BIZ13"/>
    <mergeCell ref="BJA13:BJC13"/>
    <mergeCell ref="BIY14:BIZ14"/>
    <mergeCell ref="BJA14:BJC14"/>
    <mergeCell ref="BIY15:BJA15"/>
    <mergeCell ref="BJB15:BJC15"/>
    <mergeCell ref="BIY16:BIZ16"/>
    <mergeCell ref="BJA16:BJC16"/>
    <mergeCell ref="BIY17:BIZ17"/>
    <mergeCell ref="BJA17:BJC17"/>
    <mergeCell ref="BIY18:BIZ18"/>
    <mergeCell ref="BJA18:BJC18"/>
    <mergeCell ref="BIY19:BIZ19"/>
    <mergeCell ref="BJA19:BJC19"/>
    <mergeCell ref="BIY20:BIZ20"/>
    <mergeCell ref="BJA20:BJC20"/>
    <mergeCell ref="BJB21:BJC21"/>
    <mergeCell ref="BHU1:BHU2"/>
    <mergeCell ref="BHV1:BHW2"/>
    <mergeCell ref="BHX1:BHX2"/>
    <mergeCell ref="BHX3:BHY3"/>
    <mergeCell ref="BHX4:BHY4"/>
    <mergeCell ref="BHX5:BHY5"/>
    <mergeCell ref="BHX6:BHY6"/>
    <mergeCell ref="BHX7:BHY7"/>
    <mergeCell ref="BHX8:BHY8"/>
    <mergeCell ref="BHU9:BHW9"/>
    <mergeCell ref="BHX9:BHY9"/>
    <mergeCell ref="BHU10:BHV10"/>
    <mergeCell ref="BHW10:BHY10"/>
    <mergeCell ref="BHU11:BHV11"/>
    <mergeCell ref="BHW11:BHY11"/>
    <mergeCell ref="BHU12:BHV12"/>
    <mergeCell ref="BHW12:BHY12"/>
    <mergeCell ref="BHX22:BHY22"/>
    <mergeCell ref="BHX23:BHY23"/>
    <mergeCell ref="BHX24:BHY24"/>
    <mergeCell ref="BHU25:BHW25"/>
    <mergeCell ref="BHX25:BHY25"/>
    <mergeCell ref="BHX26:BHY26"/>
    <mergeCell ref="BHU27:BHY27"/>
    <mergeCell ref="BHU28:BHY29"/>
    <mergeCell ref="BHU13:BHV13"/>
    <mergeCell ref="BHW13:BHY13"/>
    <mergeCell ref="BHU14:BHV14"/>
    <mergeCell ref="BHW14:BHY14"/>
    <mergeCell ref="BHU15:BHW15"/>
    <mergeCell ref="BHX15:BHY15"/>
    <mergeCell ref="BHU16:BHV16"/>
    <mergeCell ref="BHW16:BHY16"/>
    <mergeCell ref="BHU17:BHV17"/>
    <mergeCell ref="BHW17:BHY17"/>
    <mergeCell ref="BHU18:BHV18"/>
    <mergeCell ref="BHW18:BHY18"/>
    <mergeCell ref="BHU19:BHV19"/>
    <mergeCell ref="BHW19:BHY19"/>
    <mergeCell ref="BHU20:BHV20"/>
    <mergeCell ref="BHW20:BHY20"/>
    <mergeCell ref="BHX21:BHY21"/>
    <mergeCell ref="BHK1:BHK2"/>
    <mergeCell ref="BHL1:BHM2"/>
    <mergeCell ref="BHN1:BHN2"/>
    <mergeCell ref="BHN3:BHO3"/>
    <mergeCell ref="BHN4:BHO4"/>
    <mergeCell ref="BHN5:BHO5"/>
    <mergeCell ref="BHN6:BHO6"/>
    <mergeCell ref="BHN7:BHO7"/>
    <mergeCell ref="BHN8:BHO8"/>
    <mergeCell ref="BHK9:BHM9"/>
    <mergeCell ref="BHN9:BHO9"/>
    <mergeCell ref="BHK10:BHL10"/>
    <mergeCell ref="BHM10:BHO10"/>
    <mergeCell ref="BHK11:BHL11"/>
    <mergeCell ref="BHM11:BHO11"/>
    <mergeCell ref="BHK12:BHL12"/>
    <mergeCell ref="BHM12:BHO12"/>
    <mergeCell ref="BHN22:BHO22"/>
    <mergeCell ref="BHN23:BHO23"/>
    <mergeCell ref="BHN24:BHO24"/>
    <mergeCell ref="BHK25:BHM25"/>
    <mergeCell ref="BHN25:BHO25"/>
    <mergeCell ref="BHN26:BHO26"/>
    <mergeCell ref="BHK27:BHO27"/>
    <mergeCell ref="BHK28:BHO29"/>
    <mergeCell ref="BHK13:BHL13"/>
    <mergeCell ref="BHM13:BHO13"/>
    <mergeCell ref="BHK14:BHL14"/>
    <mergeCell ref="BHM14:BHO14"/>
    <mergeCell ref="BHK15:BHM15"/>
    <mergeCell ref="BHN15:BHO15"/>
    <mergeCell ref="BHK16:BHL16"/>
    <mergeCell ref="BHM16:BHO16"/>
    <mergeCell ref="BHK17:BHL17"/>
    <mergeCell ref="BHM17:BHO17"/>
    <mergeCell ref="BHK18:BHL18"/>
    <mergeCell ref="BHM18:BHO18"/>
    <mergeCell ref="BHK19:BHL19"/>
    <mergeCell ref="BHM19:BHO19"/>
    <mergeCell ref="BHK20:BHL20"/>
    <mergeCell ref="BHM20:BHO20"/>
    <mergeCell ref="BHN21:BHO21"/>
    <mergeCell ref="BHA1:BHA2"/>
    <mergeCell ref="BHB1:BHC2"/>
    <mergeCell ref="BHD1:BHD2"/>
    <mergeCell ref="BHD3:BHE3"/>
    <mergeCell ref="BHD4:BHE4"/>
    <mergeCell ref="BHD5:BHE5"/>
    <mergeCell ref="BHD6:BHE6"/>
    <mergeCell ref="BHD7:BHE7"/>
    <mergeCell ref="BHD8:BHE8"/>
    <mergeCell ref="BHA9:BHC9"/>
    <mergeCell ref="BHD9:BHE9"/>
    <mergeCell ref="BHA10:BHB10"/>
    <mergeCell ref="BHC10:BHE10"/>
    <mergeCell ref="BHA11:BHB11"/>
    <mergeCell ref="BHC11:BHE11"/>
    <mergeCell ref="BHA12:BHB12"/>
    <mergeCell ref="BHC12:BHE12"/>
    <mergeCell ref="BHD22:BHE22"/>
    <mergeCell ref="BHD23:BHE23"/>
    <mergeCell ref="BHD24:BHE24"/>
    <mergeCell ref="BHA25:BHC25"/>
    <mergeCell ref="BHD25:BHE25"/>
    <mergeCell ref="BHD26:BHE26"/>
    <mergeCell ref="BHA27:BHE27"/>
    <mergeCell ref="BHA28:BHE29"/>
    <mergeCell ref="BHA13:BHB13"/>
    <mergeCell ref="BHC13:BHE13"/>
    <mergeCell ref="BHA14:BHB14"/>
    <mergeCell ref="BHC14:BHE14"/>
    <mergeCell ref="BHA15:BHC15"/>
    <mergeCell ref="BHD15:BHE15"/>
    <mergeCell ref="BHA16:BHB16"/>
    <mergeCell ref="BHC16:BHE16"/>
    <mergeCell ref="BHA17:BHB17"/>
    <mergeCell ref="BHC17:BHE17"/>
    <mergeCell ref="BHA18:BHB18"/>
    <mergeCell ref="BHC18:BHE18"/>
    <mergeCell ref="BHA19:BHB19"/>
    <mergeCell ref="BHC19:BHE19"/>
    <mergeCell ref="BHA20:BHB20"/>
    <mergeCell ref="BHC20:BHE20"/>
    <mergeCell ref="BHD21:BHE21"/>
    <mergeCell ref="BGQ1:BGQ2"/>
    <mergeCell ref="BGR1:BGS2"/>
    <mergeCell ref="BGT1:BGT2"/>
    <mergeCell ref="BGT3:BGU3"/>
    <mergeCell ref="BGT4:BGU4"/>
    <mergeCell ref="BGT5:BGU5"/>
    <mergeCell ref="BGT6:BGU6"/>
    <mergeCell ref="BGT7:BGU7"/>
    <mergeCell ref="BGT8:BGU8"/>
    <mergeCell ref="BGQ9:BGS9"/>
    <mergeCell ref="BGT9:BGU9"/>
    <mergeCell ref="BGQ10:BGR10"/>
    <mergeCell ref="BGS10:BGU10"/>
    <mergeCell ref="BGQ11:BGR11"/>
    <mergeCell ref="BGS11:BGU11"/>
    <mergeCell ref="BGQ12:BGR12"/>
    <mergeCell ref="BGS12:BGU12"/>
    <mergeCell ref="BGT22:BGU22"/>
    <mergeCell ref="BGT23:BGU23"/>
    <mergeCell ref="BGT24:BGU24"/>
    <mergeCell ref="BGQ25:BGS25"/>
    <mergeCell ref="BGT25:BGU25"/>
    <mergeCell ref="BGT26:BGU26"/>
    <mergeCell ref="BGQ27:BGU27"/>
    <mergeCell ref="BGQ28:BGU29"/>
    <mergeCell ref="BGQ13:BGR13"/>
    <mergeCell ref="BGS13:BGU13"/>
    <mergeCell ref="BGQ14:BGR14"/>
    <mergeCell ref="BGS14:BGU14"/>
    <mergeCell ref="BGQ15:BGS15"/>
    <mergeCell ref="BGT15:BGU15"/>
    <mergeCell ref="BGQ16:BGR16"/>
    <mergeCell ref="BGS16:BGU16"/>
    <mergeCell ref="BGQ17:BGR17"/>
    <mergeCell ref="BGS17:BGU17"/>
    <mergeCell ref="BGQ18:BGR18"/>
    <mergeCell ref="BGS18:BGU18"/>
    <mergeCell ref="BGQ19:BGR19"/>
    <mergeCell ref="BGS19:BGU19"/>
    <mergeCell ref="BGQ20:BGR20"/>
    <mergeCell ref="BGS20:BGU20"/>
    <mergeCell ref="BGT21:BGU21"/>
    <mergeCell ref="BGG1:BGG2"/>
    <mergeCell ref="BGH1:BGI2"/>
    <mergeCell ref="BGJ1:BGJ2"/>
    <mergeCell ref="BGJ3:BGK3"/>
    <mergeCell ref="BGJ4:BGK4"/>
    <mergeCell ref="BGJ5:BGK5"/>
    <mergeCell ref="BGJ6:BGK6"/>
    <mergeCell ref="BGJ7:BGK7"/>
    <mergeCell ref="BGJ8:BGK8"/>
    <mergeCell ref="BGG9:BGI9"/>
    <mergeCell ref="BGJ9:BGK9"/>
    <mergeCell ref="BGG10:BGH10"/>
    <mergeCell ref="BGI10:BGK10"/>
    <mergeCell ref="BGG11:BGH11"/>
    <mergeCell ref="BGI11:BGK11"/>
    <mergeCell ref="BGG12:BGH12"/>
    <mergeCell ref="BGI12:BGK12"/>
    <mergeCell ref="BGJ22:BGK22"/>
    <mergeCell ref="BGJ23:BGK23"/>
    <mergeCell ref="BGJ24:BGK24"/>
    <mergeCell ref="BGG25:BGI25"/>
    <mergeCell ref="BGJ25:BGK25"/>
    <mergeCell ref="BGJ26:BGK26"/>
    <mergeCell ref="BGG27:BGK27"/>
    <mergeCell ref="BGG28:BGK29"/>
    <mergeCell ref="BGG13:BGH13"/>
    <mergeCell ref="BGI13:BGK13"/>
    <mergeCell ref="BGG14:BGH14"/>
    <mergeCell ref="BGI14:BGK14"/>
    <mergeCell ref="BGG15:BGI15"/>
    <mergeCell ref="BGJ15:BGK15"/>
    <mergeCell ref="BGG16:BGH16"/>
    <mergeCell ref="BGI16:BGK16"/>
    <mergeCell ref="BGG17:BGH17"/>
    <mergeCell ref="BGI17:BGK17"/>
    <mergeCell ref="BGG18:BGH18"/>
    <mergeCell ref="BGI18:BGK18"/>
    <mergeCell ref="BGG19:BGH19"/>
    <mergeCell ref="BGI19:BGK19"/>
    <mergeCell ref="BGG20:BGH20"/>
    <mergeCell ref="BGI20:BGK20"/>
    <mergeCell ref="BGJ21:BGK21"/>
    <mergeCell ref="BGB1:BGB2"/>
    <mergeCell ref="BGC1:BGD2"/>
    <mergeCell ref="BGE1:BGE2"/>
    <mergeCell ref="BGE3:BGF3"/>
    <mergeCell ref="BGE4:BGF4"/>
    <mergeCell ref="BGE5:BGF5"/>
    <mergeCell ref="BGE6:BGF6"/>
    <mergeCell ref="BGE7:BGF7"/>
    <mergeCell ref="BGE8:BGF8"/>
    <mergeCell ref="BGB9:BGD9"/>
    <mergeCell ref="BGE9:BGF9"/>
    <mergeCell ref="BGB10:BGC10"/>
    <mergeCell ref="BGD10:BGF10"/>
    <mergeCell ref="BGB11:BGC11"/>
    <mergeCell ref="BGD11:BGF11"/>
    <mergeCell ref="BGB12:BGC12"/>
    <mergeCell ref="BGD12:BGF12"/>
    <mergeCell ref="BGE22:BGF22"/>
    <mergeCell ref="BGE23:BGF23"/>
    <mergeCell ref="BGE24:BGF24"/>
    <mergeCell ref="BGB25:BGD25"/>
    <mergeCell ref="BGE25:BGF25"/>
    <mergeCell ref="BGE26:BGF26"/>
    <mergeCell ref="BGB27:BGF27"/>
    <mergeCell ref="BGB28:BGF29"/>
    <mergeCell ref="BGB13:BGC13"/>
    <mergeCell ref="BGD13:BGF13"/>
    <mergeCell ref="BGB14:BGC14"/>
    <mergeCell ref="BGD14:BGF14"/>
    <mergeCell ref="BGB15:BGD15"/>
    <mergeCell ref="BGE15:BGF15"/>
    <mergeCell ref="BGB16:BGC16"/>
    <mergeCell ref="BGD16:BGF16"/>
    <mergeCell ref="BGB17:BGC17"/>
    <mergeCell ref="BGD17:BGF17"/>
    <mergeCell ref="BGB18:BGC18"/>
    <mergeCell ref="BGD18:BGF18"/>
    <mergeCell ref="BGB19:BGC19"/>
    <mergeCell ref="BGD19:BGF19"/>
    <mergeCell ref="BGB20:BGC20"/>
    <mergeCell ref="BGD20:BGF20"/>
    <mergeCell ref="BGE21:BGF21"/>
    <mergeCell ref="BFM1:BFM2"/>
    <mergeCell ref="BFN1:BFO2"/>
    <mergeCell ref="BFP1:BFP2"/>
    <mergeCell ref="BFP3:BFQ3"/>
    <mergeCell ref="BFP4:BFQ4"/>
    <mergeCell ref="BFP5:BFQ5"/>
    <mergeCell ref="BFP6:BFQ6"/>
    <mergeCell ref="BFP7:BFQ7"/>
    <mergeCell ref="BFP8:BFQ8"/>
    <mergeCell ref="BFM9:BFO9"/>
    <mergeCell ref="BFP9:BFQ9"/>
    <mergeCell ref="BFM10:BFN10"/>
    <mergeCell ref="BFO10:BFQ10"/>
    <mergeCell ref="BFM11:BFN11"/>
    <mergeCell ref="BFO11:BFQ11"/>
    <mergeCell ref="BFM12:BFN12"/>
    <mergeCell ref="BFO12:BFQ12"/>
    <mergeCell ref="BFP22:BFQ22"/>
    <mergeCell ref="BFP23:BFQ23"/>
    <mergeCell ref="BFP24:BFQ24"/>
    <mergeCell ref="BFM25:BFO25"/>
    <mergeCell ref="BFP25:BFQ25"/>
    <mergeCell ref="BFP26:BFQ26"/>
    <mergeCell ref="BFM27:BFQ27"/>
    <mergeCell ref="BFM28:BFQ29"/>
    <mergeCell ref="BFM13:BFN13"/>
    <mergeCell ref="BFO13:BFQ13"/>
    <mergeCell ref="BFM14:BFN14"/>
    <mergeCell ref="BFO14:BFQ14"/>
    <mergeCell ref="BFM15:BFO15"/>
    <mergeCell ref="BFP15:BFQ15"/>
    <mergeCell ref="BFM16:BFN16"/>
    <mergeCell ref="BFO16:BFQ16"/>
    <mergeCell ref="BFM17:BFN17"/>
    <mergeCell ref="BFO17:BFQ17"/>
    <mergeCell ref="BFM18:BFN18"/>
    <mergeCell ref="BFO18:BFQ18"/>
    <mergeCell ref="BFM19:BFN19"/>
    <mergeCell ref="BFO19:BFQ19"/>
    <mergeCell ref="BFM20:BFN20"/>
    <mergeCell ref="BFO20:BFQ20"/>
    <mergeCell ref="BFP21:BFQ21"/>
    <mergeCell ref="BFC1:BFC2"/>
    <mergeCell ref="BFD1:BFE2"/>
    <mergeCell ref="BFF1:BFF2"/>
    <mergeCell ref="BFF3:BFG3"/>
    <mergeCell ref="BFF4:BFG4"/>
    <mergeCell ref="BFF5:BFG5"/>
    <mergeCell ref="BFF6:BFG6"/>
    <mergeCell ref="BFF7:BFG7"/>
    <mergeCell ref="BFF8:BFG8"/>
    <mergeCell ref="BFC9:BFE9"/>
    <mergeCell ref="BFF9:BFG9"/>
    <mergeCell ref="BFC10:BFD10"/>
    <mergeCell ref="BFE10:BFG10"/>
    <mergeCell ref="BFC11:BFD11"/>
    <mergeCell ref="BFE11:BFG11"/>
    <mergeCell ref="BFC12:BFD12"/>
    <mergeCell ref="BFE12:BFG12"/>
    <mergeCell ref="BFF22:BFG22"/>
    <mergeCell ref="BFF23:BFG23"/>
    <mergeCell ref="BFF24:BFG24"/>
    <mergeCell ref="BFC25:BFE25"/>
    <mergeCell ref="BFF25:BFG25"/>
    <mergeCell ref="BFF26:BFG26"/>
    <mergeCell ref="BFC27:BFG27"/>
    <mergeCell ref="BFC28:BFG29"/>
    <mergeCell ref="BFC13:BFD13"/>
    <mergeCell ref="BFE13:BFG13"/>
    <mergeCell ref="BFC14:BFD14"/>
    <mergeCell ref="BFE14:BFG14"/>
    <mergeCell ref="BFC15:BFE15"/>
    <mergeCell ref="BFF15:BFG15"/>
    <mergeCell ref="BFC16:BFD16"/>
    <mergeCell ref="BFE16:BFG16"/>
    <mergeCell ref="BFC17:BFD17"/>
    <mergeCell ref="BFE17:BFG17"/>
    <mergeCell ref="BFC18:BFD18"/>
    <mergeCell ref="BFE18:BFG18"/>
    <mergeCell ref="BFC19:BFD19"/>
    <mergeCell ref="BFE19:BFG19"/>
    <mergeCell ref="BFC20:BFD20"/>
    <mergeCell ref="BFE20:BFG20"/>
    <mergeCell ref="BFF21:BFG21"/>
    <mergeCell ref="BEN1:BEN2"/>
    <mergeCell ref="BEO1:BEP2"/>
    <mergeCell ref="BEQ1:BEQ2"/>
    <mergeCell ref="BEQ3:BER3"/>
    <mergeCell ref="BEQ4:BER4"/>
    <mergeCell ref="BEQ5:BER5"/>
    <mergeCell ref="BEQ6:BER6"/>
    <mergeCell ref="BEQ7:BER7"/>
    <mergeCell ref="BEQ8:BER8"/>
    <mergeCell ref="BEN9:BEP9"/>
    <mergeCell ref="BEQ9:BER9"/>
    <mergeCell ref="BEN10:BEO10"/>
    <mergeCell ref="BEP10:BER10"/>
    <mergeCell ref="BEN11:BEO11"/>
    <mergeCell ref="BEP11:BER11"/>
    <mergeCell ref="BEN12:BEO12"/>
    <mergeCell ref="BEP12:BER12"/>
    <mergeCell ref="BEQ22:BER22"/>
    <mergeCell ref="BEQ23:BER23"/>
    <mergeCell ref="BEQ24:BER24"/>
    <mergeCell ref="BEN25:BEP25"/>
    <mergeCell ref="BEQ25:BER25"/>
    <mergeCell ref="BEQ26:BER26"/>
    <mergeCell ref="BEN27:BER27"/>
    <mergeCell ref="BEN28:BER29"/>
    <mergeCell ref="BEN13:BEO13"/>
    <mergeCell ref="BEP13:BER13"/>
    <mergeCell ref="BEN14:BEO14"/>
    <mergeCell ref="BEP14:BER14"/>
    <mergeCell ref="BEN15:BEP15"/>
    <mergeCell ref="BEQ15:BER15"/>
    <mergeCell ref="BEN16:BEO16"/>
    <mergeCell ref="BEP16:BER16"/>
    <mergeCell ref="BEN17:BEO17"/>
    <mergeCell ref="BEP17:BER17"/>
    <mergeCell ref="BEN18:BEO18"/>
    <mergeCell ref="BEP18:BER18"/>
    <mergeCell ref="BEN19:BEO19"/>
    <mergeCell ref="BEP19:BER19"/>
    <mergeCell ref="BEN20:BEO20"/>
    <mergeCell ref="BEP20:BER20"/>
    <mergeCell ref="BEQ21:BER21"/>
    <mergeCell ref="BEI1:BEI2"/>
    <mergeCell ref="BEJ1:BEK2"/>
    <mergeCell ref="BEL1:BEL2"/>
    <mergeCell ref="BEL3:BEM3"/>
    <mergeCell ref="BEL4:BEM4"/>
    <mergeCell ref="BEL5:BEM5"/>
    <mergeCell ref="BEL6:BEM6"/>
    <mergeCell ref="BEL7:BEM7"/>
    <mergeCell ref="BEL8:BEM8"/>
    <mergeCell ref="BEI9:BEK9"/>
    <mergeCell ref="BEL9:BEM9"/>
    <mergeCell ref="BEI10:BEJ10"/>
    <mergeCell ref="BEK10:BEM10"/>
    <mergeCell ref="BEI11:BEJ11"/>
    <mergeCell ref="BEK11:BEM11"/>
    <mergeCell ref="BEI12:BEJ12"/>
    <mergeCell ref="BEK12:BEM12"/>
    <mergeCell ref="BEL22:BEM22"/>
    <mergeCell ref="BEL23:BEM23"/>
    <mergeCell ref="BEL24:BEM24"/>
    <mergeCell ref="BEI25:BEK25"/>
    <mergeCell ref="BEL25:BEM25"/>
    <mergeCell ref="BEL26:BEM26"/>
    <mergeCell ref="BEI27:BEM27"/>
    <mergeCell ref="BEI28:BEM29"/>
    <mergeCell ref="BEI13:BEJ13"/>
    <mergeCell ref="BEK13:BEM13"/>
    <mergeCell ref="BEI14:BEJ14"/>
    <mergeCell ref="BEK14:BEM14"/>
    <mergeCell ref="BEI15:BEK15"/>
    <mergeCell ref="BEL15:BEM15"/>
    <mergeCell ref="BEI16:BEJ16"/>
    <mergeCell ref="BEK16:BEM16"/>
    <mergeCell ref="BEI17:BEJ17"/>
    <mergeCell ref="BEK17:BEM17"/>
    <mergeCell ref="BEI18:BEJ18"/>
    <mergeCell ref="BEK18:BEM18"/>
    <mergeCell ref="BEI19:BEJ19"/>
    <mergeCell ref="BEK19:BEM19"/>
    <mergeCell ref="BEI20:BEJ20"/>
    <mergeCell ref="BEK20:BEM20"/>
    <mergeCell ref="BEL21:BEM21"/>
    <mergeCell ref="BDY1:BDY2"/>
    <mergeCell ref="BDZ1:BEA2"/>
    <mergeCell ref="BEB1:BEB2"/>
    <mergeCell ref="BEB3:BEC3"/>
    <mergeCell ref="BEB4:BEC4"/>
    <mergeCell ref="BEB5:BEC5"/>
    <mergeCell ref="BEB6:BEC6"/>
    <mergeCell ref="BEB7:BEC7"/>
    <mergeCell ref="BEB8:BEC8"/>
    <mergeCell ref="BDY9:BEA9"/>
    <mergeCell ref="BEB9:BEC9"/>
    <mergeCell ref="BDY10:BDZ10"/>
    <mergeCell ref="BEA10:BEC10"/>
    <mergeCell ref="BDY11:BDZ11"/>
    <mergeCell ref="BEA11:BEC11"/>
    <mergeCell ref="BDY12:BDZ12"/>
    <mergeCell ref="BEA12:BEC12"/>
    <mergeCell ref="BEB22:BEC22"/>
    <mergeCell ref="BEB23:BEC23"/>
    <mergeCell ref="BEB24:BEC24"/>
    <mergeCell ref="BDY25:BEA25"/>
    <mergeCell ref="BEB25:BEC25"/>
    <mergeCell ref="BEB26:BEC26"/>
    <mergeCell ref="BDY27:BEC27"/>
    <mergeCell ref="BDY28:BEC29"/>
    <mergeCell ref="BDY13:BDZ13"/>
    <mergeCell ref="BEA13:BEC13"/>
    <mergeCell ref="BDY14:BDZ14"/>
    <mergeCell ref="BEA14:BEC14"/>
    <mergeCell ref="BDY15:BEA15"/>
    <mergeCell ref="BEB15:BEC15"/>
    <mergeCell ref="BDY16:BDZ16"/>
    <mergeCell ref="BEA16:BEC16"/>
    <mergeCell ref="BDY17:BDZ17"/>
    <mergeCell ref="BEA17:BEC17"/>
    <mergeCell ref="BDY18:BDZ18"/>
    <mergeCell ref="BEA18:BEC18"/>
    <mergeCell ref="BDY19:BDZ19"/>
    <mergeCell ref="BEA19:BEC19"/>
    <mergeCell ref="BDY20:BDZ20"/>
    <mergeCell ref="BEA20:BEC20"/>
    <mergeCell ref="BEB21:BEC21"/>
    <mergeCell ref="BDO1:BDO2"/>
    <mergeCell ref="BDP1:BDQ2"/>
    <mergeCell ref="BDR1:BDR2"/>
    <mergeCell ref="BDR3:BDS3"/>
    <mergeCell ref="BDR4:BDS4"/>
    <mergeCell ref="BDR5:BDS5"/>
    <mergeCell ref="BDR6:BDS6"/>
    <mergeCell ref="BDR7:BDS7"/>
    <mergeCell ref="BDR8:BDS8"/>
    <mergeCell ref="BDO9:BDQ9"/>
    <mergeCell ref="BDR9:BDS9"/>
    <mergeCell ref="BDO10:BDP10"/>
    <mergeCell ref="BDQ10:BDS10"/>
    <mergeCell ref="BDO11:BDP11"/>
    <mergeCell ref="BDQ11:BDS11"/>
    <mergeCell ref="BDO12:BDP12"/>
    <mergeCell ref="BDQ12:BDS12"/>
    <mergeCell ref="BDR22:BDS22"/>
    <mergeCell ref="BDR23:BDS23"/>
    <mergeCell ref="BDR24:BDS24"/>
    <mergeCell ref="BDO25:BDQ25"/>
    <mergeCell ref="BDR25:BDS25"/>
    <mergeCell ref="BDR26:BDS26"/>
    <mergeCell ref="BDO27:BDS27"/>
    <mergeCell ref="BDO28:BDS29"/>
    <mergeCell ref="BDO13:BDP13"/>
    <mergeCell ref="BDQ13:BDS13"/>
    <mergeCell ref="BDO14:BDP14"/>
    <mergeCell ref="BDQ14:BDS14"/>
    <mergeCell ref="BDO15:BDQ15"/>
    <mergeCell ref="BDR15:BDS15"/>
    <mergeCell ref="BDO16:BDP16"/>
    <mergeCell ref="BDQ16:BDS16"/>
    <mergeCell ref="BDO17:BDP17"/>
    <mergeCell ref="BDQ17:BDS17"/>
    <mergeCell ref="BDO18:BDP18"/>
    <mergeCell ref="BDQ18:BDS18"/>
    <mergeCell ref="BDO19:BDP19"/>
    <mergeCell ref="BDQ19:BDS19"/>
    <mergeCell ref="BDO20:BDP20"/>
    <mergeCell ref="BDQ20:BDS20"/>
    <mergeCell ref="BDR21:BDS21"/>
    <mergeCell ref="BDE1:BDE2"/>
    <mergeCell ref="BDF1:BDG2"/>
    <mergeCell ref="BDH1:BDH2"/>
    <mergeCell ref="BDH3:BDI3"/>
    <mergeCell ref="BDH4:BDI4"/>
    <mergeCell ref="BDH5:BDI5"/>
    <mergeCell ref="BDH6:BDI6"/>
    <mergeCell ref="BDH7:BDI7"/>
    <mergeCell ref="BDH8:BDI8"/>
    <mergeCell ref="BDE9:BDG9"/>
    <mergeCell ref="BDH9:BDI9"/>
    <mergeCell ref="BDE10:BDF10"/>
    <mergeCell ref="BDG10:BDI10"/>
    <mergeCell ref="BDE11:BDF11"/>
    <mergeCell ref="BDG11:BDI11"/>
    <mergeCell ref="BDE12:BDF12"/>
    <mergeCell ref="BDG12:BDI12"/>
    <mergeCell ref="BDH22:BDI22"/>
    <mergeCell ref="BDH23:BDI23"/>
    <mergeCell ref="BDH24:BDI24"/>
    <mergeCell ref="BDE25:BDG25"/>
    <mergeCell ref="BDH25:BDI25"/>
    <mergeCell ref="BDH26:BDI26"/>
    <mergeCell ref="BDE27:BDI27"/>
    <mergeCell ref="BDE28:BDI29"/>
    <mergeCell ref="BDE13:BDF13"/>
    <mergeCell ref="BDG13:BDI13"/>
    <mergeCell ref="BDE14:BDF14"/>
    <mergeCell ref="BDG14:BDI14"/>
    <mergeCell ref="BDE15:BDG15"/>
    <mergeCell ref="BDH15:BDI15"/>
    <mergeCell ref="BDE16:BDF16"/>
    <mergeCell ref="BDG16:BDI16"/>
    <mergeCell ref="BDE17:BDF17"/>
    <mergeCell ref="BDG17:BDI17"/>
    <mergeCell ref="BDE18:BDF18"/>
    <mergeCell ref="BDG18:BDI18"/>
    <mergeCell ref="BDE19:BDF19"/>
    <mergeCell ref="BDG19:BDI19"/>
    <mergeCell ref="BDE20:BDF20"/>
    <mergeCell ref="BDG20:BDI20"/>
    <mergeCell ref="BDH21:BDI21"/>
    <mergeCell ref="BCU1:BCU2"/>
    <mergeCell ref="BCV1:BCW2"/>
    <mergeCell ref="BCX1:BCX2"/>
    <mergeCell ref="BCX3:BCY3"/>
    <mergeCell ref="BCX4:BCY4"/>
    <mergeCell ref="BCX5:BCY5"/>
    <mergeCell ref="BCX6:BCY6"/>
    <mergeCell ref="BCX7:BCY7"/>
    <mergeCell ref="BCX8:BCY8"/>
    <mergeCell ref="BCU9:BCW9"/>
    <mergeCell ref="BCX9:BCY9"/>
    <mergeCell ref="BCU10:BCV10"/>
    <mergeCell ref="BCW10:BCY10"/>
    <mergeCell ref="BCU11:BCV11"/>
    <mergeCell ref="BCW11:BCY11"/>
    <mergeCell ref="BCU12:BCV12"/>
    <mergeCell ref="BCW12:BCY12"/>
    <mergeCell ref="BCX22:BCY22"/>
    <mergeCell ref="BCX23:BCY23"/>
    <mergeCell ref="BCX24:BCY24"/>
    <mergeCell ref="BCU25:BCW25"/>
    <mergeCell ref="BCX25:BCY25"/>
    <mergeCell ref="BCX26:BCY26"/>
    <mergeCell ref="BCU27:BCY27"/>
    <mergeCell ref="BCU28:BCY29"/>
    <mergeCell ref="BCU13:BCV13"/>
    <mergeCell ref="BCW13:BCY13"/>
    <mergeCell ref="BCU14:BCV14"/>
    <mergeCell ref="BCW14:BCY14"/>
    <mergeCell ref="BCU15:BCW15"/>
    <mergeCell ref="BCX15:BCY15"/>
    <mergeCell ref="BCU16:BCV16"/>
    <mergeCell ref="BCW16:BCY16"/>
    <mergeCell ref="BCU17:BCV17"/>
    <mergeCell ref="BCW17:BCY17"/>
    <mergeCell ref="BCU18:BCV18"/>
    <mergeCell ref="BCW18:BCY18"/>
    <mergeCell ref="BCU19:BCV19"/>
    <mergeCell ref="BCW19:BCY19"/>
    <mergeCell ref="BCU20:BCV20"/>
    <mergeCell ref="BCW20:BCY20"/>
    <mergeCell ref="BCX21:BCY21"/>
    <mergeCell ref="BCK1:BCK2"/>
    <mergeCell ref="BCL1:BCM2"/>
    <mergeCell ref="BCN1:BCN2"/>
    <mergeCell ref="BCN3:BCO3"/>
    <mergeCell ref="BCN4:BCO4"/>
    <mergeCell ref="BCN5:BCO5"/>
    <mergeCell ref="BCN6:BCO6"/>
    <mergeCell ref="BCN7:BCO7"/>
    <mergeCell ref="BCN8:BCO8"/>
    <mergeCell ref="BCK9:BCM9"/>
    <mergeCell ref="BCN9:BCO9"/>
    <mergeCell ref="BCK10:BCL10"/>
    <mergeCell ref="BCM10:BCO10"/>
    <mergeCell ref="BCK11:BCL11"/>
    <mergeCell ref="BCM11:BCO11"/>
    <mergeCell ref="BCK12:BCL12"/>
    <mergeCell ref="BCM12:BCO12"/>
    <mergeCell ref="BCN22:BCO22"/>
    <mergeCell ref="BCN23:BCO23"/>
    <mergeCell ref="BCN24:BCO24"/>
    <mergeCell ref="BCK25:BCM25"/>
    <mergeCell ref="BCN25:BCO25"/>
    <mergeCell ref="BCN26:BCO26"/>
    <mergeCell ref="BCK27:BCO27"/>
    <mergeCell ref="BCK28:BCO29"/>
    <mergeCell ref="BCK13:BCL13"/>
    <mergeCell ref="BCM13:BCO13"/>
    <mergeCell ref="BCK14:BCL14"/>
    <mergeCell ref="BCM14:BCO14"/>
    <mergeCell ref="BCK15:BCM15"/>
    <mergeCell ref="BCN15:BCO15"/>
    <mergeCell ref="BCK16:BCL16"/>
    <mergeCell ref="BCM16:BCO16"/>
    <mergeCell ref="BCK17:BCL17"/>
    <mergeCell ref="BCM17:BCO17"/>
    <mergeCell ref="BCK18:BCL18"/>
    <mergeCell ref="BCM18:BCO18"/>
    <mergeCell ref="BCK19:BCL19"/>
    <mergeCell ref="BCM19:BCO19"/>
    <mergeCell ref="BCK20:BCL20"/>
    <mergeCell ref="BCM20:BCO20"/>
    <mergeCell ref="BCN21:BCO21"/>
    <mergeCell ref="BCD21:BCE21"/>
    <mergeCell ref="BCD22:BCE22"/>
    <mergeCell ref="BCD23:BCE23"/>
    <mergeCell ref="BCD24:BCE24"/>
    <mergeCell ref="BCA25:BCC25"/>
    <mergeCell ref="BCD25:BCE25"/>
    <mergeCell ref="BCD26:BCE26"/>
    <mergeCell ref="BCA27:BCE27"/>
    <mergeCell ref="BCA28:BCE29"/>
    <mergeCell ref="BCA1:BCA2"/>
    <mergeCell ref="BCB1:BCC2"/>
    <mergeCell ref="BCD1:BCD2"/>
    <mergeCell ref="BCD3:BCE3"/>
    <mergeCell ref="BCD4:BCE4"/>
    <mergeCell ref="BCD5:BCE5"/>
    <mergeCell ref="BCD6:BCE6"/>
    <mergeCell ref="BCD7:BCE7"/>
    <mergeCell ref="BCD8:BCE8"/>
    <mergeCell ref="BCA9:BCC9"/>
    <mergeCell ref="BCD9:BCE9"/>
    <mergeCell ref="BCA10:BCB10"/>
    <mergeCell ref="BCC10:BCE10"/>
    <mergeCell ref="BCA11:BCB11"/>
    <mergeCell ref="BCC11:BCE11"/>
    <mergeCell ref="BCA12:BCB12"/>
    <mergeCell ref="BCC12:BCE12"/>
    <mergeCell ref="BCA13:BCB13"/>
    <mergeCell ref="BCC13:BCE13"/>
    <mergeCell ref="BCA14:BCB14"/>
    <mergeCell ref="BCC14:BCE14"/>
    <mergeCell ref="BCA15:BCC15"/>
    <mergeCell ref="BCD15:BCE15"/>
    <mergeCell ref="BCA16:BCB16"/>
    <mergeCell ref="BCC16:BCE16"/>
    <mergeCell ref="BCA17:BCB17"/>
    <mergeCell ref="BCC17:BCE17"/>
    <mergeCell ref="BCA18:BCB18"/>
    <mergeCell ref="BCC18:BCE18"/>
    <mergeCell ref="BCA19:BCB19"/>
    <mergeCell ref="BCC19:BCE19"/>
    <mergeCell ref="BCA20:BCB20"/>
    <mergeCell ref="BCC20:BCE20"/>
    <mergeCell ref="BBE21:BBF21"/>
    <mergeCell ref="BBE22:BBF22"/>
    <mergeCell ref="BBE23:BBF23"/>
    <mergeCell ref="BBE24:BBF24"/>
    <mergeCell ref="BBB25:BBD25"/>
    <mergeCell ref="BBE25:BBF25"/>
    <mergeCell ref="BBE26:BBF26"/>
    <mergeCell ref="BBB27:BBF27"/>
    <mergeCell ref="BBB28:BBF29"/>
    <mergeCell ref="BBB1:BBB2"/>
    <mergeCell ref="BBC1:BBD2"/>
    <mergeCell ref="BBE1:BBE2"/>
    <mergeCell ref="BBE3:BBF3"/>
    <mergeCell ref="BBE4:BBF4"/>
    <mergeCell ref="BBE5:BBF5"/>
    <mergeCell ref="BBE6:BBF6"/>
    <mergeCell ref="BBE7:BBF7"/>
    <mergeCell ref="BBE8:BBF8"/>
    <mergeCell ref="BBB9:BBD9"/>
    <mergeCell ref="BBE9:BBF9"/>
    <mergeCell ref="BBB10:BBC10"/>
    <mergeCell ref="BBD10:BBF10"/>
    <mergeCell ref="BBB11:BBC11"/>
    <mergeCell ref="BBD11:BBF11"/>
    <mergeCell ref="BBB12:BBC12"/>
    <mergeCell ref="BBD12:BBF12"/>
    <mergeCell ref="BBB13:BBC13"/>
    <mergeCell ref="BBD13:BBF13"/>
    <mergeCell ref="BBB14:BBC14"/>
    <mergeCell ref="BBD14:BBF14"/>
    <mergeCell ref="BBB15:BBD15"/>
    <mergeCell ref="BBE15:BBF15"/>
    <mergeCell ref="BBB16:BBC16"/>
    <mergeCell ref="BBD16:BBF16"/>
    <mergeCell ref="BBB17:BBC17"/>
    <mergeCell ref="BBD17:BBF17"/>
    <mergeCell ref="BBB18:BBC18"/>
    <mergeCell ref="BBD18:BBF18"/>
    <mergeCell ref="BBB19:BBC19"/>
    <mergeCell ref="BBD19:BBF19"/>
    <mergeCell ref="BBB20:BBC20"/>
    <mergeCell ref="BBD20:BBF20"/>
    <mergeCell ref="BAU21:BAV21"/>
    <mergeCell ref="BAU22:BAV22"/>
    <mergeCell ref="BAU23:BAV23"/>
    <mergeCell ref="BAU24:BAV24"/>
    <mergeCell ref="BAR25:BAT25"/>
    <mergeCell ref="BAU25:BAV25"/>
    <mergeCell ref="BAU26:BAV26"/>
    <mergeCell ref="BAR27:BAV27"/>
    <mergeCell ref="BAR28:BAV29"/>
    <mergeCell ref="BAR1:BAR2"/>
    <mergeCell ref="BAS1:BAT2"/>
    <mergeCell ref="BAU1:BAU2"/>
    <mergeCell ref="BAU3:BAV3"/>
    <mergeCell ref="BAU4:BAV4"/>
    <mergeCell ref="BAU5:BAV5"/>
    <mergeCell ref="BAU6:BAV6"/>
    <mergeCell ref="BAU7:BAV7"/>
    <mergeCell ref="BAU8:BAV8"/>
    <mergeCell ref="BAR9:BAT9"/>
    <mergeCell ref="BAU9:BAV9"/>
    <mergeCell ref="BAR10:BAS10"/>
    <mergeCell ref="BAT10:BAV10"/>
    <mergeCell ref="BAR11:BAS11"/>
    <mergeCell ref="BAT11:BAV11"/>
    <mergeCell ref="BAR12:BAS12"/>
    <mergeCell ref="BAT12:BAV12"/>
    <mergeCell ref="BAR13:BAS13"/>
    <mergeCell ref="BAT13:BAV13"/>
    <mergeCell ref="BAR14:BAS14"/>
    <mergeCell ref="BAT14:BAV14"/>
    <mergeCell ref="BAR15:BAT15"/>
    <mergeCell ref="BAU15:BAV15"/>
    <mergeCell ref="BAR16:BAS16"/>
    <mergeCell ref="BAT16:BAV16"/>
    <mergeCell ref="BAR17:BAS17"/>
    <mergeCell ref="BAT17:BAV17"/>
    <mergeCell ref="BAR18:BAS18"/>
    <mergeCell ref="BAT18:BAV18"/>
    <mergeCell ref="BAR19:BAS19"/>
    <mergeCell ref="BAT19:BAV19"/>
    <mergeCell ref="BAR20:BAS20"/>
    <mergeCell ref="BAT20:BAV20"/>
    <mergeCell ref="BAK21:BAL21"/>
    <mergeCell ref="BAK22:BAL22"/>
    <mergeCell ref="BAK23:BAL23"/>
    <mergeCell ref="BAK24:BAL24"/>
    <mergeCell ref="BAH25:BAJ25"/>
    <mergeCell ref="BAK25:BAL25"/>
    <mergeCell ref="BAK26:BAL26"/>
    <mergeCell ref="BAH27:BAL27"/>
    <mergeCell ref="BAH28:BAL29"/>
    <mergeCell ref="BAH1:BAH2"/>
    <mergeCell ref="BAI1:BAJ2"/>
    <mergeCell ref="BAK1:BAK2"/>
    <mergeCell ref="BAK3:BAL3"/>
    <mergeCell ref="BAK4:BAL4"/>
    <mergeCell ref="BAK5:BAL5"/>
    <mergeCell ref="BAK6:BAL6"/>
    <mergeCell ref="BAK7:BAL7"/>
    <mergeCell ref="BAK8:BAL8"/>
    <mergeCell ref="BAH9:BAJ9"/>
    <mergeCell ref="BAK9:BAL9"/>
    <mergeCell ref="BAH10:BAI10"/>
    <mergeCell ref="BAJ10:BAL10"/>
    <mergeCell ref="BAH11:BAI11"/>
    <mergeCell ref="BAJ11:BAL11"/>
    <mergeCell ref="BAH12:BAI12"/>
    <mergeCell ref="BAJ12:BAL12"/>
    <mergeCell ref="BAH13:BAI13"/>
    <mergeCell ref="BAJ13:BAL13"/>
    <mergeCell ref="BAH14:BAI14"/>
    <mergeCell ref="BAJ14:BAL14"/>
    <mergeCell ref="BAH15:BAJ15"/>
    <mergeCell ref="BAK15:BAL15"/>
    <mergeCell ref="BAH16:BAI16"/>
    <mergeCell ref="BAJ16:BAL16"/>
    <mergeCell ref="BAH17:BAI17"/>
    <mergeCell ref="BAJ17:BAL17"/>
    <mergeCell ref="BAH18:BAI18"/>
    <mergeCell ref="BAJ18:BAL18"/>
    <mergeCell ref="BAH19:BAI19"/>
    <mergeCell ref="BAJ19:BAL19"/>
    <mergeCell ref="BAH20:BAI20"/>
    <mergeCell ref="BAJ20:BAL20"/>
    <mergeCell ref="AZV21:AZW21"/>
    <mergeCell ref="AZV22:AZW22"/>
    <mergeCell ref="AZV23:AZW23"/>
    <mergeCell ref="AZV24:AZW24"/>
    <mergeCell ref="AZS25:AZU25"/>
    <mergeCell ref="AZV25:AZW25"/>
    <mergeCell ref="AZV26:AZW26"/>
    <mergeCell ref="AZS27:AZW27"/>
    <mergeCell ref="AZS28:AZW29"/>
    <mergeCell ref="AZS1:AZS2"/>
    <mergeCell ref="AZT1:AZU2"/>
    <mergeCell ref="AZV1:AZV2"/>
    <mergeCell ref="AZV3:AZW3"/>
    <mergeCell ref="AZV4:AZW4"/>
    <mergeCell ref="AZV5:AZW5"/>
    <mergeCell ref="AZV6:AZW6"/>
    <mergeCell ref="AZV7:AZW7"/>
    <mergeCell ref="AZV8:AZW8"/>
    <mergeCell ref="AZS9:AZU9"/>
    <mergeCell ref="AZV9:AZW9"/>
    <mergeCell ref="AZS10:AZT10"/>
    <mergeCell ref="AZU10:AZW10"/>
    <mergeCell ref="AZS11:AZT11"/>
    <mergeCell ref="AZU11:AZW11"/>
    <mergeCell ref="AZS12:AZT12"/>
    <mergeCell ref="AZU12:AZW12"/>
    <mergeCell ref="AZS13:AZT13"/>
    <mergeCell ref="AZU13:AZW13"/>
    <mergeCell ref="AZS14:AZT14"/>
    <mergeCell ref="AZU14:AZW14"/>
    <mergeCell ref="AZS15:AZU15"/>
    <mergeCell ref="AZV15:AZW15"/>
    <mergeCell ref="AZS16:AZT16"/>
    <mergeCell ref="AZU16:AZW16"/>
    <mergeCell ref="AZS17:AZT17"/>
    <mergeCell ref="AZU17:AZW17"/>
    <mergeCell ref="AZS18:AZT18"/>
    <mergeCell ref="AZU18:AZW18"/>
    <mergeCell ref="AZS19:AZT19"/>
    <mergeCell ref="AZU19:AZW19"/>
    <mergeCell ref="AZS20:AZT20"/>
    <mergeCell ref="AZU20:AZW20"/>
    <mergeCell ref="AZL21:AZM21"/>
    <mergeCell ref="AZL22:AZM22"/>
    <mergeCell ref="AZL23:AZM23"/>
    <mergeCell ref="AZL24:AZM24"/>
    <mergeCell ref="AZI25:AZK25"/>
    <mergeCell ref="AZL25:AZM25"/>
    <mergeCell ref="AZL26:AZM26"/>
    <mergeCell ref="AZI27:AZM27"/>
    <mergeCell ref="AZI28:AZM29"/>
    <mergeCell ref="AZI1:AZI2"/>
    <mergeCell ref="AZJ1:AZK2"/>
    <mergeCell ref="AZL1:AZL2"/>
    <mergeCell ref="AZL3:AZM3"/>
    <mergeCell ref="AZL4:AZM4"/>
    <mergeCell ref="AZL5:AZM5"/>
    <mergeCell ref="AZL6:AZM6"/>
    <mergeCell ref="AZL7:AZM7"/>
    <mergeCell ref="AZL8:AZM8"/>
    <mergeCell ref="AZI9:AZK9"/>
    <mergeCell ref="AZL9:AZM9"/>
    <mergeCell ref="AZI10:AZJ10"/>
    <mergeCell ref="AZK10:AZM10"/>
    <mergeCell ref="AZI11:AZJ11"/>
    <mergeCell ref="AZK11:AZM11"/>
    <mergeCell ref="AZI12:AZJ12"/>
    <mergeCell ref="AZK12:AZM12"/>
    <mergeCell ref="AZI13:AZJ13"/>
    <mergeCell ref="AZK13:AZM13"/>
    <mergeCell ref="AZI14:AZJ14"/>
    <mergeCell ref="AZK14:AZM14"/>
    <mergeCell ref="AZI15:AZK15"/>
    <mergeCell ref="AZL15:AZM15"/>
    <mergeCell ref="AZI16:AZJ16"/>
    <mergeCell ref="AZK16:AZM16"/>
    <mergeCell ref="AZI17:AZJ17"/>
    <mergeCell ref="AZK17:AZM17"/>
    <mergeCell ref="AZI18:AZJ18"/>
    <mergeCell ref="AZK18:AZM18"/>
    <mergeCell ref="AZI19:AZJ19"/>
    <mergeCell ref="AZK19:AZM19"/>
    <mergeCell ref="AZI20:AZJ20"/>
    <mergeCell ref="AZK20:AZM20"/>
    <mergeCell ref="AZB21:AZC21"/>
    <mergeCell ref="AZB22:AZC22"/>
    <mergeCell ref="AZB23:AZC23"/>
    <mergeCell ref="AZB24:AZC24"/>
    <mergeCell ref="AYY25:AZA25"/>
    <mergeCell ref="AZB25:AZC25"/>
    <mergeCell ref="AZB26:AZC26"/>
    <mergeCell ref="AYY27:AZC27"/>
    <mergeCell ref="AYY28:AZC29"/>
    <mergeCell ref="AYY1:AYY2"/>
    <mergeCell ref="AYZ1:AZA2"/>
    <mergeCell ref="AZB1:AZB2"/>
    <mergeCell ref="AZB3:AZC3"/>
    <mergeCell ref="AZB4:AZC4"/>
    <mergeCell ref="AZB5:AZC5"/>
    <mergeCell ref="AZB6:AZC6"/>
    <mergeCell ref="AZB7:AZC7"/>
    <mergeCell ref="AZB8:AZC8"/>
    <mergeCell ref="AYY9:AZA9"/>
    <mergeCell ref="AZB9:AZC9"/>
    <mergeCell ref="AYY10:AYZ10"/>
    <mergeCell ref="AZA10:AZC10"/>
    <mergeCell ref="AYY11:AYZ11"/>
    <mergeCell ref="AZA11:AZC11"/>
    <mergeCell ref="AYY12:AYZ12"/>
    <mergeCell ref="AZA12:AZC12"/>
    <mergeCell ref="AYY13:AYZ13"/>
    <mergeCell ref="AZA13:AZC13"/>
    <mergeCell ref="AYY14:AYZ14"/>
    <mergeCell ref="AZA14:AZC14"/>
    <mergeCell ref="AYY15:AZA15"/>
    <mergeCell ref="AZB15:AZC15"/>
    <mergeCell ref="AYY16:AYZ16"/>
    <mergeCell ref="AZA16:AZC16"/>
    <mergeCell ref="AYY17:AYZ17"/>
    <mergeCell ref="AZA17:AZC17"/>
    <mergeCell ref="AYY18:AYZ18"/>
    <mergeCell ref="AZA18:AZC18"/>
    <mergeCell ref="AYY19:AYZ19"/>
    <mergeCell ref="AZA19:AZC19"/>
    <mergeCell ref="AYY20:AYZ20"/>
    <mergeCell ref="AZA20:AZC20"/>
    <mergeCell ref="AYM21:AYN21"/>
    <mergeCell ref="AYM22:AYN22"/>
    <mergeCell ref="AYM23:AYN23"/>
    <mergeCell ref="AYM24:AYN24"/>
    <mergeCell ref="AYJ25:AYL25"/>
    <mergeCell ref="AYM25:AYN25"/>
    <mergeCell ref="AYM26:AYN26"/>
    <mergeCell ref="AYJ27:AYN27"/>
    <mergeCell ref="AYJ28:AYN29"/>
    <mergeCell ref="AYJ1:AYJ2"/>
    <mergeCell ref="AYK1:AYL2"/>
    <mergeCell ref="AYM1:AYM2"/>
    <mergeCell ref="AYM3:AYN3"/>
    <mergeCell ref="AYM4:AYN4"/>
    <mergeCell ref="AYM5:AYN5"/>
    <mergeCell ref="AYM6:AYN6"/>
    <mergeCell ref="AYM7:AYN7"/>
    <mergeCell ref="AYM8:AYN8"/>
    <mergeCell ref="AYJ9:AYL9"/>
    <mergeCell ref="AYM9:AYN9"/>
    <mergeCell ref="AYJ10:AYK10"/>
    <mergeCell ref="AYL10:AYN10"/>
    <mergeCell ref="AYJ11:AYK11"/>
    <mergeCell ref="AYL11:AYN11"/>
    <mergeCell ref="AYJ12:AYK12"/>
    <mergeCell ref="AYL12:AYN12"/>
    <mergeCell ref="AYJ13:AYK13"/>
    <mergeCell ref="AYL13:AYN13"/>
    <mergeCell ref="AYJ14:AYK14"/>
    <mergeCell ref="AYL14:AYN14"/>
    <mergeCell ref="AYJ15:AYL15"/>
    <mergeCell ref="AYM15:AYN15"/>
    <mergeCell ref="AYJ16:AYK16"/>
    <mergeCell ref="AYL16:AYN16"/>
    <mergeCell ref="AYJ17:AYK17"/>
    <mergeCell ref="AYL17:AYN17"/>
    <mergeCell ref="AYJ18:AYK18"/>
    <mergeCell ref="AYL18:AYN18"/>
    <mergeCell ref="AYJ19:AYK19"/>
    <mergeCell ref="AYL19:AYN19"/>
    <mergeCell ref="AYJ20:AYK20"/>
    <mergeCell ref="AYL20:AYN20"/>
    <mergeCell ref="AYC21:AYD21"/>
    <mergeCell ref="AYC22:AYD22"/>
    <mergeCell ref="AYC23:AYD23"/>
    <mergeCell ref="AYC24:AYD24"/>
    <mergeCell ref="AXZ25:AYB25"/>
    <mergeCell ref="AYC25:AYD25"/>
    <mergeCell ref="AYC26:AYD26"/>
    <mergeCell ref="AXZ27:AYD27"/>
    <mergeCell ref="AXZ28:AYD29"/>
    <mergeCell ref="AXZ1:AXZ2"/>
    <mergeCell ref="AYA1:AYB2"/>
    <mergeCell ref="AYC1:AYC2"/>
    <mergeCell ref="AYC3:AYD3"/>
    <mergeCell ref="AYC4:AYD4"/>
    <mergeCell ref="AYC5:AYD5"/>
    <mergeCell ref="AYC6:AYD6"/>
    <mergeCell ref="AYC7:AYD7"/>
    <mergeCell ref="AYC8:AYD8"/>
    <mergeCell ref="AXZ9:AYB9"/>
    <mergeCell ref="AYC9:AYD9"/>
    <mergeCell ref="AXZ10:AYA10"/>
    <mergeCell ref="AYB10:AYD10"/>
    <mergeCell ref="AXZ11:AYA11"/>
    <mergeCell ref="AYB11:AYD11"/>
    <mergeCell ref="AXZ12:AYA12"/>
    <mergeCell ref="AYB12:AYD12"/>
    <mergeCell ref="AXZ13:AYA13"/>
    <mergeCell ref="AYB13:AYD13"/>
    <mergeCell ref="AXZ14:AYA14"/>
    <mergeCell ref="AYB14:AYD14"/>
    <mergeCell ref="AXZ15:AYB15"/>
    <mergeCell ref="AYC15:AYD15"/>
    <mergeCell ref="AXZ16:AYA16"/>
    <mergeCell ref="AYB16:AYD16"/>
    <mergeCell ref="AXZ17:AYA17"/>
    <mergeCell ref="AYB17:AYD17"/>
    <mergeCell ref="AXZ18:AYA18"/>
    <mergeCell ref="AYB18:AYD18"/>
    <mergeCell ref="AXZ19:AYA19"/>
    <mergeCell ref="AYB19:AYD19"/>
    <mergeCell ref="AXZ20:AYA20"/>
    <mergeCell ref="AYB20:AYD20"/>
    <mergeCell ref="AXX21:AXY21"/>
    <mergeCell ref="AXX22:AXY22"/>
    <mergeCell ref="AXX23:AXY23"/>
    <mergeCell ref="AXX24:AXY24"/>
    <mergeCell ref="AXU25:AXW25"/>
    <mergeCell ref="AXX25:AXY25"/>
    <mergeCell ref="AXX26:AXY26"/>
    <mergeCell ref="AXU27:AXY27"/>
    <mergeCell ref="AXU28:AXY29"/>
    <mergeCell ref="AXU1:AXU2"/>
    <mergeCell ref="AXV1:AXW2"/>
    <mergeCell ref="AXX1:AXX2"/>
    <mergeCell ref="AXX3:AXY3"/>
    <mergeCell ref="AXX4:AXY4"/>
    <mergeCell ref="AXX5:AXY5"/>
    <mergeCell ref="AXX6:AXY6"/>
    <mergeCell ref="AXX7:AXY7"/>
    <mergeCell ref="AXX8:AXY8"/>
    <mergeCell ref="AXU9:AXW9"/>
    <mergeCell ref="AXX9:AXY9"/>
    <mergeCell ref="AXU10:AXV10"/>
    <mergeCell ref="AXW10:AXY10"/>
    <mergeCell ref="AXU11:AXV11"/>
    <mergeCell ref="AXW11:AXY11"/>
    <mergeCell ref="AXU12:AXV12"/>
    <mergeCell ref="AXW12:AXY12"/>
    <mergeCell ref="AXU13:AXV13"/>
    <mergeCell ref="AXW13:AXY13"/>
    <mergeCell ref="AXU14:AXV14"/>
    <mergeCell ref="AXW14:AXY14"/>
    <mergeCell ref="AXU15:AXW15"/>
    <mergeCell ref="AXX15:AXY15"/>
    <mergeCell ref="AXU16:AXV16"/>
    <mergeCell ref="AXW16:AXY16"/>
    <mergeCell ref="AXU17:AXV17"/>
    <mergeCell ref="AXW17:AXY17"/>
    <mergeCell ref="AXU18:AXV18"/>
    <mergeCell ref="AXW18:AXY18"/>
    <mergeCell ref="AXU19:AXV19"/>
    <mergeCell ref="AXW19:AXY19"/>
    <mergeCell ref="AXU20:AXV20"/>
    <mergeCell ref="AXW20:AXY20"/>
    <mergeCell ref="AXS21:AXT21"/>
    <mergeCell ref="AXS22:AXT22"/>
    <mergeCell ref="AXS23:AXT23"/>
    <mergeCell ref="AXS24:AXT24"/>
    <mergeCell ref="AXP25:AXR25"/>
    <mergeCell ref="AXS25:AXT25"/>
    <mergeCell ref="AXS26:AXT26"/>
    <mergeCell ref="AXP27:AXT27"/>
    <mergeCell ref="AXP28:AXT29"/>
    <mergeCell ref="AXP1:AXP2"/>
    <mergeCell ref="AXQ1:AXR2"/>
    <mergeCell ref="AXS1:AXS2"/>
    <mergeCell ref="AXS3:AXT3"/>
    <mergeCell ref="AXS4:AXT4"/>
    <mergeCell ref="AXS5:AXT5"/>
    <mergeCell ref="AXS6:AXT6"/>
    <mergeCell ref="AXS7:AXT7"/>
    <mergeCell ref="AXS8:AXT8"/>
    <mergeCell ref="AXP9:AXR9"/>
    <mergeCell ref="AXS9:AXT9"/>
    <mergeCell ref="AXP10:AXQ10"/>
    <mergeCell ref="AXR10:AXT10"/>
    <mergeCell ref="AXP11:AXQ11"/>
    <mergeCell ref="AXR11:AXT11"/>
    <mergeCell ref="AXP12:AXQ12"/>
    <mergeCell ref="AXR12:AXT12"/>
    <mergeCell ref="AXP13:AXQ13"/>
    <mergeCell ref="AXR13:AXT13"/>
    <mergeCell ref="AXP14:AXQ14"/>
    <mergeCell ref="AXR14:AXT14"/>
    <mergeCell ref="AXP15:AXR15"/>
    <mergeCell ref="AXS15:AXT15"/>
    <mergeCell ref="AXP16:AXQ16"/>
    <mergeCell ref="AXR16:AXT16"/>
    <mergeCell ref="AXP17:AXQ17"/>
    <mergeCell ref="AXR17:AXT17"/>
    <mergeCell ref="AXP18:AXQ18"/>
    <mergeCell ref="AXR18:AXT18"/>
    <mergeCell ref="AXP19:AXQ19"/>
    <mergeCell ref="AXR19:AXT19"/>
    <mergeCell ref="AXP20:AXQ20"/>
    <mergeCell ref="AXR20:AXT20"/>
    <mergeCell ref="AXN21:AXO21"/>
    <mergeCell ref="AXN22:AXO22"/>
    <mergeCell ref="AXN23:AXO23"/>
    <mergeCell ref="AXN24:AXO24"/>
    <mergeCell ref="AXK25:AXM25"/>
    <mergeCell ref="AXN25:AXO25"/>
    <mergeCell ref="AXN26:AXO26"/>
    <mergeCell ref="AXK27:AXO27"/>
    <mergeCell ref="AXK28:AXO29"/>
    <mergeCell ref="AXK1:AXK2"/>
    <mergeCell ref="AXL1:AXM2"/>
    <mergeCell ref="AXN1:AXN2"/>
    <mergeCell ref="AXN3:AXO3"/>
    <mergeCell ref="AXN4:AXO4"/>
    <mergeCell ref="AXN5:AXO5"/>
    <mergeCell ref="AXN6:AXO6"/>
    <mergeCell ref="AXN7:AXO7"/>
    <mergeCell ref="AXN8:AXO8"/>
    <mergeCell ref="AXK9:AXM9"/>
    <mergeCell ref="AXN9:AXO9"/>
    <mergeCell ref="AXK10:AXL10"/>
    <mergeCell ref="AXM10:AXO10"/>
    <mergeCell ref="AXK11:AXL11"/>
    <mergeCell ref="AXM11:AXO11"/>
    <mergeCell ref="AXK12:AXL12"/>
    <mergeCell ref="AXM12:AXO12"/>
    <mergeCell ref="AXK13:AXL13"/>
    <mergeCell ref="AXM13:AXO13"/>
    <mergeCell ref="AXK14:AXL14"/>
    <mergeCell ref="AXM14:AXO14"/>
    <mergeCell ref="AXK15:AXM15"/>
    <mergeCell ref="AXN15:AXO15"/>
    <mergeCell ref="AXK16:AXL16"/>
    <mergeCell ref="AXM16:AXO16"/>
    <mergeCell ref="AXK17:AXL17"/>
    <mergeCell ref="AXM17:AXO17"/>
    <mergeCell ref="AXK18:AXL18"/>
    <mergeCell ref="AXM18:AXO18"/>
    <mergeCell ref="AXK19:AXL19"/>
    <mergeCell ref="AXM19:AXO19"/>
    <mergeCell ref="AXK20:AXL20"/>
    <mergeCell ref="AXM20:AXO20"/>
    <mergeCell ref="AXI21:AXJ21"/>
    <mergeCell ref="AXI22:AXJ22"/>
    <mergeCell ref="AXI23:AXJ23"/>
    <mergeCell ref="AXI24:AXJ24"/>
    <mergeCell ref="AXF25:AXH25"/>
    <mergeCell ref="AXI25:AXJ25"/>
    <mergeCell ref="AXI26:AXJ26"/>
    <mergeCell ref="AXF27:AXJ27"/>
    <mergeCell ref="AXF28:AXJ29"/>
    <mergeCell ref="AXF1:AXF2"/>
    <mergeCell ref="AXG1:AXH2"/>
    <mergeCell ref="AXI1:AXI2"/>
    <mergeCell ref="AXI3:AXJ3"/>
    <mergeCell ref="AXI4:AXJ4"/>
    <mergeCell ref="AXI5:AXJ5"/>
    <mergeCell ref="AXI6:AXJ6"/>
    <mergeCell ref="AXI7:AXJ7"/>
    <mergeCell ref="AXI8:AXJ8"/>
    <mergeCell ref="AXF9:AXH9"/>
    <mergeCell ref="AXI9:AXJ9"/>
    <mergeCell ref="AXF10:AXG10"/>
    <mergeCell ref="AXH10:AXJ10"/>
    <mergeCell ref="AXF11:AXG11"/>
    <mergeCell ref="AXH11:AXJ11"/>
    <mergeCell ref="AXF12:AXG12"/>
    <mergeCell ref="AXH12:AXJ12"/>
    <mergeCell ref="AXF13:AXG13"/>
    <mergeCell ref="AXH13:AXJ13"/>
    <mergeCell ref="AXF14:AXG14"/>
    <mergeCell ref="AXH14:AXJ14"/>
    <mergeCell ref="AXF15:AXH15"/>
    <mergeCell ref="AXI15:AXJ15"/>
    <mergeCell ref="AXF16:AXG16"/>
    <mergeCell ref="AXH16:AXJ16"/>
    <mergeCell ref="AXF17:AXG17"/>
    <mergeCell ref="AXH17:AXJ17"/>
    <mergeCell ref="AXF18:AXG18"/>
    <mergeCell ref="AXH18:AXJ18"/>
    <mergeCell ref="AXF19:AXG19"/>
    <mergeCell ref="AXH19:AXJ19"/>
    <mergeCell ref="AXF20:AXG20"/>
    <mergeCell ref="AXH20:AXJ20"/>
    <mergeCell ref="AXD21:AXE21"/>
    <mergeCell ref="AXD22:AXE22"/>
    <mergeCell ref="AXD23:AXE23"/>
    <mergeCell ref="AXD24:AXE24"/>
    <mergeCell ref="AXA25:AXC25"/>
    <mergeCell ref="AXD25:AXE25"/>
    <mergeCell ref="AXD26:AXE26"/>
    <mergeCell ref="AXA27:AXE27"/>
    <mergeCell ref="AXA28:AXE29"/>
    <mergeCell ref="AXA1:AXA2"/>
    <mergeCell ref="AXB1:AXC2"/>
    <mergeCell ref="AXD1:AXD2"/>
    <mergeCell ref="AXD3:AXE3"/>
    <mergeCell ref="AXD4:AXE4"/>
    <mergeCell ref="AXD5:AXE5"/>
    <mergeCell ref="AXD6:AXE6"/>
    <mergeCell ref="AXD7:AXE7"/>
    <mergeCell ref="AXD8:AXE8"/>
    <mergeCell ref="AXA9:AXC9"/>
    <mergeCell ref="AXD9:AXE9"/>
    <mergeCell ref="AXA10:AXB10"/>
    <mergeCell ref="AXC10:AXE10"/>
    <mergeCell ref="AXA11:AXB11"/>
    <mergeCell ref="AXC11:AXE11"/>
    <mergeCell ref="AXA12:AXB12"/>
    <mergeCell ref="AXC12:AXE12"/>
    <mergeCell ref="AXA13:AXB13"/>
    <mergeCell ref="AXC13:AXE13"/>
    <mergeCell ref="AXA14:AXB14"/>
    <mergeCell ref="AXC14:AXE14"/>
    <mergeCell ref="AXA15:AXC15"/>
    <mergeCell ref="AXD15:AXE15"/>
    <mergeCell ref="AXA16:AXB16"/>
    <mergeCell ref="AXC16:AXE16"/>
    <mergeCell ref="AXA17:AXB17"/>
    <mergeCell ref="AXC17:AXE17"/>
    <mergeCell ref="AXA18:AXB18"/>
    <mergeCell ref="AXC18:AXE18"/>
    <mergeCell ref="AXA19:AXB19"/>
    <mergeCell ref="AXC19:AXE19"/>
    <mergeCell ref="AXA20:AXB20"/>
    <mergeCell ref="AXC20:AXE20"/>
    <mergeCell ref="AWY21:AWZ21"/>
    <mergeCell ref="AWY22:AWZ22"/>
    <mergeCell ref="AWY23:AWZ23"/>
    <mergeCell ref="AWY24:AWZ24"/>
    <mergeCell ref="AWV25:AWX25"/>
    <mergeCell ref="AWY25:AWZ25"/>
    <mergeCell ref="AWY26:AWZ26"/>
    <mergeCell ref="AWV27:AWZ27"/>
    <mergeCell ref="AWV28:AWZ29"/>
    <mergeCell ref="AWV1:AWV2"/>
    <mergeCell ref="AWW1:AWX2"/>
    <mergeCell ref="AWY1:AWY2"/>
    <mergeCell ref="AWY3:AWZ3"/>
    <mergeCell ref="AWY4:AWZ4"/>
    <mergeCell ref="AWY5:AWZ5"/>
    <mergeCell ref="AWY6:AWZ6"/>
    <mergeCell ref="AWY7:AWZ7"/>
    <mergeCell ref="AWY8:AWZ8"/>
    <mergeCell ref="AWV9:AWX9"/>
    <mergeCell ref="AWY9:AWZ9"/>
    <mergeCell ref="AWV10:AWW10"/>
    <mergeCell ref="AWX10:AWZ10"/>
    <mergeCell ref="AWV11:AWW11"/>
    <mergeCell ref="AWX11:AWZ11"/>
    <mergeCell ref="AWV12:AWW12"/>
    <mergeCell ref="AWX12:AWZ12"/>
    <mergeCell ref="AWV13:AWW13"/>
    <mergeCell ref="AWX13:AWZ13"/>
    <mergeCell ref="AWV14:AWW14"/>
    <mergeCell ref="AWX14:AWZ14"/>
    <mergeCell ref="AWV15:AWX15"/>
    <mergeCell ref="AWY15:AWZ15"/>
    <mergeCell ref="AWV16:AWW16"/>
    <mergeCell ref="AWX16:AWZ16"/>
    <mergeCell ref="AWV17:AWW17"/>
    <mergeCell ref="AWX17:AWZ17"/>
    <mergeCell ref="AWV18:AWW18"/>
    <mergeCell ref="AWX18:AWZ18"/>
    <mergeCell ref="AWV19:AWW19"/>
    <mergeCell ref="AWX19:AWZ19"/>
    <mergeCell ref="AWV20:AWW20"/>
    <mergeCell ref="AWX20:AWZ20"/>
    <mergeCell ref="AWJ21:AWK21"/>
    <mergeCell ref="AWJ22:AWK22"/>
    <mergeCell ref="AWJ23:AWK23"/>
    <mergeCell ref="AWJ24:AWK24"/>
    <mergeCell ref="AWG25:AWI25"/>
    <mergeCell ref="AWJ25:AWK25"/>
    <mergeCell ref="AWJ26:AWK26"/>
    <mergeCell ref="AWG27:AWK27"/>
    <mergeCell ref="AWG28:AWK29"/>
    <mergeCell ref="AWG1:AWG2"/>
    <mergeCell ref="AWH1:AWI2"/>
    <mergeCell ref="AWJ1:AWJ2"/>
    <mergeCell ref="AWJ3:AWK3"/>
    <mergeCell ref="AWJ4:AWK4"/>
    <mergeCell ref="AWJ5:AWK5"/>
    <mergeCell ref="AWJ6:AWK6"/>
    <mergeCell ref="AWJ7:AWK7"/>
    <mergeCell ref="AWJ8:AWK8"/>
    <mergeCell ref="AWG9:AWI9"/>
    <mergeCell ref="AWJ9:AWK9"/>
    <mergeCell ref="AWG10:AWH10"/>
    <mergeCell ref="AWI10:AWK10"/>
    <mergeCell ref="AWG11:AWH11"/>
    <mergeCell ref="AWI11:AWK11"/>
    <mergeCell ref="AWG12:AWH12"/>
    <mergeCell ref="AWI12:AWK12"/>
    <mergeCell ref="AWG13:AWH13"/>
    <mergeCell ref="AWI13:AWK13"/>
    <mergeCell ref="AWG14:AWH14"/>
    <mergeCell ref="AWI14:AWK14"/>
    <mergeCell ref="AWG15:AWI15"/>
    <mergeCell ref="AWJ15:AWK15"/>
    <mergeCell ref="AWG16:AWH16"/>
    <mergeCell ref="AWI16:AWK16"/>
    <mergeCell ref="AWG17:AWH17"/>
    <mergeCell ref="AWI17:AWK17"/>
    <mergeCell ref="AWG18:AWH18"/>
    <mergeCell ref="AWI18:AWK18"/>
    <mergeCell ref="AWG19:AWH19"/>
    <mergeCell ref="AWI19:AWK19"/>
    <mergeCell ref="AWG20:AWH20"/>
    <mergeCell ref="AWI20:AWK20"/>
    <mergeCell ref="AVZ21:AWA21"/>
    <mergeCell ref="AVZ22:AWA22"/>
    <mergeCell ref="AVZ23:AWA23"/>
    <mergeCell ref="AVZ24:AWA24"/>
    <mergeCell ref="AVW25:AVY25"/>
    <mergeCell ref="AVZ25:AWA25"/>
    <mergeCell ref="AVZ26:AWA26"/>
    <mergeCell ref="AVW27:AWA27"/>
    <mergeCell ref="AVW28:AWA29"/>
    <mergeCell ref="AVW1:AVW2"/>
    <mergeCell ref="AVX1:AVY2"/>
    <mergeCell ref="AVZ1:AVZ2"/>
    <mergeCell ref="AVZ3:AWA3"/>
    <mergeCell ref="AVZ4:AWA4"/>
    <mergeCell ref="AVZ5:AWA5"/>
    <mergeCell ref="AVZ6:AWA6"/>
    <mergeCell ref="AVZ7:AWA7"/>
    <mergeCell ref="AVZ8:AWA8"/>
    <mergeCell ref="AVW9:AVY9"/>
    <mergeCell ref="AVZ9:AWA9"/>
    <mergeCell ref="AVW10:AVX10"/>
    <mergeCell ref="AVY10:AWA10"/>
    <mergeCell ref="AVW11:AVX11"/>
    <mergeCell ref="AVY11:AWA11"/>
    <mergeCell ref="AVW12:AVX12"/>
    <mergeCell ref="AVY12:AWA12"/>
    <mergeCell ref="AVW13:AVX13"/>
    <mergeCell ref="AVY13:AWA13"/>
    <mergeCell ref="AVW14:AVX14"/>
    <mergeCell ref="AVY14:AWA14"/>
    <mergeCell ref="AVW15:AVY15"/>
    <mergeCell ref="AVZ15:AWA15"/>
    <mergeCell ref="AVW16:AVX16"/>
    <mergeCell ref="AVY16:AWA16"/>
    <mergeCell ref="AVW17:AVX17"/>
    <mergeCell ref="AVY17:AWA17"/>
    <mergeCell ref="AVW18:AVX18"/>
    <mergeCell ref="AVY18:AWA18"/>
    <mergeCell ref="AVW19:AVX19"/>
    <mergeCell ref="AVY19:AWA19"/>
    <mergeCell ref="AVW20:AVX20"/>
    <mergeCell ref="AVY20:AWA20"/>
    <mergeCell ref="AVP21:AVQ21"/>
    <mergeCell ref="AVP22:AVQ22"/>
    <mergeCell ref="AVP23:AVQ23"/>
    <mergeCell ref="AVP24:AVQ24"/>
    <mergeCell ref="AVM25:AVO25"/>
    <mergeCell ref="AVP25:AVQ25"/>
    <mergeCell ref="AVP26:AVQ26"/>
    <mergeCell ref="AVM27:AVQ27"/>
    <mergeCell ref="AVM28:AVQ29"/>
    <mergeCell ref="AVM1:AVM2"/>
    <mergeCell ref="AVN1:AVO2"/>
    <mergeCell ref="AVP1:AVP2"/>
    <mergeCell ref="AVP3:AVQ3"/>
    <mergeCell ref="AVP4:AVQ4"/>
    <mergeCell ref="AVP5:AVQ5"/>
    <mergeCell ref="AVP6:AVQ6"/>
    <mergeCell ref="AVP7:AVQ7"/>
    <mergeCell ref="AVP8:AVQ8"/>
    <mergeCell ref="AVM9:AVO9"/>
    <mergeCell ref="AVP9:AVQ9"/>
    <mergeCell ref="AVM10:AVN10"/>
    <mergeCell ref="AVO10:AVQ10"/>
    <mergeCell ref="AVM11:AVN11"/>
    <mergeCell ref="AVO11:AVQ11"/>
    <mergeCell ref="AVM12:AVN12"/>
    <mergeCell ref="AVO12:AVQ12"/>
    <mergeCell ref="AVM13:AVN13"/>
    <mergeCell ref="AVO13:AVQ13"/>
    <mergeCell ref="AVM14:AVN14"/>
    <mergeCell ref="AVO14:AVQ14"/>
    <mergeCell ref="AVM15:AVO15"/>
    <mergeCell ref="AVP15:AVQ15"/>
    <mergeCell ref="AVM16:AVN16"/>
    <mergeCell ref="AVO16:AVQ16"/>
    <mergeCell ref="AVM17:AVN17"/>
    <mergeCell ref="AVO17:AVQ17"/>
    <mergeCell ref="AVM18:AVN18"/>
    <mergeCell ref="AVO18:AVQ18"/>
    <mergeCell ref="AVM19:AVN19"/>
    <mergeCell ref="AVO19:AVQ19"/>
    <mergeCell ref="AVM20:AVN20"/>
    <mergeCell ref="AVO20:AVQ20"/>
    <mergeCell ref="AVF21:AVG21"/>
    <mergeCell ref="AVF22:AVG22"/>
    <mergeCell ref="AVF23:AVG23"/>
    <mergeCell ref="AVF24:AVG24"/>
    <mergeCell ref="AVC25:AVE25"/>
    <mergeCell ref="AVF25:AVG25"/>
    <mergeCell ref="AVF26:AVG26"/>
    <mergeCell ref="AVC27:AVG27"/>
    <mergeCell ref="AVC28:AVG29"/>
    <mergeCell ref="AVC1:AVC2"/>
    <mergeCell ref="AVD1:AVE2"/>
    <mergeCell ref="AVF1:AVF2"/>
    <mergeCell ref="AVF3:AVG3"/>
    <mergeCell ref="AVF4:AVG4"/>
    <mergeCell ref="AVF5:AVG5"/>
    <mergeCell ref="AVF6:AVG6"/>
    <mergeCell ref="AVF7:AVG7"/>
    <mergeCell ref="AVF8:AVG8"/>
    <mergeCell ref="AVC9:AVE9"/>
    <mergeCell ref="AVF9:AVG9"/>
    <mergeCell ref="AVC10:AVD10"/>
    <mergeCell ref="AVE10:AVG10"/>
    <mergeCell ref="AVC11:AVD11"/>
    <mergeCell ref="AVE11:AVG11"/>
    <mergeCell ref="AVC12:AVD12"/>
    <mergeCell ref="AVE12:AVG12"/>
    <mergeCell ref="AVC13:AVD13"/>
    <mergeCell ref="AVE13:AVG13"/>
    <mergeCell ref="AVC14:AVD14"/>
    <mergeCell ref="AVE14:AVG14"/>
    <mergeCell ref="AVC15:AVE15"/>
    <mergeCell ref="AVF15:AVG15"/>
    <mergeCell ref="AVC16:AVD16"/>
    <mergeCell ref="AVE16:AVG16"/>
    <mergeCell ref="AVC17:AVD17"/>
    <mergeCell ref="AVE17:AVG17"/>
    <mergeCell ref="AVC18:AVD18"/>
    <mergeCell ref="AVE18:AVG18"/>
    <mergeCell ref="AVC19:AVD19"/>
    <mergeCell ref="AVE19:AVG19"/>
    <mergeCell ref="AVC20:AVD20"/>
    <mergeCell ref="AVE20:AVG20"/>
    <mergeCell ref="AUV21:AUW21"/>
    <mergeCell ref="AUV22:AUW22"/>
    <mergeCell ref="AUV23:AUW23"/>
    <mergeCell ref="AUV24:AUW24"/>
    <mergeCell ref="AUS25:AUU25"/>
    <mergeCell ref="AUV25:AUW25"/>
    <mergeCell ref="AUV26:AUW26"/>
    <mergeCell ref="AUS27:AUW27"/>
    <mergeCell ref="AUS28:AUW29"/>
    <mergeCell ref="AUS1:AUS2"/>
    <mergeCell ref="AUT1:AUU2"/>
    <mergeCell ref="AUV1:AUV2"/>
    <mergeCell ref="AUV3:AUW3"/>
    <mergeCell ref="AUV4:AUW4"/>
    <mergeCell ref="AUV5:AUW5"/>
    <mergeCell ref="AUV6:AUW6"/>
    <mergeCell ref="AUV7:AUW7"/>
    <mergeCell ref="AUV8:AUW8"/>
    <mergeCell ref="AUS9:AUU9"/>
    <mergeCell ref="AUV9:AUW9"/>
    <mergeCell ref="AUS10:AUT10"/>
    <mergeCell ref="AUU10:AUW10"/>
    <mergeCell ref="AUS11:AUT11"/>
    <mergeCell ref="AUU11:AUW11"/>
    <mergeCell ref="AUS12:AUT12"/>
    <mergeCell ref="AUU12:AUW12"/>
    <mergeCell ref="AUS13:AUT13"/>
    <mergeCell ref="AUU13:AUW13"/>
    <mergeCell ref="AUS14:AUT14"/>
    <mergeCell ref="AUU14:AUW14"/>
    <mergeCell ref="AUS15:AUU15"/>
    <mergeCell ref="AUV15:AUW15"/>
    <mergeCell ref="AUS16:AUT16"/>
    <mergeCell ref="AUU16:AUW16"/>
    <mergeCell ref="AUS17:AUT17"/>
    <mergeCell ref="AUU17:AUW17"/>
    <mergeCell ref="AUS18:AUT18"/>
    <mergeCell ref="AUU18:AUW18"/>
    <mergeCell ref="AUS19:AUT19"/>
    <mergeCell ref="AUU19:AUW19"/>
    <mergeCell ref="AUS20:AUT20"/>
    <mergeCell ref="AUU20:AUW20"/>
    <mergeCell ref="AUL21:AUM21"/>
    <mergeCell ref="AUL22:AUM22"/>
    <mergeCell ref="AUL23:AUM23"/>
    <mergeCell ref="AUL24:AUM24"/>
    <mergeCell ref="AUI25:AUK25"/>
    <mergeCell ref="AUL25:AUM25"/>
    <mergeCell ref="AUL26:AUM26"/>
    <mergeCell ref="AUI27:AUM27"/>
    <mergeCell ref="AUI28:AUM29"/>
    <mergeCell ref="AUI1:AUI2"/>
    <mergeCell ref="AUJ1:AUK2"/>
    <mergeCell ref="AUL1:AUL2"/>
    <mergeCell ref="AUL3:AUM3"/>
    <mergeCell ref="AUL4:AUM4"/>
    <mergeCell ref="AUL5:AUM5"/>
    <mergeCell ref="AUL6:AUM6"/>
    <mergeCell ref="AUL7:AUM7"/>
    <mergeCell ref="AUL8:AUM8"/>
    <mergeCell ref="AUI9:AUK9"/>
    <mergeCell ref="AUL9:AUM9"/>
    <mergeCell ref="AUI10:AUJ10"/>
    <mergeCell ref="AUK10:AUM10"/>
    <mergeCell ref="AUI11:AUJ11"/>
    <mergeCell ref="AUK11:AUM11"/>
    <mergeCell ref="AUI12:AUJ12"/>
    <mergeCell ref="AUK12:AUM12"/>
    <mergeCell ref="AUI13:AUJ13"/>
    <mergeCell ref="AUK13:AUM13"/>
    <mergeCell ref="AUI14:AUJ14"/>
    <mergeCell ref="AUK14:AUM14"/>
    <mergeCell ref="AUI15:AUK15"/>
    <mergeCell ref="AUL15:AUM15"/>
    <mergeCell ref="AUI16:AUJ16"/>
    <mergeCell ref="AUK16:AUM16"/>
    <mergeCell ref="AUI17:AUJ17"/>
    <mergeCell ref="AUK17:AUM17"/>
    <mergeCell ref="AUI18:AUJ18"/>
    <mergeCell ref="AUK18:AUM18"/>
    <mergeCell ref="AUI19:AUJ19"/>
    <mergeCell ref="AUK19:AUM19"/>
    <mergeCell ref="AUI20:AUJ20"/>
    <mergeCell ref="AUK20:AUM20"/>
    <mergeCell ref="ATW21:ATX21"/>
    <mergeCell ref="ATW22:ATX22"/>
    <mergeCell ref="ATW23:ATX23"/>
    <mergeCell ref="ATW24:ATX24"/>
    <mergeCell ref="ATT25:ATV25"/>
    <mergeCell ref="ATW25:ATX25"/>
    <mergeCell ref="ATW26:ATX26"/>
    <mergeCell ref="ATT27:ATX27"/>
    <mergeCell ref="ATT28:ATX29"/>
    <mergeCell ref="ATT1:ATT2"/>
    <mergeCell ref="ATU1:ATV2"/>
    <mergeCell ref="ATW1:ATW2"/>
    <mergeCell ref="ATW3:ATX3"/>
    <mergeCell ref="ATW4:ATX4"/>
    <mergeCell ref="ATW5:ATX5"/>
    <mergeCell ref="ATW6:ATX6"/>
    <mergeCell ref="ATW7:ATX7"/>
    <mergeCell ref="ATW8:ATX8"/>
    <mergeCell ref="ATT9:ATV9"/>
    <mergeCell ref="ATW9:ATX9"/>
    <mergeCell ref="ATT10:ATU10"/>
    <mergeCell ref="ATV10:ATX10"/>
    <mergeCell ref="ATT11:ATU11"/>
    <mergeCell ref="ATV11:ATX11"/>
    <mergeCell ref="ATT12:ATU12"/>
    <mergeCell ref="ATV12:ATX12"/>
    <mergeCell ref="ATT13:ATU13"/>
    <mergeCell ref="ATV13:ATX13"/>
    <mergeCell ref="ATT14:ATU14"/>
    <mergeCell ref="ATV14:ATX14"/>
    <mergeCell ref="ATT15:ATV15"/>
    <mergeCell ref="ATW15:ATX15"/>
    <mergeCell ref="ATT16:ATU16"/>
    <mergeCell ref="ATV16:ATX16"/>
    <mergeCell ref="ATT17:ATU17"/>
    <mergeCell ref="ATV17:ATX17"/>
    <mergeCell ref="ATT18:ATU18"/>
    <mergeCell ref="ATV18:ATX18"/>
    <mergeCell ref="ATT19:ATU19"/>
    <mergeCell ref="ATV19:ATX19"/>
    <mergeCell ref="ATT20:ATU20"/>
    <mergeCell ref="ATV20:ATX20"/>
    <mergeCell ref="ATM21:ATN21"/>
    <mergeCell ref="ATM22:ATN22"/>
    <mergeCell ref="ATM23:ATN23"/>
    <mergeCell ref="ATM24:ATN24"/>
    <mergeCell ref="ATJ25:ATL25"/>
    <mergeCell ref="ATM25:ATN25"/>
    <mergeCell ref="ATM26:ATN26"/>
    <mergeCell ref="ATJ27:ATN27"/>
    <mergeCell ref="ATJ28:ATN29"/>
    <mergeCell ref="ATJ1:ATJ2"/>
    <mergeCell ref="ATK1:ATL2"/>
    <mergeCell ref="ATM1:ATM2"/>
    <mergeCell ref="ATM3:ATN3"/>
    <mergeCell ref="ATM4:ATN4"/>
    <mergeCell ref="ATM5:ATN5"/>
    <mergeCell ref="ATM6:ATN6"/>
    <mergeCell ref="ATM7:ATN7"/>
    <mergeCell ref="ATM8:ATN8"/>
    <mergeCell ref="ATJ9:ATL9"/>
    <mergeCell ref="ATM9:ATN9"/>
    <mergeCell ref="ATJ10:ATK10"/>
    <mergeCell ref="ATL10:ATN10"/>
    <mergeCell ref="ATJ11:ATK11"/>
    <mergeCell ref="ATL11:ATN11"/>
    <mergeCell ref="ATJ12:ATK12"/>
    <mergeCell ref="ATL12:ATN12"/>
    <mergeCell ref="ATJ13:ATK13"/>
    <mergeCell ref="ATL13:ATN13"/>
    <mergeCell ref="ATJ14:ATK14"/>
    <mergeCell ref="ATL14:ATN14"/>
    <mergeCell ref="ATJ15:ATL15"/>
    <mergeCell ref="ATM15:ATN15"/>
    <mergeCell ref="ATJ16:ATK16"/>
    <mergeCell ref="ATL16:ATN16"/>
    <mergeCell ref="ATJ17:ATK17"/>
    <mergeCell ref="ATL17:ATN17"/>
    <mergeCell ref="ATJ18:ATK18"/>
    <mergeCell ref="ATL18:ATN18"/>
    <mergeCell ref="ATJ19:ATK19"/>
    <mergeCell ref="ATL19:ATN19"/>
    <mergeCell ref="ATJ20:ATK20"/>
    <mergeCell ref="ATL20:ATN20"/>
    <mergeCell ref="ATH21:ATI21"/>
    <mergeCell ref="ATH22:ATI22"/>
    <mergeCell ref="ATH23:ATI23"/>
    <mergeCell ref="ATH24:ATI24"/>
    <mergeCell ref="ATE25:ATG25"/>
    <mergeCell ref="ATH25:ATI25"/>
    <mergeCell ref="ATH26:ATI26"/>
    <mergeCell ref="ATE27:ATI27"/>
    <mergeCell ref="ATE28:ATI29"/>
    <mergeCell ref="ATE1:ATE2"/>
    <mergeCell ref="ATF1:ATG2"/>
    <mergeCell ref="ATH1:ATH2"/>
    <mergeCell ref="ATH3:ATI3"/>
    <mergeCell ref="ATH4:ATI4"/>
    <mergeCell ref="ATH5:ATI5"/>
    <mergeCell ref="ATH6:ATI6"/>
    <mergeCell ref="ATH7:ATI7"/>
    <mergeCell ref="ATH8:ATI8"/>
    <mergeCell ref="ATE9:ATG9"/>
    <mergeCell ref="ATH9:ATI9"/>
    <mergeCell ref="ATE10:ATF10"/>
    <mergeCell ref="ATG10:ATI10"/>
    <mergeCell ref="ATE11:ATF11"/>
    <mergeCell ref="ATG11:ATI11"/>
    <mergeCell ref="ATE12:ATF12"/>
    <mergeCell ref="ATG12:ATI12"/>
    <mergeCell ref="ATE13:ATF13"/>
    <mergeCell ref="ATG13:ATI13"/>
    <mergeCell ref="ATE14:ATF14"/>
    <mergeCell ref="ATG14:ATI14"/>
    <mergeCell ref="ATE15:ATG15"/>
    <mergeCell ref="ATH15:ATI15"/>
    <mergeCell ref="ATE16:ATF16"/>
    <mergeCell ref="ATG16:ATI16"/>
    <mergeCell ref="ATE17:ATF17"/>
    <mergeCell ref="ATG17:ATI17"/>
    <mergeCell ref="ATE18:ATF18"/>
    <mergeCell ref="ATG18:ATI18"/>
    <mergeCell ref="ATE19:ATF19"/>
    <mergeCell ref="ATG19:ATI19"/>
    <mergeCell ref="ATE20:ATF20"/>
    <mergeCell ref="ATG20:ATI20"/>
    <mergeCell ref="ASX21:ASY21"/>
    <mergeCell ref="ASX22:ASY22"/>
    <mergeCell ref="ASX23:ASY23"/>
    <mergeCell ref="ASX24:ASY24"/>
    <mergeCell ref="ASU25:ASW25"/>
    <mergeCell ref="ASX25:ASY25"/>
    <mergeCell ref="ASX26:ASY26"/>
    <mergeCell ref="ASU27:ASY27"/>
    <mergeCell ref="ASU28:ASY29"/>
    <mergeCell ref="ASU1:ASU2"/>
    <mergeCell ref="ASV1:ASW2"/>
    <mergeCell ref="ASX1:ASX2"/>
    <mergeCell ref="ASX3:ASY3"/>
    <mergeCell ref="ASX4:ASY4"/>
    <mergeCell ref="ASX5:ASY5"/>
    <mergeCell ref="ASX6:ASY6"/>
    <mergeCell ref="ASX7:ASY7"/>
    <mergeCell ref="ASX8:ASY8"/>
    <mergeCell ref="ASU9:ASW9"/>
    <mergeCell ref="ASX9:ASY9"/>
    <mergeCell ref="ASU10:ASV10"/>
    <mergeCell ref="ASW10:ASY10"/>
    <mergeCell ref="ASU11:ASV11"/>
    <mergeCell ref="ASW11:ASY11"/>
    <mergeCell ref="ASU12:ASV12"/>
    <mergeCell ref="ASW12:ASY12"/>
    <mergeCell ref="ASU13:ASV13"/>
    <mergeCell ref="ASW13:ASY13"/>
    <mergeCell ref="ASU14:ASV14"/>
    <mergeCell ref="ASW14:ASY14"/>
    <mergeCell ref="ASU15:ASW15"/>
    <mergeCell ref="ASX15:ASY15"/>
    <mergeCell ref="ASU16:ASV16"/>
    <mergeCell ref="ASW16:ASY16"/>
    <mergeCell ref="ASU17:ASV17"/>
    <mergeCell ref="ASW17:ASY17"/>
    <mergeCell ref="ASU18:ASV18"/>
    <mergeCell ref="ASW18:ASY18"/>
    <mergeCell ref="ASU19:ASV19"/>
    <mergeCell ref="ASW19:ASY19"/>
    <mergeCell ref="ASU20:ASV20"/>
    <mergeCell ref="ASW20:ASY20"/>
    <mergeCell ref="ASN21:ASO21"/>
    <mergeCell ref="ASN22:ASO22"/>
    <mergeCell ref="ASN23:ASO23"/>
    <mergeCell ref="ASN24:ASO24"/>
    <mergeCell ref="ASK25:ASM25"/>
    <mergeCell ref="ASN25:ASO25"/>
    <mergeCell ref="ASN26:ASO26"/>
    <mergeCell ref="ASK27:ASO27"/>
    <mergeCell ref="ASK28:ASO29"/>
    <mergeCell ref="ASK1:ASK2"/>
    <mergeCell ref="ASL1:ASM2"/>
    <mergeCell ref="ASN1:ASN2"/>
    <mergeCell ref="ASN3:ASO3"/>
    <mergeCell ref="ASN4:ASO4"/>
    <mergeCell ref="ASN5:ASO5"/>
    <mergeCell ref="ASN6:ASO6"/>
    <mergeCell ref="ASN7:ASO7"/>
    <mergeCell ref="ASN8:ASO8"/>
    <mergeCell ref="ASK9:ASM9"/>
    <mergeCell ref="ASN9:ASO9"/>
    <mergeCell ref="ASK10:ASL10"/>
    <mergeCell ref="ASM10:ASO10"/>
    <mergeCell ref="ASK11:ASL11"/>
    <mergeCell ref="ASM11:ASO11"/>
    <mergeCell ref="ASK12:ASL12"/>
    <mergeCell ref="ASM12:ASO12"/>
    <mergeCell ref="ASK13:ASL13"/>
    <mergeCell ref="ASM13:ASO13"/>
    <mergeCell ref="ASK14:ASL14"/>
    <mergeCell ref="ASM14:ASO14"/>
    <mergeCell ref="ASK15:ASM15"/>
    <mergeCell ref="ASN15:ASO15"/>
    <mergeCell ref="ASK16:ASL16"/>
    <mergeCell ref="ASM16:ASO16"/>
    <mergeCell ref="ASK17:ASL17"/>
    <mergeCell ref="ASM17:ASO17"/>
    <mergeCell ref="ASK18:ASL18"/>
    <mergeCell ref="ASM18:ASO18"/>
    <mergeCell ref="ASK19:ASL19"/>
    <mergeCell ref="ASM19:ASO19"/>
    <mergeCell ref="ASK20:ASL20"/>
    <mergeCell ref="ASM20:ASO20"/>
    <mergeCell ref="ARY21:ARZ21"/>
    <mergeCell ref="ARY22:ARZ22"/>
    <mergeCell ref="ARY23:ARZ23"/>
    <mergeCell ref="ARY24:ARZ24"/>
    <mergeCell ref="ARV25:ARX25"/>
    <mergeCell ref="ARY25:ARZ25"/>
    <mergeCell ref="ARY26:ARZ26"/>
    <mergeCell ref="ARV27:ARZ27"/>
    <mergeCell ref="ARV28:ARZ29"/>
    <mergeCell ref="ARV1:ARV2"/>
    <mergeCell ref="ARW1:ARX2"/>
    <mergeCell ref="ARY1:ARY2"/>
    <mergeCell ref="ARY3:ARZ3"/>
    <mergeCell ref="ARY4:ARZ4"/>
    <mergeCell ref="ARY5:ARZ5"/>
    <mergeCell ref="ARY6:ARZ6"/>
    <mergeCell ref="ARY7:ARZ7"/>
    <mergeCell ref="ARY8:ARZ8"/>
    <mergeCell ref="ARV9:ARX9"/>
    <mergeCell ref="ARY9:ARZ9"/>
    <mergeCell ref="ARV10:ARW10"/>
    <mergeCell ref="ARX10:ARZ10"/>
    <mergeCell ref="ARV11:ARW11"/>
    <mergeCell ref="ARX11:ARZ11"/>
    <mergeCell ref="ARV12:ARW12"/>
    <mergeCell ref="ARX12:ARZ12"/>
    <mergeCell ref="ARV13:ARW13"/>
    <mergeCell ref="ARX13:ARZ13"/>
    <mergeCell ref="ARV14:ARW14"/>
    <mergeCell ref="ARX14:ARZ14"/>
    <mergeCell ref="ARV15:ARX15"/>
    <mergeCell ref="ARY15:ARZ15"/>
    <mergeCell ref="ARV16:ARW16"/>
    <mergeCell ref="ARX16:ARZ16"/>
    <mergeCell ref="ARV17:ARW17"/>
    <mergeCell ref="ARX17:ARZ17"/>
    <mergeCell ref="ARV18:ARW18"/>
    <mergeCell ref="ARX18:ARZ18"/>
    <mergeCell ref="ARV19:ARW19"/>
    <mergeCell ref="ARX19:ARZ19"/>
    <mergeCell ref="ARV20:ARW20"/>
    <mergeCell ref="ARX20:ARZ20"/>
    <mergeCell ref="ARO21:ARP21"/>
    <mergeCell ref="ARO22:ARP22"/>
    <mergeCell ref="ARO23:ARP23"/>
    <mergeCell ref="ARO24:ARP24"/>
    <mergeCell ref="ARL25:ARN25"/>
    <mergeCell ref="ARO25:ARP25"/>
    <mergeCell ref="ARO26:ARP26"/>
    <mergeCell ref="ARL27:ARP27"/>
    <mergeCell ref="ARL28:ARP29"/>
    <mergeCell ref="ARL1:ARL2"/>
    <mergeCell ref="ARM1:ARN2"/>
    <mergeCell ref="ARO1:ARO2"/>
    <mergeCell ref="ARO3:ARP3"/>
    <mergeCell ref="ARO4:ARP4"/>
    <mergeCell ref="ARO5:ARP5"/>
    <mergeCell ref="ARO6:ARP6"/>
    <mergeCell ref="ARO7:ARP7"/>
    <mergeCell ref="ARO8:ARP8"/>
    <mergeCell ref="ARL9:ARN9"/>
    <mergeCell ref="ARO9:ARP9"/>
    <mergeCell ref="ARL10:ARM10"/>
    <mergeCell ref="ARN10:ARP10"/>
    <mergeCell ref="ARL11:ARM11"/>
    <mergeCell ref="ARN11:ARP11"/>
    <mergeCell ref="ARL12:ARM12"/>
    <mergeCell ref="ARN12:ARP12"/>
    <mergeCell ref="ARL13:ARM13"/>
    <mergeCell ref="ARN13:ARP13"/>
    <mergeCell ref="ARL14:ARM14"/>
    <mergeCell ref="ARN14:ARP14"/>
    <mergeCell ref="ARL15:ARN15"/>
    <mergeCell ref="ARO15:ARP15"/>
    <mergeCell ref="ARL16:ARM16"/>
    <mergeCell ref="ARN16:ARP16"/>
    <mergeCell ref="ARL17:ARM17"/>
    <mergeCell ref="ARN17:ARP17"/>
    <mergeCell ref="ARL18:ARM18"/>
    <mergeCell ref="ARN18:ARP18"/>
    <mergeCell ref="ARL19:ARM19"/>
    <mergeCell ref="ARN19:ARP19"/>
    <mergeCell ref="ARL20:ARM20"/>
    <mergeCell ref="ARN20:ARP20"/>
    <mergeCell ref="ARJ21:ARK21"/>
    <mergeCell ref="ARJ22:ARK22"/>
    <mergeCell ref="ARJ23:ARK23"/>
    <mergeCell ref="ARJ24:ARK24"/>
    <mergeCell ref="ARG25:ARI25"/>
    <mergeCell ref="ARJ25:ARK25"/>
    <mergeCell ref="ARJ26:ARK26"/>
    <mergeCell ref="ARG27:ARK27"/>
    <mergeCell ref="ARG28:ARK29"/>
    <mergeCell ref="ARG1:ARG2"/>
    <mergeCell ref="ARH1:ARI2"/>
    <mergeCell ref="ARJ1:ARJ2"/>
    <mergeCell ref="ARJ3:ARK3"/>
    <mergeCell ref="ARJ4:ARK4"/>
    <mergeCell ref="ARJ5:ARK5"/>
    <mergeCell ref="ARJ6:ARK6"/>
    <mergeCell ref="ARJ7:ARK7"/>
    <mergeCell ref="ARJ8:ARK8"/>
    <mergeCell ref="ARG9:ARI9"/>
    <mergeCell ref="ARJ9:ARK9"/>
    <mergeCell ref="ARG10:ARH10"/>
    <mergeCell ref="ARI10:ARK10"/>
    <mergeCell ref="ARG11:ARH11"/>
    <mergeCell ref="ARI11:ARK11"/>
    <mergeCell ref="ARG12:ARH12"/>
    <mergeCell ref="ARI12:ARK12"/>
    <mergeCell ref="ARG13:ARH13"/>
    <mergeCell ref="ARI13:ARK13"/>
    <mergeCell ref="ARG14:ARH14"/>
    <mergeCell ref="ARI14:ARK14"/>
    <mergeCell ref="ARG15:ARI15"/>
    <mergeCell ref="ARJ15:ARK15"/>
    <mergeCell ref="ARG16:ARH16"/>
    <mergeCell ref="ARI16:ARK16"/>
    <mergeCell ref="ARG17:ARH17"/>
    <mergeCell ref="ARI17:ARK17"/>
    <mergeCell ref="ARG18:ARH18"/>
    <mergeCell ref="ARI18:ARK18"/>
    <mergeCell ref="ARG19:ARH19"/>
    <mergeCell ref="ARI19:ARK19"/>
    <mergeCell ref="ARG20:ARH20"/>
    <mergeCell ref="ARI20:ARK20"/>
    <mergeCell ref="ARE21:ARF21"/>
    <mergeCell ref="ARE22:ARF22"/>
    <mergeCell ref="ARE23:ARF23"/>
    <mergeCell ref="ARE24:ARF24"/>
    <mergeCell ref="ARB25:ARD25"/>
    <mergeCell ref="ARE25:ARF25"/>
    <mergeCell ref="ARE26:ARF26"/>
    <mergeCell ref="ARB27:ARF27"/>
    <mergeCell ref="ARB28:ARF29"/>
    <mergeCell ref="ARB1:ARB2"/>
    <mergeCell ref="ARC1:ARD2"/>
    <mergeCell ref="ARE1:ARE2"/>
    <mergeCell ref="ARE3:ARF3"/>
    <mergeCell ref="ARE4:ARF4"/>
    <mergeCell ref="ARE5:ARF5"/>
    <mergeCell ref="ARE6:ARF6"/>
    <mergeCell ref="ARE7:ARF7"/>
    <mergeCell ref="ARE8:ARF8"/>
    <mergeCell ref="ARB9:ARD9"/>
    <mergeCell ref="ARE9:ARF9"/>
    <mergeCell ref="ARB10:ARC10"/>
    <mergeCell ref="ARD10:ARF10"/>
    <mergeCell ref="ARB11:ARC11"/>
    <mergeCell ref="ARD11:ARF11"/>
    <mergeCell ref="ARB12:ARC12"/>
    <mergeCell ref="ARD12:ARF12"/>
    <mergeCell ref="ARB13:ARC13"/>
    <mergeCell ref="ARD13:ARF13"/>
    <mergeCell ref="ARB14:ARC14"/>
    <mergeCell ref="ARD14:ARF14"/>
    <mergeCell ref="ARB15:ARD15"/>
    <mergeCell ref="ARE15:ARF15"/>
    <mergeCell ref="ARB16:ARC16"/>
    <mergeCell ref="ARD16:ARF16"/>
    <mergeCell ref="ARB17:ARC17"/>
    <mergeCell ref="ARD17:ARF17"/>
    <mergeCell ref="ARB18:ARC18"/>
    <mergeCell ref="ARD18:ARF18"/>
    <mergeCell ref="ARB19:ARC19"/>
    <mergeCell ref="ARD19:ARF19"/>
    <mergeCell ref="ARB20:ARC20"/>
    <mergeCell ref="ARD20:ARF20"/>
    <mergeCell ref="AQU21:AQV21"/>
    <mergeCell ref="AQU22:AQV22"/>
    <mergeCell ref="AQU23:AQV23"/>
    <mergeCell ref="AQU24:AQV24"/>
    <mergeCell ref="AQR25:AQT25"/>
    <mergeCell ref="AQU25:AQV25"/>
    <mergeCell ref="AQU26:AQV26"/>
    <mergeCell ref="AQR27:AQV27"/>
    <mergeCell ref="AQR28:AQV29"/>
    <mergeCell ref="AQR1:AQR2"/>
    <mergeCell ref="AQS1:AQT2"/>
    <mergeCell ref="AQU1:AQU2"/>
    <mergeCell ref="AQU3:AQV3"/>
    <mergeCell ref="AQU4:AQV4"/>
    <mergeCell ref="AQU5:AQV5"/>
    <mergeCell ref="AQU6:AQV6"/>
    <mergeCell ref="AQU7:AQV7"/>
    <mergeCell ref="AQU8:AQV8"/>
    <mergeCell ref="AQR9:AQT9"/>
    <mergeCell ref="AQU9:AQV9"/>
    <mergeCell ref="AQR10:AQS10"/>
    <mergeCell ref="AQT10:AQV10"/>
    <mergeCell ref="AQR11:AQS11"/>
    <mergeCell ref="AQT11:AQV11"/>
    <mergeCell ref="AQR12:AQS12"/>
    <mergeCell ref="AQT12:AQV12"/>
    <mergeCell ref="AQR13:AQS13"/>
    <mergeCell ref="AQT13:AQV13"/>
    <mergeCell ref="AQR14:AQS14"/>
    <mergeCell ref="AQT14:AQV14"/>
    <mergeCell ref="AQR15:AQT15"/>
    <mergeCell ref="AQU15:AQV15"/>
    <mergeCell ref="AQR16:AQS16"/>
    <mergeCell ref="AQT16:AQV16"/>
    <mergeCell ref="AQR17:AQS17"/>
    <mergeCell ref="AQT17:AQV17"/>
    <mergeCell ref="AQR18:AQS18"/>
    <mergeCell ref="AQT18:AQV18"/>
    <mergeCell ref="AQR19:AQS19"/>
    <mergeCell ref="AQT19:AQV19"/>
    <mergeCell ref="AQR20:AQS20"/>
    <mergeCell ref="AQT20:AQV20"/>
    <mergeCell ref="AQF21:AQG21"/>
    <mergeCell ref="AQF22:AQG22"/>
    <mergeCell ref="AQF23:AQG23"/>
    <mergeCell ref="AQF24:AQG24"/>
    <mergeCell ref="AQC25:AQE25"/>
    <mergeCell ref="AQF25:AQG25"/>
    <mergeCell ref="AQF26:AQG26"/>
    <mergeCell ref="AQC27:AQG27"/>
    <mergeCell ref="AQC28:AQG29"/>
    <mergeCell ref="AQC1:AQC2"/>
    <mergeCell ref="AQD1:AQE2"/>
    <mergeCell ref="AQF1:AQF2"/>
    <mergeCell ref="AQF3:AQG3"/>
    <mergeCell ref="AQF4:AQG4"/>
    <mergeCell ref="AQF5:AQG5"/>
    <mergeCell ref="AQF6:AQG6"/>
    <mergeCell ref="AQF7:AQG7"/>
    <mergeCell ref="AQF8:AQG8"/>
    <mergeCell ref="AQC9:AQE9"/>
    <mergeCell ref="AQF9:AQG9"/>
    <mergeCell ref="AQC10:AQD10"/>
    <mergeCell ref="AQE10:AQG10"/>
    <mergeCell ref="AQC11:AQD11"/>
    <mergeCell ref="AQE11:AQG11"/>
    <mergeCell ref="AQC12:AQD12"/>
    <mergeCell ref="AQE12:AQG12"/>
    <mergeCell ref="AQC13:AQD13"/>
    <mergeCell ref="AQE13:AQG13"/>
    <mergeCell ref="AQC14:AQD14"/>
    <mergeCell ref="AQE14:AQG14"/>
    <mergeCell ref="AQC15:AQE15"/>
    <mergeCell ref="AQF15:AQG15"/>
    <mergeCell ref="AQC16:AQD16"/>
    <mergeCell ref="AQE16:AQG16"/>
    <mergeCell ref="AQC17:AQD17"/>
    <mergeCell ref="AQE17:AQG17"/>
    <mergeCell ref="AQC18:AQD18"/>
    <mergeCell ref="AQE18:AQG18"/>
    <mergeCell ref="AQC19:AQD19"/>
    <mergeCell ref="AQE19:AQG19"/>
    <mergeCell ref="AQC20:AQD20"/>
    <mergeCell ref="AQE20:AQG20"/>
    <mergeCell ref="APQ21:APR21"/>
    <mergeCell ref="APQ22:APR22"/>
    <mergeCell ref="APQ23:APR23"/>
    <mergeCell ref="APQ24:APR24"/>
    <mergeCell ref="APN25:APP25"/>
    <mergeCell ref="APQ25:APR25"/>
    <mergeCell ref="APQ26:APR26"/>
    <mergeCell ref="APN27:APR27"/>
    <mergeCell ref="APN28:APR29"/>
    <mergeCell ref="APN1:APN2"/>
    <mergeCell ref="APO1:APP2"/>
    <mergeCell ref="APQ1:APQ2"/>
    <mergeCell ref="APQ3:APR3"/>
    <mergeCell ref="APQ4:APR4"/>
    <mergeCell ref="APQ5:APR5"/>
    <mergeCell ref="APQ6:APR6"/>
    <mergeCell ref="APQ7:APR7"/>
    <mergeCell ref="APQ8:APR8"/>
    <mergeCell ref="APN9:APP9"/>
    <mergeCell ref="APQ9:APR9"/>
    <mergeCell ref="APN10:APO10"/>
    <mergeCell ref="APP10:APR10"/>
    <mergeCell ref="APN11:APO11"/>
    <mergeCell ref="APP11:APR11"/>
    <mergeCell ref="APN12:APO12"/>
    <mergeCell ref="APP12:APR12"/>
    <mergeCell ref="APN13:APO13"/>
    <mergeCell ref="APP13:APR13"/>
    <mergeCell ref="APN14:APO14"/>
    <mergeCell ref="APP14:APR14"/>
    <mergeCell ref="APN15:APP15"/>
    <mergeCell ref="APQ15:APR15"/>
    <mergeCell ref="APN16:APO16"/>
    <mergeCell ref="APP16:APR16"/>
    <mergeCell ref="APN17:APO17"/>
    <mergeCell ref="APP17:APR17"/>
    <mergeCell ref="APN18:APO18"/>
    <mergeCell ref="APP18:APR18"/>
    <mergeCell ref="APN19:APO19"/>
    <mergeCell ref="APP19:APR19"/>
    <mergeCell ref="APN20:APO20"/>
    <mergeCell ref="APP20:APR20"/>
    <mergeCell ref="APG21:APH21"/>
    <mergeCell ref="APG22:APH22"/>
    <mergeCell ref="APG23:APH23"/>
    <mergeCell ref="APG24:APH24"/>
    <mergeCell ref="APD25:APF25"/>
    <mergeCell ref="APG25:APH25"/>
    <mergeCell ref="APG26:APH26"/>
    <mergeCell ref="APD27:APH27"/>
    <mergeCell ref="APD28:APH29"/>
    <mergeCell ref="APD1:APD2"/>
    <mergeCell ref="APE1:APF2"/>
    <mergeCell ref="APG1:APG2"/>
    <mergeCell ref="APG3:APH3"/>
    <mergeCell ref="APG4:APH4"/>
    <mergeCell ref="APG5:APH5"/>
    <mergeCell ref="APG6:APH6"/>
    <mergeCell ref="APG7:APH7"/>
    <mergeCell ref="APG8:APH8"/>
    <mergeCell ref="APD9:APF9"/>
    <mergeCell ref="APG9:APH9"/>
    <mergeCell ref="APD10:APE10"/>
    <mergeCell ref="APF10:APH10"/>
    <mergeCell ref="APD11:APE11"/>
    <mergeCell ref="APF11:APH11"/>
    <mergeCell ref="APD12:APE12"/>
    <mergeCell ref="APF12:APH12"/>
    <mergeCell ref="APD13:APE13"/>
    <mergeCell ref="APF13:APH13"/>
    <mergeCell ref="APD14:APE14"/>
    <mergeCell ref="APF14:APH14"/>
    <mergeCell ref="APD15:APF15"/>
    <mergeCell ref="APG15:APH15"/>
    <mergeCell ref="APD16:APE16"/>
    <mergeCell ref="APF16:APH16"/>
    <mergeCell ref="APD17:APE17"/>
    <mergeCell ref="APF17:APH17"/>
    <mergeCell ref="APD18:APE18"/>
    <mergeCell ref="APF18:APH18"/>
    <mergeCell ref="APD19:APE19"/>
    <mergeCell ref="APF19:APH19"/>
    <mergeCell ref="APD20:APE20"/>
    <mergeCell ref="APF20:APH20"/>
    <mergeCell ref="AOW21:AOX21"/>
    <mergeCell ref="AOW22:AOX22"/>
    <mergeCell ref="AOW23:AOX23"/>
    <mergeCell ref="AOW24:AOX24"/>
    <mergeCell ref="AOT25:AOV25"/>
    <mergeCell ref="AOW25:AOX25"/>
    <mergeCell ref="AOW26:AOX26"/>
    <mergeCell ref="AOT27:AOX27"/>
    <mergeCell ref="AOT28:AOX29"/>
    <mergeCell ref="AOT1:AOT2"/>
    <mergeCell ref="AOU1:AOV2"/>
    <mergeCell ref="AOW1:AOW2"/>
    <mergeCell ref="AOW3:AOX3"/>
    <mergeCell ref="AOW4:AOX4"/>
    <mergeCell ref="AOW5:AOX5"/>
    <mergeCell ref="AOW6:AOX6"/>
    <mergeCell ref="AOW7:AOX7"/>
    <mergeCell ref="AOW8:AOX8"/>
    <mergeCell ref="AOT9:AOV9"/>
    <mergeCell ref="AOW9:AOX9"/>
    <mergeCell ref="AOT10:AOU10"/>
    <mergeCell ref="AOV10:AOX10"/>
    <mergeCell ref="AOT11:AOU11"/>
    <mergeCell ref="AOV11:AOX11"/>
    <mergeCell ref="AOT12:AOU12"/>
    <mergeCell ref="AOV12:AOX12"/>
    <mergeCell ref="AOT13:AOU13"/>
    <mergeCell ref="AOV13:AOX13"/>
    <mergeCell ref="AOT14:AOU14"/>
    <mergeCell ref="AOV14:AOX14"/>
    <mergeCell ref="AOT15:AOV15"/>
    <mergeCell ref="AOW15:AOX15"/>
    <mergeCell ref="AOT16:AOU16"/>
    <mergeCell ref="AOV16:AOX16"/>
    <mergeCell ref="AOT17:AOU17"/>
    <mergeCell ref="AOV17:AOX17"/>
    <mergeCell ref="AOT18:AOU18"/>
    <mergeCell ref="AOV18:AOX18"/>
    <mergeCell ref="AOT19:AOU19"/>
    <mergeCell ref="AOV19:AOX19"/>
    <mergeCell ref="AOT20:AOU20"/>
    <mergeCell ref="AOV20:AOX20"/>
    <mergeCell ref="AOM21:AON21"/>
    <mergeCell ref="AOM22:AON22"/>
    <mergeCell ref="AOM23:AON23"/>
    <mergeCell ref="AOM24:AON24"/>
    <mergeCell ref="AOJ25:AOL25"/>
    <mergeCell ref="AOM25:AON25"/>
    <mergeCell ref="AOM26:AON26"/>
    <mergeCell ref="AOJ27:AON27"/>
    <mergeCell ref="AOJ28:AON29"/>
    <mergeCell ref="AOJ1:AOJ2"/>
    <mergeCell ref="AOK1:AOL2"/>
    <mergeCell ref="AOM1:AOM2"/>
    <mergeCell ref="AOM3:AON3"/>
    <mergeCell ref="AOM4:AON4"/>
    <mergeCell ref="AOM5:AON5"/>
    <mergeCell ref="AOM6:AON6"/>
    <mergeCell ref="AOM7:AON7"/>
    <mergeCell ref="AOM8:AON8"/>
    <mergeCell ref="AOJ9:AOL9"/>
    <mergeCell ref="AOM9:AON9"/>
    <mergeCell ref="AOJ10:AOK10"/>
    <mergeCell ref="AOL10:AON10"/>
    <mergeCell ref="AOJ11:AOK11"/>
    <mergeCell ref="AOL11:AON11"/>
    <mergeCell ref="AOJ12:AOK12"/>
    <mergeCell ref="AOL12:AON12"/>
    <mergeCell ref="AOJ13:AOK13"/>
    <mergeCell ref="AOL13:AON13"/>
    <mergeCell ref="AOJ14:AOK14"/>
    <mergeCell ref="AOL14:AON14"/>
    <mergeCell ref="AOJ15:AOL15"/>
    <mergeCell ref="AOM15:AON15"/>
    <mergeCell ref="AOJ16:AOK16"/>
    <mergeCell ref="AOL16:AON16"/>
    <mergeCell ref="AOJ17:AOK17"/>
    <mergeCell ref="AOL17:AON17"/>
    <mergeCell ref="AOJ18:AOK18"/>
    <mergeCell ref="AOL18:AON18"/>
    <mergeCell ref="AOJ19:AOK19"/>
    <mergeCell ref="AOL19:AON19"/>
    <mergeCell ref="AOJ20:AOK20"/>
    <mergeCell ref="AOL20:AON20"/>
    <mergeCell ref="AOC21:AOD21"/>
    <mergeCell ref="AOC22:AOD22"/>
    <mergeCell ref="AOC23:AOD23"/>
    <mergeCell ref="AOC24:AOD24"/>
    <mergeCell ref="ANZ25:AOB25"/>
    <mergeCell ref="AOC25:AOD25"/>
    <mergeCell ref="AOC26:AOD26"/>
    <mergeCell ref="ANZ27:AOD27"/>
    <mergeCell ref="ANZ28:AOD29"/>
    <mergeCell ref="ANZ1:ANZ2"/>
    <mergeCell ref="AOA1:AOB2"/>
    <mergeCell ref="AOC1:AOC2"/>
    <mergeCell ref="AOC3:AOD3"/>
    <mergeCell ref="AOC4:AOD4"/>
    <mergeCell ref="AOC5:AOD5"/>
    <mergeCell ref="AOC6:AOD6"/>
    <mergeCell ref="AOC7:AOD7"/>
    <mergeCell ref="AOC8:AOD8"/>
    <mergeCell ref="ANZ9:AOB9"/>
    <mergeCell ref="AOC9:AOD9"/>
    <mergeCell ref="ANZ10:AOA10"/>
    <mergeCell ref="AOB10:AOD10"/>
    <mergeCell ref="ANZ11:AOA11"/>
    <mergeCell ref="AOB11:AOD11"/>
    <mergeCell ref="ANZ12:AOA12"/>
    <mergeCell ref="AOB12:AOD12"/>
    <mergeCell ref="ANZ13:AOA13"/>
    <mergeCell ref="AOB13:AOD13"/>
    <mergeCell ref="ANZ14:AOA14"/>
    <mergeCell ref="AOB14:AOD14"/>
    <mergeCell ref="ANZ15:AOB15"/>
    <mergeCell ref="AOC15:AOD15"/>
    <mergeCell ref="ANZ16:AOA16"/>
    <mergeCell ref="AOB16:AOD16"/>
    <mergeCell ref="ANZ17:AOA17"/>
    <mergeCell ref="AOB17:AOD17"/>
    <mergeCell ref="ANZ18:AOA18"/>
    <mergeCell ref="AOB18:AOD18"/>
    <mergeCell ref="ANZ19:AOA19"/>
    <mergeCell ref="AOB19:AOD19"/>
    <mergeCell ref="ANZ20:AOA20"/>
    <mergeCell ref="AOB20:AOD20"/>
    <mergeCell ref="ANS21:ANT21"/>
    <mergeCell ref="ANS22:ANT22"/>
    <mergeCell ref="ANS23:ANT23"/>
    <mergeCell ref="ANS24:ANT24"/>
    <mergeCell ref="ANP25:ANR25"/>
    <mergeCell ref="ANS25:ANT25"/>
    <mergeCell ref="ANS26:ANT26"/>
    <mergeCell ref="ANP27:ANT27"/>
    <mergeCell ref="ANP28:ANT29"/>
    <mergeCell ref="ANP1:ANP2"/>
    <mergeCell ref="ANQ1:ANR2"/>
    <mergeCell ref="ANS1:ANS2"/>
    <mergeCell ref="ANS3:ANT3"/>
    <mergeCell ref="ANS4:ANT4"/>
    <mergeCell ref="ANS5:ANT5"/>
    <mergeCell ref="ANS6:ANT6"/>
    <mergeCell ref="ANS7:ANT7"/>
    <mergeCell ref="ANS8:ANT8"/>
    <mergeCell ref="ANP9:ANR9"/>
    <mergeCell ref="ANS9:ANT9"/>
    <mergeCell ref="ANP10:ANQ10"/>
    <mergeCell ref="ANR10:ANT10"/>
    <mergeCell ref="ANP11:ANQ11"/>
    <mergeCell ref="ANR11:ANT11"/>
    <mergeCell ref="ANP12:ANQ12"/>
    <mergeCell ref="ANR12:ANT12"/>
    <mergeCell ref="ANP13:ANQ13"/>
    <mergeCell ref="ANR13:ANT13"/>
    <mergeCell ref="ANP14:ANQ14"/>
    <mergeCell ref="ANR14:ANT14"/>
    <mergeCell ref="ANP15:ANR15"/>
    <mergeCell ref="ANS15:ANT15"/>
    <mergeCell ref="ANP16:ANQ16"/>
    <mergeCell ref="ANR16:ANT16"/>
    <mergeCell ref="ANP17:ANQ17"/>
    <mergeCell ref="ANR17:ANT17"/>
    <mergeCell ref="ANP18:ANQ18"/>
    <mergeCell ref="ANR18:ANT18"/>
    <mergeCell ref="ANP19:ANQ19"/>
    <mergeCell ref="ANR19:ANT19"/>
    <mergeCell ref="ANP20:ANQ20"/>
    <mergeCell ref="ANR20:ANT20"/>
    <mergeCell ref="ANI21:ANJ21"/>
    <mergeCell ref="ANI22:ANJ22"/>
    <mergeCell ref="ANI23:ANJ23"/>
    <mergeCell ref="ANI24:ANJ24"/>
    <mergeCell ref="ANF25:ANH25"/>
    <mergeCell ref="ANI25:ANJ25"/>
    <mergeCell ref="ANI26:ANJ26"/>
    <mergeCell ref="ANF27:ANJ27"/>
    <mergeCell ref="ANF28:ANJ29"/>
    <mergeCell ref="ANF1:ANF2"/>
    <mergeCell ref="ANG1:ANH2"/>
    <mergeCell ref="ANI1:ANI2"/>
    <mergeCell ref="ANI3:ANJ3"/>
    <mergeCell ref="ANI4:ANJ4"/>
    <mergeCell ref="ANI5:ANJ5"/>
    <mergeCell ref="ANI6:ANJ6"/>
    <mergeCell ref="ANI7:ANJ7"/>
    <mergeCell ref="ANI8:ANJ8"/>
    <mergeCell ref="ANF9:ANH9"/>
    <mergeCell ref="ANI9:ANJ9"/>
    <mergeCell ref="ANF10:ANG10"/>
    <mergeCell ref="ANH10:ANJ10"/>
    <mergeCell ref="ANF11:ANG11"/>
    <mergeCell ref="ANH11:ANJ11"/>
    <mergeCell ref="ANF12:ANG12"/>
    <mergeCell ref="ANH12:ANJ12"/>
    <mergeCell ref="ANF13:ANG13"/>
    <mergeCell ref="ANH13:ANJ13"/>
    <mergeCell ref="ANF14:ANG14"/>
    <mergeCell ref="ANH14:ANJ14"/>
    <mergeCell ref="ANF15:ANH15"/>
    <mergeCell ref="ANI15:ANJ15"/>
    <mergeCell ref="ANF16:ANG16"/>
    <mergeCell ref="ANH16:ANJ16"/>
    <mergeCell ref="ANF17:ANG17"/>
    <mergeCell ref="ANH17:ANJ17"/>
    <mergeCell ref="ANF18:ANG18"/>
    <mergeCell ref="ANH18:ANJ18"/>
    <mergeCell ref="ANF19:ANG19"/>
    <mergeCell ref="ANH19:ANJ19"/>
    <mergeCell ref="ANF20:ANG20"/>
    <mergeCell ref="ANH20:ANJ20"/>
    <mergeCell ref="AMY21:AMZ21"/>
    <mergeCell ref="AMY22:AMZ22"/>
    <mergeCell ref="AMY23:AMZ23"/>
    <mergeCell ref="AMY24:AMZ24"/>
    <mergeCell ref="AMV25:AMX25"/>
    <mergeCell ref="AMY25:AMZ25"/>
    <mergeCell ref="AMY26:AMZ26"/>
    <mergeCell ref="AMV27:AMZ27"/>
    <mergeCell ref="AMV28:AMZ29"/>
    <mergeCell ref="AMV1:AMV2"/>
    <mergeCell ref="AMW1:AMX2"/>
    <mergeCell ref="AMY1:AMY2"/>
    <mergeCell ref="AMY3:AMZ3"/>
    <mergeCell ref="AMY4:AMZ4"/>
    <mergeCell ref="AMY5:AMZ5"/>
    <mergeCell ref="AMY6:AMZ6"/>
    <mergeCell ref="AMY7:AMZ7"/>
    <mergeCell ref="AMY8:AMZ8"/>
    <mergeCell ref="AMV9:AMX9"/>
    <mergeCell ref="AMY9:AMZ9"/>
    <mergeCell ref="AMV10:AMW10"/>
    <mergeCell ref="AMX10:AMZ10"/>
    <mergeCell ref="AMV11:AMW11"/>
    <mergeCell ref="AMX11:AMZ11"/>
    <mergeCell ref="AMV12:AMW12"/>
    <mergeCell ref="AMX12:AMZ12"/>
    <mergeCell ref="AMV13:AMW13"/>
    <mergeCell ref="AMX13:AMZ13"/>
    <mergeCell ref="AMV14:AMW14"/>
    <mergeCell ref="AMX14:AMZ14"/>
    <mergeCell ref="AMV15:AMX15"/>
    <mergeCell ref="AMY15:AMZ15"/>
    <mergeCell ref="AMV16:AMW16"/>
    <mergeCell ref="AMX16:AMZ16"/>
    <mergeCell ref="AMV17:AMW17"/>
    <mergeCell ref="AMX17:AMZ17"/>
    <mergeCell ref="AMV18:AMW18"/>
    <mergeCell ref="AMX18:AMZ18"/>
    <mergeCell ref="AMV19:AMW19"/>
    <mergeCell ref="AMX19:AMZ19"/>
    <mergeCell ref="AMV20:AMW20"/>
    <mergeCell ref="AMX20:AMZ20"/>
    <mergeCell ref="AMT21:AMU21"/>
    <mergeCell ref="AMT22:AMU22"/>
    <mergeCell ref="AMT23:AMU23"/>
    <mergeCell ref="AMT24:AMU24"/>
    <mergeCell ref="AMQ25:AMS25"/>
    <mergeCell ref="AMT25:AMU25"/>
    <mergeCell ref="AMT26:AMU26"/>
    <mergeCell ref="AMQ27:AMU27"/>
    <mergeCell ref="AMQ28:AMU29"/>
    <mergeCell ref="AMQ1:AMQ2"/>
    <mergeCell ref="AMR1:AMS2"/>
    <mergeCell ref="AMT1:AMT2"/>
    <mergeCell ref="AMT3:AMU3"/>
    <mergeCell ref="AMT4:AMU4"/>
    <mergeCell ref="AMT5:AMU5"/>
    <mergeCell ref="AMT6:AMU6"/>
    <mergeCell ref="AMT7:AMU7"/>
    <mergeCell ref="AMT8:AMU8"/>
    <mergeCell ref="AMQ9:AMS9"/>
    <mergeCell ref="AMT9:AMU9"/>
    <mergeCell ref="AMQ10:AMR10"/>
    <mergeCell ref="AMS10:AMU10"/>
    <mergeCell ref="AMQ11:AMR11"/>
    <mergeCell ref="AMS11:AMU11"/>
    <mergeCell ref="AMQ12:AMR12"/>
    <mergeCell ref="AMS12:AMU12"/>
    <mergeCell ref="AMQ13:AMR13"/>
    <mergeCell ref="AMS13:AMU13"/>
    <mergeCell ref="AMQ14:AMR14"/>
    <mergeCell ref="AMS14:AMU14"/>
    <mergeCell ref="AMQ15:AMS15"/>
    <mergeCell ref="AMT15:AMU15"/>
    <mergeCell ref="AMQ16:AMR16"/>
    <mergeCell ref="AMS16:AMU16"/>
    <mergeCell ref="AMQ17:AMR17"/>
    <mergeCell ref="AMS17:AMU17"/>
    <mergeCell ref="AMQ18:AMR18"/>
    <mergeCell ref="AMS18:AMU18"/>
    <mergeCell ref="AMQ19:AMR19"/>
    <mergeCell ref="AMS19:AMU19"/>
    <mergeCell ref="AMQ20:AMR20"/>
    <mergeCell ref="AMS20:AMU20"/>
    <mergeCell ref="AMJ21:AMK21"/>
    <mergeCell ref="AMJ22:AMK22"/>
    <mergeCell ref="AMJ23:AMK23"/>
    <mergeCell ref="AMJ24:AMK24"/>
    <mergeCell ref="AMG25:AMI25"/>
    <mergeCell ref="AMJ25:AMK25"/>
    <mergeCell ref="AMJ26:AMK26"/>
    <mergeCell ref="AMG27:AMK27"/>
    <mergeCell ref="AMG28:AMK29"/>
    <mergeCell ref="AMG1:AMG2"/>
    <mergeCell ref="AMH1:AMI2"/>
    <mergeCell ref="AMJ1:AMJ2"/>
    <mergeCell ref="AMJ3:AMK3"/>
    <mergeCell ref="AMJ4:AMK4"/>
    <mergeCell ref="AMJ5:AMK5"/>
    <mergeCell ref="AMJ6:AMK6"/>
    <mergeCell ref="AMJ7:AMK7"/>
    <mergeCell ref="AMJ8:AMK8"/>
    <mergeCell ref="AMG9:AMI9"/>
    <mergeCell ref="AMJ9:AMK9"/>
    <mergeCell ref="AMG10:AMH10"/>
    <mergeCell ref="AMI10:AMK10"/>
    <mergeCell ref="AMG11:AMH11"/>
    <mergeCell ref="AMI11:AMK11"/>
    <mergeCell ref="AMG12:AMH12"/>
    <mergeCell ref="AMI12:AMK12"/>
    <mergeCell ref="AMG13:AMH13"/>
    <mergeCell ref="AMI13:AMK13"/>
    <mergeCell ref="AMG14:AMH14"/>
    <mergeCell ref="AMI14:AMK14"/>
    <mergeCell ref="AMG15:AMI15"/>
    <mergeCell ref="AMJ15:AMK15"/>
    <mergeCell ref="AMG16:AMH16"/>
    <mergeCell ref="AMI16:AMK16"/>
    <mergeCell ref="AMG17:AMH17"/>
    <mergeCell ref="AMI17:AMK17"/>
    <mergeCell ref="AMG18:AMH18"/>
    <mergeCell ref="AMI18:AMK18"/>
    <mergeCell ref="AMG19:AMH19"/>
    <mergeCell ref="AMI19:AMK19"/>
    <mergeCell ref="AMG20:AMH20"/>
    <mergeCell ref="AMI20:AMK20"/>
    <mergeCell ref="ALP21:ALQ21"/>
    <mergeCell ref="ALP22:ALQ22"/>
    <mergeCell ref="ALP23:ALQ23"/>
    <mergeCell ref="ALP24:ALQ24"/>
    <mergeCell ref="ALM25:ALO25"/>
    <mergeCell ref="ALP25:ALQ25"/>
    <mergeCell ref="ALP26:ALQ26"/>
    <mergeCell ref="ALM27:ALQ27"/>
    <mergeCell ref="ALM28:ALQ29"/>
    <mergeCell ref="ALM1:ALM2"/>
    <mergeCell ref="ALN1:ALO2"/>
    <mergeCell ref="ALP1:ALP2"/>
    <mergeCell ref="ALP3:ALQ3"/>
    <mergeCell ref="ALP4:ALQ4"/>
    <mergeCell ref="ALP5:ALQ5"/>
    <mergeCell ref="ALP6:ALQ6"/>
    <mergeCell ref="ALP7:ALQ7"/>
    <mergeCell ref="ALP8:ALQ8"/>
    <mergeCell ref="ALM9:ALO9"/>
    <mergeCell ref="ALP9:ALQ9"/>
    <mergeCell ref="ALM10:ALN10"/>
    <mergeCell ref="ALO10:ALQ10"/>
    <mergeCell ref="ALM11:ALN11"/>
    <mergeCell ref="ALO11:ALQ11"/>
    <mergeCell ref="ALM12:ALN12"/>
    <mergeCell ref="ALO12:ALQ12"/>
    <mergeCell ref="ALM13:ALN13"/>
    <mergeCell ref="ALO13:ALQ13"/>
    <mergeCell ref="ALM14:ALN14"/>
    <mergeCell ref="ALO14:ALQ14"/>
    <mergeCell ref="ALM15:ALO15"/>
    <mergeCell ref="ALP15:ALQ15"/>
    <mergeCell ref="ALM16:ALN16"/>
    <mergeCell ref="ALO16:ALQ16"/>
    <mergeCell ref="ALM17:ALN17"/>
    <mergeCell ref="ALO17:ALQ17"/>
    <mergeCell ref="ALM18:ALN18"/>
    <mergeCell ref="ALO18:ALQ18"/>
    <mergeCell ref="ALM19:ALN19"/>
    <mergeCell ref="ALO19:ALQ19"/>
    <mergeCell ref="ALM20:ALN20"/>
    <mergeCell ref="ALO20:ALQ20"/>
    <mergeCell ref="ALK21:ALL21"/>
    <mergeCell ref="ALK22:ALL22"/>
    <mergeCell ref="ALK23:ALL23"/>
    <mergeCell ref="ALK24:ALL24"/>
    <mergeCell ref="ALH25:ALJ25"/>
    <mergeCell ref="ALK25:ALL25"/>
    <mergeCell ref="ALK26:ALL26"/>
    <mergeCell ref="ALH27:ALL27"/>
    <mergeCell ref="ALH28:ALL29"/>
    <mergeCell ref="ALH1:ALH2"/>
    <mergeCell ref="ALI1:ALJ2"/>
    <mergeCell ref="ALK1:ALK2"/>
    <mergeCell ref="ALK3:ALL3"/>
    <mergeCell ref="ALK4:ALL4"/>
    <mergeCell ref="ALK5:ALL5"/>
    <mergeCell ref="ALK6:ALL6"/>
    <mergeCell ref="ALK7:ALL7"/>
    <mergeCell ref="ALK8:ALL8"/>
    <mergeCell ref="ALH9:ALJ9"/>
    <mergeCell ref="ALK9:ALL9"/>
    <mergeCell ref="ALH10:ALI10"/>
    <mergeCell ref="ALJ10:ALL10"/>
    <mergeCell ref="ALH11:ALI11"/>
    <mergeCell ref="ALJ11:ALL11"/>
    <mergeCell ref="ALH12:ALI12"/>
    <mergeCell ref="ALJ12:ALL12"/>
    <mergeCell ref="ALH13:ALI13"/>
    <mergeCell ref="ALJ13:ALL13"/>
    <mergeCell ref="ALH14:ALI14"/>
    <mergeCell ref="ALJ14:ALL14"/>
    <mergeCell ref="ALH15:ALJ15"/>
    <mergeCell ref="ALK15:ALL15"/>
    <mergeCell ref="ALH16:ALI16"/>
    <mergeCell ref="ALJ16:ALL16"/>
    <mergeCell ref="ALH17:ALI17"/>
    <mergeCell ref="ALJ17:ALL17"/>
    <mergeCell ref="ALH18:ALI18"/>
    <mergeCell ref="ALJ18:ALL18"/>
    <mergeCell ref="ALH19:ALI19"/>
    <mergeCell ref="ALJ19:ALL19"/>
    <mergeCell ref="ALH20:ALI20"/>
    <mergeCell ref="ALJ20:ALL20"/>
    <mergeCell ref="ALA21:ALB21"/>
    <mergeCell ref="ALA22:ALB22"/>
    <mergeCell ref="ALA23:ALB23"/>
    <mergeCell ref="ALA24:ALB24"/>
    <mergeCell ref="AKX25:AKZ25"/>
    <mergeCell ref="ALA25:ALB25"/>
    <mergeCell ref="ALA26:ALB26"/>
    <mergeCell ref="AKX27:ALB27"/>
    <mergeCell ref="AKX28:ALB29"/>
    <mergeCell ref="AKX1:AKX2"/>
    <mergeCell ref="AKY1:AKZ2"/>
    <mergeCell ref="ALA1:ALA2"/>
    <mergeCell ref="ALA3:ALB3"/>
    <mergeCell ref="ALA4:ALB4"/>
    <mergeCell ref="ALA5:ALB5"/>
    <mergeCell ref="ALA6:ALB6"/>
    <mergeCell ref="ALA7:ALB7"/>
    <mergeCell ref="ALA8:ALB8"/>
    <mergeCell ref="AKX9:AKZ9"/>
    <mergeCell ref="ALA9:ALB9"/>
    <mergeCell ref="AKX10:AKY10"/>
    <mergeCell ref="AKZ10:ALB10"/>
    <mergeCell ref="AKX11:AKY11"/>
    <mergeCell ref="AKZ11:ALB11"/>
    <mergeCell ref="AKX12:AKY12"/>
    <mergeCell ref="AKZ12:ALB12"/>
    <mergeCell ref="AKX13:AKY13"/>
    <mergeCell ref="AKZ13:ALB13"/>
    <mergeCell ref="AKX14:AKY14"/>
    <mergeCell ref="AKZ14:ALB14"/>
    <mergeCell ref="AKX15:AKZ15"/>
    <mergeCell ref="ALA15:ALB15"/>
    <mergeCell ref="AKX16:AKY16"/>
    <mergeCell ref="AKZ16:ALB16"/>
    <mergeCell ref="AKX17:AKY17"/>
    <mergeCell ref="AKZ17:ALB17"/>
    <mergeCell ref="AKX18:AKY18"/>
    <mergeCell ref="AKZ18:ALB18"/>
    <mergeCell ref="AKX19:AKY19"/>
    <mergeCell ref="AKZ19:ALB19"/>
    <mergeCell ref="AKX20:AKY20"/>
    <mergeCell ref="AKZ20:ALB20"/>
    <mergeCell ref="AKG21:AKH21"/>
    <mergeCell ref="AKG22:AKH22"/>
    <mergeCell ref="AKG23:AKH23"/>
    <mergeCell ref="AKG24:AKH24"/>
    <mergeCell ref="AKD25:AKF25"/>
    <mergeCell ref="AKG25:AKH25"/>
    <mergeCell ref="AKG26:AKH26"/>
    <mergeCell ref="AKD27:AKH27"/>
    <mergeCell ref="AKD28:AKH29"/>
    <mergeCell ref="AKD1:AKD2"/>
    <mergeCell ref="AKE1:AKF2"/>
    <mergeCell ref="AKG1:AKG2"/>
    <mergeCell ref="AKG3:AKH3"/>
    <mergeCell ref="AKG4:AKH4"/>
    <mergeCell ref="AKG5:AKH5"/>
    <mergeCell ref="AKG6:AKH6"/>
    <mergeCell ref="AKG7:AKH7"/>
    <mergeCell ref="AKG8:AKH8"/>
    <mergeCell ref="AKD9:AKF9"/>
    <mergeCell ref="AKG9:AKH9"/>
    <mergeCell ref="AKD10:AKE10"/>
    <mergeCell ref="AKF10:AKH10"/>
    <mergeCell ref="AKD11:AKE11"/>
    <mergeCell ref="AKF11:AKH11"/>
    <mergeCell ref="AKD12:AKE12"/>
    <mergeCell ref="AKF12:AKH12"/>
    <mergeCell ref="AKD13:AKE13"/>
    <mergeCell ref="AKF13:AKH13"/>
    <mergeCell ref="AKD14:AKE14"/>
    <mergeCell ref="AKF14:AKH14"/>
    <mergeCell ref="AKD15:AKF15"/>
    <mergeCell ref="AKG15:AKH15"/>
    <mergeCell ref="AKD16:AKE16"/>
    <mergeCell ref="AKF16:AKH16"/>
    <mergeCell ref="AKD17:AKE17"/>
    <mergeCell ref="AKF17:AKH17"/>
    <mergeCell ref="AKD18:AKE18"/>
    <mergeCell ref="AKF18:AKH18"/>
    <mergeCell ref="AKD19:AKE19"/>
    <mergeCell ref="AKF19:AKH19"/>
    <mergeCell ref="AKD20:AKE20"/>
    <mergeCell ref="AKF20:AKH20"/>
    <mergeCell ref="AJW21:AJX21"/>
    <mergeCell ref="AJW22:AJX22"/>
    <mergeCell ref="AJW23:AJX23"/>
    <mergeCell ref="AJW24:AJX24"/>
    <mergeCell ref="AJT25:AJV25"/>
    <mergeCell ref="AJW25:AJX25"/>
    <mergeCell ref="AJW26:AJX26"/>
    <mergeCell ref="AJT27:AJX27"/>
    <mergeCell ref="AJT28:AJX29"/>
    <mergeCell ref="AJT1:AJT2"/>
    <mergeCell ref="AJU1:AJV2"/>
    <mergeCell ref="AJW1:AJW2"/>
    <mergeCell ref="AJW3:AJX3"/>
    <mergeCell ref="AJW4:AJX4"/>
    <mergeCell ref="AJW5:AJX5"/>
    <mergeCell ref="AJW6:AJX6"/>
    <mergeCell ref="AJW7:AJX7"/>
    <mergeCell ref="AJW8:AJX8"/>
    <mergeCell ref="AJT9:AJV9"/>
    <mergeCell ref="AJW9:AJX9"/>
    <mergeCell ref="AJT10:AJU10"/>
    <mergeCell ref="AJV10:AJX10"/>
    <mergeCell ref="AJT11:AJU11"/>
    <mergeCell ref="AJV11:AJX11"/>
    <mergeCell ref="AJT12:AJU12"/>
    <mergeCell ref="AJV12:AJX12"/>
    <mergeCell ref="AJT13:AJU13"/>
    <mergeCell ref="AJV13:AJX13"/>
    <mergeCell ref="AJT14:AJU14"/>
    <mergeCell ref="AJV14:AJX14"/>
    <mergeCell ref="AJT15:AJV15"/>
    <mergeCell ref="AJW15:AJX15"/>
    <mergeCell ref="AJT16:AJU16"/>
    <mergeCell ref="AJV16:AJX16"/>
    <mergeCell ref="AJT17:AJU17"/>
    <mergeCell ref="AJV17:AJX17"/>
    <mergeCell ref="AJT18:AJU18"/>
    <mergeCell ref="AJV18:AJX18"/>
    <mergeCell ref="AJT19:AJU19"/>
    <mergeCell ref="AJV19:AJX19"/>
    <mergeCell ref="AJT20:AJU20"/>
    <mergeCell ref="AJV20:AJX20"/>
    <mergeCell ref="AJM21:AJN21"/>
    <mergeCell ref="AJM22:AJN22"/>
    <mergeCell ref="AJM23:AJN23"/>
    <mergeCell ref="AJM24:AJN24"/>
    <mergeCell ref="AJJ25:AJL25"/>
    <mergeCell ref="AJM25:AJN25"/>
    <mergeCell ref="AJM26:AJN26"/>
    <mergeCell ref="AJJ27:AJN27"/>
    <mergeCell ref="AJJ28:AJN29"/>
    <mergeCell ref="AJJ1:AJJ2"/>
    <mergeCell ref="AJK1:AJL2"/>
    <mergeCell ref="AJM1:AJM2"/>
    <mergeCell ref="AJM3:AJN3"/>
    <mergeCell ref="AJM4:AJN4"/>
    <mergeCell ref="AJM5:AJN5"/>
    <mergeCell ref="AJM6:AJN6"/>
    <mergeCell ref="AJM7:AJN7"/>
    <mergeCell ref="AJM8:AJN8"/>
    <mergeCell ref="AJJ9:AJL9"/>
    <mergeCell ref="AJM9:AJN9"/>
    <mergeCell ref="AJJ10:AJK10"/>
    <mergeCell ref="AJL10:AJN10"/>
    <mergeCell ref="AJJ11:AJK11"/>
    <mergeCell ref="AJL11:AJN11"/>
    <mergeCell ref="AJJ12:AJK12"/>
    <mergeCell ref="AJL12:AJN12"/>
    <mergeCell ref="AJJ13:AJK13"/>
    <mergeCell ref="AJL13:AJN13"/>
    <mergeCell ref="AJJ14:AJK14"/>
    <mergeCell ref="AJL14:AJN14"/>
    <mergeCell ref="AJJ15:AJL15"/>
    <mergeCell ref="AJM15:AJN15"/>
    <mergeCell ref="AJJ16:AJK16"/>
    <mergeCell ref="AJL16:AJN16"/>
    <mergeCell ref="AJJ17:AJK17"/>
    <mergeCell ref="AJL17:AJN17"/>
    <mergeCell ref="AJJ18:AJK18"/>
    <mergeCell ref="AJL18:AJN18"/>
    <mergeCell ref="AJJ19:AJK19"/>
    <mergeCell ref="AJL19:AJN19"/>
    <mergeCell ref="AJJ20:AJK20"/>
    <mergeCell ref="AJL20:AJN20"/>
    <mergeCell ref="AJC21:AJD21"/>
    <mergeCell ref="AJC22:AJD22"/>
    <mergeCell ref="AJC23:AJD23"/>
    <mergeCell ref="AJC24:AJD24"/>
    <mergeCell ref="AIZ25:AJB25"/>
    <mergeCell ref="AJC25:AJD25"/>
    <mergeCell ref="AJC26:AJD26"/>
    <mergeCell ref="AIZ27:AJD27"/>
    <mergeCell ref="AIZ28:AJD29"/>
    <mergeCell ref="AIZ1:AIZ2"/>
    <mergeCell ref="AJA1:AJB2"/>
    <mergeCell ref="AJC1:AJC2"/>
    <mergeCell ref="AJC3:AJD3"/>
    <mergeCell ref="AJC4:AJD4"/>
    <mergeCell ref="AJC5:AJD5"/>
    <mergeCell ref="AJC6:AJD6"/>
    <mergeCell ref="AJC7:AJD7"/>
    <mergeCell ref="AJC8:AJD8"/>
    <mergeCell ref="AIZ9:AJB9"/>
    <mergeCell ref="AJC9:AJD9"/>
    <mergeCell ref="AIZ10:AJA10"/>
    <mergeCell ref="AJB10:AJD10"/>
    <mergeCell ref="AIZ11:AJA11"/>
    <mergeCell ref="AJB11:AJD11"/>
    <mergeCell ref="AIZ12:AJA12"/>
    <mergeCell ref="AJB12:AJD12"/>
    <mergeCell ref="AIZ13:AJA13"/>
    <mergeCell ref="AJB13:AJD13"/>
    <mergeCell ref="AIZ14:AJA14"/>
    <mergeCell ref="AJB14:AJD14"/>
    <mergeCell ref="AIZ15:AJB15"/>
    <mergeCell ref="AJC15:AJD15"/>
    <mergeCell ref="AIZ16:AJA16"/>
    <mergeCell ref="AJB16:AJD16"/>
    <mergeCell ref="AIZ17:AJA17"/>
    <mergeCell ref="AJB17:AJD17"/>
    <mergeCell ref="AIZ18:AJA18"/>
    <mergeCell ref="AJB18:AJD18"/>
    <mergeCell ref="AIZ19:AJA19"/>
    <mergeCell ref="AJB19:AJD19"/>
    <mergeCell ref="AIZ20:AJA20"/>
    <mergeCell ref="AJB20:AJD20"/>
    <mergeCell ref="AIX21:AIY21"/>
    <mergeCell ref="AIX22:AIY22"/>
    <mergeCell ref="AIX23:AIY23"/>
    <mergeCell ref="AIX24:AIY24"/>
    <mergeCell ref="AIU25:AIW25"/>
    <mergeCell ref="AIX25:AIY25"/>
    <mergeCell ref="AIX26:AIY26"/>
    <mergeCell ref="AIU27:AIY27"/>
    <mergeCell ref="AIU28:AIY29"/>
    <mergeCell ref="AIU1:AIU2"/>
    <mergeCell ref="AIV1:AIW2"/>
    <mergeCell ref="AIX1:AIX2"/>
    <mergeCell ref="AIX3:AIY3"/>
    <mergeCell ref="AIX4:AIY4"/>
    <mergeCell ref="AIX5:AIY5"/>
    <mergeCell ref="AIX6:AIY6"/>
    <mergeCell ref="AIX7:AIY7"/>
    <mergeCell ref="AIX8:AIY8"/>
    <mergeCell ref="AIU9:AIW9"/>
    <mergeCell ref="AIX9:AIY9"/>
    <mergeCell ref="AIU10:AIV10"/>
    <mergeCell ref="AIW10:AIY10"/>
    <mergeCell ref="AIU11:AIV11"/>
    <mergeCell ref="AIW11:AIY11"/>
    <mergeCell ref="AIU12:AIV12"/>
    <mergeCell ref="AIW12:AIY12"/>
    <mergeCell ref="AIU13:AIV13"/>
    <mergeCell ref="AIW13:AIY13"/>
    <mergeCell ref="AIU14:AIV14"/>
    <mergeCell ref="AIW14:AIY14"/>
    <mergeCell ref="AIU15:AIW15"/>
    <mergeCell ref="AIX15:AIY15"/>
    <mergeCell ref="AIU16:AIV16"/>
    <mergeCell ref="AIW16:AIY16"/>
    <mergeCell ref="AIU17:AIV17"/>
    <mergeCell ref="AIW17:AIY17"/>
    <mergeCell ref="AIU18:AIV18"/>
    <mergeCell ref="AIW18:AIY18"/>
    <mergeCell ref="AIU19:AIV19"/>
    <mergeCell ref="AIW19:AIY19"/>
    <mergeCell ref="AIU20:AIV20"/>
    <mergeCell ref="AIW20:AIY20"/>
    <mergeCell ref="AIN21:AIO21"/>
    <mergeCell ref="AIN22:AIO22"/>
    <mergeCell ref="AIN23:AIO23"/>
    <mergeCell ref="AIN24:AIO24"/>
    <mergeCell ref="AIK25:AIM25"/>
    <mergeCell ref="AIN25:AIO25"/>
    <mergeCell ref="AIN26:AIO26"/>
    <mergeCell ref="AIK27:AIO27"/>
    <mergeCell ref="AIK28:AIO29"/>
    <mergeCell ref="AIK1:AIK2"/>
    <mergeCell ref="AIL1:AIM2"/>
    <mergeCell ref="AIN1:AIN2"/>
    <mergeCell ref="AIN3:AIO3"/>
    <mergeCell ref="AIN4:AIO4"/>
    <mergeCell ref="AIN5:AIO5"/>
    <mergeCell ref="AIN6:AIO6"/>
    <mergeCell ref="AIN7:AIO7"/>
    <mergeCell ref="AIN8:AIO8"/>
    <mergeCell ref="AIK9:AIM9"/>
    <mergeCell ref="AIN9:AIO9"/>
    <mergeCell ref="AIK10:AIL10"/>
    <mergeCell ref="AIM10:AIO10"/>
    <mergeCell ref="AIK11:AIL11"/>
    <mergeCell ref="AIM11:AIO11"/>
    <mergeCell ref="AIK12:AIL12"/>
    <mergeCell ref="AIM12:AIO12"/>
    <mergeCell ref="AIK13:AIL13"/>
    <mergeCell ref="AIM13:AIO13"/>
    <mergeCell ref="AIK14:AIL14"/>
    <mergeCell ref="AIM14:AIO14"/>
    <mergeCell ref="AIK15:AIM15"/>
    <mergeCell ref="AIN15:AIO15"/>
    <mergeCell ref="AIK16:AIL16"/>
    <mergeCell ref="AIM16:AIO16"/>
    <mergeCell ref="AIK17:AIL17"/>
    <mergeCell ref="AIM17:AIO17"/>
    <mergeCell ref="AIK18:AIL18"/>
    <mergeCell ref="AIM18:AIO18"/>
    <mergeCell ref="AIK19:AIL19"/>
    <mergeCell ref="AIM19:AIO19"/>
    <mergeCell ref="AIK20:AIL20"/>
    <mergeCell ref="AIM20:AIO20"/>
    <mergeCell ref="AID21:AIE21"/>
    <mergeCell ref="AID22:AIE22"/>
    <mergeCell ref="AID23:AIE23"/>
    <mergeCell ref="AID24:AIE24"/>
    <mergeCell ref="AIA25:AIC25"/>
    <mergeCell ref="AID25:AIE25"/>
    <mergeCell ref="AID26:AIE26"/>
    <mergeCell ref="AIA27:AIE27"/>
    <mergeCell ref="AIA28:AIE29"/>
    <mergeCell ref="AIA1:AIA2"/>
    <mergeCell ref="AIB1:AIC2"/>
    <mergeCell ref="AID1:AID2"/>
    <mergeCell ref="AID3:AIE3"/>
    <mergeCell ref="AID4:AIE4"/>
    <mergeCell ref="AID5:AIE5"/>
    <mergeCell ref="AID6:AIE6"/>
    <mergeCell ref="AID7:AIE7"/>
    <mergeCell ref="AID8:AIE8"/>
    <mergeCell ref="AIA9:AIC9"/>
    <mergeCell ref="AID9:AIE9"/>
    <mergeCell ref="AIA10:AIB10"/>
    <mergeCell ref="AIC10:AIE10"/>
    <mergeCell ref="AIA11:AIB11"/>
    <mergeCell ref="AIC11:AIE11"/>
    <mergeCell ref="AIA12:AIB12"/>
    <mergeCell ref="AIC12:AIE12"/>
    <mergeCell ref="AIA13:AIB13"/>
    <mergeCell ref="AIC13:AIE13"/>
    <mergeCell ref="AIA14:AIB14"/>
    <mergeCell ref="AIC14:AIE14"/>
    <mergeCell ref="AIA15:AIC15"/>
    <mergeCell ref="AID15:AIE15"/>
    <mergeCell ref="AIA16:AIB16"/>
    <mergeCell ref="AIC16:AIE16"/>
    <mergeCell ref="AIA17:AIB17"/>
    <mergeCell ref="AIC17:AIE17"/>
    <mergeCell ref="AIA18:AIB18"/>
    <mergeCell ref="AIC18:AIE18"/>
    <mergeCell ref="AIA19:AIB19"/>
    <mergeCell ref="AIC19:AIE19"/>
    <mergeCell ref="AIA20:AIB20"/>
    <mergeCell ref="AIC20:AIE20"/>
    <mergeCell ref="AHO21:AHP21"/>
    <mergeCell ref="AHO22:AHP22"/>
    <mergeCell ref="AHO23:AHP23"/>
    <mergeCell ref="AHO24:AHP24"/>
    <mergeCell ref="AHL25:AHN25"/>
    <mergeCell ref="AHO25:AHP25"/>
    <mergeCell ref="AHO26:AHP26"/>
    <mergeCell ref="AHL27:AHP27"/>
    <mergeCell ref="AHL28:AHP29"/>
    <mergeCell ref="AHL1:AHL2"/>
    <mergeCell ref="AHM1:AHN2"/>
    <mergeCell ref="AHO1:AHO2"/>
    <mergeCell ref="AHO3:AHP3"/>
    <mergeCell ref="AHO4:AHP4"/>
    <mergeCell ref="AHO5:AHP5"/>
    <mergeCell ref="AHO6:AHP6"/>
    <mergeCell ref="AHO7:AHP7"/>
    <mergeCell ref="AHO8:AHP8"/>
    <mergeCell ref="AHL9:AHN9"/>
    <mergeCell ref="AHO9:AHP9"/>
    <mergeCell ref="AHL10:AHM10"/>
    <mergeCell ref="AHN10:AHP10"/>
    <mergeCell ref="AHL11:AHM11"/>
    <mergeCell ref="AHN11:AHP11"/>
    <mergeCell ref="AHL12:AHM12"/>
    <mergeCell ref="AHN12:AHP12"/>
    <mergeCell ref="AHL13:AHM13"/>
    <mergeCell ref="AHN13:AHP13"/>
    <mergeCell ref="AHL14:AHM14"/>
    <mergeCell ref="AHN14:AHP14"/>
    <mergeCell ref="AHL15:AHN15"/>
    <mergeCell ref="AHO15:AHP15"/>
    <mergeCell ref="AHL16:AHM16"/>
    <mergeCell ref="AHN16:AHP16"/>
    <mergeCell ref="AHL17:AHM17"/>
    <mergeCell ref="AHN17:AHP17"/>
    <mergeCell ref="AHL18:AHM18"/>
    <mergeCell ref="AHN18:AHP18"/>
    <mergeCell ref="AHL19:AHM19"/>
    <mergeCell ref="AHN19:AHP19"/>
    <mergeCell ref="AHL20:AHM20"/>
    <mergeCell ref="AHN20:AHP20"/>
    <mergeCell ref="AHE23:AHF23"/>
    <mergeCell ref="AHE24:AHF24"/>
    <mergeCell ref="AHB25:AHD25"/>
    <mergeCell ref="AHE25:AHF25"/>
    <mergeCell ref="AHE26:AHF26"/>
    <mergeCell ref="AHB27:AHF27"/>
    <mergeCell ref="AHB28:AHF29"/>
    <mergeCell ref="AHB1:AHB2"/>
    <mergeCell ref="AHC1:AHD2"/>
    <mergeCell ref="AHE1:AHE2"/>
    <mergeCell ref="AHE3:AHF3"/>
    <mergeCell ref="AHE4:AHF4"/>
    <mergeCell ref="AHE5:AHF5"/>
    <mergeCell ref="AHE6:AHF6"/>
    <mergeCell ref="AHE7:AHF7"/>
    <mergeCell ref="AHE8:AHF8"/>
    <mergeCell ref="AHB9:AHD9"/>
    <mergeCell ref="AHE9:AHF9"/>
    <mergeCell ref="AHB10:AHC10"/>
    <mergeCell ref="AHD10:AHF10"/>
    <mergeCell ref="AHB11:AHC11"/>
    <mergeCell ref="AHD11:AHF11"/>
    <mergeCell ref="AHB12:AHC12"/>
    <mergeCell ref="AHD12:AHF12"/>
    <mergeCell ref="AHB13:AHC13"/>
    <mergeCell ref="AHD13:AHF13"/>
    <mergeCell ref="AHB14:AHC14"/>
    <mergeCell ref="AHD14:AHF14"/>
    <mergeCell ref="AHB15:AHD15"/>
    <mergeCell ref="AHE15:AHF15"/>
    <mergeCell ref="AHB16:AHC16"/>
    <mergeCell ref="AHD16:AHF16"/>
    <mergeCell ref="AHB17:AHC17"/>
    <mergeCell ref="AHD17:AHF17"/>
    <mergeCell ref="AHB18:AHC18"/>
    <mergeCell ref="AHD18:AHF18"/>
    <mergeCell ref="AHB19:AHC19"/>
    <mergeCell ref="AHD19:AHF19"/>
    <mergeCell ref="AHB20:AHC20"/>
    <mergeCell ref="AHD20:AHF20"/>
    <mergeCell ref="AGP21:AGQ21"/>
    <mergeCell ref="AGP22:AGQ22"/>
    <mergeCell ref="AGP23:AGQ23"/>
    <mergeCell ref="AGP24:AGQ24"/>
    <mergeCell ref="AGM25:AGO25"/>
    <mergeCell ref="AGP25:AGQ25"/>
    <mergeCell ref="AGP26:AGQ26"/>
    <mergeCell ref="AGM27:AGQ27"/>
    <mergeCell ref="AGM28:AGQ29"/>
    <mergeCell ref="AGM1:AGM2"/>
    <mergeCell ref="AGN1:AGO2"/>
    <mergeCell ref="AGP1:AGP2"/>
    <mergeCell ref="AGP3:AGQ3"/>
    <mergeCell ref="AGP4:AGQ4"/>
    <mergeCell ref="AGP5:AGQ5"/>
    <mergeCell ref="AGP6:AGQ6"/>
    <mergeCell ref="AGP7:AGQ7"/>
    <mergeCell ref="AGP8:AGQ8"/>
    <mergeCell ref="AGM9:AGO9"/>
    <mergeCell ref="AGP9:AGQ9"/>
    <mergeCell ref="AGM10:AGN10"/>
    <mergeCell ref="AGO10:AGQ10"/>
    <mergeCell ref="AGM11:AGN11"/>
    <mergeCell ref="AGO11:AGQ11"/>
    <mergeCell ref="AGM12:AGN12"/>
    <mergeCell ref="AGO12:AGQ12"/>
    <mergeCell ref="AGM13:AGN13"/>
    <mergeCell ref="AGO13:AGQ13"/>
    <mergeCell ref="AGM14:AGN14"/>
    <mergeCell ref="AGO14:AGQ14"/>
    <mergeCell ref="AGM15:AGO15"/>
    <mergeCell ref="AGP15:AGQ15"/>
    <mergeCell ref="AGM16:AGN16"/>
    <mergeCell ref="AGO16:AGQ16"/>
    <mergeCell ref="AGM17:AGN17"/>
    <mergeCell ref="AGO17:AGQ17"/>
    <mergeCell ref="AGM18:AGN18"/>
    <mergeCell ref="AGO18:AGQ18"/>
    <mergeCell ref="AGM19:AGN19"/>
    <mergeCell ref="AGO19:AGQ19"/>
    <mergeCell ref="AGM20:AGN20"/>
    <mergeCell ref="AGO20:AGQ20"/>
    <mergeCell ref="AGF21:AGG21"/>
    <mergeCell ref="AGF22:AGG22"/>
    <mergeCell ref="AGF23:AGG23"/>
    <mergeCell ref="AGF24:AGG24"/>
    <mergeCell ref="AGC25:AGE25"/>
    <mergeCell ref="AGF25:AGG25"/>
    <mergeCell ref="AGF26:AGG26"/>
    <mergeCell ref="AGC27:AGG27"/>
    <mergeCell ref="AGC28:AGG29"/>
    <mergeCell ref="AGC1:AGC2"/>
    <mergeCell ref="AGD1:AGE2"/>
    <mergeCell ref="AGF1:AGF2"/>
    <mergeCell ref="AGF3:AGG3"/>
    <mergeCell ref="AGF4:AGG4"/>
    <mergeCell ref="AGF5:AGG5"/>
    <mergeCell ref="AGF6:AGG6"/>
    <mergeCell ref="AGF7:AGG7"/>
    <mergeCell ref="AGF8:AGG8"/>
    <mergeCell ref="AGC9:AGE9"/>
    <mergeCell ref="AGF9:AGG9"/>
    <mergeCell ref="AGC10:AGD10"/>
    <mergeCell ref="AGE10:AGG10"/>
    <mergeCell ref="AGC11:AGD11"/>
    <mergeCell ref="AGE11:AGG11"/>
    <mergeCell ref="AGC12:AGD12"/>
    <mergeCell ref="AGE12:AGG12"/>
    <mergeCell ref="AGC13:AGD13"/>
    <mergeCell ref="AGE13:AGG13"/>
    <mergeCell ref="AGC14:AGD14"/>
    <mergeCell ref="AGE14:AGG14"/>
    <mergeCell ref="AGC15:AGE15"/>
    <mergeCell ref="AGF15:AGG15"/>
    <mergeCell ref="AGC16:AGD16"/>
    <mergeCell ref="AGE16:AGG16"/>
    <mergeCell ref="AGC17:AGD17"/>
    <mergeCell ref="AGE17:AGG17"/>
    <mergeCell ref="AGC18:AGD18"/>
    <mergeCell ref="AGE18:AGG18"/>
    <mergeCell ref="AGC19:AGD19"/>
    <mergeCell ref="AGE19:AGG19"/>
    <mergeCell ref="AGC20:AGD20"/>
    <mergeCell ref="AGE20:AGG20"/>
    <mergeCell ref="AGA21:AGB21"/>
    <mergeCell ref="AGA22:AGB22"/>
    <mergeCell ref="AGA23:AGB23"/>
    <mergeCell ref="AGA24:AGB24"/>
    <mergeCell ref="AFX25:AFZ25"/>
    <mergeCell ref="AGA25:AGB25"/>
    <mergeCell ref="AGA26:AGB26"/>
    <mergeCell ref="AFX27:AGB27"/>
    <mergeCell ref="AFX28:AGB29"/>
    <mergeCell ref="AFX1:AFX2"/>
    <mergeCell ref="AFY1:AFZ2"/>
    <mergeCell ref="AGA1:AGA2"/>
    <mergeCell ref="AGA3:AGB3"/>
    <mergeCell ref="AGA4:AGB4"/>
    <mergeCell ref="AGA5:AGB5"/>
    <mergeCell ref="AGA6:AGB6"/>
    <mergeCell ref="AGA7:AGB7"/>
    <mergeCell ref="AGA8:AGB8"/>
    <mergeCell ref="AFX9:AFZ9"/>
    <mergeCell ref="AGA9:AGB9"/>
    <mergeCell ref="AFX10:AFY10"/>
    <mergeCell ref="AFZ10:AGB10"/>
    <mergeCell ref="AFX11:AFY11"/>
    <mergeCell ref="AFZ11:AGB11"/>
    <mergeCell ref="AFX12:AFY12"/>
    <mergeCell ref="AFZ12:AGB12"/>
    <mergeCell ref="AFX13:AFY13"/>
    <mergeCell ref="AFZ13:AGB13"/>
    <mergeCell ref="AFX14:AFY14"/>
    <mergeCell ref="AFZ14:AGB14"/>
    <mergeCell ref="AFX15:AFZ15"/>
    <mergeCell ref="AGA15:AGB15"/>
    <mergeCell ref="AFX16:AFY16"/>
    <mergeCell ref="AFZ16:AGB16"/>
    <mergeCell ref="AFX17:AFY17"/>
    <mergeCell ref="AFZ17:AGB17"/>
    <mergeCell ref="AFX18:AFY18"/>
    <mergeCell ref="AFZ18:AGB18"/>
    <mergeCell ref="AFX19:AFY19"/>
    <mergeCell ref="AFZ19:AGB19"/>
    <mergeCell ref="AFX20:AFY20"/>
    <mergeCell ref="AFZ20:AGB20"/>
    <mergeCell ref="AFQ21:AFR21"/>
    <mergeCell ref="AFQ22:AFR22"/>
    <mergeCell ref="AFQ23:AFR23"/>
    <mergeCell ref="AFQ24:AFR24"/>
    <mergeCell ref="AFN25:AFP25"/>
    <mergeCell ref="AFQ25:AFR25"/>
    <mergeCell ref="AFQ26:AFR26"/>
    <mergeCell ref="AFN27:AFR27"/>
    <mergeCell ref="AFN28:AFR29"/>
    <mergeCell ref="AFN1:AFN2"/>
    <mergeCell ref="AFO1:AFP2"/>
    <mergeCell ref="AFQ1:AFQ2"/>
    <mergeCell ref="AFQ3:AFR3"/>
    <mergeCell ref="AFQ4:AFR4"/>
    <mergeCell ref="AFQ5:AFR5"/>
    <mergeCell ref="AFQ6:AFR6"/>
    <mergeCell ref="AFQ7:AFR7"/>
    <mergeCell ref="AFQ8:AFR8"/>
    <mergeCell ref="AFN9:AFP9"/>
    <mergeCell ref="AFQ9:AFR9"/>
    <mergeCell ref="AFN10:AFO10"/>
    <mergeCell ref="AFP10:AFR10"/>
    <mergeCell ref="AFN11:AFO11"/>
    <mergeCell ref="AFP11:AFR11"/>
    <mergeCell ref="AFN12:AFO12"/>
    <mergeCell ref="AFP12:AFR12"/>
    <mergeCell ref="AFN13:AFO13"/>
    <mergeCell ref="AFP13:AFR13"/>
    <mergeCell ref="AFN14:AFO14"/>
    <mergeCell ref="AFP14:AFR14"/>
    <mergeCell ref="AFN15:AFP15"/>
    <mergeCell ref="AFQ15:AFR15"/>
    <mergeCell ref="AFN16:AFO16"/>
    <mergeCell ref="AFP16:AFR16"/>
    <mergeCell ref="AFN17:AFO17"/>
    <mergeCell ref="AFP17:AFR17"/>
    <mergeCell ref="AFN18:AFO18"/>
    <mergeCell ref="AFP18:AFR18"/>
    <mergeCell ref="AFN19:AFO19"/>
    <mergeCell ref="AFP19:AFR19"/>
    <mergeCell ref="AFN20:AFO20"/>
    <mergeCell ref="AFP20:AFR20"/>
    <mergeCell ref="AFB21:AFC21"/>
    <mergeCell ref="AFB22:AFC22"/>
    <mergeCell ref="AFB23:AFC23"/>
    <mergeCell ref="AFB24:AFC24"/>
    <mergeCell ref="AEY25:AFA25"/>
    <mergeCell ref="AFB25:AFC25"/>
    <mergeCell ref="AFB26:AFC26"/>
    <mergeCell ref="AEY27:AFC27"/>
    <mergeCell ref="AEY28:AFC29"/>
    <mergeCell ref="AEY1:AEY2"/>
    <mergeCell ref="AEZ1:AFA2"/>
    <mergeCell ref="AFB1:AFB2"/>
    <mergeCell ref="AFB3:AFC3"/>
    <mergeCell ref="AFB4:AFC4"/>
    <mergeCell ref="AFB5:AFC5"/>
    <mergeCell ref="AFB6:AFC6"/>
    <mergeCell ref="AFB7:AFC7"/>
    <mergeCell ref="AFB8:AFC8"/>
    <mergeCell ref="AEY9:AFA9"/>
    <mergeCell ref="AFB9:AFC9"/>
    <mergeCell ref="AEY10:AEZ10"/>
    <mergeCell ref="AFA10:AFC10"/>
    <mergeCell ref="AEY11:AEZ11"/>
    <mergeCell ref="AFA11:AFC11"/>
    <mergeCell ref="AEY12:AEZ12"/>
    <mergeCell ref="AFA12:AFC12"/>
    <mergeCell ref="AEY13:AEZ13"/>
    <mergeCell ref="AFA13:AFC13"/>
    <mergeCell ref="AEY14:AEZ14"/>
    <mergeCell ref="AFA14:AFC14"/>
    <mergeCell ref="AEY15:AFA15"/>
    <mergeCell ref="AFB15:AFC15"/>
    <mergeCell ref="AEY16:AEZ16"/>
    <mergeCell ref="AFA16:AFC16"/>
    <mergeCell ref="AEY17:AEZ17"/>
    <mergeCell ref="AFA17:AFC17"/>
    <mergeCell ref="AEY18:AEZ18"/>
    <mergeCell ref="AFA18:AFC18"/>
    <mergeCell ref="AEY19:AEZ19"/>
    <mergeCell ref="AFA19:AFC19"/>
    <mergeCell ref="AEY20:AEZ20"/>
    <mergeCell ref="AFA20:AFC20"/>
    <mergeCell ref="AEW21:AEX21"/>
    <mergeCell ref="AEW22:AEX22"/>
    <mergeCell ref="AEW23:AEX23"/>
    <mergeCell ref="AEW24:AEX24"/>
    <mergeCell ref="AET25:AEV25"/>
    <mergeCell ref="AEW25:AEX25"/>
    <mergeCell ref="AEW26:AEX26"/>
    <mergeCell ref="AET27:AEX27"/>
    <mergeCell ref="AET28:AEX29"/>
    <mergeCell ref="AET1:AET2"/>
    <mergeCell ref="AEU1:AEV2"/>
    <mergeCell ref="AEW1:AEW2"/>
    <mergeCell ref="AEW3:AEX3"/>
    <mergeCell ref="AEW4:AEX4"/>
    <mergeCell ref="AEW5:AEX5"/>
    <mergeCell ref="AEW6:AEX6"/>
    <mergeCell ref="AEW7:AEX7"/>
    <mergeCell ref="AEW8:AEX8"/>
    <mergeCell ref="AET9:AEV9"/>
    <mergeCell ref="AEW9:AEX9"/>
    <mergeCell ref="AET10:AEU10"/>
    <mergeCell ref="AEV10:AEX10"/>
    <mergeCell ref="AET11:AEU11"/>
    <mergeCell ref="AEV11:AEX11"/>
    <mergeCell ref="AET12:AEU12"/>
    <mergeCell ref="AEV12:AEX12"/>
    <mergeCell ref="AET13:AEU13"/>
    <mergeCell ref="AEV13:AEX13"/>
    <mergeCell ref="AET14:AEU14"/>
    <mergeCell ref="AEV14:AEX14"/>
    <mergeCell ref="AET15:AEV15"/>
    <mergeCell ref="AEW15:AEX15"/>
    <mergeCell ref="AET16:AEU16"/>
    <mergeCell ref="AEV16:AEX16"/>
    <mergeCell ref="AET17:AEU17"/>
    <mergeCell ref="AEV17:AEX17"/>
    <mergeCell ref="AET18:AEU18"/>
    <mergeCell ref="AEV18:AEX18"/>
    <mergeCell ref="AET19:AEU19"/>
    <mergeCell ref="AEV19:AEX19"/>
    <mergeCell ref="AET20:AEU20"/>
    <mergeCell ref="AEV20:AEX20"/>
    <mergeCell ref="AER21:AES21"/>
    <mergeCell ref="AER22:AES22"/>
    <mergeCell ref="AER23:AES23"/>
    <mergeCell ref="AER24:AES24"/>
    <mergeCell ref="AEO25:AEQ25"/>
    <mergeCell ref="AER25:AES25"/>
    <mergeCell ref="AER26:AES26"/>
    <mergeCell ref="AEO27:AES27"/>
    <mergeCell ref="AEO28:AES29"/>
    <mergeCell ref="AEO1:AEO2"/>
    <mergeCell ref="AEP1:AEQ2"/>
    <mergeCell ref="AER1:AER2"/>
    <mergeCell ref="AER3:AES3"/>
    <mergeCell ref="AER4:AES4"/>
    <mergeCell ref="AER5:AES5"/>
    <mergeCell ref="AER6:AES6"/>
    <mergeCell ref="AER7:AES7"/>
    <mergeCell ref="AER8:AES8"/>
    <mergeCell ref="AEO9:AEQ9"/>
    <mergeCell ref="AER9:AES9"/>
    <mergeCell ref="AEO10:AEP10"/>
    <mergeCell ref="AEQ10:AES10"/>
    <mergeCell ref="AEO11:AEP11"/>
    <mergeCell ref="AEQ11:AES11"/>
    <mergeCell ref="AEO12:AEP12"/>
    <mergeCell ref="AEQ12:AES12"/>
    <mergeCell ref="AEO13:AEP13"/>
    <mergeCell ref="AEQ13:AES13"/>
    <mergeCell ref="AEO14:AEP14"/>
    <mergeCell ref="AEQ14:AES14"/>
    <mergeCell ref="AEO15:AEQ15"/>
    <mergeCell ref="AER15:AES15"/>
    <mergeCell ref="AEO16:AEP16"/>
    <mergeCell ref="AEQ16:AES16"/>
    <mergeCell ref="AEO17:AEP17"/>
    <mergeCell ref="AEQ17:AES17"/>
    <mergeCell ref="AEO18:AEP18"/>
    <mergeCell ref="AEQ18:AES18"/>
    <mergeCell ref="AEO19:AEP19"/>
    <mergeCell ref="AEQ19:AES19"/>
    <mergeCell ref="AEO20:AEP20"/>
    <mergeCell ref="AEQ20:AES20"/>
    <mergeCell ref="AEH21:AEI21"/>
    <mergeCell ref="AEH22:AEI22"/>
    <mergeCell ref="AEH23:AEI23"/>
    <mergeCell ref="AEH24:AEI24"/>
    <mergeCell ref="AEE25:AEG25"/>
    <mergeCell ref="AEH25:AEI25"/>
    <mergeCell ref="AEH26:AEI26"/>
    <mergeCell ref="AEE27:AEI27"/>
    <mergeCell ref="AEE28:AEI29"/>
    <mergeCell ref="AEE1:AEE2"/>
    <mergeCell ref="AEF1:AEG2"/>
    <mergeCell ref="AEH1:AEH2"/>
    <mergeCell ref="AEH3:AEI3"/>
    <mergeCell ref="AEH4:AEI4"/>
    <mergeCell ref="AEH5:AEI5"/>
    <mergeCell ref="AEH6:AEI6"/>
    <mergeCell ref="AEH7:AEI7"/>
    <mergeCell ref="AEH8:AEI8"/>
    <mergeCell ref="AEE9:AEG9"/>
    <mergeCell ref="AEH9:AEI9"/>
    <mergeCell ref="AEE10:AEF10"/>
    <mergeCell ref="AEG10:AEI10"/>
    <mergeCell ref="AEE11:AEF11"/>
    <mergeCell ref="AEG11:AEI11"/>
    <mergeCell ref="AEE12:AEF12"/>
    <mergeCell ref="AEG12:AEI12"/>
    <mergeCell ref="AEE13:AEF13"/>
    <mergeCell ref="AEG13:AEI13"/>
    <mergeCell ref="AEE14:AEF14"/>
    <mergeCell ref="AEG14:AEI14"/>
    <mergeCell ref="AEE15:AEG15"/>
    <mergeCell ref="AEH15:AEI15"/>
    <mergeCell ref="AEE16:AEF16"/>
    <mergeCell ref="AEG16:AEI16"/>
    <mergeCell ref="AEE17:AEF17"/>
    <mergeCell ref="AEG17:AEI17"/>
    <mergeCell ref="AEE18:AEF18"/>
    <mergeCell ref="AEG18:AEI18"/>
    <mergeCell ref="AEE19:AEF19"/>
    <mergeCell ref="AEG19:AEI19"/>
    <mergeCell ref="AEE20:AEF20"/>
    <mergeCell ref="AEG20:AEI20"/>
    <mergeCell ref="AEC21:AED21"/>
    <mergeCell ref="AEC22:AED22"/>
    <mergeCell ref="AEC23:AED23"/>
    <mergeCell ref="AEC24:AED24"/>
    <mergeCell ref="ADZ25:AEB25"/>
    <mergeCell ref="AEC25:AED25"/>
    <mergeCell ref="AEC26:AED26"/>
    <mergeCell ref="ADZ27:AED27"/>
    <mergeCell ref="ADZ28:AED29"/>
    <mergeCell ref="ADZ1:ADZ2"/>
    <mergeCell ref="AEA1:AEB2"/>
    <mergeCell ref="AEC1:AEC2"/>
    <mergeCell ref="AEC3:AED3"/>
    <mergeCell ref="AEC4:AED4"/>
    <mergeCell ref="AEC5:AED5"/>
    <mergeCell ref="AEC6:AED6"/>
    <mergeCell ref="AEC7:AED7"/>
    <mergeCell ref="AEC8:AED8"/>
    <mergeCell ref="ADZ9:AEB9"/>
    <mergeCell ref="AEC9:AED9"/>
    <mergeCell ref="ADZ10:AEA10"/>
    <mergeCell ref="AEB10:AED10"/>
    <mergeCell ref="ADZ11:AEA11"/>
    <mergeCell ref="AEB11:AED11"/>
    <mergeCell ref="ADZ12:AEA12"/>
    <mergeCell ref="AEB12:AED12"/>
    <mergeCell ref="ADZ13:AEA13"/>
    <mergeCell ref="AEB13:AED13"/>
    <mergeCell ref="ADZ14:AEA14"/>
    <mergeCell ref="AEB14:AED14"/>
    <mergeCell ref="ADZ15:AEB15"/>
    <mergeCell ref="AEC15:AED15"/>
    <mergeCell ref="ADZ16:AEA16"/>
    <mergeCell ref="AEB16:AED16"/>
    <mergeCell ref="ADZ17:AEA17"/>
    <mergeCell ref="AEB17:AED17"/>
    <mergeCell ref="ADZ18:AEA18"/>
    <mergeCell ref="AEB18:AED18"/>
    <mergeCell ref="ADZ19:AEA19"/>
    <mergeCell ref="AEB19:AED19"/>
    <mergeCell ref="ADZ20:AEA20"/>
    <mergeCell ref="AEB20:AED20"/>
    <mergeCell ref="ADS21:ADT21"/>
    <mergeCell ref="ADS22:ADT22"/>
    <mergeCell ref="ADS23:ADT23"/>
    <mergeCell ref="ADS24:ADT24"/>
    <mergeCell ref="ADP25:ADR25"/>
    <mergeCell ref="ADS25:ADT25"/>
    <mergeCell ref="ADS26:ADT26"/>
    <mergeCell ref="ADP27:ADT27"/>
    <mergeCell ref="ADP28:ADT29"/>
    <mergeCell ref="ADP1:ADP2"/>
    <mergeCell ref="ADQ1:ADR2"/>
    <mergeCell ref="ADS1:ADS2"/>
    <mergeCell ref="ADS3:ADT3"/>
    <mergeCell ref="ADS4:ADT4"/>
    <mergeCell ref="ADS5:ADT5"/>
    <mergeCell ref="ADS6:ADT6"/>
    <mergeCell ref="ADS7:ADT7"/>
    <mergeCell ref="ADS8:ADT8"/>
    <mergeCell ref="ADP9:ADR9"/>
    <mergeCell ref="ADS9:ADT9"/>
    <mergeCell ref="ADP10:ADQ10"/>
    <mergeCell ref="ADR10:ADT10"/>
    <mergeCell ref="ADP11:ADQ11"/>
    <mergeCell ref="ADR11:ADT11"/>
    <mergeCell ref="ADP12:ADQ12"/>
    <mergeCell ref="ADR12:ADT12"/>
    <mergeCell ref="ADP13:ADQ13"/>
    <mergeCell ref="ADR13:ADT13"/>
    <mergeCell ref="ADP14:ADQ14"/>
    <mergeCell ref="ADR14:ADT14"/>
    <mergeCell ref="ADP15:ADR15"/>
    <mergeCell ref="ADS15:ADT15"/>
    <mergeCell ref="ADP16:ADQ16"/>
    <mergeCell ref="ADR16:ADT16"/>
    <mergeCell ref="ADP17:ADQ17"/>
    <mergeCell ref="ADR17:ADT17"/>
    <mergeCell ref="ADP18:ADQ18"/>
    <mergeCell ref="ADR18:ADT18"/>
    <mergeCell ref="ADP19:ADQ19"/>
    <mergeCell ref="ADR19:ADT19"/>
    <mergeCell ref="ADP20:ADQ20"/>
    <mergeCell ref="ADR20:ADT20"/>
    <mergeCell ref="ADD21:ADE21"/>
    <mergeCell ref="ADD22:ADE22"/>
    <mergeCell ref="ADD23:ADE23"/>
    <mergeCell ref="ADD24:ADE24"/>
    <mergeCell ref="ADA25:ADC25"/>
    <mergeCell ref="ADD25:ADE25"/>
    <mergeCell ref="ADD26:ADE26"/>
    <mergeCell ref="ADA27:ADE27"/>
    <mergeCell ref="ADA28:ADE29"/>
    <mergeCell ref="ADA1:ADA2"/>
    <mergeCell ref="ADB1:ADC2"/>
    <mergeCell ref="ADD1:ADD2"/>
    <mergeCell ref="ADD3:ADE3"/>
    <mergeCell ref="ADD4:ADE4"/>
    <mergeCell ref="ADD5:ADE5"/>
    <mergeCell ref="ADD6:ADE6"/>
    <mergeCell ref="ADD7:ADE7"/>
    <mergeCell ref="ADD8:ADE8"/>
    <mergeCell ref="ADA9:ADC9"/>
    <mergeCell ref="ADD9:ADE9"/>
    <mergeCell ref="ADA10:ADB10"/>
    <mergeCell ref="ADC10:ADE10"/>
    <mergeCell ref="ADA11:ADB11"/>
    <mergeCell ref="ADC11:ADE11"/>
    <mergeCell ref="ADA12:ADB12"/>
    <mergeCell ref="ADC12:ADE12"/>
    <mergeCell ref="ADA13:ADB13"/>
    <mergeCell ref="ADC13:ADE13"/>
    <mergeCell ref="ADA14:ADB14"/>
    <mergeCell ref="ADC14:ADE14"/>
    <mergeCell ref="ADA15:ADC15"/>
    <mergeCell ref="ADD15:ADE15"/>
    <mergeCell ref="ADA16:ADB16"/>
    <mergeCell ref="ADC16:ADE16"/>
    <mergeCell ref="ADA17:ADB17"/>
    <mergeCell ref="ADC17:ADE17"/>
    <mergeCell ref="ADA18:ADB18"/>
    <mergeCell ref="ADC18:ADE18"/>
    <mergeCell ref="ADA19:ADB19"/>
    <mergeCell ref="ADC19:ADE19"/>
    <mergeCell ref="ADA20:ADB20"/>
    <mergeCell ref="ADC20:ADE20"/>
    <mergeCell ref="ACT21:ACU21"/>
    <mergeCell ref="ACT22:ACU22"/>
    <mergeCell ref="ACT23:ACU23"/>
    <mergeCell ref="ACT24:ACU24"/>
    <mergeCell ref="ACQ25:ACS25"/>
    <mergeCell ref="ACT25:ACU25"/>
    <mergeCell ref="ACT26:ACU26"/>
    <mergeCell ref="ACQ27:ACU27"/>
    <mergeCell ref="ACQ28:ACU29"/>
    <mergeCell ref="ACQ1:ACQ2"/>
    <mergeCell ref="ACR1:ACS2"/>
    <mergeCell ref="ACT1:ACT2"/>
    <mergeCell ref="ACT3:ACU3"/>
    <mergeCell ref="ACT4:ACU4"/>
    <mergeCell ref="ACT5:ACU5"/>
    <mergeCell ref="ACT6:ACU6"/>
    <mergeCell ref="ACT7:ACU7"/>
    <mergeCell ref="ACT8:ACU8"/>
    <mergeCell ref="ACQ9:ACS9"/>
    <mergeCell ref="ACT9:ACU9"/>
    <mergeCell ref="ACQ10:ACR10"/>
    <mergeCell ref="ACS10:ACU10"/>
    <mergeCell ref="ACQ11:ACR11"/>
    <mergeCell ref="ACS11:ACU11"/>
    <mergeCell ref="ACQ12:ACR12"/>
    <mergeCell ref="ACS12:ACU12"/>
    <mergeCell ref="ACQ13:ACR13"/>
    <mergeCell ref="ACS13:ACU13"/>
    <mergeCell ref="ACQ14:ACR14"/>
    <mergeCell ref="ACS14:ACU14"/>
    <mergeCell ref="ACQ15:ACS15"/>
    <mergeCell ref="ACT15:ACU15"/>
    <mergeCell ref="ACQ16:ACR16"/>
    <mergeCell ref="ACS16:ACU16"/>
    <mergeCell ref="ACQ17:ACR17"/>
    <mergeCell ref="ACS17:ACU17"/>
    <mergeCell ref="ACQ18:ACR18"/>
    <mergeCell ref="ACS18:ACU18"/>
    <mergeCell ref="ACQ19:ACR19"/>
    <mergeCell ref="ACS19:ACU19"/>
    <mergeCell ref="ACQ20:ACR20"/>
    <mergeCell ref="ACS20:ACU20"/>
    <mergeCell ref="ACJ21:ACK21"/>
    <mergeCell ref="ACJ22:ACK22"/>
    <mergeCell ref="ACJ23:ACK23"/>
    <mergeCell ref="ACJ24:ACK24"/>
    <mergeCell ref="ACG25:ACI25"/>
    <mergeCell ref="ACJ25:ACK25"/>
    <mergeCell ref="ACJ26:ACK26"/>
    <mergeCell ref="ACG27:ACK27"/>
    <mergeCell ref="ACG28:ACK29"/>
    <mergeCell ref="ACG1:ACG2"/>
    <mergeCell ref="ACH1:ACI2"/>
    <mergeCell ref="ACJ1:ACJ2"/>
    <mergeCell ref="ACJ3:ACK3"/>
    <mergeCell ref="ACJ4:ACK4"/>
    <mergeCell ref="ACJ5:ACK5"/>
    <mergeCell ref="ACJ6:ACK6"/>
    <mergeCell ref="ACJ7:ACK7"/>
    <mergeCell ref="ACJ8:ACK8"/>
    <mergeCell ref="ACG9:ACI9"/>
    <mergeCell ref="ACJ9:ACK9"/>
    <mergeCell ref="ACG10:ACH10"/>
    <mergeCell ref="ACI10:ACK10"/>
    <mergeCell ref="ACG11:ACH11"/>
    <mergeCell ref="ACI11:ACK11"/>
    <mergeCell ref="ACG12:ACH12"/>
    <mergeCell ref="ACI12:ACK12"/>
    <mergeCell ref="ACG13:ACH13"/>
    <mergeCell ref="ACI13:ACK13"/>
    <mergeCell ref="ACG14:ACH14"/>
    <mergeCell ref="ACI14:ACK14"/>
    <mergeCell ref="ACG15:ACI15"/>
    <mergeCell ref="ACJ15:ACK15"/>
    <mergeCell ref="ACG16:ACH16"/>
    <mergeCell ref="ACI16:ACK16"/>
    <mergeCell ref="ACG17:ACH17"/>
    <mergeCell ref="ACI17:ACK17"/>
    <mergeCell ref="ACG18:ACH18"/>
    <mergeCell ref="ACI18:ACK18"/>
    <mergeCell ref="ACG19:ACH19"/>
    <mergeCell ref="ACI19:ACK19"/>
    <mergeCell ref="ACG20:ACH20"/>
    <mergeCell ref="ACI20:ACK20"/>
    <mergeCell ref="ACE21:ACF21"/>
    <mergeCell ref="ACE22:ACF22"/>
    <mergeCell ref="ACE23:ACF23"/>
    <mergeCell ref="ACE24:ACF24"/>
    <mergeCell ref="ACB25:ACD25"/>
    <mergeCell ref="ACE25:ACF25"/>
    <mergeCell ref="ACE26:ACF26"/>
    <mergeCell ref="ACB27:ACF27"/>
    <mergeCell ref="ACB28:ACF29"/>
    <mergeCell ref="ACB1:ACB2"/>
    <mergeCell ref="ACC1:ACD2"/>
    <mergeCell ref="ACE1:ACE2"/>
    <mergeCell ref="ACE3:ACF3"/>
    <mergeCell ref="ACE4:ACF4"/>
    <mergeCell ref="ACE5:ACF5"/>
    <mergeCell ref="ACE6:ACF6"/>
    <mergeCell ref="ACE7:ACF7"/>
    <mergeCell ref="ACE8:ACF8"/>
    <mergeCell ref="ACB9:ACD9"/>
    <mergeCell ref="ACE9:ACF9"/>
    <mergeCell ref="ACB10:ACC10"/>
    <mergeCell ref="ACD10:ACF10"/>
    <mergeCell ref="ACB11:ACC11"/>
    <mergeCell ref="ACD11:ACF11"/>
    <mergeCell ref="ACB12:ACC12"/>
    <mergeCell ref="ACD12:ACF12"/>
    <mergeCell ref="ACB13:ACC13"/>
    <mergeCell ref="ACD13:ACF13"/>
    <mergeCell ref="ACB14:ACC14"/>
    <mergeCell ref="ACD14:ACF14"/>
    <mergeCell ref="ACB15:ACD15"/>
    <mergeCell ref="ACE15:ACF15"/>
    <mergeCell ref="ACB16:ACC16"/>
    <mergeCell ref="ACD16:ACF16"/>
    <mergeCell ref="ACB17:ACC17"/>
    <mergeCell ref="ACD17:ACF17"/>
    <mergeCell ref="ACB18:ACC18"/>
    <mergeCell ref="ACD18:ACF18"/>
    <mergeCell ref="ACB19:ACC19"/>
    <mergeCell ref="ACD19:ACF19"/>
    <mergeCell ref="ACB20:ACC20"/>
    <mergeCell ref="ACD20:ACF20"/>
    <mergeCell ref="ABU21:ABV21"/>
    <mergeCell ref="ABU22:ABV22"/>
    <mergeCell ref="ABU23:ABV23"/>
    <mergeCell ref="ABU24:ABV24"/>
    <mergeCell ref="ABR25:ABT25"/>
    <mergeCell ref="ABU25:ABV25"/>
    <mergeCell ref="ABU26:ABV26"/>
    <mergeCell ref="ABR27:ABV27"/>
    <mergeCell ref="ABR28:ABV29"/>
    <mergeCell ref="ABR1:ABR2"/>
    <mergeCell ref="ABS1:ABT2"/>
    <mergeCell ref="ABU1:ABU2"/>
    <mergeCell ref="ABU3:ABV3"/>
    <mergeCell ref="ABU4:ABV4"/>
    <mergeCell ref="ABU5:ABV5"/>
    <mergeCell ref="ABU6:ABV6"/>
    <mergeCell ref="ABU7:ABV7"/>
    <mergeCell ref="ABU8:ABV8"/>
    <mergeCell ref="ABR9:ABT9"/>
    <mergeCell ref="ABU9:ABV9"/>
    <mergeCell ref="ABR10:ABS10"/>
    <mergeCell ref="ABT10:ABV10"/>
    <mergeCell ref="ABR11:ABS11"/>
    <mergeCell ref="ABT11:ABV11"/>
    <mergeCell ref="ABR12:ABS12"/>
    <mergeCell ref="ABT12:ABV12"/>
    <mergeCell ref="ABR13:ABS13"/>
    <mergeCell ref="ABT13:ABV13"/>
    <mergeCell ref="ABR14:ABS14"/>
    <mergeCell ref="ABT14:ABV14"/>
    <mergeCell ref="ABR15:ABT15"/>
    <mergeCell ref="ABU15:ABV15"/>
    <mergeCell ref="ABR16:ABS16"/>
    <mergeCell ref="ABT16:ABV16"/>
    <mergeCell ref="ABR17:ABS17"/>
    <mergeCell ref="ABT17:ABV17"/>
    <mergeCell ref="ABR18:ABS18"/>
    <mergeCell ref="ABT18:ABV18"/>
    <mergeCell ref="ABR19:ABS19"/>
    <mergeCell ref="ABT19:ABV19"/>
    <mergeCell ref="ABR20:ABS20"/>
    <mergeCell ref="ABT20:ABV20"/>
    <mergeCell ref="ABP21:ABQ21"/>
    <mergeCell ref="ABP22:ABQ22"/>
    <mergeCell ref="ABP23:ABQ23"/>
    <mergeCell ref="ABP24:ABQ24"/>
    <mergeCell ref="ABM25:ABO25"/>
    <mergeCell ref="ABP25:ABQ25"/>
    <mergeCell ref="ABP26:ABQ26"/>
    <mergeCell ref="ABM27:ABQ27"/>
    <mergeCell ref="ABM28:ABQ29"/>
    <mergeCell ref="ABM1:ABM2"/>
    <mergeCell ref="ABN1:ABO2"/>
    <mergeCell ref="ABP1:ABP2"/>
    <mergeCell ref="ABP3:ABQ3"/>
    <mergeCell ref="ABP4:ABQ4"/>
    <mergeCell ref="ABP5:ABQ5"/>
    <mergeCell ref="ABP6:ABQ6"/>
    <mergeCell ref="ABP7:ABQ7"/>
    <mergeCell ref="ABP8:ABQ8"/>
    <mergeCell ref="ABM9:ABO9"/>
    <mergeCell ref="ABP9:ABQ9"/>
    <mergeCell ref="ABM10:ABN10"/>
    <mergeCell ref="ABO10:ABQ10"/>
    <mergeCell ref="ABM11:ABN11"/>
    <mergeCell ref="ABO11:ABQ11"/>
    <mergeCell ref="ABM12:ABN12"/>
    <mergeCell ref="ABO12:ABQ12"/>
    <mergeCell ref="ABM13:ABN13"/>
    <mergeCell ref="ABO13:ABQ13"/>
    <mergeCell ref="ABM14:ABN14"/>
    <mergeCell ref="ABO14:ABQ14"/>
    <mergeCell ref="ABM15:ABO15"/>
    <mergeCell ref="ABP15:ABQ15"/>
    <mergeCell ref="ABM16:ABN16"/>
    <mergeCell ref="ABO16:ABQ16"/>
    <mergeCell ref="ABM17:ABN17"/>
    <mergeCell ref="ABO17:ABQ17"/>
    <mergeCell ref="ABM18:ABN18"/>
    <mergeCell ref="ABO18:ABQ18"/>
    <mergeCell ref="ABM19:ABN19"/>
    <mergeCell ref="ABO19:ABQ19"/>
    <mergeCell ref="ABM20:ABN20"/>
    <mergeCell ref="ABO20:ABQ20"/>
    <mergeCell ref="ABF21:ABG21"/>
    <mergeCell ref="ABF22:ABG22"/>
    <mergeCell ref="ABF23:ABG23"/>
    <mergeCell ref="ABF24:ABG24"/>
    <mergeCell ref="ABC25:ABE25"/>
    <mergeCell ref="ABF25:ABG25"/>
    <mergeCell ref="ABF26:ABG26"/>
    <mergeCell ref="ABC27:ABG27"/>
    <mergeCell ref="ABC28:ABG29"/>
    <mergeCell ref="ABC1:ABC2"/>
    <mergeCell ref="ABD1:ABE2"/>
    <mergeCell ref="ABF1:ABF2"/>
    <mergeCell ref="ABF3:ABG3"/>
    <mergeCell ref="ABF4:ABG4"/>
    <mergeCell ref="ABF5:ABG5"/>
    <mergeCell ref="ABF6:ABG6"/>
    <mergeCell ref="ABF7:ABG7"/>
    <mergeCell ref="ABF8:ABG8"/>
    <mergeCell ref="ABC9:ABE9"/>
    <mergeCell ref="ABF9:ABG9"/>
    <mergeCell ref="ABC10:ABD10"/>
    <mergeCell ref="ABE10:ABG10"/>
    <mergeCell ref="ABC11:ABD11"/>
    <mergeCell ref="ABE11:ABG11"/>
    <mergeCell ref="ABC12:ABD12"/>
    <mergeCell ref="ABE12:ABG12"/>
    <mergeCell ref="ABC13:ABD13"/>
    <mergeCell ref="ABE13:ABG13"/>
    <mergeCell ref="ABC14:ABD14"/>
    <mergeCell ref="ABE14:ABG14"/>
    <mergeCell ref="ABC15:ABE15"/>
    <mergeCell ref="ABF15:ABG15"/>
    <mergeCell ref="ABC16:ABD16"/>
    <mergeCell ref="ABE16:ABG16"/>
    <mergeCell ref="ABC17:ABD17"/>
    <mergeCell ref="ABE17:ABG17"/>
    <mergeCell ref="ABC18:ABD18"/>
    <mergeCell ref="ABE18:ABG18"/>
    <mergeCell ref="ABC19:ABD19"/>
    <mergeCell ref="ABE19:ABG19"/>
    <mergeCell ref="ABC20:ABD20"/>
    <mergeCell ref="ABE20:ABG20"/>
    <mergeCell ref="AAV21:AAW21"/>
    <mergeCell ref="AAV22:AAW22"/>
    <mergeCell ref="AAV23:AAW23"/>
    <mergeCell ref="AAV24:AAW24"/>
    <mergeCell ref="AAS25:AAU25"/>
    <mergeCell ref="AAV25:AAW25"/>
    <mergeCell ref="AAV26:AAW26"/>
    <mergeCell ref="AAS27:AAW27"/>
    <mergeCell ref="AAS28:AAW29"/>
    <mergeCell ref="AAS1:AAS2"/>
    <mergeCell ref="AAT1:AAU2"/>
    <mergeCell ref="AAV1:AAV2"/>
    <mergeCell ref="AAV3:AAW3"/>
    <mergeCell ref="AAV4:AAW4"/>
    <mergeCell ref="AAV5:AAW5"/>
    <mergeCell ref="AAV6:AAW6"/>
    <mergeCell ref="AAV7:AAW7"/>
    <mergeCell ref="AAV8:AAW8"/>
    <mergeCell ref="AAS9:AAU9"/>
    <mergeCell ref="AAV9:AAW9"/>
    <mergeCell ref="AAS10:AAT10"/>
    <mergeCell ref="AAU10:AAW10"/>
    <mergeCell ref="AAS11:AAT11"/>
    <mergeCell ref="AAU11:AAW11"/>
    <mergeCell ref="AAS12:AAT12"/>
    <mergeCell ref="AAU12:AAW12"/>
    <mergeCell ref="AAS13:AAT13"/>
    <mergeCell ref="AAU13:AAW13"/>
    <mergeCell ref="AAS14:AAT14"/>
    <mergeCell ref="AAU14:AAW14"/>
    <mergeCell ref="AAS15:AAU15"/>
    <mergeCell ref="AAV15:AAW15"/>
    <mergeCell ref="AAS16:AAT16"/>
    <mergeCell ref="AAU16:AAW16"/>
    <mergeCell ref="AAS17:AAT17"/>
    <mergeCell ref="AAU17:AAW17"/>
    <mergeCell ref="AAS18:AAT18"/>
    <mergeCell ref="AAU18:AAW18"/>
    <mergeCell ref="AAS19:AAT19"/>
    <mergeCell ref="AAU19:AAW19"/>
    <mergeCell ref="AAS20:AAT20"/>
    <mergeCell ref="AAU20:AAW20"/>
    <mergeCell ref="AAL21:AAM21"/>
    <mergeCell ref="AAL22:AAM22"/>
    <mergeCell ref="AAL23:AAM23"/>
    <mergeCell ref="AAL24:AAM24"/>
    <mergeCell ref="AAI25:AAK25"/>
    <mergeCell ref="AAL25:AAM25"/>
    <mergeCell ref="AAL26:AAM26"/>
    <mergeCell ref="AAI27:AAM27"/>
    <mergeCell ref="AAI28:AAM29"/>
    <mergeCell ref="AAI1:AAI2"/>
    <mergeCell ref="AAJ1:AAK2"/>
    <mergeCell ref="AAL1:AAL2"/>
    <mergeCell ref="AAL3:AAM3"/>
    <mergeCell ref="AAL4:AAM4"/>
    <mergeCell ref="AAL5:AAM5"/>
    <mergeCell ref="AAL6:AAM6"/>
    <mergeCell ref="AAL7:AAM7"/>
    <mergeCell ref="AAL8:AAM8"/>
    <mergeCell ref="AAI9:AAK9"/>
    <mergeCell ref="AAL9:AAM9"/>
    <mergeCell ref="AAI10:AAJ10"/>
    <mergeCell ref="AAK10:AAM10"/>
    <mergeCell ref="AAI11:AAJ11"/>
    <mergeCell ref="AAK11:AAM11"/>
    <mergeCell ref="AAI12:AAJ12"/>
    <mergeCell ref="AAK12:AAM12"/>
    <mergeCell ref="AAI13:AAJ13"/>
    <mergeCell ref="AAK13:AAM13"/>
    <mergeCell ref="AAI14:AAJ14"/>
    <mergeCell ref="AAK14:AAM14"/>
    <mergeCell ref="AAI15:AAK15"/>
    <mergeCell ref="AAL15:AAM15"/>
    <mergeCell ref="AAI16:AAJ16"/>
    <mergeCell ref="AAK16:AAM16"/>
    <mergeCell ref="AAI17:AAJ17"/>
    <mergeCell ref="AAK17:AAM17"/>
    <mergeCell ref="AAI18:AAJ18"/>
    <mergeCell ref="AAK18:AAM18"/>
    <mergeCell ref="AAI19:AAJ19"/>
    <mergeCell ref="AAK19:AAM19"/>
    <mergeCell ref="AAI20:AAJ20"/>
    <mergeCell ref="AAK20:AAM20"/>
    <mergeCell ref="AAB21:AAC21"/>
    <mergeCell ref="AAB22:AAC22"/>
    <mergeCell ref="AAB23:AAC23"/>
    <mergeCell ref="AAB24:AAC24"/>
    <mergeCell ref="ZY25:AAA25"/>
    <mergeCell ref="AAB25:AAC25"/>
    <mergeCell ref="AAB26:AAC26"/>
    <mergeCell ref="ZY27:AAC27"/>
    <mergeCell ref="ZY28:AAC29"/>
    <mergeCell ref="ZY1:ZY2"/>
    <mergeCell ref="ZZ1:AAA2"/>
    <mergeCell ref="AAB1:AAB2"/>
    <mergeCell ref="AAB3:AAC3"/>
    <mergeCell ref="AAB4:AAC4"/>
    <mergeCell ref="AAB5:AAC5"/>
    <mergeCell ref="AAB6:AAC6"/>
    <mergeCell ref="AAB7:AAC7"/>
    <mergeCell ref="AAB8:AAC8"/>
    <mergeCell ref="ZY9:AAA9"/>
    <mergeCell ref="AAB9:AAC9"/>
    <mergeCell ref="ZY10:ZZ10"/>
    <mergeCell ref="AAA10:AAC10"/>
    <mergeCell ref="ZY11:ZZ11"/>
    <mergeCell ref="AAA11:AAC11"/>
    <mergeCell ref="ZY12:ZZ12"/>
    <mergeCell ref="AAA12:AAC12"/>
    <mergeCell ref="ZY13:ZZ13"/>
    <mergeCell ref="AAA13:AAC13"/>
    <mergeCell ref="ZY14:ZZ14"/>
    <mergeCell ref="AAA14:AAC14"/>
    <mergeCell ref="ZY15:AAA15"/>
    <mergeCell ref="AAB15:AAC15"/>
    <mergeCell ref="ZY16:ZZ16"/>
    <mergeCell ref="AAA16:AAC16"/>
    <mergeCell ref="ZY17:ZZ17"/>
    <mergeCell ref="AAA17:AAC17"/>
    <mergeCell ref="ZY18:ZZ18"/>
    <mergeCell ref="AAA18:AAC18"/>
    <mergeCell ref="ZY19:ZZ19"/>
    <mergeCell ref="AAA19:AAC19"/>
    <mergeCell ref="ZY20:ZZ20"/>
    <mergeCell ref="AAA20:AAC20"/>
    <mergeCell ref="ZR21:ZS21"/>
    <mergeCell ref="ZR22:ZS22"/>
    <mergeCell ref="ZR23:ZS23"/>
    <mergeCell ref="ZR24:ZS24"/>
    <mergeCell ref="ZO25:ZQ25"/>
    <mergeCell ref="ZR25:ZS25"/>
    <mergeCell ref="ZR26:ZS26"/>
    <mergeCell ref="ZO27:ZS27"/>
    <mergeCell ref="ZO28:ZS29"/>
    <mergeCell ref="ZO1:ZO2"/>
    <mergeCell ref="ZP1:ZQ2"/>
    <mergeCell ref="ZR1:ZR2"/>
    <mergeCell ref="ZR3:ZS3"/>
    <mergeCell ref="ZR4:ZS4"/>
    <mergeCell ref="ZR5:ZS5"/>
    <mergeCell ref="ZR6:ZS6"/>
    <mergeCell ref="ZR7:ZS7"/>
    <mergeCell ref="ZR8:ZS8"/>
    <mergeCell ref="ZO9:ZQ9"/>
    <mergeCell ref="ZR9:ZS9"/>
    <mergeCell ref="ZO10:ZP10"/>
    <mergeCell ref="ZQ10:ZS10"/>
    <mergeCell ref="ZO11:ZP11"/>
    <mergeCell ref="ZQ11:ZS11"/>
    <mergeCell ref="ZO12:ZP12"/>
    <mergeCell ref="ZQ12:ZS12"/>
    <mergeCell ref="ZO13:ZP13"/>
    <mergeCell ref="ZQ13:ZS13"/>
    <mergeCell ref="ZO14:ZP14"/>
    <mergeCell ref="ZQ14:ZS14"/>
    <mergeCell ref="ZO15:ZQ15"/>
    <mergeCell ref="ZR15:ZS15"/>
    <mergeCell ref="ZO16:ZP16"/>
    <mergeCell ref="ZQ16:ZS16"/>
    <mergeCell ref="ZO17:ZP17"/>
    <mergeCell ref="ZQ17:ZS17"/>
    <mergeCell ref="ZO18:ZP18"/>
    <mergeCell ref="ZQ18:ZS18"/>
    <mergeCell ref="ZO19:ZP19"/>
    <mergeCell ref="ZQ19:ZS19"/>
    <mergeCell ref="ZO20:ZP20"/>
    <mergeCell ref="ZQ20:ZS20"/>
    <mergeCell ref="ZH21:ZI21"/>
    <mergeCell ref="ZH22:ZI22"/>
    <mergeCell ref="ZH23:ZI23"/>
    <mergeCell ref="ZH24:ZI24"/>
    <mergeCell ref="ZE25:ZG25"/>
    <mergeCell ref="ZH25:ZI25"/>
    <mergeCell ref="ZH26:ZI26"/>
    <mergeCell ref="ZE27:ZI27"/>
    <mergeCell ref="ZE28:ZI29"/>
    <mergeCell ref="ZE1:ZE2"/>
    <mergeCell ref="ZF1:ZG2"/>
    <mergeCell ref="ZH1:ZH2"/>
    <mergeCell ref="ZH3:ZI3"/>
    <mergeCell ref="ZH4:ZI4"/>
    <mergeCell ref="ZH5:ZI5"/>
    <mergeCell ref="ZH6:ZI6"/>
    <mergeCell ref="ZH7:ZI7"/>
    <mergeCell ref="ZH8:ZI8"/>
    <mergeCell ref="ZE9:ZG9"/>
    <mergeCell ref="ZH9:ZI9"/>
    <mergeCell ref="ZE10:ZF10"/>
    <mergeCell ref="ZG10:ZI10"/>
    <mergeCell ref="ZE11:ZF11"/>
    <mergeCell ref="ZG11:ZI11"/>
    <mergeCell ref="ZE12:ZF12"/>
    <mergeCell ref="ZG12:ZI12"/>
    <mergeCell ref="ZE13:ZF13"/>
    <mergeCell ref="ZG13:ZI13"/>
    <mergeCell ref="ZE14:ZF14"/>
    <mergeCell ref="ZG14:ZI14"/>
    <mergeCell ref="ZE15:ZG15"/>
    <mergeCell ref="ZH15:ZI15"/>
    <mergeCell ref="ZE16:ZF16"/>
    <mergeCell ref="ZG16:ZI16"/>
    <mergeCell ref="ZE17:ZF17"/>
    <mergeCell ref="ZG17:ZI17"/>
    <mergeCell ref="ZE18:ZF18"/>
    <mergeCell ref="ZG18:ZI18"/>
    <mergeCell ref="ZE19:ZF19"/>
    <mergeCell ref="ZG19:ZI19"/>
    <mergeCell ref="ZE20:ZF20"/>
    <mergeCell ref="ZG20:ZI20"/>
    <mergeCell ref="YX21:YY21"/>
    <mergeCell ref="YX22:YY22"/>
    <mergeCell ref="YX23:YY23"/>
    <mergeCell ref="YX24:YY24"/>
    <mergeCell ref="YU25:YW25"/>
    <mergeCell ref="YX25:YY25"/>
    <mergeCell ref="YX26:YY26"/>
    <mergeCell ref="YU27:YY27"/>
    <mergeCell ref="YU28:YY29"/>
    <mergeCell ref="YU1:YU2"/>
    <mergeCell ref="YV1:YW2"/>
    <mergeCell ref="YX1:YX2"/>
    <mergeCell ref="YX3:YY3"/>
    <mergeCell ref="YX4:YY4"/>
    <mergeCell ref="YX5:YY5"/>
    <mergeCell ref="YX6:YY6"/>
    <mergeCell ref="YX7:YY7"/>
    <mergeCell ref="YX8:YY8"/>
    <mergeCell ref="YU9:YW9"/>
    <mergeCell ref="YX9:YY9"/>
    <mergeCell ref="YU10:YV10"/>
    <mergeCell ref="YW10:YY10"/>
    <mergeCell ref="YU11:YV11"/>
    <mergeCell ref="YW11:YY11"/>
    <mergeCell ref="YU12:YV12"/>
    <mergeCell ref="YW12:YY12"/>
    <mergeCell ref="YU13:YV13"/>
    <mergeCell ref="YW13:YY13"/>
    <mergeCell ref="YU14:YV14"/>
    <mergeCell ref="YW14:YY14"/>
    <mergeCell ref="YU15:YW15"/>
    <mergeCell ref="YX15:YY15"/>
    <mergeCell ref="YU16:YV16"/>
    <mergeCell ref="YW16:YY16"/>
    <mergeCell ref="YU17:YV17"/>
    <mergeCell ref="YW17:YY17"/>
    <mergeCell ref="YU18:YV18"/>
    <mergeCell ref="YW18:YY18"/>
    <mergeCell ref="YU19:YV19"/>
    <mergeCell ref="YW19:YY19"/>
    <mergeCell ref="YU20:YV20"/>
    <mergeCell ref="YW20:YY20"/>
    <mergeCell ref="YI21:YJ21"/>
    <mergeCell ref="YI22:YJ22"/>
    <mergeCell ref="YI23:YJ23"/>
    <mergeCell ref="YI24:YJ24"/>
    <mergeCell ref="YF25:YH25"/>
    <mergeCell ref="YI25:YJ25"/>
    <mergeCell ref="YI26:YJ26"/>
    <mergeCell ref="YF27:YJ27"/>
    <mergeCell ref="YF28:YJ29"/>
    <mergeCell ref="YF1:YF2"/>
    <mergeCell ref="YG1:YH2"/>
    <mergeCell ref="YI1:YI2"/>
    <mergeCell ref="YI3:YJ3"/>
    <mergeCell ref="YI4:YJ4"/>
    <mergeCell ref="YI5:YJ5"/>
    <mergeCell ref="YI6:YJ6"/>
    <mergeCell ref="YI7:YJ7"/>
    <mergeCell ref="YI8:YJ8"/>
    <mergeCell ref="YF9:YH9"/>
    <mergeCell ref="YI9:YJ9"/>
    <mergeCell ref="YF10:YG10"/>
    <mergeCell ref="YH10:YJ10"/>
    <mergeCell ref="YF11:YG11"/>
    <mergeCell ref="YH11:YJ11"/>
    <mergeCell ref="YF12:YG12"/>
    <mergeCell ref="YH12:YJ12"/>
    <mergeCell ref="YF13:YG13"/>
    <mergeCell ref="YH13:YJ13"/>
    <mergeCell ref="YF14:YG14"/>
    <mergeCell ref="YH14:YJ14"/>
    <mergeCell ref="YF15:YH15"/>
    <mergeCell ref="YI15:YJ15"/>
    <mergeCell ref="YF16:YG16"/>
    <mergeCell ref="YH16:YJ16"/>
    <mergeCell ref="YF17:YG17"/>
    <mergeCell ref="YH17:YJ17"/>
    <mergeCell ref="YF18:YG18"/>
    <mergeCell ref="YH18:YJ18"/>
    <mergeCell ref="YF19:YG19"/>
    <mergeCell ref="YH19:YJ19"/>
    <mergeCell ref="YF20:YG20"/>
    <mergeCell ref="YH20:YJ20"/>
    <mergeCell ref="XY21:XZ21"/>
    <mergeCell ref="XY22:XZ22"/>
    <mergeCell ref="XY23:XZ23"/>
    <mergeCell ref="XY24:XZ24"/>
    <mergeCell ref="XV25:XX25"/>
    <mergeCell ref="XY25:XZ25"/>
    <mergeCell ref="XY26:XZ26"/>
    <mergeCell ref="XV27:XZ27"/>
    <mergeCell ref="XV28:XZ29"/>
    <mergeCell ref="XV1:XV2"/>
    <mergeCell ref="XW1:XX2"/>
    <mergeCell ref="XY1:XY2"/>
    <mergeCell ref="XY3:XZ3"/>
    <mergeCell ref="XY4:XZ4"/>
    <mergeCell ref="XY5:XZ5"/>
    <mergeCell ref="XY6:XZ6"/>
    <mergeCell ref="XY7:XZ7"/>
    <mergeCell ref="XY8:XZ8"/>
    <mergeCell ref="XV9:XX9"/>
    <mergeCell ref="XY9:XZ9"/>
    <mergeCell ref="XV10:XW10"/>
    <mergeCell ref="XX10:XZ10"/>
    <mergeCell ref="XV11:XW11"/>
    <mergeCell ref="XX11:XZ11"/>
    <mergeCell ref="XV12:XW12"/>
    <mergeCell ref="XX12:XZ12"/>
    <mergeCell ref="XV13:XW13"/>
    <mergeCell ref="XX13:XZ13"/>
    <mergeCell ref="XV14:XW14"/>
    <mergeCell ref="XX14:XZ14"/>
    <mergeCell ref="XV15:XX15"/>
    <mergeCell ref="XY15:XZ15"/>
    <mergeCell ref="XV16:XW16"/>
    <mergeCell ref="XX16:XZ16"/>
    <mergeCell ref="XV17:XW17"/>
    <mergeCell ref="XX17:XZ17"/>
    <mergeCell ref="XV18:XW18"/>
    <mergeCell ref="XX18:XZ18"/>
    <mergeCell ref="XV19:XW19"/>
    <mergeCell ref="XX19:XZ19"/>
    <mergeCell ref="XV20:XW20"/>
    <mergeCell ref="XX20:XZ20"/>
    <mergeCell ref="XO21:XP21"/>
    <mergeCell ref="XO22:XP22"/>
    <mergeCell ref="XO23:XP23"/>
    <mergeCell ref="XO24:XP24"/>
    <mergeCell ref="XL25:XN25"/>
    <mergeCell ref="XO25:XP25"/>
    <mergeCell ref="XO26:XP26"/>
    <mergeCell ref="XL27:XP27"/>
    <mergeCell ref="XL28:XP29"/>
    <mergeCell ref="XL1:XL2"/>
    <mergeCell ref="XM1:XN2"/>
    <mergeCell ref="XO1:XO2"/>
    <mergeCell ref="XO3:XP3"/>
    <mergeCell ref="XO4:XP4"/>
    <mergeCell ref="XO5:XP5"/>
    <mergeCell ref="XO6:XP6"/>
    <mergeCell ref="XO7:XP7"/>
    <mergeCell ref="XO8:XP8"/>
    <mergeCell ref="XL9:XN9"/>
    <mergeCell ref="XO9:XP9"/>
    <mergeCell ref="XL10:XM10"/>
    <mergeCell ref="XN10:XP10"/>
    <mergeCell ref="XL11:XM11"/>
    <mergeCell ref="XN11:XP11"/>
    <mergeCell ref="XL12:XM12"/>
    <mergeCell ref="XN12:XP12"/>
    <mergeCell ref="XL13:XM13"/>
    <mergeCell ref="XN13:XP13"/>
    <mergeCell ref="XL14:XM14"/>
    <mergeCell ref="XN14:XP14"/>
    <mergeCell ref="XL15:XN15"/>
    <mergeCell ref="XO15:XP15"/>
    <mergeCell ref="XL16:XM16"/>
    <mergeCell ref="XN16:XP16"/>
    <mergeCell ref="XL17:XM17"/>
    <mergeCell ref="XN17:XP17"/>
    <mergeCell ref="XL18:XM18"/>
    <mergeCell ref="XN18:XP18"/>
    <mergeCell ref="XL19:XM19"/>
    <mergeCell ref="XN19:XP19"/>
    <mergeCell ref="XL20:XM20"/>
    <mergeCell ref="XN20:XP20"/>
    <mergeCell ref="XE21:XF21"/>
    <mergeCell ref="XE22:XF22"/>
    <mergeCell ref="XE23:XF23"/>
    <mergeCell ref="XE24:XF24"/>
    <mergeCell ref="XB25:XD25"/>
    <mergeCell ref="XE25:XF25"/>
    <mergeCell ref="XE26:XF26"/>
    <mergeCell ref="XB27:XF27"/>
    <mergeCell ref="XB28:XF29"/>
    <mergeCell ref="XB1:XB2"/>
    <mergeCell ref="XC1:XD2"/>
    <mergeCell ref="XE1:XE2"/>
    <mergeCell ref="XE3:XF3"/>
    <mergeCell ref="XE4:XF4"/>
    <mergeCell ref="XE5:XF5"/>
    <mergeCell ref="XE6:XF6"/>
    <mergeCell ref="XE7:XF7"/>
    <mergeCell ref="XE8:XF8"/>
    <mergeCell ref="XB9:XD9"/>
    <mergeCell ref="XE9:XF9"/>
    <mergeCell ref="XB10:XC10"/>
    <mergeCell ref="XD10:XF10"/>
    <mergeCell ref="XB11:XC11"/>
    <mergeCell ref="XD11:XF11"/>
    <mergeCell ref="XB12:XC12"/>
    <mergeCell ref="XD12:XF12"/>
    <mergeCell ref="XB13:XC13"/>
    <mergeCell ref="XD13:XF13"/>
    <mergeCell ref="XB14:XC14"/>
    <mergeCell ref="XD14:XF14"/>
    <mergeCell ref="XB15:XD15"/>
    <mergeCell ref="XE15:XF15"/>
    <mergeCell ref="XB16:XC16"/>
    <mergeCell ref="XD16:XF16"/>
    <mergeCell ref="XB17:XC17"/>
    <mergeCell ref="XD17:XF17"/>
    <mergeCell ref="XB18:XC18"/>
    <mergeCell ref="XD18:XF18"/>
    <mergeCell ref="XB19:XC19"/>
    <mergeCell ref="XD19:XF19"/>
    <mergeCell ref="XB20:XC20"/>
    <mergeCell ref="XD20:XF20"/>
    <mergeCell ref="WP21:WQ21"/>
    <mergeCell ref="WP22:WQ22"/>
    <mergeCell ref="WP23:WQ23"/>
    <mergeCell ref="WP24:WQ24"/>
    <mergeCell ref="WM25:WO25"/>
    <mergeCell ref="WP25:WQ25"/>
    <mergeCell ref="WP26:WQ26"/>
    <mergeCell ref="WM27:WQ27"/>
    <mergeCell ref="WM28:WQ29"/>
    <mergeCell ref="WM1:WM2"/>
    <mergeCell ref="WN1:WO2"/>
    <mergeCell ref="WP1:WP2"/>
    <mergeCell ref="WP3:WQ3"/>
    <mergeCell ref="WP4:WQ4"/>
    <mergeCell ref="WP5:WQ5"/>
    <mergeCell ref="WP6:WQ6"/>
    <mergeCell ref="WP7:WQ7"/>
    <mergeCell ref="WP8:WQ8"/>
    <mergeCell ref="WM9:WO9"/>
    <mergeCell ref="WP9:WQ9"/>
    <mergeCell ref="WM10:WN10"/>
    <mergeCell ref="WO10:WQ10"/>
    <mergeCell ref="WM11:WN11"/>
    <mergeCell ref="WO11:WQ11"/>
    <mergeCell ref="WM12:WN12"/>
    <mergeCell ref="WO12:WQ12"/>
    <mergeCell ref="WM13:WN13"/>
    <mergeCell ref="WO13:WQ13"/>
    <mergeCell ref="WM14:WN14"/>
    <mergeCell ref="WO14:WQ14"/>
    <mergeCell ref="WM15:WO15"/>
    <mergeCell ref="WP15:WQ15"/>
    <mergeCell ref="WM16:WN16"/>
    <mergeCell ref="WO16:WQ16"/>
    <mergeCell ref="WM17:WN17"/>
    <mergeCell ref="WO17:WQ17"/>
    <mergeCell ref="WM18:WN18"/>
    <mergeCell ref="WO18:WQ18"/>
    <mergeCell ref="WM19:WN19"/>
    <mergeCell ref="WO19:WQ19"/>
    <mergeCell ref="WM20:WN20"/>
    <mergeCell ref="WO20:WQ20"/>
    <mergeCell ref="WF21:WG21"/>
    <mergeCell ref="WF22:WG22"/>
    <mergeCell ref="WF23:WG23"/>
    <mergeCell ref="WF24:WG24"/>
    <mergeCell ref="WC25:WE25"/>
    <mergeCell ref="WF25:WG25"/>
    <mergeCell ref="WF26:WG26"/>
    <mergeCell ref="WC27:WG27"/>
    <mergeCell ref="WC28:WG29"/>
    <mergeCell ref="WC1:WC2"/>
    <mergeCell ref="WD1:WE2"/>
    <mergeCell ref="WF1:WF2"/>
    <mergeCell ref="WF3:WG3"/>
    <mergeCell ref="WF4:WG4"/>
    <mergeCell ref="WF5:WG5"/>
    <mergeCell ref="WF6:WG6"/>
    <mergeCell ref="WF7:WG7"/>
    <mergeCell ref="WF8:WG8"/>
    <mergeCell ref="WC9:WE9"/>
    <mergeCell ref="WF9:WG9"/>
    <mergeCell ref="WC10:WD10"/>
    <mergeCell ref="WE10:WG10"/>
    <mergeCell ref="WC11:WD11"/>
    <mergeCell ref="WE11:WG11"/>
    <mergeCell ref="WC12:WD12"/>
    <mergeCell ref="WE12:WG12"/>
    <mergeCell ref="WC13:WD13"/>
    <mergeCell ref="WE13:WG13"/>
    <mergeCell ref="WC14:WD14"/>
    <mergeCell ref="WE14:WG14"/>
    <mergeCell ref="WC15:WE15"/>
    <mergeCell ref="WF15:WG15"/>
    <mergeCell ref="WC16:WD16"/>
    <mergeCell ref="WE16:WG16"/>
    <mergeCell ref="WC17:WD17"/>
    <mergeCell ref="WE17:WG17"/>
    <mergeCell ref="WC18:WD18"/>
    <mergeCell ref="WE18:WG18"/>
    <mergeCell ref="WC19:WD19"/>
    <mergeCell ref="WE19:WG19"/>
    <mergeCell ref="WC20:WD20"/>
    <mergeCell ref="WE20:WG20"/>
    <mergeCell ref="VQ21:VR21"/>
    <mergeCell ref="VQ22:VR22"/>
    <mergeCell ref="VQ23:VR23"/>
    <mergeCell ref="VQ24:VR24"/>
    <mergeCell ref="VN25:VP25"/>
    <mergeCell ref="VQ25:VR25"/>
    <mergeCell ref="VQ26:VR26"/>
    <mergeCell ref="VN27:VR27"/>
    <mergeCell ref="VN28:VR29"/>
    <mergeCell ref="VN1:VN2"/>
    <mergeCell ref="VO1:VP2"/>
    <mergeCell ref="VQ1:VQ2"/>
    <mergeCell ref="VQ3:VR3"/>
    <mergeCell ref="VQ4:VR4"/>
    <mergeCell ref="VQ5:VR5"/>
    <mergeCell ref="VQ6:VR6"/>
    <mergeCell ref="VQ7:VR7"/>
    <mergeCell ref="VQ8:VR8"/>
    <mergeCell ref="VN9:VP9"/>
    <mergeCell ref="VQ9:VR9"/>
    <mergeCell ref="VN10:VO10"/>
    <mergeCell ref="VP10:VR10"/>
    <mergeCell ref="VN11:VO11"/>
    <mergeCell ref="VP11:VR11"/>
    <mergeCell ref="VN12:VO12"/>
    <mergeCell ref="VP12:VR12"/>
    <mergeCell ref="VN13:VO13"/>
    <mergeCell ref="VP13:VR13"/>
    <mergeCell ref="VN14:VO14"/>
    <mergeCell ref="VP14:VR14"/>
    <mergeCell ref="VN15:VP15"/>
    <mergeCell ref="VQ15:VR15"/>
    <mergeCell ref="VN16:VO16"/>
    <mergeCell ref="VP16:VR16"/>
    <mergeCell ref="VN17:VO17"/>
    <mergeCell ref="VP17:VR17"/>
    <mergeCell ref="VN18:VO18"/>
    <mergeCell ref="VP18:VR18"/>
    <mergeCell ref="VN19:VO19"/>
    <mergeCell ref="VP19:VR19"/>
    <mergeCell ref="VN20:VO20"/>
    <mergeCell ref="VP20:VR20"/>
    <mergeCell ref="VB21:VC21"/>
    <mergeCell ref="VB22:VC22"/>
    <mergeCell ref="VB23:VC23"/>
    <mergeCell ref="VB24:VC24"/>
    <mergeCell ref="UY25:VA25"/>
    <mergeCell ref="VB25:VC25"/>
    <mergeCell ref="VB26:VC26"/>
    <mergeCell ref="UY27:VC27"/>
    <mergeCell ref="UY28:VC29"/>
    <mergeCell ref="UY1:UY2"/>
    <mergeCell ref="UZ1:VA2"/>
    <mergeCell ref="VB1:VB2"/>
    <mergeCell ref="VB3:VC3"/>
    <mergeCell ref="VB4:VC4"/>
    <mergeCell ref="VB5:VC5"/>
    <mergeCell ref="VB6:VC6"/>
    <mergeCell ref="VB7:VC7"/>
    <mergeCell ref="VB8:VC8"/>
    <mergeCell ref="UY9:VA9"/>
    <mergeCell ref="VB9:VC9"/>
    <mergeCell ref="UY10:UZ10"/>
    <mergeCell ref="VA10:VC10"/>
    <mergeCell ref="UY11:UZ11"/>
    <mergeCell ref="VA11:VC11"/>
    <mergeCell ref="UY12:UZ12"/>
    <mergeCell ref="VA12:VC12"/>
    <mergeCell ref="UY13:UZ13"/>
    <mergeCell ref="VA13:VC13"/>
    <mergeCell ref="UY14:UZ14"/>
    <mergeCell ref="VA14:VC14"/>
    <mergeCell ref="UY15:VA15"/>
    <mergeCell ref="VB15:VC15"/>
    <mergeCell ref="UY16:UZ16"/>
    <mergeCell ref="VA16:VC16"/>
    <mergeCell ref="UY17:UZ17"/>
    <mergeCell ref="VA17:VC17"/>
    <mergeCell ref="UY18:UZ18"/>
    <mergeCell ref="VA18:VC18"/>
    <mergeCell ref="UY19:UZ19"/>
    <mergeCell ref="VA19:VC19"/>
    <mergeCell ref="UY20:UZ20"/>
    <mergeCell ref="VA20:VC20"/>
    <mergeCell ref="UR21:US21"/>
    <mergeCell ref="UR22:US22"/>
    <mergeCell ref="UR23:US23"/>
    <mergeCell ref="UR24:US24"/>
    <mergeCell ref="UO25:UQ25"/>
    <mergeCell ref="UR25:US25"/>
    <mergeCell ref="UR26:US26"/>
    <mergeCell ref="UO27:US27"/>
    <mergeCell ref="UO28:US29"/>
    <mergeCell ref="UO1:UO2"/>
    <mergeCell ref="UP1:UQ2"/>
    <mergeCell ref="UR1:UR2"/>
    <mergeCell ref="UR3:US3"/>
    <mergeCell ref="UR4:US4"/>
    <mergeCell ref="UR5:US5"/>
    <mergeCell ref="UR6:US6"/>
    <mergeCell ref="UR7:US7"/>
    <mergeCell ref="UR8:US8"/>
    <mergeCell ref="UO9:UQ9"/>
    <mergeCell ref="UR9:US9"/>
    <mergeCell ref="UO10:UP10"/>
    <mergeCell ref="UQ10:US10"/>
    <mergeCell ref="UO11:UP11"/>
    <mergeCell ref="UQ11:US11"/>
    <mergeCell ref="UO12:UP12"/>
    <mergeCell ref="UQ12:US12"/>
    <mergeCell ref="UO13:UP13"/>
    <mergeCell ref="UQ13:US13"/>
    <mergeCell ref="UO14:UP14"/>
    <mergeCell ref="UQ14:US14"/>
    <mergeCell ref="UO15:UQ15"/>
    <mergeCell ref="UR15:US15"/>
    <mergeCell ref="UO16:UP16"/>
    <mergeCell ref="UQ16:US16"/>
    <mergeCell ref="UO17:UP17"/>
    <mergeCell ref="UQ17:US17"/>
    <mergeCell ref="UO18:UP18"/>
    <mergeCell ref="UQ18:US18"/>
    <mergeCell ref="UO19:UP19"/>
    <mergeCell ref="UQ19:US19"/>
    <mergeCell ref="UO20:UP20"/>
    <mergeCell ref="UQ20:US20"/>
    <mergeCell ref="UH21:UI21"/>
    <mergeCell ref="UH22:UI22"/>
    <mergeCell ref="UH23:UI23"/>
    <mergeCell ref="UH24:UI24"/>
    <mergeCell ref="UE25:UG25"/>
    <mergeCell ref="UH25:UI25"/>
    <mergeCell ref="UH26:UI26"/>
    <mergeCell ref="UE27:UI27"/>
    <mergeCell ref="UE28:UI29"/>
    <mergeCell ref="UE1:UE2"/>
    <mergeCell ref="UF1:UG2"/>
    <mergeCell ref="UH1:UH2"/>
    <mergeCell ref="UH3:UI3"/>
    <mergeCell ref="UH4:UI4"/>
    <mergeCell ref="UH5:UI5"/>
    <mergeCell ref="UH6:UI6"/>
    <mergeCell ref="UH7:UI7"/>
    <mergeCell ref="UH8:UI8"/>
    <mergeCell ref="UE9:UG9"/>
    <mergeCell ref="UH9:UI9"/>
    <mergeCell ref="UE10:UF10"/>
    <mergeCell ref="UG10:UI10"/>
    <mergeCell ref="UE11:UF11"/>
    <mergeCell ref="UG11:UI11"/>
    <mergeCell ref="UE12:UF12"/>
    <mergeCell ref="UG12:UI12"/>
    <mergeCell ref="UE13:UF13"/>
    <mergeCell ref="UG13:UI13"/>
    <mergeCell ref="UE14:UF14"/>
    <mergeCell ref="UG14:UI14"/>
    <mergeCell ref="UE15:UG15"/>
    <mergeCell ref="UH15:UI15"/>
    <mergeCell ref="UE16:UF16"/>
    <mergeCell ref="UG16:UI16"/>
    <mergeCell ref="UE17:UF17"/>
    <mergeCell ref="UG17:UI17"/>
    <mergeCell ref="UE18:UF18"/>
    <mergeCell ref="UG18:UI18"/>
    <mergeCell ref="UE19:UF19"/>
    <mergeCell ref="UG19:UI19"/>
    <mergeCell ref="UE20:UF20"/>
    <mergeCell ref="UG20:UI20"/>
    <mergeCell ref="UC21:UD21"/>
    <mergeCell ref="UC22:UD22"/>
    <mergeCell ref="UC23:UD23"/>
    <mergeCell ref="UC24:UD24"/>
    <mergeCell ref="TZ25:UB25"/>
    <mergeCell ref="UC25:UD25"/>
    <mergeCell ref="UC26:UD26"/>
    <mergeCell ref="TZ27:UD27"/>
    <mergeCell ref="TZ28:UD29"/>
    <mergeCell ref="TZ1:TZ2"/>
    <mergeCell ref="UA1:UB2"/>
    <mergeCell ref="UC1:UC2"/>
    <mergeCell ref="UC3:UD3"/>
    <mergeCell ref="UC4:UD4"/>
    <mergeCell ref="UC5:UD5"/>
    <mergeCell ref="UC6:UD6"/>
    <mergeCell ref="UC7:UD7"/>
    <mergeCell ref="UC8:UD8"/>
    <mergeCell ref="TZ9:UB9"/>
    <mergeCell ref="UC9:UD9"/>
    <mergeCell ref="TZ10:UA10"/>
    <mergeCell ref="UB10:UD10"/>
    <mergeCell ref="TZ11:UA11"/>
    <mergeCell ref="UB11:UD11"/>
    <mergeCell ref="TZ12:UA12"/>
    <mergeCell ref="UB12:UD12"/>
    <mergeCell ref="TZ13:UA13"/>
    <mergeCell ref="UB13:UD13"/>
    <mergeCell ref="TZ14:UA14"/>
    <mergeCell ref="UB14:UD14"/>
    <mergeCell ref="TZ15:UB15"/>
    <mergeCell ref="UC15:UD15"/>
    <mergeCell ref="TZ16:UA16"/>
    <mergeCell ref="UB16:UD16"/>
    <mergeCell ref="TZ17:UA17"/>
    <mergeCell ref="UB17:UD17"/>
    <mergeCell ref="TZ18:UA18"/>
    <mergeCell ref="UB18:UD18"/>
    <mergeCell ref="TZ19:UA19"/>
    <mergeCell ref="UB19:UD19"/>
    <mergeCell ref="TZ20:UA20"/>
    <mergeCell ref="UB20:UD20"/>
    <mergeCell ref="TX21:TY21"/>
    <mergeCell ref="TX22:TY22"/>
    <mergeCell ref="TX23:TY23"/>
    <mergeCell ref="TX24:TY24"/>
    <mergeCell ref="TU25:TW25"/>
    <mergeCell ref="TX25:TY25"/>
    <mergeCell ref="TX26:TY26"/>
    <mergeCell ref="TU27:TY27"/>
    <mergeCell ref="TU28:TY29"/>
    <mergeCell ref="TU1:TU2"/>
    <mergeCell ref="TV1:TW2"/>
    <mergeCell ref="TX1:TX2"/>
    <mergeCell ref="TX3:TY3"/>
    <mergeCell ref="TX4:TY4"/>
    <mergeCell ref="TX5:TY5"/>
    <mergeCell ref="TX6:TY6"/>
    <mergeCell ref="TX7:TY7"/>
    <mergeCell ref="TX8:TY8"/>
    <mergeCell ref="TU9:TW9"/>
    <mergeCell ref="TX9:TY9"/>
    <mergeCell ref="TU10:TV10"/>
    <mergeCell ref="TW10:TY10"/>
    <mergeCell ref="TU11:TV11"/>
    <mergeCell ref="TW11:TY11"/>
    <mergeCell ref="TU12:TV12"/>
    <mergeCell ref="TW12:TY12"/>
    <mergeCell ref="TU13:TV13"/>
    <mergeCell ref="TW13:TY13"/>
    <mergeCell ref="TU14:TV14"/>
    <mergeCell ref="TW14:TY14"/>
    <mergeCell ref="TU15:TW15"/>
    <mergeCell ref="TX15:TY15"/>
    <mergeCell ref="TU16:TV16"/>
    <mergeCell ref="TW16:TY16"/>
    <mergeCell ref="TU17:TV17"/>
    <mergeCell ref="TW17:TY17"/>
    <mergeCell ref="TU18:TV18"/>
    <mergeCell ref="TW18:TY18"/>
    <mergeCell ref="TU19:TV19"/>
    <mergeCell ref="TW19:TY19"/>
    <mergeCell ref="TU20:TV20"/>
    <mergeCell ref="TW20:TY20"/>
    <mergeCell ref="TN21:TO21"/>
    <mergeCell ref="TN22:TO22"/>
    <mergeCell ref="TN23:TO23"/>
    <mergeCell ref="TN24:TO24"/>
    <mergeCell ref="TK25:TM25"/>
    <mergeCell ref="TN25:TO25"/>
    <mergeCell ref="TN26:TO26"/>
    <mergeCell ref="TK27:TO27"/>
    <mergeCell ref="TK28:TO29"/>
    <mergeCell ref="TK1:TK2"/>
    <mergeCell ref="TL1:TM2"/>
    <mergeCell ref="TN1:TN2"/>
    <mergeCell ref="TN3:TO3"/>
    <mergeCell ref="TN4:TO4"/>
    <mergeCell ref="TN5:TO5"/>
    <mergeCell ref="TN6:TO6"/>
    <mergeCell ref="TN7:TO7"/>
    <mergeCell ref="TN8:TO8"/>
    <mergeCell ref="TK9:TM9"/>
    <mergeCell ref="TN9:TO9"/>
    <mergeCell ref="TK10:TL10"/>
    <mergeCell ref="TM10:TO10"/>
    <mergeCell ref="TK11:TL11"/>
    <mergeCell ref="TM11:TO11"/>
    <mergeCell ref="TK12:TL12"/>
    <mergeCell ref="TM12:TO12"/>
    <mergeCell ref="TK13:TL13"/>
    <mergeCell ref="TM13:TO13"/>
    <mergeCell ref="TK14:TL14"/>
    <mergeCell ref="TM14:TO14"/>
    <mergeCell ref="TK15:TM15"/>
    <mergeCell ref="TN15:TO15"/>
    <mergeCell ref="TK16:TL16"/>
    <mergeCell ref="TM16:TO16"/>
    <mergeCell ref="TK17:TL17"/>
    <mergeCell ref="TM17:TO17"/>
    <mergeCell ref="TK18:TL18"/>
    <mergeCell ref="TM18:TO18"/>
    <mergeCell ref="TK19:TL19"/>
    <mergeCell ref="TM19:TO19"/>
    <mergeCell ref="TK20:TL20"/>
    <mergeCell ref="TM20:TO20"/>
    <mergeCell ref="TD21:TE21"/>
    <mergeCell ref="TD22:TE22"/>
    <mergeCell ref="TD23:TE23"/>
    <mergeCell ref="TD24:TE24"/>
    <mergeCell ref="TA25:TC25"/>
    <mergeCell ref="TD25:TE25"/>
    <mergeCell ref="TD26:TE26"/>
    <mergeCell ref="TA27:TE27"/>
    <mergeCell ref="TA28:TE29"/>
    <mergeCell ref="TA1:TA2"/>
    <mergeCell ref="TB1:TC2"/>
    <mergeCell ref="TD1:TD2"/>
    <mergeCell ref="TD3:TE3"/>
    <mergeCell ref="TD4:TE4"/>
    <mergeCell ref="TD5:TE5"/>
    <mergeCell ref="TD6:TE6"/>
    <mergeCell ref="TD7:TE7"/>
    <mergeCell ref="TD8:TE8"/>
    <mergeCell ref="TA9:TC9"/>
    <mergeCell ref="TD9:TE9"/>
    <mergeCell ref="TA10:TB10"/>
    <mergeCell ref="TC10:TE10"/>
    <mergeCell ref="TA11:TB11"/>
    <mergeCell ref="TC11:TE11"/>
    <mergeCell ref="TA12:TB12"/>
    <mergeCell ref="TC12:TE12"/>
    <mergeCell ref="TA13:TB13"/>
    <mergeCell ref="TC13:TE13"/>
    <mergeCell ref="TA14:TB14"/>
    <mergeCell ref="TC14:TE14"/>
    <mergeCell ref="TA15:TC15"/>
    <mergeCell ref="TD15:TE15"/>
    <mergeCell ref="TA16:TB16"/>
    <mergeCell ref="TC16:TE16"/>
    <mergeCell ref="TA17:TB17"/>
    <mergeCell ref="TC17:TE17"/>
    <mergeCell ref="TA18:TB18"/>
    <mergeCell ref="TC18:TE18"/>
    <mergeCell ref="TA19:TB19"/>
    <mergeCell ref="TC19:TE19"/>
    <mergeCell ref="TA20:TB20"/>
    <mergeCell ref="TC20:TE20"/>
    <mergeCell ref="ST21:SU21"/>
    <mergeCell ref="ST22:SU22"/>
    <mergeCell ref="ST23:SU23"/>
    <mergeCell ref="ST24:SU24"/>
    <mergeCell ref="SQ25:SS25"/>
    <mergeCell ref="ST25:SU25"/>
    <mergeCell ref="ST26:SU26"/>
    <mergeCell ref="SQ27:SU27"/>
    <mergeCell ref="SQ28:SU29"/>
    <mergeCell ref="SQ1:SQ2"/>
    <mergeCell ref="SR1:SS2"/>
    <mergeCell ref="ST1:ST2"/>
    <mergeCell ref="ST3:SU3"/>
    <mergeCell ref="ST4:SU4"/>
    <mergeCell ref="ST5:SU5"/>
    <mergeCell ref="ST6:SU6"/>
    <mergeCell ref="ST7:SU7"/>
    <mergeCell ref="ST8:SU8"/>
    <mergeCell ref="SQ9:SS9"/>
    <mergeCell ref="ST9:SU9"/>
    <mergeCell ref="SQ10:SR10"/>
    <mergeCell ref="SS10:SU10"/>
    <mergeCell ref="SQ11:SR11"/>
    <mergeCell ref="SS11:SU11"/>
    <mergeCell ref="SQ12:SR12"/>
    <mergeCell ref="SS12:SU12"/>
    <mergeCell ref="SQ13:SR13"/>
    <mergeCell ref="SS13:SU13"/>
    <mergeCell ref="SQ14:SR14"/>
    <mergeCell ref="SS14:SU14"/>
    <mergeCell ref="SQ15:SS15"/>
    <mergeCell ref="ST15:SU15"/>
    <mergeCell ref="SQ16:SR16"/>
    <mergeCell ref="SS16:SU16"/>
    <mergeCell ref="SQ17:SR17"/>
    <mergeCell ref="SS17:SU17"/>
    <mergeCell ref="SQ18:SR18"/>
    <mergeCell ref="SS18:SU18"/>
    <mergeCell ref="SQ19:SR19"/>
    <mergeCell ref="SS19:SU19"/>
    <mergeCell ref="SQ20:SR20"/>
    <mergeCell ref="SS20:SU20"/>
    <mergeCell ref="SE21:SF21"/>
    <mergeCell ref="SE22:SF22"/>
    <mergeCell ref="SE23:SF23"/>
    <mergeCell ref="SE24:SF24"/>
    <mergeCell ref="SB25:SD25"/>
    <mergeCell ref="SE25:SF25"/>
    <mergeCell ref="SE26:SF26"/>
    <mergeCell ref="SB27:SF27"/>
    <mergeCell ref="SB28:SF29"/>
    <mergeCell ref="SB1:SB2"/>
    <mergeCell ref="SC1:SD2"/>
    <mergeCell ref="SE1:SE2"/>
    <mergeCell ref="SE3:SF3"/>
    <mergeCell ref="SE4:SF4"/>
    <mergeCell ref="SE5:SF5"/>
    <mergeCell ref="SE6:SF6"/>
    <mergeCell ref="SE7:SF7"/>
    <mergeCell ref="SE8:SF8"/>
    <mergeCell ref="SB9:SD9"/>
    <mergeCell ref="SE9:SF9"/>
    <mergeCell ref="SB10:SC10"/>
    <mergeCell ref="SD10:SF10"/>
    <mergeCell ref="SB11:SC11"/>
    <mergeCell ref="SD11:SF11"/>
    <mergeCell ref="SB12:SC12"/>
    <mergeCell ref="SD12:SF12"/>
    <mergeCell ref="SB13:SC13"/>
    <mergeCell ref="SD13:SF13"/>
    <mergeCell ref="SB14:SC14"/>
    <mergeCell ref="SD14:SF14"/>
    <mergeCell ref="SB15:SD15"/>
    <mergeCell ref="SE15:SF15"/>
    <mergeCell ref="SB16:SC16"/>
    <mergeCell ref="SD16:SF16"/>
    <mergeCell ref="SB17:SC17"/>
    <mergeCell ref="SD17:SF17"/>
    <mergeCell ref="SB18:SC18"/>
    <mergeCell ref="SD18:SF18"/>
    <mergeCell ref="SB19:SC19"/>
    <mergeCell ref="SD19:SF19"/>
    <mergeCell ref="SB20:SC20"/>
    <mergeCell ref="SD20:SF20"/>
    <mergeCell ref="RU21:RV21"/>
    <mergeCell ref="RU22:RV22"/>
    <mergeCell ref="RU23:RV23"/>
    <mergeCell ref="RU24:RV24"/>
    <mergeCell ref="RR25:RT25"/>
    <mergeCell ref="RU25:RV25"/>
    <mergeCell ref="RU26:RV26"/>
    <mergeCell ref="RR27:RV27"/>
    <mergeCell ref="RR28:RV29"/>
    <mergeCell ref="RR1:RR2"/>
    <mergeCell ref="RS1:RT2"/>
    <mergeCell ref="RU1:RU2"/>
    <mergeCell ref="RU3:RV3"/>
    <mergeCell ref="RU4:RV4"/>
    <mergeCell ref="RU5:RV5"/>
    <mergeCell ref="RU6:RV6"/>
    <mergeCell ref="RU7:RV7"/>
    <mergeCell ref="RU8:RV8"/>
    <mergeCell ref="RR9:RT9"/>
    <mergeCell ref="RU9:RV9"/>
    <mergeCell ref="RR10:RS10"/>
    <mergeCell ref="RT10:RV10"/>
    <mergeCell ref="RR11:RS11"/>
    <mergeCell ref="RT11:RV11"/>
    <mergeCell ref="RR12:RS12"/>
    <mergeCell ref="RT12:RV12"/>
    <mergeCell ref="RR13:RS13"/>
    <mergeCell ref="RT13:RV13"/>
    <mergeCell ref="RR14:RS14"/>
    <mergeCell ref="RT14:RV14"/>
    <mergeCell ref="RR15:RT15"/>
    <mergeCell ref="RU15:RV15"/>
    <mergeCell ref="RR16:RS16"/>
    <mergeCell ref="RT16:RV16"/>
    <mergeCell ref="RR17:RS17"/>
    <mergeCell ref="RT17:RV17"/>
    <mergeCell ref="RR18:RS18"/>
    <mergeCell ref="RT18:RV18"/>
    <mergeCell ref="RR19:RS19"/>
    <mergeCell ref="RT19:RV19"/>
    <mergeCell ref="RR20:RS20"/>
    <mergeCell ref="RT20:RV20"/>
    <mergeCell ref="RK21:RL21"/>
    <mergeCell ref="RK22:RL22"/>
    <mergeCell ref="RK23:RL23"/>
    <mergeCell ref="RK24:RL24"/>
    <mergeCell ref="RH25:RJ25"/>
    <mergeCell ref="RK25:RL25"/>
    <mergeCell ref="RK26:RL26"/>
    <mergeCell ref="RH27:RL27"/>
    <mergeCell ref="RH28:RL29"/>
    <mergeCell ref="RH1:RH2"/>
    <mergeCell ref="RI1:RJ2"/>
    <mergeCell ref="RK1:RK2"/>
    <mergeCell ref="RK3:RL3"/>
    <mergeCell ref="RK4:RL4"/>
    <mergeCell ref="RK5:RL5"/>
    <mergeCell ref="RK6:RL6"/>
    <mergeCell ref="RK7:RL7"/>
    <mergeCell ref="RK8:RL8"/>
    <mergeCell ref="RH9:RJ9"/>
    <mergeCell ref="RK9:RL9"/>
    <mergeCell ref="RH10:RI10"/>
    <mergeCell ref="RJ10:RL10"/>
    <mergeCell ref="RH11:RI11"/>
    <mergeCell ref="RJ11:RL11"/>
    <mergeCell ref="RH12:RI12"/>
    <mergeCell ref="RJ12:RL12"/>
    <mergeCell ref="RH13:RI13"/>
    <mergeCell ref="RJ13:RL13"/>
    <mergeCell ref="RH14:RI14"/>
    <mergeCell ref="RJ14:RL14"/>
    <mergeCell ref="RH15:RJ15"/>
    <mergeCell ref="RK15:RL15"/>
    <mergeCell ref="RH16:RI16"/>
    <mergeCell ref="RJ16:RL16"/>
    <mergeCell ref="RH17:RI17"/>
    <mergeCell ref="RJ17:RL17"/>
    <mergeCell ref="RH18:RI18"/>
    <mergeCell ref="RJ18:RL18"/>
    <mergeCell ref="RH19:RI19"/>
    <mergeCell ref="RJ19:RL19"/>
    <mergeCell ref="RH20:RI20"/>
    <mergeCell ref="RJ20:RL20"/>
    <mergeCell ref="RA21:RB21"/>
    <mergeCell ref="RA22:RB22"/>
    <mergeCell ref="RA23:RB23"/>
    <mergeCell ref="RA24:RB24"/>
    <mergeCell ref="QX25:QZ25"/>
    <mergeCell ref="RA25:RB25"/>
    <mergeCell ref="RA26:RB26"/>
    <mergeCell ref="QX27:RB27"/>
    <mergeCell ref="QX28:RB29"/>
    <mergeCell ref="QX1:QX2"/>
    <mergeCell ref="QY1:QZ2"/>
    <mergeCell ref="RA1:RA2"/>
    <mergeCell ref="RA3:RB3"/>
    <mergeCell ref="RA4:RB4"/>
    <mergeCell ref="RA5:RB5"/>
    <mergeCell ref="RA6:RB6"/>
    <mergeCell ref="RA7:RB7"/>
    <mergeCell ref="RA8:RB8"/>
    <mergeCell ref="QX9:QZ9"/>
    <mergeCell ref="RA9:RB9"/>
    <mergeCell ref="QX10:QY10"/>
    <mergeCell ref="QZ10:RB10"/>
    <mergeCell ref="QX11:QY11"/>
    <mergeCell ref="QZ11:RB11"/>
    <mergeCell ref="QX12:QY12"/>
    <mergeCell ref="QZ12:RB12"/>
    <mergeCell ref="QX13:QY13"/>
    <mergeCell ref="QZ13:RB13"/>
    <mergeCell ref="QX14:QY14"/>
    <mergeCell ref="QZ14:RB14"/>
    <mergeCell ref="QX15:QZ15"/>
    <mergeCell ref="RA15:RB15"/>
    <mergeCell ref="QX16:QY16"/>
    <mergeCell ref="QZ16:RB16"/>
    <mergeCell ref="QX17:QY17"/>
    <mergeCell ref="QZ17:RB17"/>
    <mergeCell ref="QX18:QY18"/>
    <mergeCell ref="QZ18:RB18"/>
    <mergeCell ref="QX19:QY19"/>
    <mergeCell ref="QZ19:RB19"/>
    <mergeCell ref="QX20:QY20"/>
    <mergeCell ref="QZ20:RB20"/>
    <mergeCell ref="QV21:QW21"/>
    <mergeCell ref="QV22:QW22"/>
    <mergeCell ref="QV23:QW23"/>
    <mergeCell ref="QV24:QW24"/>
    <mergeCell ref="QS25:QU25"/>
    <mergeCell ref="QV25:QW25"/>
    <mergeCell ref="QV26:QW26"/>
    <mergeCell ref="QS27:QW27"/>
    <mergeCell ref="QS28:QW29"/>
    <mergeCell ref="QS1:QS2"/>
    <mergeCell ref="QT1:QU2"/>
    <mergeCell ref="QV1:QV2"/>
    <mergeCell ref="QV3:QW3"/>
    <mergeCell ref="QV4:QW4"/>
    <mergeCell ref="QV5:QW5"/>
    <mergeCell ref="QV6:QW6"/>
    <mergeCell ref="QV7:QW7"/>
    <mergeCell ref="QV8:QW8"/>
    <mergeCell ref="QS9:QU9"/>
    <mergeCell ref="QV9:QW9"/>
    <mergeCell ref="QS10:QT10"/>
    <mergeCell ref="QU10:QW10"/>
    <mergeCell ref="QS11:QT11"/>
    <mergeCell ref="QU11:QW11"/>
    <mergeCell ref="QS12:QT12"/>
    <mergeCell ref="QU12:QW12"/>
    <mergeCell ref="QS13:QT13"/>
    <mergeCell ref="QU13:QW13"/>
    <mergeCell ref="QS14:QT14"/>
    <mergeCell ref="QU14:QW14"/>
    <mergeCell ref="QS15:QU15"/>
    <mergeCell ref="QV15:QW15"/>
    <mergeCell ref="QS16:QT16"/>
    <mergeCell ref="QU16:QW16"/>
    <mergeCell ref="QS17:QT17"/>
    <mergeCell ref="QU17:QW17"/>
    <mergeCell ref="QS18:QT18"/>
    <mergeCell ref="QU18:QW18"/>
    <mergeCell ref="QS19:QT19"/>
    <mergeCell ref="QU19:QW19"/>
    <mergeCell ref="QS20:QT20"/>
    <mergeCell ref="QU20:QW20"/>
    <mergeCell ref="QL21:QM21"/>
    <mergeCell ref="QL22:QM22"/>
    <mergeCell ref="QL23:QM23"/>
    <mergeCell ref="QL24:QM24"/>
    <mergeCell ref="QI25:QK25"/>
    <mergeCell ref="QL25:QM25"/>
    <mergeCell ref="QL26:QM26"/>
    <mergeCell ref="QI27:QM27"/>
    <mergeCell ref="QI28:QM29"/>
    <mergeCell ref="QI1:QI2"/>
    <mergeCell ref="QJ1:QK2"/>
    <mergeCell ref="QL1:QL2"/>
    <mergeCell ref="QL3:QM3"/>
    <mergeCell ref="QL4:QM4"/>
    <mergeCell ref="QL5:QM5"/>
    <mergeCell ref="QL6:QM6"/>
    <mergeCell ref="QL7:QM7"/>
    <mergeCell ref="QL8:QM8"/>
    <mergeCell ref="QI9:QK9"/>
    <mergeCell ref="QL9:QM9"/>
    <mergeCell ref="QI10:QJ10"/>
    <mergeCell ref="QK10:QM10"/>
    <mergeCell ref="QI11:QJ11"/>
    <mergeCell ref="QK11:QM11"/>
    <mergeCell ref="QI12:QJ12"/>
    <mergeCell ref="QK12:QM12"/>
    <mergeCell ref="QI13:QJ13"/>
    <mergeCell ref="QK13:QM13"/>
    <mergeCell ref="QI14:QJ14"/>
    <mergeCell ref="QK14:QM14"/>
    <mergeCell ref="QI15:QK15"/>
    <mergeCell ref="QL15:QM15"/>
    <mergeCell ref="QI16:QJ16"/>
    <mergeCell ref="QK16:QM16"/>
    <mergeCell ref="QI17:QJ17"/>
    <mergeCell ref="QK17:QM17"/>
    <mergeCell ref="QI18:QJ18"/>
    <mergeCell ref="QK18:QM18"/>
    <mergeCell ref="QI19:QJ19"/>
    <mergeCell ref="QK19:QM19"/>
    <mergeCell ref="QI20:QJ20"/>
    <mergeCell ref="QK20:QM20"/>
    <mergeCell ref="PW21:PX21"/>
    <mergeCell ref="PW22:PX22"/>
    <mergeCell ref="PW23:PX23"/>
    <mergeCell ref="PW24:PX24"/>
    <mergeCell ref="PT25:PV25"/>
    <mergeCell ref="PW25:PX25"/>
    <mergeCell ref="PW26:PX26"/>
    <mergeCell ref="PT27:PX27"/>
    <mergeCell ref="PT28:PX29"/>
    <mergeCell ref="PT1:PT2"/>
    <mergeCell ref="PU1:PV2"/>
    <mergeCell ref="PW1:PW2"/>
    <mergeCell ref="PW3:PX3"/>
    <mergeCell ref="PW4:PX4"/>
    <mergeCell ref="PW5:PX5"/>
    <mergeCell ref="PW6:PX6"/>
    <mergeCell ref="PW7:PX7"/>
    <mergeCell ref="PW8:PX8"/>
    <mergeCell ref="PT9:PV9"/>
    <mergeCell ref="PW9:PX9"/>
    <mergeCell ref="PT10:PU10"/>
    <mergeCell ref="PV10:PX10"/>
    <mergeCell ref="PT11:PU11"/>
    <mergeCell ref="PV11:PX11"/>
    <mergeCell ref="PT12:PU12"/>
    <mergeCell ref="PV12:PX12"/>
    <mergeCell ref="PT13:PU13"/>
    <mergeCell ref="PV13:PX13"/>
    <mergeCell ref="PT14:PU14"/>
    <mergeCell ref="PV14:PX14"/>
    <mergeCell ref="PT15:PV15"/>
    <mergeCell ref="PW15:PX15"/>
    <mergeCell ref="PT16:PU16"/>
    <mergeCell ref="PV16:PX16"/>
    <mergeCell ref="PT17:PU17"/>
    <mergeCell ref="PV17:PX17"/>
    <mergeCell ref="PT18:PU18"/>
    <mergeCell ref="PV18:PX18"/>
    <mergeCell ref="PT19:PU19"/>
    <mergeCell ref="PV19:PX19"/>
    <mergeCell ref="PT20:PU20"/>
    <mergeCell ref="PV20:PX20"/>
    <mergeCell ref="PM21:PN21"/>
    <mergeCell ref="PM22:PN22"/>
    <mergeCell ref="PM23:PN23"/>
    <mergeCell ref="PM24:PN24"/>
    <mergeCell ref="PJ25:PL25"/>
    <mergeCell ref="PM25:PN25"/>
    <mergeCell ref="PM26:PN26"/>
    <mergeCell ref="PJ27:PN27"/>
    <mergeCell ref="PJ28:PN29"/>
    <mergeCell ref="PJ1:PJ2"/>
    <mergeCell ref="PK1:PL2"/>
    <mergeCell ref="PM1:PM2"/>
    <mergeCell ref="PM3:PN3"/>
    <mergeCell ref="PM4:PN4"/>
    <mergeCell ref="PM5:PN5"/>
    <mergeCell ref="PM6:PN6"/>
    <mergeCell ref="PM7:PN7"/>
    <mergeCell ref="PM8:PN8"/>
    <mergeCell ref="PJ9:PL9"/>
    <mergeCell ref="PM9:PN9"/>
    <mergeCell ref="PJ10:PK10"/>
    <mergeCell ref="PL10:PN10"/>
    <mergeCell ref="PJ11:PK11"/>
    <mergeCell ref="PL11:PN11"/>
    <mergeCell ref="PJ12:PK12"/>
    <mergeCell ref="PL12:PN12"/>
    <mergeCell ref="PJ13:PK13"/>
    <mergeCell ref="PL13:PN13"/>
    <mergeCell ref="PJ14:PK14"/>
    <mergeCell ref="PL14:PN14"/>
    <mergeCell ref="PJ15:PL15"/>
    <mergeCell ref="PM15:PN15"/>
    <mergeCell ref="PJ16:PK16"/>
    <mergeCell ref="PL16:PN16"/>
    <mergeCell ref="PJ17:PK17"/>
    <mergeCell ref="PL17:PN17"/>
    <mergeCell ref="PJ18:PK18"/>
    <mergeCell ref="PL18:PN18"/>
    <mergeCell ref="PJ19:PK19"/>
    <mergeCell ref="PL19:PN19"/>
    <mergeCell ref="PJ20:PK20"/>
    <mergeCell ref="PL20:PN20"/>
    <mergeCell ref="PC21:PD21"/>
    <mergeCell ref="PC22:PD22"/>
    <mergeCell ref="PC23:PD23"/>
    <mergeCell ref="PC24:PD24"/>
    <mergeCell ref="OZ25:PB25"/>
    <mergeCell ref="PC25:PD25"/>
    <mergeCell ref="PC26:PD26"/>
    <mergeCell ref="OZ27:PD27"/>
    <mergeCell ref="OZ28:PD29"/>
    <mergeCell ref="OZ1:OZ2"/>
    <mergeCell ref="PA1:PB2"/>
    <mergeCell ref="PC1:PC2"/>
    <mergeCell ref="PC3:PD3"/>
    <mergeCell ref="PC4:PD4"/>
    <mergeCell ref="PC5:PD5"/>
    <mergeCell ref="PC6:PD6"/>
    <mergeCell ref="PC7:PD7"/>
    <mergeCell ref="PC8:PD8"/>
    <mergeCell ref="OZ9:PB9"/>
    <mergeCell ref="PC9:PD9"/>
    <mergeCell ref="OZ10:PA10"/>
    <mergeCell ref="PB10:PD10"/>
    <mergeCell ref="OZ11:PA11"/>
    <mergeCell ref="PB11:PD11"/>
    <mergeCell ref="OZ12:PA12"/>
    <mergeCell ref="PB12:PD12"/>
    <mergeCell ref="OZ13:PA13"/>
    <mergeCell ref="PB13:PD13"/>
    <mergeCell ref="OZ14:PA14"/>
    <mergeCell ref="PB14:PD14"/>
    <mergeCell ref="OZ15:PB15"/>
    <mergeCell ref="PC15:PD15"/>
    <mergeCell ref="OZ16:PA16"/>
    <mergeCell ref="PB16:PD16"/>
    <mergeCell ref="OZ17:PA17"/>
    <mergeCell ref="PB17:PD17"/>
    <mergeCell ref="OZ18:PA18"/>
    <mergeCell ref="PB18:PD18"/>
    <mergeCell ref="OZ19:PA19"/>
    <mergeCell ref="PB19:PD19"/>
    <mergeCell ref="OZ20:PA20"/>
    <mergeCell ref="PB20:PD20"/>
    <mergeCell ref="OX21:OY21"/>
    <mergeCell ref="OX22:OY22"/>
    <mergeCell ref="OX23:OY23"/>
    <mergeCell ref="OX24:OY24"/>
    <mergeCell ref="OU25:OW25"/>
    <mergeCell ref="OX25:OY25"/>
    <mergeCell ref="OX26:OY26"/>
    <mergeCell ref="OU27:OY27"/>
    <mergeCell ref="OU28:OY29"/>
    <mergeCell ref="OU1:OU2"/>
    <mergeCell ref="OV1:OW2"/>
    <mergeCell ref="OX1:OX2"/>
    <mergeCell ref="OX3:OY3"/>
    <mergeCell ref="OX4:OY4"/>
    <mergeCell ref="OX5:OY5"/>
    <mergeCell ref="OX6:OY6"/>
    <mergeCell ref="OX7:OY7"/>
    <mergeCell ref="OX8:OY8"/>
    <mergeCell ref="OU9:OW9"/>
    <mergeCell ref="OX9:OY9"/>
    <mergeCell ref="OU10:OV10"/>
    <mergeCell ref="OW10:OY10"/>
    <mergeCell ref="OU11:OV11"/>
    <mergeCell ref="OW11:OY11"/>
    <mergeCell ref="OU12:OV12"/>
    <mergeCell ref="OW12:OY12"/>
    <mergeCell ref="OU13:OV13"/>
    <mergeCell ref="OW13:OY13"/>
    <mergeCell ref="OU14:OV14"/>
    <mergeCell ref="OW14:OY14"/>
    <mergeCell ref="OU15:OW15"/>
    <mergeCell ref="OX15:OY15"/>
    <mergeCell ref="OU16:OV16"/>
    <mergeCell ref="OW16:OY16"/>
    <mergeCell ref="OU17:OV17"/>
    <mergeCell ref="OW17:OY17"/>
    <mergeCell ref="OU18:OV18"/>
    <mergeCell ref="OW18:OY18"/>
    <mergeCell ref="OU19:OV19"/>
    <mergeCell ref="OW19:OY19"/>
    <mergeCell ref="OU20:OV20"/>
    <mergeCell ref="OW20:OY20"/>
    <mergeCell ref="ON23:OO23"/>
    <mergeCell ref="ON24:OO24"/>
    <mergeCell ref="OK25:OM25"/>
    <mergeCell ref="ON25:OO25"/>
    <mergeCell ref="ON26:OO26"/>
    <mergeCell ref="OK27:OO27"/>
    <mergeCell ref="OK28:OO29"/>
    <mergeCell ref="OK1:OK2"/>
    <mergeCell ref="OL1:OM2"/>
    <mergeCell ref="ON1:ON2"/>
    <mergeCell ref="ON3:OO3"/>
    <mergeCell ref="ON4:OO4"/>
    <mergeCell ref="ON5:OO5"/>
    <mergeCell ref="ON6:OO6"/>
    <mergeCell ref="ON7:OO7"/>
    <mergeCell ref="ON8:OO8"/>
    <mergeCell ref="OK9:OM9"/>
    <mergeCell ref="ON9:OO9"/>
    <mergeCell ref="OK10:OL10"/>
    <mergeCell ref="OM10:OO10"/>
    <mergeCell ref="OK11:OL11"/>
    <mergeCell ref="OM11:OO11"/>
    <mergeCell ref="OK12:OL12"/>
    <mergeCell ref="OM12:OO12"/>
    <mergeCell ref="OK13:OL13"/>
    <mergeCell ref="OM13:OO13"/>
    <mergeCell ref="OK14:OL14"/>
    <mergeCell ref="OM14:OO14"/>
    <mergeCell ref="OK15:OM15"/>
    <mergeCell ref="ON15:OO15"/>
    <mergeCell ref="OK16:OL16"/>
    <mergeCell ref="OM16:OO16"/>
    <mergeCell ref="OK17:OL17"/>
    <mergeCell ref="OM17:OO17"/>
    <mergeCell ref="OK18:OL18"/>
    <mergeCell ref="OM18:OO18"/>
    <mergeCell ref="OK19:OL19"/>
    <mergeCell ref="OM19:OO19"/>
    <mergeCell ref="OK20:OL20"/>
    <mergeCell ref="OM20:OO20"/>
    <mergeCell ref="NO21:NP21"/>
    <mergeCell ref="NO22:NP22"/>
    <mergeCell ref="NO23:NP23"/>
    <mergeCell ref="NO24:NP24"/>
    <mergeCell ref="NL25:NN25"/>
    <mergeCell ref="NO25:NP25"/>
    <mergeCell ref="NO26:NP26"/>
    <mergeCell ref="NL27:NP27"/>
    <mergeCell ref="NL28:NP29"/>
    <mergeCell ref="NL1:NL2"/>
    <mergeCell ref="NM1:NN2"/>
    <mergeCell ref="NO1:NO2"/>
    <mergeCell ref="NO3:NP3"/>
    <mergeCell ref="NO4:NP4"/>
    <mergeCell ref="NO5:NP5"/>
    <mergeCell ref="NO6:NP6"/>
    <mergeCell ref="NO7:NP7"/>
    <mergeCell ref="NO8:NP8"/>
    <mergeCell ref="NL9:NN9"/>
    <mergeCell ref="NO9:NP9"/>
    <mergeCell ref="NL10:NM10"/>
    <mergeCell ref="NN10:NP10"/>
    <mergeCell ref="NL11:NM11"/>
    <mergeCell ref="NN11:NP11"/>
    <mergeCell ref="NL12:NM12"/>
    <mergeCell ref="NN12:NP12"/>
    <mergeCell ref="NL13:NM13"/>
    <mergeCell ref="NN13:NP13"/>
    <mergeCell ref="NL14:NM14"/>
    <mergeCell ref="NN14:NP14"/>
    <mergeCell ref="NL15:NN15"/>
    <mergeCell ref="NO15:NP15"/>
    <mergeCell ref="NL16:NM16"/>
    <mergeCell ref="NN16:NP16"/>
    <mergeCell ref="NL17:NM17"/>
    <mergeCell ref="NN17:NP17"/>
    <mergeCell ref="NL18:NM18"/>
    <mergeCell ref="NN18:NP18"/>
    <mergeCell ref="NL19:NM19"/>
    <mergeCell ref="NN19:NP19"/>
    <mergeCell ref="NL20:NM20"/>
    <mergeCell ref="NN20:NP20"/>
    <mergeCell ref="NE23:NF23"/>
    <mergeCell ref="NE24:NF24"/>
    <mergeCell ref="NB25:ND25"/>
    <mergeCell ref="NE25:NF25"/>
    <mergeCell ref="NE26:NF26"/>
    <mergeCell ref="NB27:NF27"/>
    <mergeCell ref="NB28:NF29"/>
    <mergeCell ref="NB1:NB2"/>
    <mergeCell ref="NC1:ND2"/>
    <mergeCell ref="NE1:NE2"/>
    <mergeCell ref="NE3:NF3"/>
    <mergeCell ref="NE4:NF4"/>
    <mergeCell ref="NE5:NF5"/>
    <mergeCell ref="NE6:NF6"/>
    <mergeCell ref="NE7:NF7"/>
    <mergeCell ref="NE8:NF8"/>
    <mergeCell ref="NB9:ND9"/>
    <mergeCell ref="NE9:NF9"/>
    <mergeCell ref="NB10:NC10"/>
    <mergeCell ref="ND10:NF10"/>
    <mergeCell ref="NB11:NC11"/>
    <mergeCell ref="ND11:NF11"/>
    <mergeCell ref="NB12:NC12"/>
    <mergeCell ref="ND12:NF12"/>
    <mergeCell ref="NB13:NC13"/>
    <mergeCell ref="ND13:NF13"/>
    <mergeCell ref="NB14:NC14"/>
    <mergeCell ref="ND14:NF14"/>
    <mergeCell ref="NB15:ND15"/>
    <mergeCell ref="NE15:NF15"/>
    <mergeCell ref="NB16:NC16"/>
    <mergeCell ref="ND16:NF16"/>
    <mergeCell ref="NB17:NC17"/>
    <mergeCell ref="ND17:NF17"/>
    <mergeCell ref="NB18:NC18"/>
    <mergeCell ref="ND18:NF18"/>
    <mergeCell ref="NB19:NC19"/>
    <mergeCell ref="ND19:NF19"/>
    <mergeCell ref="NB20:NC20"/>
    <mergeCell ref="ND20:NF20"/>
    <mergeCell ref="MP21:MQ21"/>
    <mergeCell ref="MP22:MQ22"/>
    <mergeCell ref="MP23:MQ23"/>
    <mergeCell ref="MP24:MQ24"/>
    <mergeCell ref="MM25:MO25"/>
    <mergeCell ref="MP25:MQ25"/>
    <mergeCell ref="MP26:MQ26"/>
    <mergeCell ref="MM27:MQ27"/>
    <mergeCell ref="MM28:MQ29"/>
    <mergeCell ref="MM1:MM2"/>
    <mergeCell ref="MN1:MO2"/>
    <mergeCell ref="MP1:MP2"/>
    <mergeCell ref="MP3:MQ3"/>
    <mergeCell ref="MP4:MQ4"/>
    <mergeCell ref="MP5:MQ5"/>
    <mergeCell ref="MP6:MQ6"/>
    <mergeCell ref="MP7:MQ7"/>
    <mergeCell ref="MP8:MQ8"/>
    <mergeCell ref="MM9:MO9"/>
    <mergeCell ref="MP9:MQ9"/>
    <mergeCell ref="MM10:MN10"/>
    <mergeCell ref="MO10:MQ10"/>
    <mergeCell ref="MM11:MN11"/>
    <mergeCell ref="MO11:MQ11"/>
    <mergeCell ref="MM12:MN12"/>
    <mergeCell ref="MO12:MQ12"/>
    <mergeCell ref="MM13:MN13"/>
    <mergeCell ref="MO13:MQ13"/>
    <mergeCell ref="MM14:MN14"/>
    <mergeCell ref="MO14:MQ14"/>
    <mergeCell ref="MM15:MO15"/>
    <mergeCell ref="MP15:MQ15"/>
    <mergeCell ref="MM16:MN16"/>
    <mergeCell ref="MO16:MQ16"/>
    <mergeCell ref="MM17:MN17"/>
    <mergeCell ref="MO17:MQ17"/>
    <mergeCell ref="MM18:MN18"/>
    <mergeCell ref="MO18:MQ18"/>
    <mergeCell ref="MM19:MN19"/>
    <mergeCell ref="MO19:MQ19"/>
    <mergeCell ref="MM20:MN20"/>
    <mergeCell ref="MO20:MQ20"/>
    <mergeCell ref="MF21:MG21"/>
    <mergeCell ref="MF22:MG22"/>
    <mergeCell ref="MF23:MG23"/>
    <mergeCell ref="MF24:MG24"/>
    <mergeCell ref="MC25:ME25"/>
    <mergeCell ref="MF25:MG25"/>
    <mergeCell ref="MF26:MG26"/>
    <mergeCell ref="MC27:MG27"/>
    <mergeCell ref="MC28:MG29"/>
    <mergeCell ref="MC1:MC2"/>
    <mergeCell ref="MD1:ME2"/>
    <mergeCell ref="MF1:MF2"/>
    <mergeCell ref="MF3:MG3"/>
    <mergeCell ref="MF4:MG4"/>
    <mergeCell ref="MF5:MG5"/>
    <mergeCell ref="MF6:MG6"/>
    <mergeCell ref="MF7:MG7"/>
    <mergeCell ref="MF8:MG8"/>
    <mergeCell ref="MC9:ME9"/>
    <mergeCell ref="MF9:MG9"/>
    <mergeCell ref="MC10:MD10"/>
    <mergeCell ref="ME10:MG10"/>
    <mergeCell ref="MC11:MD11"/>
    <mergeCell ref="ME11:MG11"/>
    <mergeCell ref="MC12:MD12"/>
    <mergeCell ref="ME12:MG12"/>
    <mergeCell ref="MC13:MD13"/>
    <mergeCell ref="ME13:MG13"/>
    <mergeCell ref="MC14:MD14"/>
    <mergeCell ref="ME14:MG14"/>
    <mergeCell ref="MC15:ME15"/>
    <mergeCell ref="MF15:MG15"/>
    <mergeCell ref="MC16:MD16"/>
    <mergeCell ref="ME16:MG16"/>
    <mergeCell ref="MC17:MD17"/>
    <mergeCell ref="ME17:MG17"/>
    <mergeCell ref="MC18:MD18"/>
    <mergeCell ref="ME18:MG18"/>
    <mergeCell ref="MC19:MD19"/>
    <mergeCell ref="ME19:MG19"/>
    <mergeCell ref="MC20:MD20"/>
    <mergeCell ref="ME20:MG20"/>
    <mergeCell ref="LV21:LW21"/>
    <mergeCell ref="LV22:LW22"/>
    <mergeCell ref="LV23:LW23"/>
    <mergeCell ref="LV24:LW24"/>
    <mergeCell ref="LS25:LU25"/>
    <mergeCell ref="LV25:LW25"/>
    <mergeCell ref="LV26:LW26"/>
    <mergeCell ref="LS27:LW27"/>
    <mergeCell ref="LS28:LW29"/>
    <mergeCell ref="LS1:LS2"/>
    <mergeCell ref="LT1:LU2"/>
    <mergeCell ref="LV1:LV2"/>
    <mergeCell ref="LV3:LW3"/>
    <mergeCell ref="LV4:LW4"/>
    <mergeCell ref="LV5:LW5"/>
    <mergeCell ref="LV6:LW6"/>
    <mergeCell ref="LV7:LW7"/>
    <mergeCell ref="LV8:LW8"/>
    <mergeCell ref="LS9:LU9"/>
    <mergeCell ref="LV9:LW9"/>
    <mergeCell ref="LS10:LT10"/>
    <mergeCell ref="LU10:LW10"/>
    <mergeCell ref="LS11:LT11"/>
    <mergeCell ref="LU11:LW11"/>
    <mergeCell ref="LS12:LT12"/>
    <mergeCell ref="LU12:LW12"/>
    <mergeCell ref="LS13:LT13"/>
    <mergeCell ref="LU13:LW13"/>
    <mergeCell ref="LS14:LT14"/>
    <mergeCell ref="LU14:LW14"/>
    <mergeCell ref="LS15:LU15"/>
    <mergeCell ref="LV15:LW15"/>
    <mergeCell ref="LS16:LT16"/>
    <mergeCell ref="LU16:LW16"/>
    <mergeCell ref="LS17:LT17"/>
    <mergeCell ref="LU17:LW17"/>
    <mergeCell ref="LS18:LT18"/>
    <mergeCell ref="LU18:LW18"/>
    <mergeCell ref="LS19:LT19"/>
    <mergeCell ref="LU19:LW19"/>
    <mergeCell ref="LS20:LT20"/>
    <mergeCell ref="LU20:LW20"/>
    <mergeCell ref="LL21:LM21"/>
    <mergeCell ref="LL22:LM22"/>
    <mergeCell ref="LL23:LM23"/>
    <mergeCell ref="LL24:LM24"/>
    <mergeCell ref="LI25:LK25"/>
    <mergeCell ref="LL25:LM25"/>
    <mergeCell ref="LL26:LM26"/>
    <mergeCell ref="LI27:LM27"/>
    <mergeCell ref="LI28:LM29"/>
    <mergeCell ref="LI1:LI2"/>
    <mergeCell ref="LJ1:LK2"/>
    <mergeCell ref="LL1:LL2"/>
    <mergeCell ref="LL3:LM3"/>
    <mergeCell ref="LL4:LM4"/>
    <mergeCell ref="LL5:LM5"/>
    <mergeCell ref="LL6:LM6"/>
    <mergeCell ref="LL7:LM7"/>
    <mergeCell ref="LL8:LM8"/>
    <mergeCell ref="LI9:LK9"/>
    <mergeCell ref="LL9:LM9"/>
    <mergeCell ref="LI10:LJ10"/>
    <mergeCell ref="LK10:LM10"/>
    <mergeCell ref="LI11:LJ11"/>
    <mergeCell ref="LK11:LM11"/>
    <mergeCell ref="LI12:LJ12"/>
    <mergeCell ref="LK12:LM12"/>
    <mergeCell ref="LI13:LJ13"/>
    <mergeCell ref="LK13:LM13"/>
    <mergeCell ref="LI14:LJ14"/>
    <mergeCell ref="LK14:LM14"/>
    <mergeCell ref="LI15:LK15"/>
    <mergeCell ref="LL15:LM15"/>
    <mergeCell ref="LI16:LJ16"/>
    <mergeCell ref="LK16:LM16"/>
    <mergeCell ref="LI17:LJ17"/>
    <mergeCell ref="LK17:LM17"/>
    <mergeCell ref="LI18:LJ18"/>
    <mergeCell ref="LK18:LM18"/>
    <mergeCell ref="LI19:LJ19"/>
    <mergeCell ref="LK19:LM19"/>
    <mergeCell ref="LI20:LJ20"/>
    <mergeCell ref="LK20:LM20"/>
    <mergeCell ref="LG21:LH21"/>
    <mergeCell ref="LG22:LH22"/>
    <mergeCell ref="LG23:LH23"/>
    <mergeCell ref="LG24:LH24"/>
    <mergeCell ref="LD25:LF25"/>
    <mergeCell ref="LG25:LH25"/>
    <mergeCell ref="LG26:LH26"/>
    <mergeCell ref="LD27:LH27"/>
    <mergeCell ref="LD28:LH29"/>
    <mergeCell ref="LD1:LD2"/>
    <mergeCell ref="LE1:LF2"/>
    <mergeCell ref="LG1:LG2"/>
    <mergeCell ref="LG3:LH3"/>
    <mergeCell ref="LG4:LH4"/>
    <mergeCell ref="LG5:LH5"/>
    <mergeCell ref="LG6:LH6"/>
    <mergeCell ref="LG7:LH7"/>
    <mergeCell ref="LG8:LH8"/>
    <mergeCell ref="LD9:LF9"/>
    <mergeCell ref="LG9:LH9"/>
    <mergeCell ref="LD10:LE10"/>
    <mergeCell ref="LF10:LH10"/>
    <mergeCell ref="LD11:LE11"/>
    <mergeCell ref="LF11:LH11"/>
    <mergeCell ref="LD12:LE12"/>
    <mergeCell ref="LF12:LH12"/>
    <mergeCell ref="LD13:LE13"/>
    <mergeCell ref="LF13:LH13"/>
    <mergeCell ref="LD14:LE14"/>
    <mergeCell ref="LF14:LH14"/>
    <mergeCell ref="LD15:LF15"/>
    <mergeCell ref="LG15:LH15"/>
    <mergeCell ref="LD16:LE16"/>
    <mergeCell ref="LF16:LH16"/>
    <mergeCell ref="LD17:LE17"/>
    <mergeCell ref="LF17:LH17"/>
    <mergeCell ref="LD18:LE18"/>
    <mergeCell ref="LF18:LH18"/>
    <mergeCell ref="LD19:LE19"/>
    <mergeCell ref="LF19:LH19"/>
    <mergeCell ref="LD20:LE20"/>
    <mergeCell ref="LF20:LH20"/>
    <mergeCell ref="KW21:KX21"/>
    <mergeCell ref="KW22:KX22"/>
    <mergeCell ref="KW23:KX23"/>
    <mergeCell ref="KW24:KX24"/>
    <mergeCell ref="KT25:KV25"/>
    <mergeCell ref="KW25:KX25"/>
    <mergeCell ref="KW26:KX26"/>
    <mergeCell ref="KT27:KX27"/>
    <mergeCell ref="KT28:KX29"/>
    <mergeCell ref="KT1:KT2"/>
    <mergeCell ref="KU1:KV2"/>
    <mergeCell ref="KW1:KW2"/>
    <mergeCell ref="KW3:KX3"/>
    <mergeCell ref="KW4:KX4"/>
    <mergeCell ref="KW5:KX5"/>
    <mergeCell ref="KW6:KX6"/>
    <mergeCell ref="KW7:KX7"/>
    <mergeCell ref="KW8:KX8"/>
    <mergeCell ref="KT9:KV9"/>
    <mergeCell ref="KW9:KX9"/>
    <mergeCell ref="KT10:KU10"/>
    <mergeCell ref="KV10:KX10"/>
    <mergeCell ref="KT11:KU11"/>
    <mergeCell ref="KV11:KX11"/>
    <mergeCell ref="KT12:KU12"/>
    <mergeCell ref="KV12:KX12"/>
    <mergeCell ref="KT13:KU13"/>
    <mergeCell ref="KV13:KX13"/>
    <mergeCell ref="KT14:KU14"/>
    <mergeCell ref="KV14:KX14"/>
    <mergeCell ref="KT15:KV15"/>
    <mergeCell ref="KW15:KX15"/>
    <mergeCell ref="KT16:KU16"/>
    <mergeCell ref="KV16:KX16"/>
    <mergeCell ref="KT17:KU17"/>
    <mergeCell ref="KV17:KX17"/>
    <mergeCell ref="KT18:KU18"/>
    <mergeCell ref="KV18:KX18"/>
    <mergeCell ref="KT19:KU19"/>
    <mergeCell ref="KV19:KX19"/>
    <mergeCell ref="KT20:KU20"/>
    <mergeCell ref="KV20:KX20"/>
    <mergeCell ref="KR21:KS21"/>
    <mergeCell ref="KR22:KS22"/>
    <mergeCell ref="KR23:KS23"/>
    <mergeCell ref="KR24:KS24"/>
    <mergeCell ref="KO25:KQ25"/>
    <mergeCell ref="KR25:KS25"/>
    <mergeCell ref="KR26:KS26"/>
    <mergeCell ref="KO27:KS27"/>
    <mergeCell ref="KO28:KS29"/>
    <mergeCell ref="KO1:KO2"/>
    <mergeCell ref="KP1:KQ2"/>
    <mergeCell ref="KR1:KR2"/>
    <mergeCell ref="KR3:KS3"/>
    <mergeCell ref="KR4:KS4"/>
    <mergeCell ref="KR5:KS5"/>
    <mergeCell ref="KR6:KS6"/>
    <mergeCell ref="KR7:KS7"/>
    <mergeCell ref="KR8:KS8"/>
    <mergeCell ref="KO9:KQ9"/>
    <mergeCell ref="KR9:KS9"/>
    <mergeCell ref="KO10:KP10"/>
    <mergeCell ref="KQ10:KS10"/>
    <mergeCell ref="KO11:KP11"/>
    <mergeCell ref="KQ11:KS11"/>
    <mergeCell ref="KO12:KP12"/>
    <mergeCell ref="KQ12:KS12"/>
    <mergeCell ref="KO13:KP13"/>
    <mergeCell ref="KQ13:KS13"/>
    <mergeCell ref="KO14:KP14"/>
    <mergeCell ref="KQ14:KS14"/>
    <mergeCell ref="KO15:KQ15"/>
    <mergeCell ref="KR15:KS15"/>
    <mergeCell ref="KO16:KP16"/>
    <mergeCell ref="KQ16:KS16"/>
    <mergeCell ref="KO17:KP17"/>
    <mergeCell ref="KQ17:KS17"/>
    <mergeCell ref="KO18:KP18"/>
    <mergeCell ref="KQ18:KS18"/>
    <mergeCell ref="KO19:KP19"/>
    <mergeCell ref="KQ19:KS19"/>
    <mergeCell ref="KO20:KP20"/>
    <mergeCell ref="KQ20:KS20"/>
    <mergeCell ref="KH21:KI21"/>
    <mergeCell ref="KH22:KI22"/>
    <mergeCell ref="KH23:KI23"/>
    <mergeCell ref="KH24:KI24"/>
    <mergeCell ref="KE25:KG25"/>
    <mergeCell ref="KH25:KI25"/>
    <mergeCell ref="KH26:KI26"/>
    <mergeCell ref="KE27:KI27"/>
    <mergeCell ref="KE28:KI29"/>
    <mergeCell ref="KE1:KE2"/>
    <mergeCell ref="KF1:KG2"/>
    <mergeCell ref="KH1:KH2"/>
    <mergeCell ref="KH3:KI3"/>
    <mergeCell ref="KH4:KI4"/>
    <mergeCell ref="KH5:KI5"/>
    <mergeCell ref="KH6:KI6"/>
    <mergeCell ref="KH7:KI7"/>
    <mergeCell ref="KH8:KI8"/>
    <mergeCell ref="KE9:KG9"/>
    <mergeCell ref="KH9:KI9"/>
    <mergeCell ref="KE10:KF10"/>
    <mergeCell ref="KG10:KI10"/>
    <mergeCell ref="KE11:KF11"/>
    <mergeCell ref="KG11:KI11"/>
    <mergeCell ref="KE12:KF12"/>
    <mergeCell ref="KG12:KI12"/>
    <mergeCell ref="KE13:KF13"/>
    <mergeCell ref="KG13:KI13"/>
    <mergeCell ref="KE14:KF14"/>
    <mergeCell ref="KG14:KI14"/>
    <mergeCell ref="KE15:KG15"/>
    <mergeCell ref="KH15:KI15"/>
    <mergeCell ref="KE16:KF16"/>
    <mergeCell ref="KG16:KI16"/>
    <mergeCell ref="KE17:KF17"/>
    <mergeCell ref="KG17:KI17"/>
    <mergeCell ref="KE18:KF18"/>
    <mergeCell ref="KG18:KI18"/>
    <mergeCell ref="KE19:KF19"/>
    <mergeCell ref="KG19:KI19"/>
    <mergeCell ref="KE20:KF20"/>
    <mergeCell ref="KG20:KI20"/>
    <mergeCell ref="JX21:JY21"/>
    <mergeCell ref="JX22:JY22"/>
    <mergeCell ref="JX23:JY23"/>
    <mergeCell ref="JX24:JY24"/>
    <mergeCell ref="JU25:JW25"/>
    <mergeCell ref="JX25:JY25"/>
    <mergeCell ref="JX26:JY26"/>
    <mergeCell ref="JU27:JY27"/>
    <mergeCell ref="JU28:JY29"/>
    <mergeCell ref="JU1:JU2"/>
    <mergeCell ref="JV1:JW2"/>
    <mergeCell ref="JX1:JX2"/>
    <mergeCell ref="JX3:JY3"/>
    <mergeCell ref="JX4:JY4"/>
    <mergeCell ref="JX5:JY5"/>
    <mergeCell ref="JX6:JY6"/>
    <mergeCell ref="JX7:JY7"/>
    <mergeCell ref="JX8:JY8"/>
    <mergeCell ref="JU9:JW9"/>
    <mergeCell ref="JX9:JY9"/>
    <mergeCell ref="JU10:JV10"/>
    <mergeCell ref="JW10:JY10"/>
    <mergeCell ref="JU11:JV11"/>
    <mergeCell ref="JW11:JY11"/>
    <mergeCell ref="JU12:JV12"/>
    <mergeCell ref="JW12:JY12"/>
    <mergeCell ref="JU13:JV13"/>
    <mergeCell ref="JW13:JY13"/>
    <mergeCell ref="JU14:JV14"/>
    <mergeCell ref="JW14:JY14"/>
    <mergeCell ref="JU15:JW15"/>
    <mergeCell ref="JX15:JY15"/>
    <mergeCell ref="JU16:JV16"/>
    <mergeCell ref="JW16:JY16"/>
    <mergeCell ref="JU17:JV17"/>
    <mergeCell ref="JW17:JY17"/>
    <mergeCell ref="JU18:JV18"/>
    <mergeCell ref="JW18:JY18"/>
    <mergeCell ref="JU19:JV19"/>
    <mergeCell ref="JW19:JY19"/>
    <mergeCell ref="JU20:JV20"/>
    <mergeCell ref="JW20:JY20"/>
    <mergeCell ref="JI23:JJ23"/>
    <mergeCell ref="JI24:JJ24"/>
    <mergeCell ref="JF25:JH25"/>
    <mergeCell ref="JI25:JJ25"/>
    <mergeCell ref="JI26:JJ26"/>
    <mergeCell ref="JF27:JJ27"/>
    <mergeCell ref="JF28:JJ29"/>
    <mergeCell ref="JF1:JF2"/>
    <mergeCell ref="JG1:JH2"/>
    <mergeCell ref="JI1:JI2"/>
    <mergeCell ref="JI3:JJ3"/>
    <mergeCell ref="JI4:JJ4"/>
    <mergeCell ref="JI5:JJ5"/>
    <mergeCell ref="JI6:JJ6"/>
    <mergeCell ref="JI7:JJ7"/>
    <mergeCell ref="JI8:JJ8"/>
    <mergeCell ref="JF9:JH9"/>
    <mergeCell ref="JI9:JJ9"/>
    <mergeCell ref="JF10:JG10"/>
    <mergeCell ref="JH10:JJ10"/>
    <mergeCell ref="JF11:JG11"/>
    <mergeCell ref="JH11:JJ11"/>
    <mergeCell ref="JF12:JG12"/>
    <mergeCell ref="JH12:JJ12"/>
    <mergeCell ref="JF13:JG13"/>
    <mergeCell ref="JH13:JJ13"/>
    <mergeCell ref="JF14:JG14"/>
    <mergeCell ref="JH14:JJ14"/>
    <mergeCell ref="JF15:JH15"/>
    <mergeCell ref="JI15:JJ15"/>
    <mergeCell ref="JF16:JG16"/>
    <mergeCell ref="JH16:JJ16"/>
    <mergeCell ref="JF17:JG17"/>
    <mergeCell ref="JH17:JJ17"/>
    <mergeCell ref="JF18:JG18"/>
    <mergeCell ref="JH18:JJ18"/>
    <mergeCell ref="JF19:JG19"/>
    <mergeCell ref="JH19:JJ19"/>
    <mergeCell ref="JF20:JG20"/>
    <mergeCell ref="JH20:JJ20"/>
    <mergeCell ref="JD21:JE21"/>
    <mergeCell ref="JD22:JE22"/>
    <mergeCell ref="JD23:JE23"/>
    <mergeCell ref="JD24:JE24"/>
    <mergeCell ref="JA25:JC25"/>
    <mergeCell ref="JD25:JE25"/>
    <mergeCell ref="JD26:JE26"/>
    <mergeCell ref="JA27:JE27"/>
    <mergeCell ref="JA28:JE29"/>
    <mergeCell ref="JA1:JA2"/>
    <mergeCell ref="JB1:JC2"/>
    <mergeCell ref="JD1:JD2"/>
    <mergeCell ref="JD3:JE3"/>
    <mergeCell ref="JD4:JE4"/>
    <mergeCell ref="JD5:JE5"/>
    <mergeCell ref="JD6:JE6"/>
    <mergeCell ref="JD7:JE7"/>
    <mergeCell ref="JD8:JE8"/>
    <mergeCell ref="JA9:JC9"/>
    <mergeCell ref="JD9:JE9"/>
    <mergeCell ref="JA10:JB10"/>
    <mergeCell ref="JC10:JE10"/>
    <mergeCell ref="JA11:JB11"/>
    <mergeCell ref="JC11:JE11"/>
    <mergeCell ref="JA12:JB12"/>
    <mergeCell ref="JC12:JE12"/>
    <mergeCell ref="JA13:JB13"/>
    <mergeCell ref="JC13:JE13"/>
    <mergeCell ref="JA14:JB14"/>
    <mergeCell ref="JC14:JE14"/>
    <mergeCell ref="JA15:JC15"/>
    <mergeCell ref="JD15:JE15"/>
    <mergeCell ref="JA16:JB16"/>
    <mergeCell ref="JC16:JE16"/>
    <mergeCell ref="JA17:JB17"/>
    <mergeCell ref="JC17:JE17"/>
    <mergeCell ref="JA18:JB18"/>
    <mergeCell ref="JC18:JE18"/>
    <mergeCell ref="JA19:JB19"/>
    <mergeCell ref="JC19:JE19"/>
    <mergeCell ref="JA20:JB20"/>
    <mergeCell ref="JC20:JE20"/>
    <mergeCell ref="IO21:IP21"/>
    <mergeCell ref="IO22:IP22"/>
    <mergeCell ref="IO23:IP23"/>
    <mergeCell ref="IO24:IP24"/>
    <mergeCell ref="IL25:IN25"/>
    <mergeCell ref="IO25:IP25"/>
    <mergeCell ref="IO26:IP26"/>
    <mergeCell ref="IL27:IP27"/>
    <mergeCell ref="IL28:IP29"/>
    <mergeCell ref="IL1:IL2"/>
    <mergeCell ref="IM1:IN2"/>
    <mergeCell ref="IO1:IO2"/>
    <mergeCell ref="IO3:IP3"/>
    <mergeCell ref="IO4:IP4"/>
    <mergeCell ref="IO5:IP5"/>
    <mergeCell ref="IO6:IP6"/>
    <mergeCell ref="IO7:IP7"/>
    <mergeCell ref="IO8:IP8"/>
    <mergeCell ref="IL9:IN9"/>
    <mergeCell ref="IO9:IP9"/>
    <mergeCell ref="IL10:IM10"/>
    <mergeCell ref="IN10:IP10"/>
    <mergeCell ref="IL11:IM11"/>
    <mergeCell ref="IN11:IP11"/>
    <mergeCell ref="IL12:IM12"/>
    <mergeCell ref="IN12:IP12"/>
    <mergeCell ref="IL13:IM13"/>
    <mergeCell ref="IN13:IP13"/>
    <mergeCell ref="IL14:IM14"/>
    <mergeCell ref="IN14:IP14"/>
    <mergeCell ref="IL15:IN15"/>
    <mergeCell ref="IO15:IP15"/>
    <mergeCell ref="IL16:IM16"/>
    <mergeCell ref="IN16:IP16"/>
    <mergeCell ref="IL17:IM17"/>
    <mergeCell ref="IN17:IP17"/>
    <mergeCell ref="IL18:IM18"/>
    <mergeCell ref="IN18:IP18"/>
    <mergeCell ref="IL19:IM19"/>
    <mergeCell ref="IN19:IP19"/>
    <mergeCell ref="IL20:IM20"/>
    <mergeCell ref="IN20:IP20"/>
    <mergeCell ref="IE21:IF21"/>
    <mergeCell ref="IE22:IF22"/>
    <mergeCell ref="IE23:IF23"/>
    <mergeCell ref="IE24:IF24"/>
    <mergeCell ref="IB25:ID25"/>
    <mergeCell ref="IE25:IF25"/>
    <mergeCell ref="IE26:IF26"/>
    <mergeCell ref="IB27:IF27"/>
    <mergeCell ref="IB28:IF29"/>
    <mergeCell ref="IB1:IB2"/>
    <mergeCell ref="IC1:ID2"/>
    <mergeCell ref="IE1:IE2"/>
    <mergeCell ref="IE3:IF3"/>
    <mergeCell ref="IE4:IF4"/>
    <mergeCell ref="IE5:IF5"/>
    <mergeCell ref="IE6:IF6"/>
    <mergeCell ref="IE7:IF7"/>
    <mergeCell ref="IE8:IF8"/>
    <mergeCell ref="IB9:ID9"/>
    <mergeCell ref="IE9:IF9"/>
    <mergeCell ref="IB10:IC10"/>
    <mergeCell ref="ID10:IF10"/>
    <mergeCell ref="IB11:IC11"/>
    <mergeCell ref="ID11:IF11"/>
    <mergeCell ref="IB12:IC12"/>
    <mergeCell ref="ID12:IF12"/>
    <mergeCell ref="IB13:IC13"/>
    <mergeCell ref="ID13:IF13"/>
    <mergeCell ref="IB14:IC14"/>
    <mergeCell ref="ID14:IF14"/>
    <mergeCell ref="IB15:ID15"/>
    <mergeCell ref="IE15:IF15"/>
    <mergeCell ref="IB16:IC16"/>
    <mergeCell ref="ID16:IF16"/>
    <mergeCell ref="IB17:IC17"/>
    <mergeCell ref="ID17:IF17"/>
    <mergeCell ref="IB18:IC18"/>
    <mergeCell ref="ID18:IF18"/>
    <mergeCell ref="IB19:IC19"/>
    <mergeCell ref="ID19:IF19"/>
    <mergeCell ref="IB20:IC20"/>
    <mergeCell ref="ID20:IF20"/>
    <mergeCell ref="GV21:GW21"/>
    <mergeCell ref="GV22:GW22"/>
    <mergeCell ref="GV23:GW23"/>
    <mergeCell ref="GV24:GW24"/>
    <mergeCell ref="GS25:GU25"/>
    <mergeCell ref="GV25:GW25"/>
    <mergeCell ref="GV26:GW26"/>
    <mergeCell ref="GS27:GW27"/>
    <mergeCell ref="GS28:GW29"/>
    <mergeCell ref="GS1:GS2"/>
    <mergeCell ref="GT1:GU2"/>
    <mergeCell ref="GV1:GV2"/>
    <mergeCell ref="GV3:GW3"/>
    <mergeCell ref="GV4:GW4"/>
    <mergeCell ref="GV5:GW5"/>
    <mergeCell ref="GV6:GW6"/>
    <mergeCell ref="GV7:GW7"/>
    <mergeCell ref="GV8:GW8"/>
    <mergeCell ref="GS9:GU9"/>
    <mergeCell ref="GV9:GW9"/>
    <mergeCell ref="GS10:GT10"/>
    <mergeCell ref="GU10:GW10"/>
    <mergeCell ref="GS11:GT11"/>
    <mergeCell ref="GU11:GW11"/>
    <mergeCell ref="GS12:GT12"/>
    <mergeCell ref="GU12:GW12"/>
    <mergeCell ref="GS13:GT13"/>
    <mergeCell ref="GU13:GW13"/>
    <mergeCell ref="GS14:GT14"/>
    <mergeCell ref="GU14:GW14"/>
    <mergeCell ref="GS15:GU15"/>
    <mergeCell ref="GV15:GW15"/>
    <mergeCell ref="GS16:GT16"/>
    <mergeCell ref="GU16:GW16"/>
    <mergeCell ref="GS17:GT17"/>
    <mergeCell ref="GU17:GW17"/>
    <mergeCell ref="GS18:GT18"/>
    <mergeCell ref="GU18:GW18"/>
    <mergeCell ref="GS19:GT19"/>
    <mergeCell ref="GU19:GW19"/>
    <mergeCell ref="GS20:GT20"/>
    <mergeCell ref="GU20:GW20"/>
    <mergeCell ref="GL21:GM21"/>
    <mergeCell ref="GL22:GM22"/>
    <mergeCell ref="GL23:GM23"/>
    <mergeCell ref="GL24:GM24"/>
    <mergeCell ref="GI25:GK25"/>
    <mergeCell ref="GL25:GM25"/>
    <mergeCell ref="GL26:GM26"/>
    <mergeCell ref="GI27:GM27"/>
    <mergeCell ref="GI28:GM29"/>
    <mergeCell ref="GI1:GI2"/>
    <mergeCell ref="GJ1:GK2"/>
    <mergeCell ref="GL1:GL2"/>
    <mergeCell ref="GL3:GM3"/>
    <mergeCell ref="GL4:GM4"/>
    <mergeCell ref="GL5:GM5"/>
    <mergeCell ref="GL6:GM6"/>
    <mergeCell ref="GL7:GM7"/>
    <mergeCell ref="GL8:GM8"/>
    <mergeCell ref="GI9:GK9"/>
    <mergeCell ref="GL9:GM9"/>
    <mergeCell ref="GI10:GJ10"/>
    <mergeCell ref="GK10:GM10"/>
    <mergeCell ref="GI11:GJ11"/>
    <mergeCell ref="GK11:GM11"/>
    <mergeCell ref="GI12:GJ12"/>
    <mergeCell ref="GK12:GM12"/>
    <mergeCell ref="GI13:GJ13"/>
    <mergeCell ref="GK13:GM13"/>
    <mergeCell ref="GI14:GJ14"/>
    <mergeCell ref="GK14:GM14"/>
    <mergeCell ref="GI15:GK15"/>
    <mergeCell ref="GL15:GM15"/>
    <mergeCell ref="GI16:GJ16"/>
    <mergeCell ref="GK16:GM16"/>
    <mergeCell ref="GI17:GJ17"/>
    <mergeCell ref="GK17:GM17"/>
    <mergeCell ref="GI18:GJ18"/>
    <mergeCell ref="GK18:GM18"/>
    <mergeCell ref="GI19:GJ19"/>
    <mergeCell ref="GK19:GM19"/>
    <mergeCell ref="GI20:GJ20"/>
    <mergeCell ref="GK20:GM20"/>
    <mergeCell ref="GB21:GC21"/>
    <mergeCell ref="GB22:GC22"/>
    <mergeCell ref="GB23:GC23"/>
    <mergeCell ref="GB24:GC24"/>
    <mergeCell ref="FY25:GA25"/>
    <mergeCell ref="GB25:GC25"/>
    <mergeCell ref="GB26:GC26"/>
    <mergeCell ref="FY27:GC27"/>
    <mergeCell ref="FY28:GC29"/>
    <mergeCell ref="FY1:FY2"/>
    <mergeCell ref="FZ1:GA2"/>
    <mergeCell ref="GB1:GB2"/>
    <mergeCell ref="GB3:GC3"/>
    <mergeCell ref="GB4:GC4"/>
    <mergeCell ref="GB5:GC5"/>
    <mergeCell ref="GB6:GC6"/>
    <mergeCell ref="GB7:GC7"/>
    <mergeCell ref="GB8:GC8"/>
    <mergeCell ref="FY9:GA9"/>
    <mergeCell ref="GB9:GC9"/>
    <mergeCell ref="FY10:FZ10"/>
    <mergeCell ref="GA10:GC10"/>
    <mergeCell ref="FY11:FZ11"/>
    <mergeCell ref="GA11:GC11"/>
    <mergeCell ref="FY12:FZ12"/>
    <mergeCell ref="GA12:GC12"/>
    <mergeCell ref="FY13:FZ13"/>
    <mergeCell ref="GA13:GC13"/>
    <mergeCell ref="FY14:FZ14"/>
    <mergeCell ref="GA14:GC14"/>
    <mergeCell ref="FY15:GA15"/>
    <mergeCell ref="GB15:GC15"/>
    <mergeCell ref="FY16:FZ16"/>
    <mergeCell ref="GA16:GC16"/>
    <mergeCell ref="FY17:FZ17"/>
    <mergeCell ref="GA17:GC17"/>
    <mergeCell ref="FY18:FZ18"/>
    <mergeCell ref="GA18:GC18"/>
    <mergeCell ref="FY19:FZ19"/>
    <mergeCell ref="GA19:GC19"/>
    <mergeCell ref="FY20:FZ20"/>
    <mergeCell ref="GA20:GC20"/>
    <mergeCell ref="FR21:FS21"/>
    <mergeCell ref="FR22:FS22"/>
    <mergeCell ref="FR23:FS23"/>
    <mergeCell ref="FR24:FS24"/>
    <mergeCell ref="FO25:FQ25"/>
    <mergeCell ref="FR25:FS25"/>
    <mergeCell ref="FR26:FS26"/>
    <mergeCell ref="FO27:FS27"/>
    <mergeCell ref="FO28:FS29"/>
    <mergeCell ref="FO1:FO2"/>
    <mergeCell ref="FP1:FQ2"/>
    <mergeCell ref="FR1:FR2"/>
    <mergeCell ref="FR3:FS3"/>
    <mergeCell ref="FR4:FS4"/>
    <mergeCell ref="FR5:FS5"/>
    <mergeCell ref="FR6:FS6"/>
    <mergeCell ref="FR7:FS7"/>
    <mergeCell ref="FR8:FS8"/>
    <mergeCell ref="FO9:FQ9"/>
    <mergeCell ref="FR9:FS9"/>
    <mergeCell ref="FO10:FP10"/>
    <mergeCell ref="FQ10:FS10"/>
    <mergeCell ref="FO11:FP11"/>
    <mergeCell ref="FQ11:FS11"/>
    <mergeCell ref="FO12:FP12"/>
    <mergeCell ref="FQ12:FS12"/>
    <mergeCell ref="FO13:FP13"/>
    <mergeCell ref="FQ13:FS13"/>
    <mergeCell ref="FO14:FP14"/>
    <mergeCell ref="FQ14:FS14"/>
    <mergeCell ref="FO15:FQ15"/>
    <mergeCell ref="FR15:FS15"/>
    <mergeCell ref="FO16:FP16"/>
    <mergeCell ref="FQ16:FS16"/>
    <mergeCell ref="FO17:FP17"/>
    <mergeCell ref="FQ17:FS17"/>
    <mergeCell ref="FO18:FP18"/>
    <mergeCell ref="FQ18:FS18"/>
    <mergeCell ref="FO19:FP19"/>
    <mergeCell ref="FQ19:FS19"/>
    <mergeCell ref="FO20:FP20"/>
    <mergeCell ref="FQ20:FS20"/>
    <mergeCell ref="EK11:EL11"/>
    <mergeCell ref="EM11:EO11"/>
    <mergeCell ref="EK12:EL12"/>
    <mergeCell ref="EM12:EO12"/>
    <mergeCell ref="EK13:EL13"/>
    <mergeCell ref="EM13:EO13"/>
    <mergeCell ref="EK14:EL14"/>
    <mergeCell ref="EM14:EO14"/>
    <mergeCell ref="EK15:EM15"/>
    <mergeCell ref="EN15:EO15"/>
    <mergeCell ref="EK16:EL16"/>
    <mergeCell ref="EM16:EO16"/>
    <mergeCell ref="EK17:EL17"/>
    <mergeCell ref="EM17:EO17"/>
    <mergeCell ref="EK18:EL18"/>
    <mergeCell ref="EM18:EO18"/>
    <mergeCell ref="EK19:EL19"/>
    <mergeCell ref="EM19:EO19"/>
    <mergeCell ref="EK20:EL20"/>
    <mergeCell ref="EM20:EO20"/>
    <mergeCell ref="FH21:FI21"/>
    <mergeCell ref="FH22:FI22"/>
    <mergeCell ref="FH23:FI23"/>
    <mergeCell ref="FH24:FI24"/>
    <mergeCell ref="FE25:FG25"/>
    <mergeCell ref="FH25:FI25"/>
    <mergeCell ref="FH26:FI26"/>
    <mergeCell ref="FE27:FI27"/>
    <mergeCell ref="FE28:FI29"/>
    <mergeCell ref="FE1:FE2"/>
    <mergeCell ref="FF1:FG2"/>
    <mergeCell ref="FH1:FH2"/>
    <mergeCell ref="FH3:FI3"/>
    <mergeCell ref="FH4:FI4"/>
    <mergeCell ref="FH5:FI5"/>
    <mergeCell ref="FH6:FI6"/>
    <mergeCell ref="FH7:FI7"/>
    <mergeCell ref="FH8:FI8"/>
    <mergeCell ref="FE9:FG9"/>
    <mergeCell ref="FH9:FI9"/>
    <mergeCell ref="FE10:FF10"/>
    <mergeCell ref="FG10:FI10"/>
    <mergeCell ref="FE11:FF11"/>
    <mergeCell ref="FG11:FI11"/>
    <mergeCell ref="FE12:FF12"/>
    <mergeCell ref="FG12:FI12"/>
    <mergeCell ref="FE13:FF13"/>
    <mergeCell ref="FG13:FI13"/>
    <mergeCell ref="FE14:FF14"/>
    <mergeCell ref="FG14:FI14"/>
    <mergeCell ref="FE15:FG15"/>
    <mergeCell ref="FH15:FI15"/>
    <mergeCell ref="FE16:FF16"/>
    <mergeCell ref="FG16:FI16"/>
    <mergeCell ref="FE17:FF17"/>
    <mergeCell ref="FG17:FI17"/>
    <mergeCell ref="FE18:FF18"/>
    <mergeCell ref="FG18:FI18"/>
    <mergeCell ref="FE19:FF19"/>
    <mergeCell ref="FG19:FI19"/>
    <mergeCell ref="FE20:FF20"/>
    <mergeCell ref="FG20:FI20"/>
    <mergeCell ref="FC21:FD21"/>
    <mergeCell ref="FC22:FD22"/>
    <mergeCell ref="EN21:EO21"/>
    <mergeCell ref="EN22:EO22"/>
    <mergeCell ref="EN23:EO23"/>
    <mergeCell ref="EN24:EO24"/>
    <mergeCell ref="EK25:EM25"/>
    <mergeCell ref="EN25:EO25"/>
    <mergeCell ref="EN26:EO26"/>
    <mergeCell ref="EK27:EO27"/>
    <mergeCell ref="EK28:EO29"/>
    <mergeCell ref="EF1:EF2"/>
    <mergeCell ref="EG1:EH2"/>
    <mergeCell ref="EI1:EI2"/>
    <mergeCell ref="EI3:EJ3"/>
    <mergeCell ref="EI4:EJ4"/>
    <mergeCell ref="EI5:EJ5"/>
    <mergeCell ref="EI6:EJ6"/>
    <mergeCell ref="EI7:EJ7"/>
    <mergeCell ref="EI8:EJ8"/>
    <mergeCell ref="EF9:EH9"/>
    <mergeCell ref="EI9:EJ9"/>
    <mergeCell ref="EF10:EG10"/>
    <mergeCell ref="EH10:EJ10"/>
    <mergeCell ref="EF11:EG11"/>
    <mergeCell ref="EH11:EJ11"/>
    <mergeCell ref="EF12:EG12"/>
    <mergeCell ref="EH12:EJ12"/>
    <mergeCell ref="EF13:EG13"/>
    <mergeCell ref="EH13:EJ13"/>
    <mergeCell ref="EF14:EG14"/>
    <mergeCell ref="EH14:EJ14"/>
    <mergeCell ref="EF15:EH15"/>
    <mergeCell ref="EI15:EJ15"/>
    <mergeCell ref="EF16:EG16"/>
    <mergeCell ref="EH16:EJ16"/>
    <mergeCell ref="EF17:EG17"/>
    <mergeCell ref="EH17:EJ17"/>
    <mergeCell ref="EF18:EG18"/>
    <mergeCell ref="EH18:EJ18"/>
    <mergeCell ref="EF19:EG19"/>
    <mergeCell ref="EH19:EJ19"/>
    <mergeCell ref="EF20:EG20"/>
    <mergeCell ref="EH20:EJ20"/>
    <mergeCell ref="EI21:EJ21"/>
    <mergeCell ref="EI22:EJ22"/>
    <mergeCell ref="EI23:EJ23"/>
    <mergeCell ref="EI24:EJ24"/>
    <mergeCell ref="EF25:EH25"/>
    <mergeCell ref="EI25:EJ25"/>
    <mergeCell ref="EI26:EJ26"/>
    <mergeCell ref="EF27:EJ27"/>
    <mergeCell ref="EF28:EJ29"/>
    <mergeCell ref="EK1:EK2"/>
    <mergeCell ref="EL1:EM2"/>
    <mergeCell ref="EN1:EN2"/>
    <mergeCell ref="EN3:EO3"/>
    <mergeCell ref="EN4:EO4"/>
    <mergeCell ref="EN5:EO5"/>
    <mergeCell ref="EN6:EO6"/>
    <mergeCell ref="EN7:EO7"/>
    <mergeCell ref="EN8:EO8"/>
    <mergeCell ref="EK9:EM9"/>
    <mergeCell ref="EN9:EO9"/>
    <mergeCell ref="EK10:EL10"/>
    <mergeCell ref="EM10:EO10"/>
    <mergeCell ref="DE21:DF21"/>
    <mergeCell ref="DE22:DF22"/>
    <mergeCell ref="DE23:DF23"/>
    <mergeCell ref="DE24:DF24"/>
    <mergeCell ref="DB25:DD25"/>
    <mergeCell ref="DE25:DF25"/>
    <mergeCell ref="DE26:DF26"/>
    <mergeCell ref="DB27:DF27"/>
    <mergeCell ref="DB28:DF29"/>
    <mergeCell ref="DB1:DB2"/>
    <mergeCell ref="DC1:DD2"/>
    <mergeCell ref="DE1:DE2"/>
    <mergeCell ref="DE3:DF3"/>
    <mergeCell ref="DE4:DF4"/>
    <mergeCell ref="DE5:DF5"/>
    <mergeCell ref="DE6:DF6"/>
    <mergeCell ref="DE7:DF7"/>
    <mergeCell ref="DE8:DF8"/>
    <mergeCell ref="DB9:DD9"/>
    <mergeCell ref="DE9:DF9"/>
    <mergeCell ref="DB10:DC10"/>
    <mergeCell ref="DD10:DF10"/>
    <mergeCell ref="DB11:DC11"/>
    <mergeCell ref="DD11:DF11"/>
    <mergeCell ref="DB12:DC12"/>
    <mergeCell ref="DD12:DF12"/>
    <mergeCell ref="DB13:DC13"/>
    <mergeCell ref="DD13:DF13"/>
    <mergeCell ref="DB14:DC14"/>
    <mergeCell ref="DD14:DF14"/>
    <mergeCell ref="DB15:DD15"/>
    <mergeCell ref="DE15:DF15"/>
    <mergeCell ref="DB16:DC16"/>
    <mergeCell ref="DD16:DF16"/>
    <mergeCell ref="DB17:DC17"/>
    <mergeCell ref="DD17:DF17"/>
    <mergeCell ref="DB18:DC18"/>
    <mergeCell ref="DD18:DF18"/>
    <mergeCell ref="DB19:DC19"/>
    <mergeCell ref="DD19:DF19"/>
    <mergeCell ref="DB20:DC20"/>
    <mergeCell ref="DD20:DF20"/>
    <mergeCell ref="CU21:CV21"/>
    <mergeCell ref="CU22:CV22"/>
    <mergeCell ref="CU23:CV23"/>
    <mergeCell ref="CU24:CV24"/>
    <mergeCell ref="CR25:CT25"/>
    <mergeCell ref="CU25:CV25"/>
    <mergeCell ref="CU26:CV26"/>
    <mergeCell ref="CR27:CV27"/>
    <mergeCell ref="CR28:CV29"/>
    <mergeCell ref="CR1:CR2"/>
    <mergeCell ref="CS1:CT2"/>
    <mergeCell ref="CU1:CU2"/>
    <mergeCell ref="CU3:CV3"/>
    <mergeCell ref="CU4:CV4"/>
    <mergeCell ref="CU5:CV5"/>
    <mergeCell ref="CU6:CV6"/>
    <mergeCell ref="CU7:CV7"/>
    <mergeCell ref="CU8:CV8"/>
    <mergeCell ref="CR9:CT9"/>
    <mergeCell ref="CU9:CV9"/>
    <mergeCell ref="CR10:CS10"/>
    <mergeCell ref="CT10:CV10"/>
    <mergeCell ref="CR11:CS11"/>
    <mergeCell ref="CT11:CV11"/>
    <mergeCell ref="CR12:CS12"/>
    <mergeCell ref="CT12:CV12"/>
    <mergeCell ref="CR13:CS13"/>
    <mergeCell ref="CT13:CV13"/>
    <mergeCell ref="CR14:CS14"/>
    <mergeCell ref="CT14:CV14"/>
    <mergeCell ref="CR15:CT15"/>
    <mergeCell ref="CU15:CV15"/>
    <mergeCell ref="CR16:CS16"/>
    <mergeCell ref="CT16:CV16"/>
    <mergeCell ref="CR17:CS17"/>
    <mergeCell ref="CT17:CV17"/>
    <mergeCell ref="CR18:CS18"/>
    <mergeCell ref="CT18:CV18"/>
    <mergeCell ref="CR19:CS19"/>
    <mergeCell ref="CT19:CV19"/>
    <mergeCell ref="CR20:CS20"/>
    <mergeCell ref="CT20:CV20"/>
    <mergeCell ref="CK21:CL21"/>
    <mergeCell ref="CK22:CL22"/>
    <mergeCell ref="CK23:CL23"/>
    <mergeCell ref="CK24:CL24"/>
    <mergeCell ref="CH25:CJ25"/>
    <mergeCell ref="CK25:CL25"/>
    <mergeCell ref="CK26:CL26"/>
    <mergeCell ref="CH27:CL27"/>
    <mergeCell ref="CH28:CL29"/>
    <mergeCell ref="CH1:CH2"/>
    <mergeCell ref="CI1:CJ2"/>
    <mergeCell ref="CK1:CK2"/>
    <mergeCell ref="CK3:CL3"/>
    <mergeCell ref="CK4:CL4"/>
    <mergeCell ref="CK5:CL5"/>
    <mergeCell ref="CK6:CL6"/>
    <mergeCell ref="CK7:CL7"/>
    <mergeCell ref="CK8:CL8"/>
    <mergeCell ref="CH9:CJ9"/>
    <mergeCell ref="CK9:CL9"/>
    <mergeCell ref="CH10:CI10"/>
    <mergeCell ref="CJ10:CL10"/>
    <mergeCell ref="CH11:CI11"/>
    <mergeCell ref="CJ11:CL11"/>
    <mergeCell ref="CH12:CI12"/>
    <mergeCell ref="CJ12:CL12"/>
    <mergeCell ref="CH13:CI13"/>
    <mergeCell ref="CJ13:CL13"/>
    <mergeCell ref="CH14:CI14"/>
    <mergeCell ref="CJ14:CL14"/>
    <mergeCell ref="CH15:CJ15"/>
    <mergeCell ref="CK15:CL15"/>
    <mergeCell ref="CH16:CI16"/>
    <mergeCell ref="CJ16:CL16"/>
    <mergeCell ref="CH17:CI17"/>
    <mergeCell ref="CJ17:CL17"/>
    <mergeCell ref="CH18:CI18"/>
    <mergeCell ref="CJ18:CL18"/>
    <mergeCell ref="CH19:CI19"/>
    <mergeCell ref="CJ19:CL19"/>
    <mergeCell ref="CH20:CI20"/>
    <mergeCell ref="CJ20:CL20"/>
    <mergeCell ref="CF21:CG21"/>
    <mergeCell ref="CF22:CG22"/>
    <mergeCell ref="CF23:CG23"/>
    <mergeCell ref="CF24:CG24"/>
    <mergeCell ref="CC25:CE25"/>
    <mergeCell ref="CF25:CG25"/>
    <mergeCell ref="CF26:CG26"/>
    <mergeCell ref="CC27:CG27"/>
    <mergeCell ref="CC28:CG29"/>
    <mergeCell ref="CC1:CC2"/>
    <mergeCell ref="CD1:CE2"/>
    <mergeCell ref="CF1:CF2"/>
    <mergeCell ref="CF3:CG3"/>
    <mergeCell ref="CF4:CG4"/>
    <mergeCell ref="CF5:CG5"/>
    <mergeCell ref="CF6:CG6"/>
    <mergeCell ref="CF7:CG7"/>
    <mergeCell ref="CF8:CG8"/>
    <mergeCell ref="CC9:CE9"/>
    <mergeCell ref="CF9:CG9"/>
    <mergeCell ref="CC10:CD10"/>
    <mergeCell ref="CE10:CG10"/>
    <mergeCell ref="CC11:CD11"/>
    <mergeCell ref="CE11:CG11"/>
    <mergeCell ref="CC12:CD12"/>
    <mergeCell ref="CE12:CG12"/>
    <mergeCell ref="CC13:CD13"/>
    <mergeCell ref="CE13:CG13"/>
    <mergeCell ref="CC14:CD14"/>
    <mergeCell ref="CE14:CG14"/>
    <mergeCell ref="CC15:CE15"/>
    <mergeCell ref="CF15:CG15"/>
    <mergeCell ref="CC16:CD16"/>
    <mergeCell ref="CE16:CG16"/>
    <mergeCell ref="CC17:CD17"/>
    <mergeCell ref="CE17:CG17"/>
    <mergeCell ref="CC18:CD18"/>
    <mergeCell ref="CE18:CG18"/>
    <mergeCell ref="CC19:CD19"/>
    <mergeCell ref="CE19:CG19"/>
    <mergeCell ref="CC20:CD20"/>
    <mergeCell ref="CE20:CG20"/>
    <mergeCell ref="BV21:BW21"/>
    <mergeCell ref="BV22:BW22"/>
    <mergeCell ref="BV23:BW23"/>
    <mergeCell ref="BV24:BW24"/>
    <mergeCell ref="BS25:BU25"/>
    <mergeCell ref="BV25:BW25"/>
    <mergeCell ref="BV26:BW26"/>
    <mergeCell ref="BS27:BW27"/>
    <mergeCell ref="BS28:BW29"/>
    <mergeCell ref="BS1:BS2"/>
    <mergeCell ref="BT1:BU2"/>
    <mergeCell ref="BV1:BV2"/>
    <mergeCell ref="BV3:BW3"/>
    <mergeCell ref="BV4:BW4"/>
    <mergeCell ref="BV5:BW5"/>
    <mergeCell ref="BV6:BW6"/>
    <mergeCell ref="BV7:BW7"/>
    <mergeCell ref="BV8:BW8"/>
    <mergeCell ref="BS9:BU9"/>
    <mergeCell ref="BV9:BW9"/>
    <mergeCell ref="BS10:BT10"/>
    <mergeCell ref="BU10:BW10"/>
    <mergeCell ref="BS11:BT11"/>
    <mergeCell ref="BU11:BW11"/>
    <mergeCell ref="BS12:BT12"/>
    <mergeCell ref="BU12:BW12"/>
    <mergeCell ref="BS13:BT13"/>
    <mergeCell ref="BU13:BW13"/>
    <mergeCell ref="BS14:BT14"/>
    <mergeCell ref="BU14:BW14"/>
    <mergeCell ref="BS15:BU15"/>
    <mergeCell ref="BV15:BW15"/>
    <mergeCell ref="BS16:BT16"/>
    <mergeCell ref="BU16:BW16"/>
    <mergeCell ref="BS17:BT17"/>
    <mergeCell ref="BU17:BW17"/>
    <mergeCell ref="BS18:BT18"/>
    <mergeCell ref="BU18:BW18"/>
    <mergeCell ref="BS19:BT19"/>
    <mergeCell ref="BU19:BW19"/>
    <mergeCell ref="BS20:BT20"/>
    <mergeCell ref="BU20:BW20"/>
    <mergeCell ref="BL21:BM21"/>
    <mergeCell ref="BL22:BM22"/>
    <mergeCell ref="BL23:BM23"/>
    <mergeCell ref="BL24:BM24"/>
    <mergeCell ref="BI25:BK25"/>
    <mergeCell ref="BL25:BM25"/>
    <mergeCell ref="BL26:BM26"/>
    <mergeCell ref="BI27:BM27"/>
    <mergeCell ref="BI28:BM29"/>
    <mergeCell ref="BI1:BI2"/>
    <mergeCell ref="BJ1:BK2"/>
    <mergeCell ref="BL1:BL2"/>
    <mergeCell ref="BL3:BM3"/>
    <mergeCell ref="BL4:BM4"/>
    <mergeCell ref="BL5:BM5"/>
    <mergeCell ref="BL6:BM6"/>
    <mergeCell ref="BL7:BM7"/>
    <mergeCell ref="BL8:BM8"/>
    <mergeCell ref="BI9:BK9"/>
    <mergeCell ref="BL9:BM9"/>
    <mergeCell ref="BI10:BJ10"/>
    <mergeCell ref="BK10:BM10"/>
    <mergeCell ref="BI11:BJ11"/>
    <mergeCell ref="BK11:BM11"/>
    <mergeCell ref="BI12:BJ12"/>
    <mergeCell ref="BK12:BM12"/>
    <mergeCell ref="BI13:BJ13"/>
    <mergeCell ref="BK13:BM13"/>
    <mergeCell ref="BI14:BJ14"/>
    <mergeCell ref="BK14:BM14"/>
    <mergeCell ref="BI15:BK15"/>
    <mergeCell ref="BL15:BM15"/>
    <mergeCell ref="BI16:BJ16"/>
    <mergeCell ref="BK16:BM16"/>
    <mergeCell ref="BI17:BJ17"/>
    <mergeCell ref="BK17:BM17"/>
    <mergeCell ref="BI18:BJ18"/>
    <mergeCell ref="BK18:BM18"/>
    <mergeCell ref="BI19:BJ19"/>
    <mergeCell ref="BK19:BM19"/>
    <mergeCell ref="BI20:BJ20"/>
    <mergeCell ref="BK20:BM20"/>
    <mergeCell ref="BB21:BC21"/>
    <mergeCell ref="BB22:BC22"/>
    <mergeCell ref="BB23:BC23"/>
    <mergeCell ref="BB24:BC24"/>
    <mergeCell ref="AY25:BA25"/>
    <mergeCell ref="BB25:BC25"/>
    <mergeCell ref="BB26:BC26"/>
    <mergeCell ref="AY27:BC27"/>
    <mergeCell ref="AY28:BC29"/>
    <mergeCell ref="AY1:AY2"/>
    <mergeCell ref="AZ1:BA2"/>
    <mergeCell ref="BB1:BB2"/>
    <mergeCell ref="BB3:BC3"/>
    <mergeCell ref="BB4:BC4"/>
    <mergeCell ref="BB5:BC5"/>
    <mergeCell ref="BB6:BC6"/>
    <mergeCell ref="BB7:BC7"/>
    <mergeCell ref="BB8:BC8"/>
    <mergeCell ref="AY9:BA9"/>
    <mergeCell ref="BB9:BC9"/>
    <mergeCell ref="AY10:AZ10"/>
    <mergeCell ref="BA10:BC10"/>
    <mergeCell ref="AY11:AZ11"/>
    <mergeCell ref="BA11:BC11"/>
    <mergeCell ref="AY12:AZ12"/>
    <mergeCell ref="BA12:BC12"/>
    <mergeCell ref="AY13:AZ13"/>
    <mergeCell ref="BA13:BC13"/>
    <mergeCell ref="AY14:AZ14"/>
    <mergeCell ref="BA14:BC14"/>
    <mergeCell ref="AY15:BA15"/>
    <mergeCell ref="BB15:BC15"/>
    <mergeCell ref="AY16:AZ16"/>
    <mergeCell ref="BA16:BC16"/>
    <mergeCell ref="AY17:AZ17"/>
    <mergeCell ref="BA17:BC17"/>
    <mergeCell ref="AY18:AZ18"/>
    <mergeCell ref="BA18:BC18"/>
    <mergeCell ref="AY19:AZ19"/>
    <mergeCell ref="BA19:BC19"/>
    <mergeCell ref="AY20:AZ20"/>
    <mergeCell ref="BA20:BC20"/>
    <mergeCell ref="AR21:AS21"/>
    <mergeCell ref="AR22:AS22"/>
    <mergeCell ref="AR23:AS23"/>
    <mergeCell ref="AR24:AS24"/>
    <mergeCell ref="AO25:AQ25"/>
    <mergeCell ref="AR25:AS25"/>
    <mergeCell ref="AR26:AS26"/>
    <mergeCell ref="AO27:AS27"/>
    <mergeCell ref="AO28:AS29"/>
    <mergeCell ref="AO1:AO2"/>
    <mergeCell ref="AP1:AQ2"/>
    <mergeCell ref="AR1:AR2"/>
    <mergeCell ref="AR3:AS3"/>
    <mergeCell ref="AR4:AS4"/>
    <mergeCell ref="AR5:AS5"/>
    <mergeCell ref="AR6:AS6"/>
    <mergeCell ref="AR7:AS7"/>
    <mergeCell ref="AR8:AS8"/>
    <mergeCell ref="AO9:AQ9"/>
    <mergeCell ref="AR9:AS9"/>
    <mergeCell ref="AO10:AP10"/>
    <mergeCell ref="AQ10:AS10"/>
    <mergeCell ref="AO11:AP11"/>
    <mergeCell ref="AQ11:AS11"/>
    <mergeCell ref="AO12:AP12"/>
    <mergeCell ref="AQ12:AS12"/>
    <mergeCell ref="AO13:AP13"/>
    <mergeCell ref="AQ13:AS13"/>
    <mergeCell ref="AO14:AP14"/>
    <mergeCell ref="AQ14:AS14"/>
    <mergeCell ref="AO15:AQ15"/>
    <mergeCell ref="AR15:AS15"/>
    <mergeCell ref="AO16:AP16"/>
    <mergeCell ref="AQ16:AS16"/>
    <mergeCell ref="AO17:AP17"/>
    <mergeCell ref="AQ17:AS17"/>
    <mergeCell ref="AO18:AP18"/>
    <mergeCell ref="AQ18:AS18"/>
    <mergeCell ref="AO19:AP19"/>
    <mergeCell ref="AQ19:AS19"/>
    <mergeCell ref="AO20:AP20"/>
    <mergeCell ref="AQ20:AS20"/>
    <mergeCell ref="AH21:AI21"/>
    <mergeCell ref="AH22:AI22"/>
    <mergeCell ref="AH23:AI23"/>
    <mergeCell ref="AH24:AI24"/>
    <mergeCell ref="AE25:AG25"/>
    <mergeCell ref="AH25:AI25"/>
    <mergeCell ref="AH26:AI26"/>
    <mergeCell ref="AE27:AI27"/>
    <mergeCell ref="AE28:AI29"/>
    <mergeCell ref="AE1:AE2"/>
    <mergeCell ref="AF1:AG2"/>
    <mergeCell ref="AH1:AH2"/>
    <mergeCell ref="AH3:AI3"/>
    <mergeCell ref="AH4:AI4"/>
    <mergeCell ref="AH5:AI5"/>
    <mergeCell ref="AH6:AI6"/>
    <mergeCell ref="AH7:AI7"/>
    <mergeCell ref="AH8:AI8"/>
    <mergeCell ref="AE9:AG9"/>
    <mergeCell ref="AH9:AI9"/>
    <mergeCell ref="AE10:AF10"/>
    <mergeCell ref="AG10:AI10"/>
    <mergeCell ref="AE11:AF11"/>
    <mergeCell ref="AG11:AI11"/>
    <mergeCell ref="AE12:AF12"/>
    <mergeCell ref="AG12:AI12"/>
    <mergeCell ref="AE13:AF13"/>
    <mergeCell ref="AG13:AI13"/>
    <mergeCell ref="AE14:AF14"/>
    <mergeCell ref="AG14:AI14"/>
    <mergeCell ref="AE15:AG15"/>
    <mergeCell ref="AH15:AI15"/>
    <mergeCell ref="AE16:AF16"/>
    <mergeCell ref="AG16:AI16"/>
    <mergeCell ref="AE17:AF17"/>
    <mergeCell ref="AG17:AI17"/>
    <mergeCell ref="AE18:AF18"/>
    <mergeCell ref="AG18:AI18"/>
    <mergeCell ref="AE19:AF19"/>
    <mergeCell ref="AG19:AI19"/>
    <mergeCell ref="AE20:AF20"/>
    <mergeCell ref="AG20:AI20"/>
    <mergeCell ref="X21:Y21"/>
    <mergeCell ref="X22:Y22"/>
    <mergeCell ref="X23:Y23"/>
    <mergeCell ref="X24:Y24"/>
    <mergeCell ref="U25:W25"/>
    <mergeCell ref="X25:Y25"/>
    <mergeCell ref="X26:Y26"/>
    <mergeCell ref="U27:Y27"/>
    <mergeCell ref="U28:Y29"/>
    <mergeCell ref="U1:U2"/>
    <mergeCell ref="V1:W2"/>
    <mergeCell ref="X1:X2"/>
    <mergeCell ref="X3:Y3"/>
    <mergeCell ref="X4:Y4"/>
    <mergeCell ref="X5:Y5"/>
    <mergeCell ref="X6:Y6"/>
    <mergeCell ref="X7:Y7"/>
    <mergeCell ref="X8:Y8"/>
    <mergeCell ref="U9:W9"/>
    <mergeCell ref="X9:Y9"/>
    <mergeCell ref="U10:V10"/>
    <mergeCell ref="W10:Y10"/>
    <mergeCell ref="U11:V11"/>
    <mergeCell ref="W11:Y11"/>
    <mergeCell ref="U12:V12"/>
    <mergeCell ref="W12:Y12"/>
    <mergeCell ref="U13:V13"/>
    <mergeCell ref="W13:Y13"/>
    <mergeCell ref="U14:V14"/>
    <mergeCell ref="W14:Y14"/>
    <mergeCell ref="U15:W15"/>
    <mergeCell ref="X15:Y15"/>
    <mergeCell ref="U16:V16"/>
    <mergeCell ref="W16:Y16"/>
    <mergeCell ref="U17:V17"/>
    <mergeCell ref="W17:Y17"/>
    <mergeCell ref="U18:V18"/>
    <mergeCell ref="W18:Y18"/>
    <mergeCell ref="U19:V19"/>
    <mergeCell ref="W19:Y19"/>
    <mergeCell ref="U20:V20"/>
    <mergeCell ref="W20:Y20"/>
    <mergeCell ref="S21:T21"/>
    <mergeCell ref="S22:T22"/>
    <mergeCell ref="S23:T23"/>
    <mergeCell ref="S24:T24"/>
    <mergeCell ref="P25:R25"/>
    <mergeCell ref="S25:T25"/>
    <mergeCell ref="S26:T26"/>
    <mergeCell ref="P27:T27"/>
    <mergeCell ref="P28:T29"/>
    <mergeCell ref="P1:P2"/>
    <mergeCell ref="Q1:R2"/>
    <mergeCell ref="S1:S2"/>
    <mergeCell ref="S3:T3"/>
    <mergeCell ref="S4:T4"/>
    <mergeCell ref="S5:T5"/>
    <mergeCell ref="S6:T6"/>
    <mergeCell ref="S7:T7"/>
    <mergeCell ref="S8:T8"/>
    <mergeCell ref="P9:R9"/>
    <mergeCell ref="S9:T9"/>
    <mergeCell ref="P10:Q10"/>
    <mergeCell ref="R10:T10"/>
    <mergeCell ref="P11:Q11"/>
    <mergeCell ref="R11:T11"/>
    <mergeCell ref="P12:Q12"/>
    <mergeCell ref="R12:T12"/>
    <mergeCell ref="P13:Q13"/>
    <mergeCell ref="R13:T13"/>
    <mergeCell ref="P14:Q14"/>
    <mergeCell ref="R14:T14"/>
    <mergeCell ref="P15:R15"/>
    <mergeCell ref="S15:T15"/>
    <mergeCell ref="P16:Q16"/>
    <mergeCell ref="R16:T16"/>
    <mergeCell ref="P17:Q17"/>
    <mergeCell ref="R17:T17"/>
    <mergeCell ref="P18:Q18"/>
    <mergeCell ref="R18:T18"/>
    <mergeCell ref="P19:Q19"/>
    <mergeCell ref="R19:T19"/>
    <mergeCell ref="P20:Q20"/>
    <mergeCell ref="R20:T20"/>
    <mergeCell ref="I21:J21"/>
    <mergeCell ref="I22:J22"/>
    <mergeCell ref="I23:J23"/>
    <mergeCell ref="I24:J24"/>
    <mergeCell ref="F25:H25"/>
    <mergeCell ref="I25:J25"/>
    <mergeCell ref="I26:J26"/>
    <mergeCell ref="F27:J27"/>
    <mergeCell ref="F28:J29"/>
    <mergeCell ref="F1:F2"/>
    <mergeCell ref="G1:H2"/>
    <mergeCell ref="I1:I2"/>
    <mergeCell ref="I3:J3"/>
    <mergeCell ref="I4:J4"/>
    <mergeCell ref="I5:J5"/>
    <mergeCell ref="I6:J6"/>
    <mergeCell ref="I7:J7"/>
    <mergeCell ref="I8:J8"/>
    <mergeCell ref="F9:H9"/>
    <mergeCell ref="I9:J9"/>
    <mergeCell ref="F10:G10"/>
    <mergeCell ref="H10:J10"/>
    <mergeCell ref="F11:G11"/>
    <mergeCell ref="H11:J11"/>
    <mergeCell ref="F12:G12"/>
    <mergeCell ref="H12:J12"/>
    <mergeCell ref="F13:G13"/>
    <mergeCell ref="H13:J13"/>
    <mergeCell ref="F14:G14"/>
    <mergeCell ref="H14:J14"/>
    <mergeCell ref="F15:H15"/>
    <mergeCell ref="I15:J15"/>
    <mergeCell ref="F16:G16"/>
    <mergeCell ref="H16:J16"/>
    <mergeCell ref="F17:G17"/>
    <mergeCell ref="H17:J17"/>
    <mergeCell ref="F18:G18"/>
    <mergeCell ref="H18:J18"/>
    <mergeCell ref="F19:G19"/>
    <mergeCell ref="H19:J19"/>
    <mergeCell ref="F20:G20"/>
    <mergeCell ref="H20:J20"/>
  </mergeCells>
  <conditionalFormatting sqref="CXT21:CXT29 CXT3 CXT8">
    <cfRule type="expression" dxfId="1631" priority="1731">
      <formula>IF(CXT3="NO",TRUE,IF(CXT3="no",TRUE,IF(CXT3="n",TRUE,IF(CXT3="N",TRUE,FALSE))))</formula>
    </cfRule>
  </conditionalFormatting>
  <conditionalFormatting sqref="CXT4">
    <cfRule type="expression" dxfId="1630" priority="1730">
      <formula>IF(CXT4="NO",TRUE,IF(CXT4="no",TRUE,IF(CXT4="n",TRUE,IF(CXT4="N",TRUE,FALSE))))</formula>
    </cfRule>
  </conditionalFormatting>
  <conditionalFormatting sqref="CXT3">
    <cfRule type="expression" dxfId="1629" priority="1729">
      <formula>IF(CXT3="YES",TRUE,IF(CXT3="yes",TRUE,IF(CXT3="y",TRUE,IF(CXT3="Y",TRUE,FALSE))))</formula>
    </cfRule>
  </conditionalFormatting>
  <conditionalFormatting sqref="CXP21:CXP29 CXP3 CXP8">
    <cfRule type="expression" dxfId="1628" priority="1728">
      <formula>IF(CXP3="NO",TRUE,IF(CXP3="no",TRUE,IF(CXP3="n",TRUE,IF(CXP3="N",TRUE,FALSE))))</formula>
    </cfRule>
  </conditionalFormatting>
  <conditionalFormatting sqref="CXP4">
    <cfRule type="expression" dxfId="1627" priority="1727">
      <formula>IF(CXP4="NO",TRUE,IF(CXP4="no",TRUE,IF(CXP4="n",TRUE,IF(CXP4="N",TRUE,FALSE))))</formula>
    </cfRule>
  </conditionalFormatting>
  <conditionalFormatting sqref="CXP3">
    <cfRule type="expression" dxfId="1626" priority="1726">
      <formula>IF(CXP3="YES",TRUE,IF(CXP3="yes",TRUE,IF(CXP3="y",TRUE,IF(CXP3="Y",TRUE,FALSE))))</formula>
    </cfRule>
  </conditionalFormatting>
  <conditionalFormatting sqref="CXL21:CXL29 CXL3 CXL8">
    <cfRule type="expression" dxfId="1625" priority="1725">
      <formula>IF(CXL3="NO",TRUE,IF(CXL3="no",TRUE,IF(CXL3="n",TRUE,IF(CXL3="N",TRUE,FALSE))))</formula>
    </cfRule>
  </conditionalFormatting>
  <conditionalFormatting sqref="CXL4">
    <cfRule type="expression" dxfId="1624" priority="1724">
      <formula>IF(CXL4="NO",TRUE,IF(CXL4="no",TRUE,IF(CXL4="n",TRUE,IF(CXL4="N",TRUE,FALSE))))</formula>
    </cfRule>
  </conditionalFormatting>
  <conditionalFormatting sqref="CXL3">
    <cfRule type="expression" dxfId="1623" priority="1723">
      <formula>IF(CXL3="YES",TRUE,IF(CXL3="yes",TRUE,IF(CXL3="y",TRUE,IF(CXL3="Y",TRUE,FALSE))))</formula>
    </cfRule>
  </conditionalFormatting>
  <conditionalFormatting sqref="CXH21:CXH29 CXH3 CXH8">
    <cfRule type="expression" dxfId="1622" priority="1719">
      <formula>IF(CXH3="NO",TRUE,IF(CXH3="no",TRUE,IF(CXH3="n",TRUE,IF(CXH3="N",TRUE,FALSE))))</formula>
    </cfRule>
  </conditionalFormatting>
  <conditionalFormatting sqref="CXH4">
    <cfRule type="expression" dxfId="1621" priority="1718">
      <formula>IF(CXH4="NO",TRUE,IF(CXH4="no",TRUE,IF(CXH4="n",TRUE,IF(CXH4="N",TRUE,FALSE))))</formula>
    </cfRule>
  </conditionalFormatting>
  <conditionalFormatting sqref="CXH3">
    <cfRule type="expression" dxfId="1620" priority="1717">
      <formula>IF(CXH3="YES",TRUE,IF(CXH3="yes",TRUE,IF(CXH3="y",TRUE,IF(CXH3="Y",TRUE,FALSE))))</formula>
    </cfRule>
  </conditionalFormatting>
  <conditionalFormatting sqref="CXD21:CXD29 CXD3 CXD8">
    <cfRule type="expression" dxfId="1619" priority="1716">
      <formula>IF(CXD3="NO",TRUE,IF(CXD3="no",TRUE,IF(CXD3="n",TRUE,IF(CXD3="N",TRUE,FALSE))))</formula>
    </cfRule>
  </conditionalFormatting>
  <conditionalFormatting sqref="CXD4">
    <cfRule type="expression" dxfId="1618" priority="1715">
      <formula>IF(CXD4="NO",TRUE,IF(CXD4="no",TRUE,IF(CXD4="n",TRUE,IF(CXD4="N",TRUE,FALSE))))</formula>
    </cfRule>
  </conditionalFormatting>
  <conditionalFormatting sqref="CXD3">
    <cfRule type="expression" dxfId="1617" priority="1714">
      <formula>IF(CXD3="YES",TRUE,IF(CXD3="yes",TRUE,IF(CXD3="y",TRUE,IF(CXD3="Y",TRUE,FALSE))))</formula>
    </cfRule>
  </conditionalFormatting>
  <conditionalFormatting sqref="CWZ21:CWZ29 CWZ3 CWZ8">
    <cfRule type="expression" dxfId="1616" priority="1704">
      <formula>IF(CWZ3="NO",TRUE,IF(CWZ3="no",TRUE,IF(CWZ3="n",TRUE,IF(CWZ3="N",TRUE,FALSE))))</formula>
    </cfRule>
  </conditionalFormatting>
  <conditionalFormatting sqref="CWZ4">
    <cfRule type="expression" dxfId="1615" priority="1703">
      <formula>IF(CWZ4="NO",TRUE,IF(CWZ4="no",TRUE,IF(CWZ4="n",TRUE,IF(CWZ4="N",TRUE,FALSE))))</formula>
    </cfRule>
  </conditionalFormatting>
  <conditionalFormatting sqref="CWZ3">
    <cfRule type="expression" dxfId="1614" priority="1702">
      <formula>IF(CWZ3="YES",TRUE,IF(CWZ3="yes",TRUE,IF(CWZ3="y",TRUE,IF(CWZ3="Y",TRUE,FALSE))))</formula>
    </cfRule>
  </conditionalFormatting>
  <conditionalFormatting sqref="CWV21:CWV29 CWV3 CWV8">
    <cfRule type="expression" dxfId="1613" priority="1701">
      <formula>IF(CWV3="NO",TRUE,IF(CWV3="no",TRUE,IF(CWV3="n",TRUE,IF(CWV3="N",TRUE,FALSE))))</formula>
    </cfRule>
  </conditionalFormatting>
  <conditionalFormatting sqref="CWV4">
    <cfRule type="expression" dxfId="1612" priority="1700">
      <formula>IF(CWV4="NO",TRUE,IF(CWV4="no",TRUE,IF(CWV4="n",TRUE,IF(CWV4="N",TRUE,FALSE))))</formula>
    </cfRule>
  </conditionalFormatting>
  <conditionalFormatting sqref="CWV3">
    <cfRule type="expression" dxfId="1611" priority="1699">
      <formula>IF(CWV3="YES",TRUE,IF(CWV3="yes",TRUE,IF(CWV3="y",TRUE,IF(CWV3="Y",TRUE,FALSE))))</formula>
    </cfRule>
  </conditionalFormatting>
  <conditionalFormatting sqref="CWR21:CWR29 CWR3 CWR8">
    <cfRule type="expression" dxfId="1610" priority="1698">
      <formula>IF(CWR3="NO",TRUE,IF(CWR3="no",TRUE,IF(CWR3="n",TRUE,IF(CWR3="N",TRUE,FALSE))))</formula>
    </cfRule>
  </conditionalFormatting>
  <conditionalFormatting sqref="CWR4">
    <cfRule type="expression" dxfId="1609" priority="1697">
      <formula>IF(CWR4="NO",TRUE,IF(CWR4="no",TRUE,IF(CWR4="n",TRUE,IF(CWR4="N",TRUE,FALSE))))</formula>
    </cfRule>
  </conditionalFormatting>
  <conditionalFormatting sqref="CWR3">
    <cfRule type="expression" dxfId="1608" priority="1696">
      <formula>IF(CWR3="YES",TRUE,IF(CWR3="yes",TRUE,IF(CWR3="y",TRUE,IF(CWR3="Y",TRUE,FALSE))))</formula>
    </cfRule>
  </conditionalFormatting>
  <conditionalFormatting sqref="CWN21:CWN29 CWN3 CWN8">
    <cfRule type="expression" dxfId="1607" priority="1695">
      <formula>IF(CWN3="NO",TRUE,IF(CWN3="no",TRUE,IF(CWN3="n",TRUE,IF(CWN3="N",TRUE,FALSE))))</formula>
    </cfRule>
  </conditionalFormatting>
  <conditionalFormatting sqref="CWN4">
    <cfRule type="expression" dxfId="1606" priority="1694">
      <formula>IF(CWN4="NO",TRUE,IF(CWN4="no",TRUE,IF(CWN4="n",TRUE,IF(CWN4="N",TRUE,FALSE))))</formula>
    </cfRule>
  </conditionalFormatting>
  <conditionalFormatting sqref="CWN3">
    <cfRule type="expression" dxfId="1605" priority="1693">
      <formula>IF(CWN3="YES",TRUE,IF(CWN3="yes",TRUE,IF(CWN3="y",TRUE,IF(CWN3="Y",TRUE,FALSE))))</formula>
    </cfRule>
  </conditionalFormatting>
  <conditionalFormatting sqref="CWJ21:CWJ29 CWJ3 CWJ8">
    <cfRule type="expression" dxfId="1604" priority="1686">
      <formula>IF(CWJ3="NO",TRUE,IF(CWJ3="no",TRUE,IF(CWJ3="n",TRUE,IF(CWJ3="N",TRUE,FALSE))))</formula>
    </cfRule>
  </conditionalFormatting>
  <conditionalFormatting sqref="CWJ4">
    <cfRule type="expression" dxfId="1603" priority="1685">
      <formula>IF(CWJ4="NO",TRUE,IF(CWJ4="no",TRUE,IF(CWJ4="n",TRUE,IF(CWJ4="N",TRUE,FALSE))))</formula>
    </cfRule>
  </conditionalFormatting>
  <conditionalFormatting sqref="CWJ3">
    <cfRule type="expression" dxfId="1602" priority="1684">
      <formula>IF(CWJ3="YES",TRUE,IF(CWJ3="yes",TRUE,IF(CWJ3="y",TRUE,IF(CWJ3="Y",TRUE,FALSE))))</formula>
    </cfRule>
  </conditionalFormatting>
  <conditionalFormatting sqref="CWF21:CWF29 CWF3 CWF8">
    <cfRule type="expression" dxfId="1601" priority="1683">
      <formula>IF(CWF3="NO",TRUE,IF(CWF3="no",TRUE,IF(CWF3="n",TRUE,IF(CWF3="N",TRUE,FALSE))))</formula>
    </cfRule>
  </conditionalFormatting>
  <conditionalFormatting sqref="CWF4">
    <cfRule type="expression" dxfId="1600" priority="1682">
      <formula>IF(CWF4="NO",TRUE,IF(CWF4="no",TRUE,IF(CWF4="n",TRUE,IF(CWF4="N",TRUE,FALSE))))</formula>
    </cfRule>
  </conditionalFormatting>
  <conditionalFormatting sqref="CWF3">
    <cfRule type="expression" dxfId="1599" priority="1681">
      <formula>IF(CWF3="YES",TRUE,IF(CWF3="yes",TRUE,IF(CWF3="y",TRUE,IF(CWF3="Y",TRUE,FALSE))))</formula>
    </cfRule>
  </conditionalFormatting>
  <conditionalFormatting sqref="CWB21:CWB29 CWB3 CWB8">
    <cfRule type="expression" dxfId="1598" priority="1680">
      <formula>IF(CWB3="NO",TRUE,IF(CWB3="no",TRUE,IF(CWB3="n",TRUE,IF(CWB3="N",TRUE,FALSE))))</formula>
    </cfRule>
  </conditionalFormatting>
  <conditionalFormatting sqref="CWB4">
    <cfRule type="expression" dxfId="1597" priority="1679">
      <formula>IF(CWB4="NO",TRUE,IF(CWB4="no",TRUE,IF(CWB4="n",TRUE,IF(CWB4="N",TRUE,FALSE))))</formula>
    </cfRule>
  </conditionalFormatting>
  <conditionalFormatting sqref="CWB3">
    <cfRule type="expression" dxfId="1596" priority="1678">
      <formula>IF(CWB3="YES",TRUE,IF(CWB3="yes",TRUE,IF(CWB3="y",TRUE,IF(CWB3="Y",TRUE,FALSE))))</formula>
    </cfRule>
  </conditionalFormatting>
  <conditionalFormatting sqref="CVX21:CVX29 CVX3 CVX8">
    <cfRule type="expression" dxfId="1595" priority="1677">
      <formula>IF(CVX3="NO",TRUE,IF(CVX3="no",TRUE,IF(CVX3="n",TRUE,IF(CVX3="N",TRUE,FALSE))))</formula>
    </cfRule>
  </conditionalFormatting>
  <conditionalFormatting sqref="CVX4">
    <cfRule type="expression" dxfId="1594" priority="1676">
      <formula>IF(CVX4="NO",TRUE,IF(CVX4="no",TRUE,IF(CVX4="n",TRUE,IF(CVX4="N",TRUE,FALSE))))</formula>
    </cfRule>
  </conditionalFormatting>
  <conditionalFormatting sqref="CVX3">
    <cfRule type="expression" dxfId="1593" priority="1675">
      <formula>IF(CVX3="YES",TRUE,IF(CVX3="yes",TRUE,IF(CVX3="y",TRUE,IF(CVX3="Y",TRUE,FALSE))))</formula>
    </cfRule>
  </conditionalFormatting>
  <conditionalFormatting sqref="CVT21:CVT29 CVT3 CVT8">
    <cfRule type="expression" dxfId="1592" priority="1674">
      <formula>IF(CVT3="NO",TRUE,IF(CVT3="no",TRUE,IF(CVT3="n",TRUE,IF(CVT3="N",TRUE,FALSE))))</formula>
    </cfRule>
  </conditionalFormatting>
  <conditionalFormatting sqref="CVT4">
    <cfRule type="expression" dxfId="1591" priority="1673">
      <formula>IF(CVT4="NO",TRUE,IF(CVT4="no",TRUE,IF(CVT4="n",TRUE,IF(CVT4="N",TRUE,FALSE))))</formula>
    </cfRule>
  </conditionalFormatting>
  <conditionalFormatting sqref="CVT3">
    <cfRule type="expression" dxfId="1590" priority="1672">
      <formula>IF(CVT3="YES",TRUE,IF(CVT3="yes",TRUE,IF(CVT3="y",TRUE,IF(CVT3="Y",TRUE,FALSE))))</formula>
    </cfRule>
  </conditionalFormatting>
  <conditionalFormatting sqref="CVP21:CVP29 CVP3 CVP8">
    <cfRule type="expression" dxfId="1589" priority="1671">
      <formula>IF(CVP3="NO",TRUE,IF(CVP3="no",TRUE,IF(CVP3="n",TRUE,IF(CVP3="N",TRUE,FALSE))))</formula>
    </cfRule>
  </conditionalFormatting>
  <conditionalFormatting sqref="CVP4">
    <cfRule type="expression" dxfId="1588" priority="1670">
      <formula>IF(CVP4="NO",TRUE,IF(CVP4="no",TRUE,IF(CVP4="n",TRUE,IF(CVP4="N",TRUE,FALSE))))</formula>
    </cfRule>
  </conditionalFormatting>
  <conditionalFormatting sqref="CVP3">
    <cfRule type="expression" dxfId="1587" priority="1669">
      <formula>IF(CVP3="YES",TRUE,IF(CVP3="yes",TRUE,IF(CVP3="y",TRUE,IF(CVP3="Y",TRUE,FALSE))))</formula>
    </cfRule>
  </conditionalFormatting>
  <conditionalFormatting sqref="CVL21:CVL29 CVL3 CVL8">
    <cfRule type="expression" dxfId="1586" priority="1668">
      <formula>IF(CVL3="NO",TRUE,IF(CVL3="no",TRUE,IF(CVL3="n",TRUE,IF(CVL3="N",TRUE,FALSE))))</formula>
    </cfRule>
  </conditionalFormatting>
  <conditionalFormatting sqref="CVL4">
    <cfRule type="expression" dxfId="1585" priority="1667">
      <formula>IF(CVL4="NO",TRUE,IF(CVL4="no",TRUE,IF(CVL4="n",TRUE,IF(CVL4="N",TRUE,FALSE))))</formula>
    </cfRule>
  </conditionalFormatting>
  <conditionalFormatting sqref="CVL3">
    <cfRule type="expression" dxfId="1584" priority="1666">
      <formula>IF(CVL3="YES",TRUE,IF(CVL3="yes",TRUE,IF(CVL3="y",TRUE,IF(CVL3="Y",TRUE,FALSE))))</formula>
    </cfRule>
  </conditionalFormatting>
  <conditionalFormatting sqref="CVH21:CVH29 CVH3 CVH8">
    <cfRule type="expression" dxfId="1583" priority="1665">
      <formula>IF(CVH3="NO",TRUE,IF(CVH3="no",TRUE,IF(CVH3="n",TRUE,IF(CVH3="N",TRUE,FALSE))))</formula>
    </cfRule>
  </conditionalFormatting>
  <conditionalFormatting sqref="CVH4">
    <cfRule type="expression" dxfId="1582" priority="1664">
      <formula>IF(CVH4="NO",TRUE,IF(CVH4="no",TRUE,IF(CVH4="n",TRUE,IF(CVH4="N",TRUE,FALSE))))</formula>
    </cfRule>
  </conditionalFormatting>
  <conditionalFormatting sqref="CVH3">
    <cfRule type="expression" dxfId="1581" priority="1663">
      <formula>IF(CVH3="YES",TRUE,IF(CVH3="yes",TRUE,IF(CVH3="y",TRUE,IF(CVH3="Y",TRUE,FALSE))))</formula>
    </cfRule>
  </conditionalFormatting>
  <conditionalFormatting sqref="CVD21:CVD29 CVD3 CVD8">
    <cfRule type="expression" dxfId="1580" priority="1662">
      <formula>IF(CVD3="NO",TRUE,IF(CVD3="no",TRUE,IF(CVD3="n",TRUE,IF(CVD3="N",TRUE,FALSE))))</formula>
    </cfRule>
  </conditionalFormatting>
  <conditionalFormatting sqref="CVD4">
    <cfRule type="expression" dxfId="1579" priority="1661">
      <formula>IF(CVD4="NO",TRUE,IF(CVD4="no",TRUE,IF(CVD4="n",TRUE,IF(CVD4="N",TRUE,FALSE))))</formula>
    </cfRule>
  </conditionalFormatting>
  <conditionalFormatting sqref="CVD3">
    <cfRule type="expression" dxfId="1578" priority="1660">
      <formula>IF(CVD3="YES",TRUE,IF(CVD3="yes",TRUE,IF(CVD3="y",TRUE,IF(CVD3="Y",TRUE,FALSE))))</formula>
    </cfRule>
  </conditionalFormatting>
  <conditionalFormatting sqref="CUZ21:CUZ29 CUZ3 CUZ8">
    <cfRule type="expression" dxfId="1577" priority="1659">
      <formula>IF(CUZ3="NO",TRUE,IF(CUZ3="no",TRUE,IF(CUZ3="n",TRUE,IF(CUZ3="N",TRUE,FALSE))))</formula>
    </cfRule>
  </conditionalFormatting>
  <conditionalFormatting sqref="CUZ4">
    <cfRule type="expression" dxfId="1576" priority="1658">
      <formula>IF(CUZ4="NO",TRUE,IF(CUZ4="no",TRUE,IF(CUZ4="n",TRUE,IF(CUZ4="N",TRUE,FALSE))))</formula>
    </cfRule>
  </conditionalFormatting>
  <conditionalFormatting sqref="CUZ3">
    <cfRule type="expression" dxfId="1575" priority="1657">
      <formula>IF(CUZ3="YES",TRUE,IF(CUZ3="yes",TRUE,IF(CUZ3="y",TRUE,IF(CUZ3="Y",TRUE,FALSE))))</formula>
    </cfRule>
  </conditionalFormatting>
  <conditionalFormatting sqref="CUV21:CUV29 CUV3 CUV8">
    <cfRule type="expression" dxfId="1574" priority="1656">
      <formula>IF(CUV3="NO",TRUE,IF(CUV3="no",TRUE,IF(CUV3="n",TRUE,IF(CUV3="N",TRUE,FALSE))))</formula>
    </cfRule>
  </conditionalFormatting>
  <conditionalFormatting sqref="CUV4">
    <cfRule type="expression" dxfId="1573" priority="1655">
      <formula>IF(CUV4="NO",TRUE,IF(CUV4="no",TRUE,IF(CUV4="n",TRUE,IF(CUV4="N",TRUE,FALSE))))</formula>
    </cfRule>
  </conditionalFormatting>
  <conditionalFormatting sqref="CUV3">
    <cfRule type="expression" dxfId="1572" priority="1654">
      <formula>IF(CUV3="YES",TRUE,IF(CUV3="yes",TRUE,IF(CUV3="y",TRUE,IF(CUV3="Y",TRUE,FALSE))))</formula>
    </cfRule>
  </conditionalFormatting>
  <conditionalFormatting sqref="CUR21:CUR29 CUR3 CUR8">
    <cfRule type="expression" dxfId="1571" priority="1653">
      <formula>IF(CUR3="NO",TRUE,IF(CUR3="no",TRUE,IF(CUR3="n",TRUE,IF(CUR3="N",TRUE,FALSE))))</formula>
    </cfRule>
  </conditionalFormatting>
  <conditionalFormatting sqref="CUR4">
    <cfRule type="expression" dxfId="1570" priority="1652">
      <formula>IF(CUR4="NO",TRUE,IF(CUR4="no",TRUE,IF(CUR4="n",TRUE,IF(CUR4="N",TRUE,FALSE))))</formula>
    </cfRule>
  </conditionalFormatting>
  <conditionalFormatting sqref="CUR3">
    <cfRule type="expression" dxfId="1569" priority="1651">
      <formula>IF(CUR3="YES",TRUE,IF(CUR3="yes",TRUE,IF(CUR3="y",TRUE,IF(CUR3="Y",TRUE,FALSE))))</formula>
    </cfRule>
  </conditionalFormatting>
  <conditionalFormatting sqref="CUN21:CUN29 CUN3 CUN8">
    <cfRule type="expression" dxfId="1568" priority="1650">
      <formula>IF(CUN3="NO",TRUE,IF(CUN3="no",TRUE,IF(CUN3="n",TRUE,IF(CUN3="N",TRUE,FALSE))))</formula>
    </cfRule>
  </conditionalFormatting>
  <conditionalFormatting sqref="CUN4">
    <cfRule type="expression" dxfId="1567" priority="1649">
      <formula>IF(CUN4="NO",TRUE,IF(CUN4="no",TRUE,IF(CUN4="n",TRUE,IF(CUN4="N",TRUE,FALSE))))</formula>
    </cfRule>
  </conditionalFormatting>
  <conditionalFormatting sqref="CUN3">
    <cfRule type="expression" dxfId="1566" priority="1648">
      <formula>IF(CUN3="YES",TRUE,IF(CUN3="yes",TRUE,IF(CUN3="y",TRUE,IF(CUN3="Y",TRUE,FALSE))))</formula>
    </cfRule>
  </conditionalFormatting>
  <conditionalFormatting sqref="CUJ21:CUJ29 CUJ3 CUJ8">
    <cfRule type="expression" dxfId="1565" priority="1647">
      <formula>IF(CUJ3="NO",TRUE,IF(CUJ3="no",TRUE,IF(CUJ3="n",TRUE,IF(CUJ3="N",TRUE,FALSE))))</formula>
    </cfRule>
  </conditionalFormatting>
  <conditionalFormatting sqref="CUJ4">
    <cfRule type="expression" dxfId="1564" priority="1646">
      <formula>IF(CUJ4="NO",TRUE,IF(CUJ4="no",TRUE,IF(CUJ4="n",TRUE,IF(CUJ4="N",TRUE,FALSE))))</formula>
    </cfRule>
  </conditionalFormatting>
  <conditionalFormatting sqref="CUJ3">
    <cfRule type="expression" dxfId="1563" priority="1645">
      <formula>IF(CUJ3="YES",TRUE,IF(CUJ3="yes",TRUE,IF(CUJ3="y",TRUE,IF(CUJ3="Y",TRUE,FALSE))))</formula>
    </cfRule>
  </conditionalFormatting>
  <conditionalFormatting sqref="CUF21:CUF29 CUF3 CUF8">
    <cfRule type="expression" dxfId="1562" priority="1644">
      <formula>IF(CUF3="NO",TRUE,IF(CUF3="no",TRUE,IF(CUF3="n",TRUE,IF(CUF3="N",TRUE,FALSE))))</formula>
    </cfRule>
  </conditionalFormatting>
  <conditionalFormatting sqref="CUF4">
    <cfRule type="expression" dxfId="1561" priority="1643">
      <formula>IF(CUF4="NO",TRUE,IF(CUF4="no",TRUE,IF(CUF4="n",TRUE,IF(CUF4="N",TRUE,FALSE))))</formula>
    </cfRule>
  </conditionalFormatting>
  <conditionalFormatting sqref="CUF3">
    <cfRule type="expression" dxfId="1560" priority="1642">
      <formula>IF(CUF3="YES",TRUE,IF(CUF3="yes",TRUE,IF(CUF3="y",TRUE,IF(CUF3="Y",TRUE,FALSE))))</formula>
    </cfRule>
  </conditionalFormatting>
  <conditionalFormatting sqref="CUB21:CUB29 CUB3 CUB8">
    <cfRule type="expression" dxfId="1559" priority="1641">
      <formula>IF(CUB3="NO",TRUE,IF(CUB3="no",TRUE,IF(CUB3="n",TRUE,IF(CUB3="N",TRUE,FALSE))))</formula>
    </cfRule>
  </conditionalFormatting>
  <conditionalFormatting sqref="CUB4">
    <cfRule type="expression" dxfId="1558" priority="1640">
      <formula>IF(CUB4="NO",TRUE,IF(CUB4="no",TRUE,IF(CUB4="n",TRUE,IF(CUB4="N",TRUE,FALSE))))</formula>
    </cfRule>
  </conditionalFormatting>
  <conditionalFormatting sqref="CUB3">
    <cfRule type="expression" dxfId="1557" priority="1639">
      <formula>IF(CUB3="YES",TRUE,IF(CUB3="yes",TRUE,IF(CUB3="y",TRUE,IF(CUB3="Y",TRUE,FALSE))))</formula>
    </cfRule>
  </conditionalFormatting>
  <conditionalFormatting sqref="CTX21:CTX29 CTX3 CTX8">
    <cfRule type="expression" dxfId="1556" priority="1632">
      <formula>IF(CTX3="NO",TRUE,IF(CTX3="no",TRUE,IF(CTX3="n",TRUE,IF(CTX3="N",TRUE,FALSE))))</formula>
    </cfRule>
  </conditionalFormatting>
  <conditionalFormatting sqref="CTX4">
    <cfRule type="expression" dxfId="1555" priority="1631">
      <formula>IF(CTX4="NO",TRUE,IF(CTX4="no",TRUE,IF(CTX4="n",TRUE,IF(CTX4="N",TRUE,FALSE))))</formula>
    </cfRule>
  </conditionalFormatting>
  <conditionalFormatting sqref="CTX3">
    <cfRule type="expression" dxfId="1554" priority="1630">
      <formula>IF(CTX3="YES",TRUE,IF(CTX3="yes",TRUE,IF(CTX3="y",TRUE,IF(CTX3="Y",TRUE,FALSE))))</formula>
    </cfRule>
  </conditionalFormatting>
  <conditionalFormatting sqref="CTT21:CTT29 CTT3 CTT8">
    <cfRule type="expression" dxfId="1553" priority="1629">
      <formula>IF(CTT3="NO",TRUE,IF(CTT3="no",TRUE,IF(CTT3="n",TRUE,IF(CTT3="N",TRUE,FALSE))))</formula>
    </cfRule>
  </conditionalFormatting>
  <conditionalFormatting sqref="CTT4">
    <cfRule type="expression" dxfId="1552" priority="1628">
      <formula>IF(CTT4="NO",TRUE,IF(CTT4="no",TRUE,IF(CTT4="n",TRUE,IF(CTT4="N",TRUE,FALSE))))</formula>
    </cfRule>
  </conditionalFormatting>
  <conditionalFormatting sqref="CTT3">
    <cfRule type="expression" dxfId="1551" priority="1627">
      <formula>IF(CTT3="YES",TRUE,IF(CTT3="yes",TRUE,IF(CTT3="y",TRUE,IF(CTT3="Y",TRUE,FALSE))))</formula>
    </cfRule>
  </conditionalFormatting>
  <conditionalFormatting sqref="CTP21:CTP29 CTP3 CTP8">
    <cfRule type="expression" dxfId="1550" priority="1626">
      <formula>IF(CTP3="NO",TRUE,IF(CTP3="no",TRUE,IF(CTP3="n",TRUE,IF(CTP3="N",TRUE,FALSE))))</formula>
    </cfRule>
  </conditionalFormatting>
  <conditionalFormatting sqref="CTP4">
    <cfRule type="expression" dxfId="1549" priority="1625">
      <formula>IF(CTP4="NO",TRUE,IF(CTP4="no",TRUE,IF(CTP4="n",TRUE,IF(CTP4="N",TRUE,FALSE))))</formula>
    </cfRule>
  </conditionalFormatting>
  <conditionalFormatting sqref="CTP3">
    <cfRule type="expression" dxfId="1548" priority="1624">
      <formula>IF(CTP3="YES",TRUE,IF(CTP3="yes",TRUE,IF(CTP3="y",TRUE,IF(CTP3="Y",TRUE,FALSE))))</formula>
    </cfRule>
  </conditionalFormatting>
  <conditionalFormatting sqref="CTL21:CTL29 CTL3 CTL8">
    <cfRule type="expression" dxfId="1547" priority="1623">
      <formula>IF(CTL3="NO",TRUE,IF(CTL3="no",TRUE,IF(CTL3="n",TRUE,IF(CTL3="N",TRUE,FALSE))))</formula>
    </cfRule>
  </conditionalFormatting>
  <conditionalFormatting sqref="CTL4">
    <cfRule type="expression" dxfId="1546" priority="1622">
      <formula>IF(CTL4="NO",TRUE,IF(CTL4="no",TRUE,IF(CTL4="n",TRUE,IF(CTL4="N",TRUE,FALSE))))</formula>
    </cfRule>
  </conditionalFormatting>
  <conditionalFormatting sqref="CTL3">
    <cfRule type="expression" dxfId="1545" priority="1621">
      <formula>IF(CTL3="YES",TRUE,IF(CTL3="yes",TRUE,IF(CTL3="y",TRUE,IF(CTL3="Y",TRUE,FALSE))))</formula>
    </cfRule>
  </conditionalFormatting>
  <conditionalFormatting sqref="CTH21:CTH29 CTH3 CTH8">
    <cfRule type="expression" dxfId="1544" priority="1620">
      <formula>IF(CTH3="NO",TRUE,IF(CTH3="no",TRUE,IF(CTH3="n",TRUE,IF(CTH3="N",TRUE,FALSE))))</formula>
    </cfRule>
  </conditionalFormatting>
  <conditionalFormatting sqref="CTH4">
    <cfRule type="expression" dxfId="1543" priority="1619">
      <formula>IF(CTH4="NO",TRUE,IF(CTH4="no",TRUE,IF(CTH4="n",TRUE,IF(CTH4="N",TRUE,FALSE))))</formula>
    </cfRule>
  </conditionalFormatting>
  <conditionalFormatting sqref="CTH3">
    <cfRule type="expression" dxfId="1542" priority="1618">
      <formula>IF(CTH3="YES",TRUE,IF(CTH3="yes",TRUE,IF(CTH3="y",TRUE,IF(CTH3="Y",TRUE,FALSE))))</formula>
    </cfRule>
  </conditionalFormatting>
  <conditionalFormatting sqref="CTD21:CTD29 CTD3 CTD8">
    <cfRule type="expression" dxfId="1541" priority="1617">
      <formula>IF(CTD3="NO",TRUE,IF(CTD3="no",TRUE,IF(CTD3="n",TRUE,IF(CTD3="N",TRUE,FALSE))))</formula>
    </cfRule>
  </conditionalFormatting>
  <conditionalFormatting sqref="CTD4">
    <cfRule type="expression" dxfId="1540" priority="1616">
      <formula>IF(CTD4="NO",TRUE,IF(CTD4="no",TRUE,IF(CTD4="n",TRUE,IF(CTD4="N",TRUE,FALSE))))</formula>
    </cfRule>
  </conditionalFormatting>
  <conditionalFormatting sqref="CTD3">
    <cfRule type="expression" dxfId="1539" priority="1615">
      <formula>IF(CTD3="YES",TRUE,IF(CTD3="yes",TRUE,IF(CTD3="y",TRUE,IF(CTD3="Y",TRUE,FALSE))))</formula>
    </cfRule>
  </conditionalFormatting>
  <conditionalFormatting sqref="CSZ21:CSZ29 CSZ3 CSZ8">
    <cfRule type="expression" dxfId="1538" priority="1614">
      <formula>IF(CSZ3="NO",TRUE,IF(CSZ3="no",TRUE,IF(CSZ3="n",TRUE,IF(CSZ3="N",TRUE,FALSE))))</formula>
    </cfRule>
  </conditionalFormatting>
  <conditionalFormatting sqref="CSZ4">
    <cfRule type="expression" dxfId="1537" priority="1613">
      <formula>IF(CSZ4="NO",TRUE,IF(CSZ4="no",TRUE,IF(CSZ4="n",TRUE,IF(CSZ4="N",TRUE,FALSE))))</formula>
    </cfRule>
  </conditionalFormatting>
  <conditionalFormatting sqref="CSZ3">
    <cfRule type="expression" dxfId="1536" priority="1612">
      <formula>IF(CSZ3="YES",TRUE,IF(CSZ3="yes",TRUE,IF(CSZ3="y",TRUE,IF(CSZ3="Y",TRUE,FALSE))))</formula>
    </cfRule>
  </conditionalFormatting>
  <conditionalFormatting sqref="CSV21:CSV29 CSV3 CSV8">
    <cfRule type="expression" dxfId="1535" priority="1611">
      <formula>IF(CSV3="NO",TRUE,IF(CSV3="no",TRUE,IF(CSV3="n",TRUE,IF(CSV3="N",TRUE,FALSE))))</formula>
    </cfRule>
  </conditionalFormatting>
  <conditionalFormatting sqref="CSV4">
    <cfRule type="expression" dxfId="1534" priority="1610">
      <formula>IF(CSV4="NO",TRUE,IF(CSV4="no",TRUE,IF(CSV4="n",TRUE,IF(CSV4="N",TRUE,FALSE))))</formula>
    </cfRule>
  </conditionalFormatting>
  <conditionalFormatting sqref="CSV3">
    <cfRule type="expression" dxfId="1533" priority="1609">
      <formula>IF(CSV3="YES",TRUE,IF(CSV3="yes",TRUE,IF(CSV3="y",TRUE,IF(CSV3="Y",TRUE,FALSE))))</formula>
    </cfRule>
  </conditionalFormatting>
  <conditionalFormatting sqref="CSR21:CSR29 CSR3 CSR8">
    <cfRule type="expression" dxfId="1532" priority="1608">
      <formula>IF(CSR3="NO",TRUE,IF(CSR3="no",TRUE,IF(CSR3="n",TRUE,IF(CSR3="N",TRUE,FALSE))))</formula>
    </cfRule>
  </conditionalFormatting>
  <conditionalFormatting sqref="CSR4">
    <cfRule type="expression" dxfId="1531" priority="1607">
      <formula>IF(CSR4="NO",TRUE,IF(CSR4="no",TRUE,IF(CSR4="n",TRUE,IF(CSR4="N",TRUE,FALSE))))</formula>
    </cfRule>
  </conditionalFormatting>
  <conditionalFormatting sqref="CSR3">
    <cfRule type="expression" dxfId="1530" priority="1606">
      <formula>IF(CSR3="YES",TRUE,IF(CSR3="yes",TRUE,IF(CSR3="y",TRUE,IF(CSR3="Y",TRUE,FALSE))))</formula>
    </cfRule>
  </conditionalFormatting>
  <conditionalFormatting sqref="CSN21:CSN29 CSN3 CSN8">
    <cfRule type="expression" dxfId="1529" priority="1605">
      <formula>IF(CSN3="NO",TRUE,IF(CSN3="no",TRUE,IF(CSN3="n",TRUE,IF(CSN3="N",TRUE,FALSE))))</formula>
    </cfRule>
  </conditionalFormatting>
  <conditionalFormatting sqref="CSN4">
    <cfRule type="expression" dxfId="1528" priority="1604">
      <formula>IF(CSN4="NO",TRUE,IF(CSN4="no",TRUE,IF(CSN4="n",TRUE,IF(CSN4="N",TRUE,FALSE))))</formula>
    </cfRule>
  </conditionalFormatting>
  <conditionalFormatting sqref="CSN3">
    <cfRule type="expression" dxfId="1527" priority="1603">
      <formula>IF(CSN3="YES",TRUE,IF(CSN3="yes",TRUE,IF(CSN3="y",TRUE,IF(CSN3="Y",TRUE,FALSE))))</formula>
    </cfRule>
  </conditionalFormatting>
  <conditionalFormatting sqref="CSJ21:CSJ29 CSJ3 CSJ8">
    <cfRule type="expression" dxfId="1526" priority="1602">
      <formula>IF(CSJ3="NO",TRUE,IF(CSJ3="no",TRUE,IF(CSJ3="n",TRUE,IF(CSJ3="N",TRUE,FALSE))))</formula>
    </cfRule>
  </conditionalFormatting>
  <conditionalFormatting sqref="CSJ4">
    <cfRule type="expression" dxfId="1525" priority="1601">
      <formula>IF(CSJ4="NO",TRUE,IF(CSJ4="no",TRUE,IF(CSJ4="n",TRUE,IF(CSJ4="N",TRUE,FALSE))))</formula>
    </cfRule>
  </conditionalFormatting>
  <conditionalFormatting sqref="CSJ3">
    <cfRule type="expression" dxfId="1524" priority="1600">
      <formula>IF(CSJ3="YES",TRUE,IF(CSJ3="yes",TRUE,IF(CSJ3="y",TRUE,IF(CSJ3="Y",TRUE,FALSE))))</formula>
    </cfRule>
  </conditionalFormatting>
  <conditionalFormatting sqref="CSF21:CSF29 CSF3 CSF8">
    <cfRule type="expression" dxfId="1523" priority="1599">
      <formula>IF(CSF3="NO",TRUE,IF(CSF3="no",TRUE,IF(CSF3="n",TRUE,IF(CSF3="N",TRUE,FALSE))))</formula>
    </cfRule>
  </conditionalFormatting>
  <conditionalFormatting sqref="CSF4">
    <cfRule type="expression" dxfId="1522" priority="1598">
      <formula>IF(CSF4="NO",TRUE,IF(CSF4="no",TRUE,IF(CSF4="n",TRUE,IF(CSF4="N",TRUE,FALSE))))</formula>
    </cfRule>
  </conditionalFormatting>
  <conditionalFormatting sqref="CSF3">
    <cfRule type="expression" dxfId="1521" priority="1597">
      <formula>IF(CSF3="YES",TRUE,IF(CSF3="yes",TRUE,IF(CSF3="y",TRUE,IF(CSF3="Y",TRUE,FALSE))))</formula>
    </cfRule>
  </conditionalFormatting>
  <conditionalFormatting sqref="CSB3 CSB8 CSB21:CSB28">
    <cfRule type="expression" dxfId="1520" priority="1596">
      <formula>IF(CSB3="NO",TRUE,IF(CSB3="no",TRUE,IF(CSB3="n",TRUE,IF(CSB3="N",TRUE,FALSE))))</formula>
    </cfRule>
  </conditionalFormatting>
  <conditionalFormatting sqref="CSB4">
    <cfRule type="expression" dxfId="1519" priority="1595">
      <formula>IF(CSB4="NO",TRUE,IF(CSB4="no",TRUE,IF(CSB4="n",TRUE,IF(CSB4="N",TRUE,FALSE))))</formula>
    </cfRule>
  </conditionalFormatting>
  <conditionalFormatting sqref="CSB3">
    <cfRule type="expression" dxfId="1518" priority="1594">
      <formula>IF(CSB3="YES",TRUE,IF(CSB3="yes",TRUE,IF(CSB3="y",TRUE,IF(CSB3="Y",TRUE,FALSE))))</formula>
    </cfRule>
  </conditionalFormatting>
  <conditionalFormatting sqref="CRW3 CRW8 CRW21:CRW28">
    <cfRule type="expression" dxfId="1517" priority="1593">
      <formula>IF(CRW3="NO",TRUE,IF(CRW3="no",TRUE,IF(CRW3="n",TRUE,IF(CRW3="N",TRUE,FALSE))))</formula>
    </cfRule>
  </conditionalFormatting>
  <conditionalFormatting sqref="CRW4">
    <cfRule type="expression" dxfId="1516" priority="1592">
      <formula>IF(CRW4="NO",TRUE,IF(CRW4="no",TRUE,IF(CRW4="n",TRUE,IF(CRW4="N",TRUE,FALSE))))</formula>
    </cfRule>
  </conditionalFormatting>
  <conditionalFormatting sqref="CRW3">
    <cfRule type="expression" dxfId="1515" priority="1591">
      <formula>IF(CRW3="YES",TRUE,IF(CRW3="yes",TRUE,IF(CRW3="y",TRUE,IF(CRW3="Y",TRUE,FALSE))))</formula>
    </cfRule>
  </conditionalFormatting>
  <conditionalFormatting sqref="CRR3 CRR8 CRR21:CRR28">
    <cfRule type="expression" dxfId="1514" priority="1584">
      <formula>IF(CRR3="NO",TRUE,IF(CRR3="no",TRUE,IF(CRR3="n",TRUE,IF(CRR3="N",TRUE,FALSE))))</formula>
    </cfRule>
  </conditionalFormatting>
  <conditionalFormatting sqref="CRR4">
    <cfRule type="expression" dxfId="1513" priority="1583">
      <formula>IF(CRR4="NO",TRUE,IF(CRR4="no",TRUE,IF(CRR4="n",TRUE,IF(CRR4="N",TRUE,FALSE))))</formula>
    </cfRule>
  </conditionalFormatting>
  <conditionalFormatting sqref="CRR3">
    <cfRule type="expression" dxfId="1512" priority="1582">
      <formula>IF(CRR3="YES",TRUE,IF(CRR3="yes",TRUE,IF(CRR3="y",TRUE,IF(CRR3="Y",TRUE,FALSE))))</formula>
    </cfRule>
  </conditionalFormatting>
  <conditionalFormatting sqref="CRM3 CRM8 CRM21:CRM28">
    <cfRule type="expression" dxfId="1511" priority="1581">
      <formula>IF(CRM3="NO",TRUE,IF(CRM3="no",TRUE,IF(CRM3="n",TRUE,IF(CRM3="N",TRUE,FALSE))))</formula>
    </cfRule>
  </conditionalFormatting>
  <conditionalFormatting sqref="CRM4">
    <cfRule type="expression" dxfId="1510" priority="1580">
      <formula>IF(CRM4="NO",TRUE,IF(CRM4="no",TRUE,IF(CRM4="n",TRUE,IF(CRM4="N",TRUE,FALSE))))</formula>
    </cfRule>
  </conditionalFormatting>
  <conditionalFormatting sqref="CRM3">
    <cfRule type="expression" dxfId="1509" priority="1579">
      <formula>IF(CRM3="YES",TRUE,IF(CRM3="yes",TRUE,IF(CRM3="y",TRUE,IF(CRM3="Y",TRUE,FALSE))))</formula>
    </cfRule>
  </conditionalFormatting>
  <conditionalFormatting sqref="CRH3 CRH8 CRH21:CRH28">
    <cfRule type="expression" dxfId="1508" priority="1578">
      <formula>IF(CRH3="NO",TRUE,IF(CRH3="no",TRUE,IF(CRH3="n",TRUE,IF(CRH3="N",TRUE,FALSE))))</formula>
    </cfRule>
  </conditionalFormatting>
  <conditionalFormatting sqref="CRH4">
    <cfRule type="expression" dxfId="1507" priority="1577">
      <formula>IF(CRH4="NO",TRUE,IF(CRH4="no",TRUE,IF(CRH4="n",TRUE,IF(CRH4="N",TRUE,FALSE))))</formula>
    </cfRule>
  </conditionalFormatting>
  <conditionalFormatting sqref="CRH3">
    <cfRule type="expression" dxfId="1506" priority="1576">
      <formula>IF(CRH3="YES",TRUE,IF(CRH3="yes",TRUE,IF(CRH3="y",TRUE,IF(CRH3="Y",TRUE,FALSE))))</formula>
    </cfRule>
  </conditionalFormatting>
  <conditionalFormatting sqref="CRC3 CRC8 CRC21:CRC26">
    <cfRule type="expression" dxfId="1505" priority="1506">
      <formula>IF(CRC3="NO",TRUE,IF(CRC3="no",TRUE,IF(CRC3="n",TRUE,IF(CRC3="N",TRUE,FALSE))))</formula>
    </cfRule>
  </conditionalFormatting>
  <conditionalFormatting sqref="CRC4">
    <cfRule type="expression" dxfId="1504" priority="1505">
      <formula>IF(CRC4="NO",TRUE,IF(CRC4="no",TRUE,IF(CRC4="n",TRUE,IF(CRC4="N",TRUE,FALSE))))</formula>
    </cfRule>
  </conditionalFormatting>
  <conditionalFormatting sqref="CRC3">
    <cfRule type="expression" dxfId="1503" priority="1504">
      <formula>IF(CRC3="YES",TRUE,IF(CRC3="yes",TRUE,IF(CRC3="y",TRUE,IF(CRC3="Y",TRUE,FALSE))))</formula>
    </cfRule>
  </conditionalFormatting>
  <conditionalFormatting sqref="CQX3 CQX8 CQX21:CQX26">
    <cfRule type="expression" dxfId="1502" priority="1503">
      <formula>IF(CQX3="NO",TRUE,IF(CQX3="no",TRUE,IF(CQX3="n",TRUE,IF(CQX3="N",TRUE,FALSE))))</formula>
    </cfRule>
  </conditionalFormatting>
  <conditionalFormatting sqref="CQX4">
    <cfRule type="expression" dxfId="1501" priority="1502">
      <formula>IF(CQX4="NO",TRUE,IF(CQX4="no",TRUE,IF(CQX4="n",TRUE,IF(CQX4="N",TRUE,FALSE))))</formula>
    </cfRule>
  </conditionalFormatting>
  <conditionalFormatting sqref="CQX3">
    <cfRule type="expression" dxfId="1500" priority="1501">
      <formula>IF(CQX3="YES",TRUE,IF(CQX3="yes",TRUE,IF(CQX3="y",TRUE,IF(CQX3="Y",TRUE,FALSE))))</formula>
    </cfRule>
  </conditionalFormatting>
  <conditionalFormatting sqref="CQS3 CQS8 CQS21:CQS26">
    <cfRule type="expression" dxfId="1499" priority="1500">
      <formula>IF(CQS3="NO",TRUE,IF(CQS3="no",TRUE,IF(CQS3="n",TRUE,IF(CQS3="N",TRUE,FALSE))))</formula>
    </cfRule>
  </conditionalFormatting>
  <conditionalFormatting sqref="CQS4">
    <cfRule type="expression" dxfId="1498" priority="1499">
      <formula>IF(CQS4="NO",TRUE,IF(CQS4="no",TRUE,IF(CQS4="n",TRUE,IF(CQS4="N",TRUE,FALSE))))</formula>
    </cfRule>
  </conditionalFormatting>
  <conditionalFormatting sqref="CQS3">
    <cfRule type="expression" dxfId="1497" priority="1498">
      <formula>IF(CQS3="YES",TRUE,IF(CQS3="yes",TRUE,IF(CQS3="y",TRUE,IF(CQS3="Y",TRUE,FALSE))))</formula>
    </cfRule>
  </conditionalFormatting>
  <conditionalFormatting sqref="CQN3 CQN8 CQN21:CQN26">
    <cfRule type="expression" dxfId="1496" priority="1497">
      <formula>IF(CQN3="NO",TRUE,IF(CQN3="no",TRUE,IF(CQN3="n",TRUE,IF(CQN3="N",TRUE,FALSE))))</formula>
    </cfRule>
  </conditionalFormatting>
  <conditionalFormatting sqref="CQN4">
    <cfRule type="expression" dxfId="1495" priority="1496">
      <formula>IF(CQN4="NO",TRUE,IF(CQN4="no",TRUE,IF(CQN4="n",TRUE,IF(CQN4="N",TRUE,FALSE))))</formula>
    </cfRule>
  </conditionalFormatting>
  <conditionalFormatting sqref="CQN3">
    <cfRule type="expression" dxfId="1494" priority="1495">
      <formula>IF(CQN3="YES",TRUE,IF(CQN3="yes",TRUE,IF(CQN3="y",TRUE,IF(CQN3="Y",TRUE,FALSE))))</formula>
    </cfRule>
  </conditionalFormatting>
  <conditionalFormatting sqref="CQI3 CQI8 CQI21:CQI26">
    <cfRule type="expression" dxfId="1493" priority="1494">
      <formula>IF(CQI3="NO",TRUE,IF(CQI3="no",TRUE,IF(CQI3="n",TRUE,IF(CQI3="N",TRUE,FALSE))))</formula>
    </cfRule>
  </conditionalFormatting>
  <conditionalFormatting sqref="CQI4">
    <cfRule type="expression" dxfId="1492" priority="1493">
      <formula>IF(CQI4="NO",TRUE,IF(CQI4="no",TRUE,IF(CQI4="n",TRUE,IF(CQI4="N",TRUE,FALSE))))</formula>
    </cfRule>
  </conditionalFormatting>
  <conditionalFormatting sqref="CQI3">
    <cfRule type="expression" dxfId="1491" priority="1492">
      <formula>IF(CQI3="YES",TRUE,IF(CQI3="yes",TRUE,IF(CQI3="y",TRUE,IF(CQI3="Y",TRUE,FALSE))))</formula>
    </cfRule>
  </conditionalFormatting>
  <conditionalFormatting sqref="CQD3 CQD8 CQD21:CQD26">
    <cfRule type="expression" dxfId="1490" priority="1491">
      <formula>IF(CQD3="NO",TRUE,IF(CQD3="no",TRUE,IF(CQD3="n",TRUE,IF(CQD3="N",TRUE,FALSE))))</formula>
    </cfRule>
  </conditionalFormatting>
  <conditionalFormatting sqref="CQD4">
    <cfRule type="expression" dxfId="1489" priority="1490">
      <formula>IF(CQD4="NO",TRUE,IF(CQD4="no",TRUE,IF(CQD4="n",TRUE,IF(CQD4="N",TRUE,FALSE))))</formula>
    </cfRule>
  </conditionalFormatting>
  <conditionalFormatting sqref="CQD3">
    <cfRule type="expression" dxfId="1488" priority="1489">
      <formula>IF(CQD3="YES",TRUE,IF(CQD3="yes",TRUE,IF(CQD3="y",TRUE,IF(CQD3="Y",TRUE,FALSE))))</formula>
    </cfRule>
  </conditionalFormatting>
  <conditionalFormatting sqref="CPY3 CPY8 CPY21:CPY26">
    <cfRule type="expression" dxfId="1487" priority="1488">
      <formula>IF(CPY3="NO",TRUE,IF(CPY3="no",TRUE,IF(CPY3="n",TRUE,IF(CPY3="N",TRUE,FALSE))))</formula>
    </cfRule>
  </conditionalFormatting>
  <conditionalFormatting sqref="CPY4">
    <cfRule type="expression" dxfId="1486" priority="1487">
      <formula>IF(CPY4="NO",TRUE,IF(CPY4="no",TRUE,IF(CPY4="n",TRUE,IF(CPY4="N",TRUE,FALSE))))</formula>
    </cfRule>
  </conditionalFormatting>
  <conditionalFormatting sqref="CPY3">
    <cfRule type="expression" dxfId="1485" priority="1486">
      <formula>IF(CPY3="YES",TRUE,IF(CPY3="yes",TRUE,IF(CPY3="y",TRUE,IF(CPY3="Y",TRUE,FALSE))))</formula>
    </cfRule>
  </conditionalFormatting>
  <conditionalFormatting sqref="CPT3 CPT8 CPT21:CPT26">
    <cfRule type="expression" dxfId="1484" priority="1485">
      <formula>IF(CPT3="NO",TRUE,IF(CPT3="no",TRUE,IF(CPT3="n",TRUE,IF(CPT3="N",TRUE,FALSE))))</formula>
    </cfRule>
  </conditionalFormatting>
  <conditionalFormatting sqref="CPT4">
    <cfRule type="expression" dxfId="1483" priority="1484">
      <formula>IF(CPT4="NO",TRUE,IF(CPT4="no",TRUE,IF(CPT4="n",TRUE,IF(CPT4="N",TRUE,FALSE))))</formula>
    </cfRule>
  </conditionalFormatting>
  <conditionalFormatting sqref="CPT3">
    <cfRule type="expression" dxfId="1482" priority="1483">
      <formula>IF(CPT3="YES",TRUE,IF(CPT3="yes",TRUE,IF(CPT3="y",TRUE,IF(CPT3="Y",TRUE,FALSE))))</formula>
    </cfRule>
  </conditionalFormatting>
  <conditionalFormatting sqref="CPO3 CPO8 CPO21:CPO26">
    <cfRule type="expression" dxfId="1481" priority="1482">
      <formula>IF(CPO3="NO",TRUE,IF(CPO3="no",TRUE,IF(CPO3="n",TRUE,IF(CPO3="N",TRUE,FALSE))))</formula>
    </cfRule>
  </conditionalFormatting>
  <conditionalFormatting sqref="CPO4">
    <cfRule type="expression" dxfId="1480" priority="1481">
      <formula>IF(CPO4="NO",TRUE,IF(CPO4="no",TRUE,IF(CPO4="n",TRUE,IF(CPO4="N",TRUE,FALSE))))</formula>
    </cfRule>
  </conditionalFormatting>
  <conditionalFormatting sqref="CPO3">
    <cfRule type="expression" dxfId="1479" priority="1480">
      <formula>IF(CPO3="YES",TRUE,IF(CPO3="yes",TRUE,IF(CPO3="y",TRUE,IF(CPO3="Y",TRUE,FALSE))))</formula>
    </cfRule>
  </conditionalFormatting>
  <conditionalFormatting sqref="CPJ3 CPJ8 CPJ21:CPJ26">
    <cfRule type="expression" dxfId="1478" priority="1479">
      <formula>IF(CPJ3="NO",TRUE,IF(CPJ3="no",TRUE,IF(CPJ3="n",TRUE,IF(CPJ3="N",TRUE,FALSE))))</formula>
    </cfRule>
  </conditionalFormatting>
  <conditionalFormatting sqref="CPJ4">
    <cfRule type="expression" dxfId="1477" priority="1478">
      <formula>IF(CPJ4="NO",TRUE,IF(CPJ4="no",TRUE,IF(CPJ4="n",TRUE,IF(CPJ4="N",TRUE,FALSE))))</formula>
    </cfRule>
  </conditionalFormatting>
  <conditionalFormatting sqref="CPJ3">
    <cfRule type="expression" dxfId="1476" priority="1477">
      <formula>IF(CPJ3="YES",TRUE,IF(CPJ3="yes",TRUE,IF(CPJ3="y",TRUE,IF(CPJ3="Y",TRUE,FALSE))))</formula>
    </cfRule>
  </conditionalFormatting>
  <conditionalFormatting sqref="CPE3 CPE8 CPE21:CPE26">
    <cfRule type="expression" dxfId="1475" priority="1476">
      <formula>IF(CPE3="NO",TRUE,IF(CPE3="no",TRUE,IF(CPE3="n",TRUE,IF(CPE3="N",TRUE,FALSE))))</formula>
    </cfRule>
  </conditionalFormatting>
  <conditionalFormatting sqref="CPE4">
    <cfRule type="expression" dxfId="1474" priority="1475">
      <formula>IF(CPE4="NO",TRUE,IF(CPE4="no",TRUE,IF(CPE4="n",TRUE,IF(CPE4="N",TRUE,FALSE))))</formula>
    </cfRule>
  </conditionalFormatting>
  <conditionalFormatting sqref="CPE3">
    <cfRule type="expression" dxfId="1473" priority="1474">
      <formula>IF(CPE3="YES",TRUE,IF(CPE3="yes",TRUE,IF(CPE3="y",TRUE,IF(CPE3="Y",TRUE,FALSE))))</formula>
    </cfRule>
  </conditionalFormatting>
  <conditionalFormatting sqref="COZ3 COZ8 COZ21:COZ26">
    <cfRule type="expression" dxfId="1472" priority="1473">
      <formula>IF(COZ3="NO",TRUE,IF(COZ3="no",TRUE,IF(COZ3="n",TRUE,IF(COZ3="N",TRUE,FALSE))))</formula>
    </cfRule>
  </conditionalFormatting>
  <conditionalFormatting sqref="COZ4">
    <cfRule type="expression" dxfId="1471" priority="1472">
      <formula>IF(COZ4="NO",TRUE,IF(COZ4="no",TRUE,IF(COZ4="n",TRUE,IF(COZ4="N",TRUE,FALSE))))</formula>
    </cfRule>
  </conditionalFormatting>
  <conditionalFormatting sqref="COZ3">
    <cfRule type="expression" dxfId="1470" priority="1471">
      <formula>IF(COZ3="YES",TRUE,IF(COZ3="yes",TRUE,IF(COZ3="y",TRUE,IF(COZ3="Y",TRUE,FALSE))))</formula>
    </cfRule>
  </conditionalFormatting>
  <conditionalFormatting sqref="COU3 COU8 COU21:COU26">
    <cfRule type="expression" dxfId="1469" priority="1470">
      <formula>IF(COU3="NO",TRUE,IF(COU3="no",TRUE,IF(COU3="n",TRUE,IF(COU3="N",TRUE,FALSE))))</formula>
    </cfRule>
  </conditionalFormatting>
  <conditionalFormatting sqref="COU4">
    <cfRule type="expression" dxfId="1468" priority="1469">
      <formula>IF(COU4="NO",TRUE,IF(COU4="no",TRUE,IF(COU4="n",TRUE,IF(COU4="N",TRUE,FALSE))))</formula>
    </cfRule>
  </conditionalFormatting>
  <conditionalFormatting sqref="COU3">
    <cfRule type="expression" dxfId="1467" priority="1468">
      <formula>IF(COU3="YES",TRUE,IF(COU3="yes",TRUE,IF(COU3="y",TRUE,IF(COU3="Y",TRUE,FALSE))))</formula>
    </cfRule>
  </conditionalFormatting>
  <conditionalFormatting sqref="COP3 COP8 COP21:COP26">
    <cfRule type="expression" dxfId="1466" priority="1467">
      <formula>IF(COP3="NO",TRUE,IF(COP3="no",TRUE,IF(COP3="n",TRUE,IF(COP3="N",TRUE,FALSE))))</formula>
    </cfRule>
  </conditionalFormatting>
  <conditionalFormatting sqref="COP4">
    <cfRule type="expression" dxfId="1465" priority="1466">
      <formula>IF(COP4="NO",TRUE,IF(COP4="no",TRUE,IF(COP4="n",TRUE,IF(COP4="N",TRUE,FALSE))))</formula>
    </cfRule>
  </conditionalFormatting>
  <conditionalFormatting sqref="COP3">
    <cfRule type="expression" dxfId="1464" priority="1465">
      <formula>IF(COP3="YES",TRUE,IF(COP3="yes",TRUE,IF(COP3="y",TRUE,IF(COP3="Y",TRUE,FALSE))))</formula>
    </cfRule>
  </conditionalFormatting>
  <conditionalFormatting sqref="COK3 COK8 COK21:COK26">
    <cfRule type="expression" dxfId="1463" priority="1464">
      <formula>IF(COK3="NO",TRUE,IF(COK3="no",TRUE,IF(COK3="n",TRUE,IF(COK3="N",TRUE,FALSE))))</formula>
    </cfRule>
  </conditionalFormatting>
  <conditionalFormatting sqref="COK4">
    <cfRule type="expression" dxfId="1462" priority="1463">
      <formula>IF(COK4="NO",TRUE,IF(COK4="no",TRUE,IF(COK4="n",TRUE,IF(COK4="N",TRUE,FALSE))))</formula>
    </cfRule>
  </conditionalFormatting>
  <conditionalFormatting sqref="COK3">
    <cfRule type="expression" dxfId="1461" priority="1462">
      <formula>IF(COK3="YES",TRUE,IF(COK3="yes",TRUE,IF(COK3="y",TRUE,IF(COK3="Y",TRUE,FALSE))))</formula>
    </cfRule>
  </conditionalFormatting>
  <conditionalFormatting sqref="COF3 COF8 COF21:COF26">
    <cfRule type="expression" dxfId="1460" priority="1461">
      <formula>IF(COF3="NO",TRUE,IF(COF3="no",TRUE,IF(COF3="n",TRUE,IF(COF3="N",TRUE,FALSE))))</formula>
    </cfRule>
  </conditionalFormatting>
  <conditionalFormatting sqref="COF4">
    <cfRule type="expression" dxfId="1459" priority="1460">
      <formula>IF(COF4="NO",TRUE,IF(COF4="no",TRUE,IF(COF4="n",TRUE,IF(COF4="N",TRUE,FALSE))))</formula>
    </cfRule>
  </conditionalFormatting>
  <conditionalFormatting sqref="COF3">
    <cfRule type="expression" dxfId="1458" priority="1459">
      <formula>IF(COF3="YES",TRUE,IF(COF3="yes",TRUE,IF(COF3="y",TRUE,IF(COF3="Y",TRUE,FALSE))))</formula>
    </cfRule>
  </conditionalFormatting>
  <conditionalFormatting sqref="COA3 COA8 COA21:COA26">
    <cfRule type="expression" dxfId="1457" priority="1458">
      <formula>IF(COA3="NO",TRUE,IF(COA3="no",TRUE,IF(COA3="n",TRUE,IF(COA3="N",TRUE,FALSE))))</formula>
    </cfRule>
  </conditionalFormatting>
  <conditionalFormatting sqref="COA4">
    <cfRule type="expression" dxfId="1456" priority="1457">
      <formula>IF(COA4="NO",TRUE,IF(COA4="no",TRUE,IF(COA4="n",TRUE,IF(COA4="N",TRUE,FALSE))))</formula>
    </cfRule>
  </conditionalFormatting>
  <conditionalFormatting sqref="COA3">
    <cfRule type="expression" dxfId="1455" priority="1456">
      <formula>IF(COA3="YES",TRUE,IF(COA3="yes",TRUE,IF(COA3="y",TRUE,IF(COA3="Y",TRUE,FALSE))))</formula>
    </cfRule>
  </conditionalFormatting>
  <conditionalFormatting sqref="CNV3 CNV8 CNV21:CNV26">
    <cfRule type="expression" dxfId="1454" priority="1455">
      <formula>IF(CNV3="NO",TRUE,IF(CNV3="no",TRUE,IF(CNV3="n",TRUE,IF(CNV3="N",TRUE,FALSE))))</formula>
    </cfRule>
  </conditionalFormatting>
  <conditionalFormatting sqref="CNV4">
    <cfRule type="expression" dxfId="1453" priority="1454">
      <formula>IF(CNV4="NO",TRUE,IF(CNV4="no",TRUE,IF(CNV4="n",TRUE,IF(CNV4="N",TRUE,FALSE))))</formula>
    </cfRule>
  </conditionalFormatting>
  <conditionalFormatting sqref="CNV3">
    <cfRule type="expression" dxfId="1452" priority="1453">
      <formula>IF(CNV3="YES",TRUE,IF(CNV3="yes",TRUE,IF(CNV3="y",TRUE,IF(CNV3="Y",TRUE,FALSE))))</formula>
    </cfRule>
  </conditionalFormatting>
  <conditionalFormatting sqref="CNQ3 CNQ8 CNQ21:CNQ26">
    <cfRule type="expression" dxfId="1451" priority="1452">
      <formula>IF(CNQ3="NO",TRUE,IF(CNQ3="no",TRUE,IF(CNQ3="n",TRUE,IF(CNQ3="N",TRUE,FALSE))))</formula>
    </cfRule>
  </conditionalFormatting>
  <conditionalFormatting sqref="CNQ4">
    <cfRule type="expression" dxfId="1450" priority="1451">
      <formula>IF(CNQ4="NO",TRUE,IF(CNQ4="no",TRUE,IF(CNQ4="n",TRUE,IF(CNQ4="N",TRUE,FALSE))))</formula>
    </cfRule>
  </conditionalFormatting>
  <conditionalFormatting sqref="CNQ3">
    <cfRule type="expression" dxfId="1449" priority="1450">
      <formula>IF(CNQ3="YES",TRUE,IF(CNQ3="yes",TRUE,IF(CNQ3="y",TRUE,IF(CNQ3="Y",TRUE,FALSE))))</formula>
    </cfRule>
  </conditionalFormatting>
  <conditionalFormatting sqref="CNL3 CNL8 CNL21:CNL26">
    <cfRule type="expression" dxfId="1448" priority="1449">
      <formula>IF(CNL3="NO",TRUE,IF(CNL3="no",TRUE,IF(CNL3="n",TRUE,IF(CNL3="N",TRUE,FALSE))))</formula>
    </cfRule>
  </conditionalFormatting>
  <conditionalFormatting sqref="CNL4">
    <cfRule type="expression" dxfId="1447" priority="1448">
      <formula>IF(CNL4="NO",TRUE,IF(CNL4="no",TRUE,IF(CNL4="n",TRUE,IF(CNL4="N",TRUE,FALSE))))</formula>
    </cfRule>
  </conditionalFormatting>
  <conditionalFormatting sqref="CNL3">
    <cfRule type="expression" dxfId="1446" priority="1447">
      <formula>IF(CNL3="YES",TRUE,IF(CNL3="yes",TRUE,IF(CNL3="y",TRUE,IF(CNL3="Y",TRUE,FALSE))))</formula>
    </cfRule>
  </conditionalFormatting>
  <conditionalFormatting sqref="CNG3 CNG8 CNG21:CNG26">
    <cfRule type="expression" dxfId="1445" priority="1446">
      <formula>IF(CNG3="NO",TRUE,IF(CNG3="no",TRUE,IF(CNG3="n",TRUE,IF(CNG3="N",TRUE,FALSE))))</formula>
    </cfRule>
  </conditionalFormatting>
  <conditionalFormatting sqref="CNG4">
    <cfRule type="expression" dxfId="1444" priority="1445">
      <formula>IF(CNG4="NO",TRUE,IF(CNG4="no",TRUE,IF(CNG4="n",TRUE,IF(CNG4="N",TRUE,FALSE))))</formula>
    </cfRule>
  </conditionalFormatting>
  <conditionalFormatting sqref="CNG3">
    <cfRule type="expression" dxfId="1443" priority="1444">
      <formula>IF(CNG3="YES",TRUE,IF(CNG3="yes",TRUE,IF(CNG3="y",TRUE,IF(CNG3="Y",TRUE,FALSE))))</formula>
    </cfRule>
  </conditionalFormatting>
  <conditionalFormatting sqref="CNB3 CNB8 CNB21:CNB26">
    <cfRule type="expression" dxfId="1442" priority="1443">
      <formula>IF(CNB3="NO",TRUE,IF(CNB3="no",TRUE,IF(CNB3="n",TRUE,IF(CNB3="N",TRUE,FALSE))))</formula>
    </cfRule>
  </conditionalFormatting>
  <conditionalFormatting sqref="CNB4">
    <cfRule type="expression" dxfId="1441" priority="1442">
      <formula>IF(CNB4="NO",TRUE,IF(CNB4="no",TRUE,IF(CNB4="n",TRUE,IF(CNB4="N",TRUE,FALSE))))</formula>
    </cfRule>
  </conditionalFormatting>
  <conditionalFormatting sqref="CNB3">
    <cfRule type="expression" dxfId="1440" priority="1441">
      <formula>IF(CNB3="YES",TRUE,IF(CNB3="yes",TRUE,IF(CNB3="y",TRUE,IF(CNB3="Y",TRUE,FALSE))))</formula>
    </cfRule>
  </conditionalFormatting>
  <conditionalFormatting sqref="CMW3 CMW8 CMW21:CMW26">
    <cfRule type="expression" dxfId="1439" priority="1440">
      <formula>IF(CMW3="NO",TRUE,IF(CMW3="no",TRUE,IF(CMW3="n",TRUE,IF(CMW3="N",TRUE,FALSE))))</formula>
    </cfRule>
  </conditionalFormatting>
  <conditionalFormatting sqref="CMW4">
    <cfRule type="expression" dxfId="1438" priority="1439">
      <formula>IF(CMW4="NO",TRUE,IF(CMW4="no",TRUE,IF(CMW4="n",TRUE,IF(CMW4="N",TRUE,FALSE))))</formula>
    </cfRule>
  </conditionalFormatting>
  <conditionalFormatting sqref="CMW3">
    <cfRule type="expression" dxfId="1437" priority="1438">
      <formula>IF(CMW3="YES",TRUE,IF(CMW3="yes",TRUE,IF(CMW3="y",TRUE,IF(CMW3="Y",TRUE,FALSE))))</formula>
    </cfRule>
  </conditionalFormatting>
  <conditionalFormatting sqref="CMR3 CMR8 CMR21:CMR26">
    <cfRule type="expression" dxfId="1436" priority="1437">
      <formula>IF(CMR3="NO",TRUE,IF(CMR3="no",TRUE,IF(CMR3="n",TRUE,IF(CMR3="N",TRUE,FALSE))))</formula>
    </cfRule>
  </conditionalFormatting>
  <conditionalFormatting sqref="CMR4">
    <cfRule type="expression" dxfId="1435" priority="1436">
      <formula>IF(CMR4="NO",TRUE,IF(CMR4="no",TRUE,IF(CMR4="n",TRUE,IF(CMR4="N",TRUE,FALSE))))</formula>
    </cfRule>
  </conditionalFormatting>
  <conditionalFormatting sqref="CMR3">
    <cfRule type="expression" dxfId="1434" priority="1435">
      <formula>IF(CMR3="YES",TRUE,IF(CMR3="yes",TRUE,IF(CMR3="y",TRUE,IF(CMR3="Y",TRUE,FALSE))))</formula>
    </cfRule>
  </conditionalFormatting>
  <conditionalFormatting sqref="CMM3 CMM8 CMM21:CMM26">
    <cfRule type="expression" dxfId="1433" priority="1434">
      <formula>IF(CMM3="NO",TRUE,IF(CMM3="no",TRUE,IF(CMM3="n",TRUE,IF(CMM3="N",TRUE,FALSE))))</formula>
    </cfRule>
  </conditionalFormatting>
  <conditionalFormatting sqref="CMM4">
    <cfRule type="expression" dxfId="1432" priority="1433">
      <formula>IF(CMM4="NO",TRUE,IF(CMM4="no",TRUE,IF(CMM4="n",TRUE,IF(CMM4="N",TRUE,FALSE))))</formula>
    </cfRule>
  </conditionalFormatting>
  <conditionalFormatting sqref="CMM3">
    <cfRule type="expression" dxfId="1431" priority="1432">
      <formula>IF(CMM3="YES",TRUE,IF(CMM3="yes",TRUE,IF(CMM3="y",TRUE,IF(CMM3="Y",TRUE,FALSE))))</formula>
    </cfRule>
  </conditionalFormatting>
  <conditionalFormatting sqref="CMH3 CMH8 CMH21:CMH26">
    <cfRule type="expression" dxfId="1430" priority="1431">
      <formula>IF(CMH3="NO",TRUE,IF(CMH3="no",TRUE,IF(CMH3="n",TRUE,IF(CMH3="N",TRUE,FALSE))))</formula>
    </cfRule>
  </conditionalFormatting>
  <conditionalFormatting sqref="CMH4">
    <cfRule type="expression" dxfId="1429" priority="1430">
      <formula>IF(CMH4="NO",TRUE,IF(CMH4="no",TRUE,IF(CMH4="n",TRUE,IF(CMH4="N",TRUE,FALSE))))</formula>
    </cfRule>
  </conditionalFormatting>
  <conditionalFormatting sqref="CMH3">
    <cfRule type="expression" dxfId="1428" priority="1429">
      <formula>IF(CMH3="YES",TRUE,IF(CMH3="yes",TRUE,IF(CMH3="y",TRUE,IF(CMH3="Y",TRUE,FALSE))))</formula>
    </cfRule>
  </conditionalFormatting>
  <conditionalFormatting sqref="CMC3 CMC8 CMC21:CMC26">
    <cfRule type="expression" dxfId="1427" priority="1428">
      <formula>IF(CMC3="NO",TRUE,IF(CMC3="no",TRUE,IF(CMC3="n",TRUE,IF(CMC3="N",TRUE,FALSE))))</formula>
    </cfRule>
  </conditionalFormatting>
  <conditionalFormatting sqref="CMC4">
    <cfRule type="expression" dxfId="1426" priority="1427">
      <formula>IF(CMC4="NO",TRUE,IF(CMC4="no",TRUE,IF(CMC4="n",TRUE,IF(CMC4="N",TRUE,FALSE))))</formula>
    </cfRule>
  </conditionalFormatting>
  <conditionalFormatting sqref="CMC3">
    <cfRule type="expression" dxfId="1425" priority="1426">
      <formula>IF(CMC3="YES",TRUE,IF(CMC3="yes",TRUE,IF(CMC3="y",TRUE,IF(CMC3="Y",TRUE,FALSE))))</formula>
    </cfRule>
  </conditionalFormatting>
  <conditionalFormatting sqref="CLX3 CLX8 CLX21:CLX26">
    <cfRule type="expression" dxfId="1424" priority="1425">
      <formula>IF(CLX3="NO",TRUE,IF(CLX3="no",TRUE,IF(CLX3="n",TRUE,IF(CLX3="N",TRUE,FALSE))))</formula>
    </cfRule>
  </conditionalFormatting>
  <conditionalFormatting sqref="CLX4">
    <cfRule type="expression" dxfId="1423" priority="1424">
      <formula>IF(CLX4="NO",TRUE,IF(CLX4="no",TRUE,IF(CLX4="n",TRUE,IF(CLX4="N",TRUE,FALSE))))</formula>
    </cfRule>
  </conditionalFormatting>
  <conditionalFormatting sqref="CLX3">
    <cfRule type="expression" dxfId="1422" priority="1423">
      <formula>IF(CLX3="YES",TRUE,IF(CLX3="yes",TRUE,IF(CLX3="y",TRUE,IF(CLX3="Y",TRUE,FALSE))))</formula>
    </cfRule>
  </conditionalFormatting>
  <conditionalFormatting sqref="CLS3 CLS8 CLS21:CLS26">
    <cfRule type="expression" dxfId="1421" priority="1422">
      <formula>IF(CLS3="NO",TRUE,IF(CLS3="no",TRUE,IF(CLS3="n",TRUE,IF(CLS3="N",TRUE,FALSE))))</formula>
    </cfRule>
  </conditionalFormatting>
  <conditionalFormatting sqref="CLS4">
    <cfRule type="expression" dxfId="1420" priority="1421">
      <formula>IF(CLS4="NO",TRUE,IF(CLS4="no",TRUE,IF(CLS4="n",TRUE,IF(CLS4="N",TRUE,FALSE))))</formula>
    </cfRule>
  </conditionalFormatting>
  <conditionalFormatting sqref="CLS3">
    <cfRule type="expression" dxfId="1419" priority="1420">
      <formula>IF(CLS3="YES",TRUE,IF(CLS3="yes",TRUE,IF(CLS3="y",TRUE,IF(CLS3="Y",TRUE,FALSE))))</formula>
    </cfRule>
  </conditionalFormatting>
  <conditionalFormatting sqref="CLN3 CLN8 CLN21:CLN26">
    <cfRule type="expression" dxfId="1418" priority="1419">
      <formula>IF(CLN3="NO",TRUE,IF(CLN3="no",TRUE,IF(CLN3="n",TRUE,IF(CLN3="N",TRUE,FALSE))))</formula>
    </cfRule>
  </conditionalFormatting>
  <conditionalFormatting sqref="CLN4">
    <cfRule type="expression" dxfId="1417" priority="1418">
      <formula>IF(CLN4="NO",TRUE,IF(CLN4="no",TRUE,IF(CLN4="n",TRUE,IF(CLN4="N",TRUE,FALSE))))</formula>
    </cfRule>
  </conditionalFormatting>
  <conditionalFormatting sqref="CLN3">
    <cfRule type="expression" dxfId="1416" priority="1417">
      <formula>IF(CLN3="YES",TRUE,IF(CLN3="yes",TRUE,IF(CLN3="y",TRUE,IF(CLN3="Y",TRUE,FALSE))))</formula>
    </cfRule>
  </conditionalFormatting>
  <conditionalFormatting sqref="CLI3 CLI8 CLI21:CLI26">
    <cfRule type="expression" dxfId="1415" priority="1416">
      <formula>IF(CLI3="NO",TRUE,IF(CLI3="no",TRUE,IF(CLI3="n",TRUE,IF(CLI3="N",TRUE,FALSE))))</formula>
    </cfRule>
  </conditionalFormatting>
  <conditionalFormatting sqref="CLI4">
    <cfRule type="expression" dxfId="1414" priority="1415">
      <formula>IF(CLI4="NO",TRUE,IF(CLI4="no",TRUE,IF(CLI4="n",TRUE,IF(CLI4="N",TRUE,FALSE))))</formula>
    </cfRule>
  </conditionalFormatting>
  <conditionalFormatting sqref="CLI3">
    <cfRule type="expression" dxfId="1413" priority="1414">
      <formula>IF(CLI3="YES",TRUE,IF(CLI3="yes",TRUE,IF(CLI3="y",TRUE,IF(CLI3="Y",TRUE,FALSE))))</formula>
    </cfRule>
  </conditionalFormatting>
  <conditionalFormatting sqref="CLD3 CLD8 CLD21:CLD26">
    <cfRule type="expression" dxfId="1412" priority="1413">
      <formula>IF(CLD3="NO",TRUE,IF(CLD3="no",TRUE,IF(CLD3="n",TRUE,IF(CLD3="N",TRUE,FALSE))))</formula>
    </cfRule>
  </conditionalFormatting>
  <conditionalFormatting sqref="CLD4">
    <cfRule type="expression" dxfId="1411" priority="1412">
      <formula>IF(CLD4="NO",TRUE,IF(CLD4="no",TRUE,IF(CLD4="n",TRUE,IF(CLD4="N",TRUE,FALSE))))</formula>
    </cfRule>
  </conditionalFormatting>
  <conditionalFormatting sqref="CLD3">
    <cfRule type="expression" dxfId="1410" priority="1411">
      <formula>IF(CLD3="YES",TRUE,IF(CLD3="yes",TRUE,IF(CLD3="y",TRUE,IF(CLD3="Y",TRUE,FALSE))))</formula>
    </cfRule>
  </conditionalFormatting>
  <conditionalFormatting sqref="CKY3 CKY8 CKY21:CKY26">
    <cfRule type="expression" dxfId="1409" priority="1410">
      <formula>IF(CKY3="NO",TRUE,IF(CKY3="no",TRUE,IF(CKY3="n",TRUE,IF(CKY3="N",TRUE,FALSE))))</formula>
    </cfRule>
  </conditionalFormatting>
  <conditionalFormatting sqref="CKY4">
    <cfRule type="expression" dxfId="1408" priority="1409">
      <formula>IF(CKY4="NO",TRUE,IF(CKY4="no",TRUE,IF(CKY4="n",TRUE,IF(CKY4="N",TRUE,FALSE))))</formula>
    </cfRule>
  </conditionalFormatting>
  <conditionalFormatting sqref="CKY3">
    <cfRule type="expression" dxfId="1407" priority="1408">
      <formula>IF(CKY3="YES",TRUE,IF(CKY3="yes",TRUE,IF(CKY3="y",TRUE,IF(CKY3="Y",TRUE,FALSE))))</formula>
    </cfRule>
  </conditionalFormatting>
  <conditionalFormatting sqref="CKT3 CKT8 CKT21:CKT26">
    <cfRule type="expression" dxfId="1406" priority="1407">
      <formula>IF(CKT3="NO",TRUE,IF(CKT3="no",TRUE,IF(CKT3="n",TRUE,IF(CKT3="N",TRUE,FALSE))))</formula>
    </cfRule>
  </conditionalFormatting>
  <conditionalFormatting sqref="CKT4">
    <cfRule type="expression" dxfId="1405" priority="1406">
      <formula>IF(CKT4="NO",TRUE,IF(CKT4="no",TRUE,IF(CKT4="n",TRUE,IF(CKT4="N",TRUE,FALSE))))</formula>
    </cfRule>
  </conditionalFormatting>
  <conditionalFormatting sqref="CKT3">
    <cfRule type="expression" dxfId="1404" priority="1405">
      <formula>IF(CKT3="YES",TRUE,IF(CKT3="yes",TRUE,IF(CKT3="y",TRUE,IF(CKT3="Y",TRUE,FALSE))))</formula>
    </cfRule>
  </conditionalFormatting>
  <conditionalFormatting sqref="CKO3 CKO8 CKO21:CKO26">
    <cfRule type="expression" dxfId="1403" priority="1404">
      <formula>IF(CKO3="NO",TRUE,IF(CKO3="no",TRUE,IF(CKO3="n",TRUE,IF(CKO3="N",TRUE,FALSE))))</formula>
    </cfRule>
  </conditionalFormatting>
  <conditionalFormatting sqref="CKO4">
    <cfRule type="expression" dxfId="1402" priority="1403">
      <formula>IF(CKO4="NO",TRUE,IF(CKO4="no",TRUE,IF(CKO4="n",TRUE,IF(CKO4="N",TRUE,FALSE))))</formula>
    </cfRule>
  </conditionalFormatting>
  <conditionalFormatting sqref="CKO3">
    <cfRule type="expression" dxfId="1401" priority="1402">
      <formula>IF(CKO3="YES",TRUE,IF(CKO3="yes",TRUE,IF(CKO3="y",TRUE,IF(CKO3="Y",TRUE,FALSE))))</formula>
    </cfRule>
  </conditionalFormatting>
  <conditionalFormatting sqref="CKJ3 CKJ8 CKJ21:CKJ26">
    <cfRule type="expression" dxfId="1400" priority="1401">
      <formula>IF(CKJ3="NO",TRUE,IF(CKJ3="no",TRUE,IF(CKJ3="n",TRUE,IF(CKJ3="N",TRUE,FALSE))))</formula>
    </cfRule>
  </conditionalFormatting>
  <conditionalFormatting sqref="CKJ4">
    <cfRule type="expression" dxfId="1399" priority="1400">
      <formula>IF(CKJ4="NO",TRUE,IF(CKJ4="no",TRUE,IF(CKJ4="n",TRUE,IF(CKJ4="N",TRUE,FALSE))))</formula>
    </cfRule>
  </conditionalFormatting>
  <conditionalFormatting sqref="CKJ3">
    <cfRule type="expression" dxfId="1398" priority="1399">
      <formula>IF(CKJ3="YES",TRUE,IF(CKJ3="yes",TRUE,IF(CKJ3="y",TRUE,IF(CKJ3="Y",TRUE,FALSE))))</formula>
    </cfRule>
  </conditionalFormatting>
  <conditionalFormatting sqref="CKE3 CKE8 CKE21:CKE26">
    <cfRule type="expression" dxfId="1397" priority="1398">
      <formula>IF(CKE3="NO",TRUE,IF(CKE3="no",TRUE,IF(CKE3="n",TRUE,IF(CKE3="N",TRUE,FALSE))))</formula>
    </cfRule>
  </conditionalFormatting>
  <conditionalFormatting sqref="CKE4">
    <cfRule type="expression" dxfId="1396" priority="1397">
      <formula>IF(CKE4="NO",TRUE,IF(CKE4="no",TRUE,IF(CKE4="n",TRUE,IF(CKE4="N",TRUE,FALSE))))</formula>
    </cfRule>
  </conditionalFormatting>
  <conditionalFormatting sqref="CKE3">
    <cfRule type="expression" dxfId="1395" priority="1396">
      <formula>IF(CKE3="YES",TRUE,IF(CKE3="yes",TRUE,IF(CKE3="y",TRUE,IF(CKE3="Y",TRUE,FALSE))))</formula>
    </cfRule>
  </conditionalFormatting>
  <conditionalFormatting sqref="CJZ3 CJZ8 CJZ21:CJZ26">
    <cfRule type="expression" dxfId="1394" priority="1395">
      <formula>IF(CJZ3="NO",TRUE,IF(CJZ3="no",TRUE,IF(CJZ3="n",TRUE,IF(CJZ3="N",TRUE,FALSE))))</formula>
    </cfRule>
  </conditionalFormatting>
  <conditionalFormatting sqref="CJZ4">
    <cfRule type="expression" dxfId="1393" priority="1394">
      <formula>IF(CJZ4="NO",TRUE,IF(CJZ4="no",TRUE,IF(CJZ4="n",TRUE,IF(CJZ4="N",TRUE,FALSE))))</formula>
    </cfRule>
  </conditionalFormatting>
  <conditionalFormatting sqref="CJZ3">
    <cfRule type="expression" dxfId="1392" priority="1393">
      <formula>IF(CJZ3="YES",TRUE,IF(CJZ3="yes",TRUE,IF(CJZ3="y",TRUE,IF(CJZ3="Y",TRUE,FALSE))))</formula>
    </cfRule>
  </conditionalFormatting>
  <conditionalFormatting sqref="CJU3 CJU8 CJU21:CJU26">
    <cfRule type="expression" dxfId="1391" priority="1392">
      <formula>IF(CJU3="NO",TRUE,IF(CJU3="no",TRUE,IF(CJU3="n",TRUE,IF(CJU3="N",TRUE,FALSE))))</formula>
    </cfRule>
  </conditionalFormatting>
  <conditionalFormatting sqref="CJU4">
    <cfRule type="expression" dxfId="1390" priority="1391">
      <formula>IF(CJU4="NO",TRUE,IF(CJU4="no",TRUE,IF(CJU4="n",TRUE,IF(CJU4="N",TRUE,FALSE))))</formula>
    </cfRule>
  </conditionalFormatting>
  <conditionalFormatting sqref="CJU3">
    <cfRule type="expression" dxfId="1389" priority="1390">
      <formula>IF(CJU3="YES",TRUE,IF(CJU3="yes",TRUE,IF(CJU3="y",TRUE,IF(CJU3="Y",TRUE,FALSE))))</formula>
    </cfRule>
  </conditionalFormatting>
  <conditionalFormatting sqref="CJP3 CJP8 CJP21:CJP26">
    <cfRule type="expression" dxfId="1388" priority="1389">
      <formula>IF(CJP3="NO",TRUE,IF(CJP3="no",TRUE,IF(CJP3="n",TRUE,IF(CJP3="N",TRUE,FALSE))))</formula>
    </cfRule>
  </conditionalFormatting>
  <conditionalFormatting sqref="CJP4">
    <cfRule type="expression" dxfId="1387" priority="1388">
      <formula>IF(CJP4="NO",TRUE,IF(CJP4="no",TRUE,IF(CJP4="n",TRUE,IF(CJP4="N",TRUE,FALSE))))</formula>
    </cfRule>
  </conditionalFormatting>
  <conditionalFormatting sqref="CJP3">
    <cfRule type="expression" dxfId="1386" priority="1387">
      <formula>IF(CJP3="YES",TRUE,IF(CJP3="yes",TRUE,IF(CJP3="y",TRUE,IF(CJP3="Y",TRUE,FALSE))))</formula>
    </cfRule>
  </conditionalFormatting>
  <conditionalFormatting sqref="CJK3 CJK8 CJK21:CJK26">
    <cfRule type="expression" dxfId="1385" priority="1386">
      <formula>IF(CJK3="NO",TRUE,IF(CJK3="no",TRUE,IF(CJK3="n",TRUE,IF(CJK3="N",TRUE,FALSE))))</formula>
    </cfRule>
  </conditionalFormatting>
  <conditionalFormatting sqref="CJK4">
    <cfRule type="expression" dxfId="1384" priority="1385">
      <formula>IF(CJK4="NO",TRUE,IF(CJK4="no",TRUE,IF(CJK4="n",TRUE,IF(CJK4="N",TRUE,FALSE))))</formula>
    </cfRule>
  </conditionalFormatting>
  <conditionalFormatting sqref="CJK3">
    <cfRule type="expression" dxfId="1383" priority="1384">
      <formula>IF(CJK3="YES",TRUE,IF(CJK3="yes",TRUE,IF(CJK3="y",TRUE,IF(CJK3="Y",TRUE,FALSE))))</formula>
    </cfRule>
  </conditionalFormatting>
  <conditionalFormatting sqref="CJF3 CJF8 CJF21:CJF26">
    <cfRule type="expression" dxfId="1382" priority="1383">
      <formula>IF(CJF3="NO",TRUE,IF(CJF3="no",TRUE,IF(CJF3="n",TRUE,IF(CJF3="N",TRUE,FALSE))))</formula>
    </cfRule>
  </conditionalFormatting>
  <conditionalFormatting sqref="CJF4">
    <cfRule type="expression" dxfId="1381" priority="1382">
      <formula>IF(CJF4="NO",TRUE,IF(CJF4="no",TRUE,IF(CJF4="n",TRUE,IF(CJF4="N",TRUE,FALSE))))</formula>
    </cfRule>
  </conditionalFormatting>
  <conditionalFormatting sqref="CJF3">
    <cfRule type="expression" dxfId="1380" priority="1381">
      <formula>IF(CJF3="YES",TRUE,IF(CJF3="yes",TRUE,IF(CJF3="y",TRUE,IF(CJF3="Y",TRUE,FALSE))))</formula>
    </cfRule>
  </conditionalFormatting>
  <conditionalFormatting sqref="CJA3 CJA8 CJA21:CJA26">
    <cfRule type="expression" dxfId="1379" priority="1380">
      <formula>IF(CJA3="NO",TRUE,IF(CJA3="no",TRUE,IF(CJA3="n",TRUE,IF(CJA3="N",TRUE,FALSE))))</formula>
    </cfRule>
  </conditionalFormatting>
  <conditionalFormatting sqref="CJA4">
    <cfRule type="expression" dxfId="1378" priority="1379">
      <formula>IF(CJA4="NO",TRUE,IF(CJA4="no",TRUE,IF(CJA4="n",TRUE,IF(CJA4="N",TRUE,FALSE))))</formula>
    </cfRule>
  </conditionalFormatting>
  <conditionalFormatting sqref="CJA3">
    <cfRule type="expression" dxfId="1377" priority="1378">
      <formula>IF(CJA3="YES",TRUE,IF(CJA3="yes",TRUE,IF(CJA3="y",TRUE,IF(CJA3="Y",TRUE,FALSE))))</formula>
    </cfRule>
  </conditionalFormatting>
  <conditionalFormatting sqref="CIV3 CIV8 CIV21:CIV26">
    <cfRule type="expression" dxfId="1376" priority="1377">
      <formula>IF(CIV3="NO",TRUE,IF(CIV3="no",TRUE,IF(CIV3="n",TRUE,IF(CIV3="N",TRUE,FALSE))))</formula>
    </cfRule>
  </conditionalFormatting>
  <conditionalFormatting sqref="CIV4">
    <cfRule type="expression" dxfId="1375" priority="1376">
      <formula>IF(CIV4="NO",TRUE,IF(CIV4="no",TRUE,IF(CIV4="n",TRUE,IF(CIV4="N",TRUE,FALSE))))</formula>
    </cfRule>
  </conditionalFormatting>
  <conditionalFormatting sqref="CIV3">
    <cfRule type="expression" dxfId="1374" priority="1375">
      <formula>IF(CIV3="YES",TRUE,IF(CIV3="yes",TRUE,IF(CIV3="y",TRUE,IF(CIV3="Y",TRUE,FALSE))))</formula>
    </cfRule>
  </conditionalFormatting>
  <conditionalFormatting sqref="CIQ3 CIQ8 CIQ21:CIQ26">
    <cfRule type="expression" dxfId="1373" priority="1374">
      <formula>IF(CIQ3="NO",TRUE,IF(CIQ3="no",TRUE,IF(CIQ3="n",TRUE,IF(CIQ3="N",TRUE,FALSE))))</formula>
    </cfRule>
  </conditionalFormatting>
  <conditionalFormatting sqref="CIQ4">
    <cfRule type="expression" dxfId="1372" priority="1373">
      <formula>IF(CIQ4="NO",TRUE,IF(CIQ4="no",TRUE,IF(CIQ4="n",TRUE,IF(CIQ4="N",TRUE,FALSE))))</formula>
    </cfRule>
  </conditionalFormatting>
  <conditionalFormatting sqref="CIQ3">
    <cfRule type="expression" dxfId="1371" priority="1372">
      <formula>IF(CIQ3="YES",TRUE,IF(CIQ3="yes",TRUE,IF(CIQ3="y",TRUE,IF(CIQ3="Y",TRUE,FALSE))))</formula>
    </cfRule>
  </conditionalFormatting>
  <conditionalFormatting sqref="CIL3 CIL8 CIL21:CIL26">
    <cfRule type="expression" dxfId="1370" priority="1371">
      <formula>IF(CIL3="NO",TRUE,IF(CIL3="no",TRUE,IF(CIL3="n",TRUE,IF(CIL3="N",TRUE,FALSE))))</formula>
    </cfRule>
  </conditionalFormatting>
  <conditionalFormatting sqref="CIL4">
    <cfRule type="expression" dxfId="1369" priority="1370">
      <formula>IF(CIL4="NO",TRUE,IF(CIL4="no",TRUE,IF(CIL4="n",TRUE,IF(CIL4="N",TRUE,FALSE))))</formula>
    </cfRule>
  </conditionalFormatting>
  <conditionalFormatting sqref="CIL3">
    <cfRule type="expression" dxfId="1368" priority="1369">
      <formula>IF(CIL3="YES",TRUE,IF(CIL3="yes",TRUE,IF(CIL3="y",TRUE,IF(CIL3="Y",TRUE,FALSE))))</formula>
    </cfRule>
  </conditionalFormatting>
  <conditionalFormatting sqref="CIG3 CIG8 CIG21:CIG26">
    <cfRule type="expression" dxfId="1367" priority="1368">
      <formula>IF(CIG3="NO",TRUE,IF(CIG3="no",TRUE,IF(CIG3="n",TRUE,IF(CIG3="N",TRUE,FALSE))))</formula>
    </cfRule>
  </conditionalFormatting>
  <conditionalFormatting sqref="CIG4">
    <cfRule type="expression" dxfId="1366" priority="1367">
      <formula>IF(CIG4="NO",TRUE,IF(CIG4="no",TRUE,IF(CIG4="n",TRUE,IF(CIG4="N",TRUE,FALSE))))</formula>
    </cfRule>
  </conditionalFormatting>
  <conditionalFormatting sqref="CIG3">
    <cfRule type="expression" dxfId="1365" priority="1366">
      <formula>IF(CIG3="YES",TRUE,IF(CIG3="yes",TRUE,IF(CIG3="y",TRUE,IF(CIG3="Y",TRUE,FALSE))))</formula>
    </cfRule>
  </conditionalFormatting>
  <conditionalFormatting sqref="CIB3 CIB8 CIB21:CIB26">
    <cfRule type="expression" dxfId="1364" priority="1365">
      <formula>IF(CIB3="NO",TRUE,IF(CIB3="no",TRUE,IF(CIB3="n",TRUE,IF(CIB3="N",TRUE,FALSE))))</formula>
    </cfRule>
  </conditionalFormatting>
  <conditionalFormatting sqref="CIB4">
    <cfRule type="expression" dxfId="1363" priority="1364">
      <formula>IF(CIB4="NO",TRUE,IF(CIB4="no",TRUE,IF(CIB4="n",TRUE,IF(CIB4="N",TRUE,FALSE))))</formula>
    </cfRule>
  </conditionalFormatting>
  <conditionalFormatting sqref="CIB3">
    <cfRule type="expression" dxfId="1362" priority="1363">
      <formula>IF(CIB3="YES",TRUE,IF(CIB3="yes",TRUE,IF(CIB3="y",TRUE,IF(CIB3="Y",TRUE,FALSE))))</formula>
    </cfRule>
  </conditionalFormatting>
  <conditionalFormatting sqref="CHW3 CHW8 CHW21:CHW26">
    <cfRule type="expression" dxfId="1361" priority="1362">
      <formula>IF(CHW3="NO",TRUE,IF(CHW3="no",TRUE,IF(CHW3="n",TRUE,IF(CHW3="N",TRUE,FALSE))))</formula>
    </cfRule>
  </conditionalFormatting>
  <conditionalFormatting sqref="CHW4">
    <cfRule type="expression" dxfId="1360" priority="1361">
      <formula>IF(CHW4="NO",TRUE,IF(CHW4="no",TRUE,IF(CHW4="n",TRUE,IF(CHW4="N",TRUE,FALSE))))</formula>
    </cfRule>
  </conditionalFormatting>
  <conditionalFormatting sqref="CHW3">
    <cfRule type="expression" dxfId="1359" priority="1360">
      <formula>IF(CHW3="YES",TRUE,IF(CHW3="yes",TRUE,IF(CHW3="y",TRUE,IF(CHW3="Y",TRUE,FALSE))))</formula>
    </cfRule>
  </conditionalFormatting>
  <conditionalFormatting sqref="CHR3 CHR8 CHR21:CHR26">
    <cfRule type="expression" dxfId="1358" priority="1359">
      <formula>IF(CHR3="NO",TRUE,IF(CHR3="no",TRUE,IF(CHR3="n",TRUE,IF(CHR3="N",TRUE,FALSE))))</formula>
    </cfRule>
  </conditionalFormatting>
  <conditionalFormatting sqref="CHR4">
    <cfRule type="expression" dxfId="1357" priority="1358">
      <formula>IF(CHR4="NO",TRUE,IF(CHR4="no",TRUE,IF(CHR4="n",TRUE,IF(CHR4="N",TRUE,FALSE))))</formula>
    </cfRule>
  </conditionalFormatting>
  <conditionalFormatting sqref="CHR3">
    <cfRule type="expression" dxfId="1356" priority="1357">
      <formula>IF(CHR3="YES",TRUE,IF(CHR3="yes",TRUE,IF(CHR3="y",TRUE,IF(CHR3="Y",TRUE,FALSE))))</formula>
    </cfRule>
  </conditionalFormatting>
  <conditionalFormatting sqref="CHM3 CHM8 CHM21:CHM26">
    <cfRule type="expression" dxfId="1355" priority="1356">
      <formula>IF(CHM3="NO",TRUE,IF(CHM3="no",TRUE,IF(CHM3="n",TRUE,IF(CHM3="N",TRUE,FALSE))))</formula>
    </cfRule>
  </conditionalFormatting>
  <conditionalFormatting sqref="CHM4">
    <cfRule type="expression" dxfId="1354" priority="1355">
      <formula>IF(CHM4="NO",TRUE,IF(CHM4="no",TRUE,IF(CHM4="n",TRUE,IF(CHM4="N",TRUE,FALSE))))</formula>
    </cfRule>
  </conditionalFormatting>
  <conditionalFormatting sqref="CHM3">
    <cfRule type="expression" dxfId="1353" priority="1354">
      <formula>IF(CHM3="YES",TRUE,IF(CHM3="yes",TRUE,IF(CHM3="y",TRUE,IF(CHM3="Y",TRUE,FALSE))))</formula>
    </cfRule>
  </conditionalFormatting>
  <conditionalFormatting sqref="CHH3 CHH8 CHH21:CHH26">
    <cfRule type="expression" dxfId="1352" priority="1353">
      <formula>IF(CHH3="NO",TRUE,IF(CHH3="no",TRUE,IF(CHH3="n",TRUE,IF(CHH3="N",TRUE,FALSE))))</formula>
    </cfRule>
  </conditionalFormatting>
  <conditionalFormatting sqref="CHH4">
    <cfRule type="expression" dxfId="1351" priority="1352">
      <formula>IF(CHH4="NO",TRUE,IF(CHH4="no",TRUE,IF(CHH4="n",TRUE,IF(CHH4="N",TRUE,FALSE))))</formula>
    </cfRule>
  </conditionalFormatting>
  <conditionalFormatting sqref="CHH3">
    <cfRule type="expression" dxfId="1350" priority="1351">
      <formula>IF(CHH3="YES",TRUE,IF(CHH3="yes",TRUE,IF(CHH3="y",TRUE,IF(CHH3="Y",TRUE,FALSE))))</formula>
    </cfRule>
  </conditionalFormatting>
  <conditionalFormatting sqref="CHC3 CHC8 CHC21:CHC26">
    <cfRule type="expression" dxfId="1349" priority="1350">
      <formula>IF(CHC3="NO",TRUE,IF(CHC3="no",TRUE,IF(CHC3="n",TRUE,IF(CHC3="N",TRUE,FALSE))))</formula>
    </cfRule>
  </conditionalFormatting>
  <conditionalFormatting sqref="CHC4">
    <cfRule type="expression" dxfId="1348" priority="1349">
      <formula>IF(CHC4="NO",TRUE,IF(CHC4="no",TRUE,IF(CHC4="n",TRUE,IF(CHC4="N",TRUE,FALSE))))</formula>
    </cfRule>
  </conditionalFormatting>
  <conditionalFormatting sqref="CHC3">
    <cfRule type="expression" dxfId="1347" priority="1348">
      <formula>IF(CHC3="YES",TRUE,IF(CHC3="yes",TRUE,IF(CHC3="y",TRUE,IF(CHC3="Y",TRUE,FALSE))))</formula>
    </cfRule>
  </conditionalFormatting>
  <conditionalFormatting sqref="CGX3 CGX8 CGX21:CGX26">
    <cfRule type="expression" dxfId="1346" priority="1347">
      <formula>IF(CGX3="NO",TRUE,IF(CGX3="no",TRUE,IF(CGX3="n",TRUE,IF(CGX3="N",TRUE,FALSE))))</formula>
    </cfRule>
  </conditionalFormatting>
  <conditionalFormatting sqref="CGX4">
    <cfRule type="expression" dxfId="1345" priority="1346">
      <formula>IF(CGX4="NO",TRUE,IF(CGX4="no",TRUE,IF(CGX4="n",TRUE,IF(CGX4="N",TRUE,FALSE))))</formula>
    </cfRule>
  </conditionalFormatting>
  <conditionalFormatting sqref="CGX3">
    <cfRule type="expression" dxfId="1344" priority="1345">
      <formula>IF(CGX3="YES",TRUE,IF(CGX3="yes",TRUE,IF(CGX3="y",TRUE,IF(CGX3="Y",TRUE,FALSE))))</formula>
    </cfRule>
  </conditionalFormatting>
  <conditionalFormatting sqref="CGS3 CGS8 CGS21:CGS26">
    <cfRule type="expression" dxfId="1343" priority="1344">
      <formula>IF(CGS3="NO",TRUE,IF(CGS3="no",TRUE,IF(CGS3="n",TRUE,IF(CGS3="N",TRUE,FALSE))))</formula>
    </cfRule>
  </conditionalFormatting>
  <conditionalFormatting sqref="CGS4">
    <cfRule type="expression" dxfId="1342" priority="1343">
      <formula>IF(CGS4="NO",TRUE,IF(CGS4="no",TRUE,IF(CGS4="n",TRUE,IF(CGS4="N",TRUE,FALSE))))</formula>
    </cfRule>
  </conditionalFormatting>
  <conditionalFormatting sqref="CGS3">
    <cfRule type="expression" dxfId="1341" priority="1342">
      <formula>IF(CGS3="YES",TRUE,IF(CGS3="yes",TRUE,IF(CGS3="y",TRUE,IF(CGS3="Y",TRUE,FALSE))))</formula>
    </cfRule>
  </conditionalFormatting>
  <conditionalFormatting sqref="CGN3 CGN8 CGN21:CGN26">
    <cfRule type="expression" dxfId="1340" priority="1341">
      <formula>IF(CGN3="NO",TRUE,IF(CGN3="no",TRUE,IF(CGN3="n",TRUE,IF(CGN3="N",TRUE,FALSE))))</formula>
    </cfRule>
  </conditionalFormatting>
  <conditionalFormatting sqref="CGN4">
    <cfRule type="expression" dxfId="1339" priority="1340">
      <formula>IF(CGN4="NO",TRUE,IF(CGN4="no",TRUE,IF(CGN4="n",TRUE,IF(CGN4="N",TRUE,FALSE))))</formula>
    </cfRule>
  </conditionalFormatting>
  <conditionalFormatting sqref="CGN3">
    <cfRule type="expression" dxfId="1338" priority="1339">
      <formula>IF(CGN3="YES",TRUE,IF(CGN3="yes",TRUE,IF(CGN3="y",TRUE,IF(CGN3="Y",TRUE,FALSE))))</formula>
    </cfRule>
  </conditionalFormatting>
  <conditionalFormatting sqref="CGI3 CGI8 CGI21:CGI26">
    <cfRule type="expression" dxfId="1337" priority="1338">
      <formula>IF(CGI3="NO",TRUE,IF(CGI3="no",TRUE,IF(CGI3="n",TRUE,IF(CGI3="N",TRUE,FALSE))))</formula>
    </cfRule>
  </conditionalFormatting>
  <conditionalFormatting sqref="CGI4">
    <cfRule type="expression" dxfId="1336" priority="1337">
      <formula>IF(CGI4="NO",TRUE,IF(CGI4="no",TRUE,IF(CGI4="n",TRUE,IF(CGI4="N",TRUE,FALSE))))</formula>
    </cfRule>
  </conditionalFormatting>
  <conditionalFormatting sqref="CGI3">
    <cfRule type="expression" dxfId="1335" priority="1336">
      <formula>IF(CGI3="YES",TRUE,IF(CGI3="yes",TRUE,IF(CGI3="y",TRUE,IF(CGI3="Y",TRUE,FALSE))))</formula>
    </cfRule>
  </conditionalFormatting>
  <conditionalFormatting sqref="CGD3 CGD8 CGD21:CGD26">
    <cfRule type="expression" dxfId="1334" priority="1335">
      <formula>IF(CGD3="NO",TRUE,IF(CGD3="no",TRUE,IF(CGD3="n",TRUE,IF(CGD3="N",TRUE,FALSE))))</formula>
    </cfRule>
  </conditionalFormatting>
  <conditionalFormatting sqref="CGD4">
    <cfRule type="expression" dxfId="1333" priority="1334">
      <formula>IF(CGD4="NO",TRUE,IF(CGD4="no",TRUE,IF(CGD4="n",TRUE,IF(CGD4="N",TRUE,FALSE))))</formula>
    </cfRule>
  </conditionalFormatting>
  <conditionalFormatting sqref="CGD3">
    <cfRule type="expression" dxfId="1332" priority="1333">
      <formula>IF(CGD3="YES",TRUE,IF(CGD3="yes",TRUE,IF(CGD3="y",TRUE,IF(CGD3="Y",TRUE,FALSE))))</formula>
    </cfRule>
  </conditionalFormatting>
  <conditionalFormatting sqref="CFY3 CFY8 CFY21:CFY26">
    <cfRule type="expression" dxfId="1331" priority="1332">
      <formula>IF(CFY3="NO",TRUE,IF(CFY3="no",TRUE,IF(CFY3="n",TRUE,IF(CFY3="N",TRUE,FALSE))))</formula>
    </cfRule>
  </conditionalFormatting>
  <conditionalFormatting sqref="CFY4">
    <cfRule type="expression" dxfId="1330" priority="1331">
      <formula>IF(CFY4="NO",TRUE,IF(CFY4="no",TRUE,IF(CFY4="n",TRUE,IF(CFY4="N",TRUE,FALSE))))</formula>
    </cfRule>
  </conditionalFormatting>
  <conditionalFormatting sqref="CFY3">
    <cfRule type="expression" dxfId="1329" priority="1330">
      <formula>IF(CFY3="YES",TRUE,IF(CFY3="yes",TRUE,IF(CFY3="y",TRUE,IF(CFY3="Y",TRUE,FALSE))))</formula>
    </cfRule>
  </conditionalFormatting>
  <conditionalFormatting sqref="CFT3 CFT8 CFT21:CFT26">
    <cfRule type="expression" dxfId="1328" priority="1329">
      <formula>IF(CFT3="NO",TRUE,IF(CFT3="no",TRUE,IF(CFT3="n",TRUE,IF(CFT3="N",TRUE,FALSE))))</formula>
    </cfRule>
  </conditionalFormatting>
  <conditionalFormatting sqref="CFT4">
    <cfRule type="expression" dxfId="1327" priority="1328">
      <formula>IF(CFT4="NO",TRUE,IF(CFT4="no",TRUE,IF(CFT4="n",TRUE,IF(CFT4="N",TRUE,FALSE))))</formula>
    </cfRule>
  </conditionalFormatting>
  <conditionalFormatting sqref="CFT3">
    <cfRule type="expression" dxfId="1326" priority="1327">
      <formula>IF(CFT3="YES",TRUE,IF(CFT3="yes",TRUE,IF(CFT3="y",TRUE,IF(CFT3="Y",TRUE,FALSE))))</formula>
    </cfRule>
  </conditionalFormatting>
  <conditionalFormatting sqref="CFO3 CFO8 CFO21:CFO26">
    <cfRule type="expression" dxfId="1325" priority="1326">
      <formula>IF(CFO3="NO",TRUE,IF(CFO3="no",TRUE,IF(CFO3="n",TRUE,IF(CFO3="N",TRUE,FALSE))))</formula>
    </cfRule>
  </conditionalFormatting>
  <conditionalFormatting sqref="CFO4">
    <cfRule type="expression" dxfId="1324" priority="1325">
      <formula>IF(CFO4="NO",TRUE,IF(CFO4="no",TRUE,IF(CFO4="n",TRUE,IF(CFO4="N",TRUE,FALSE))))</formula>
    </cfRule>
  </conditionalFormatting>
  <conditionalFormatting sqref="CFO3">
    <cfRule type="expression" dxfId="1323" priority="1324">
      <formula>IF(CFO3="YES",TRUE,IF(CFO3="yes",TRUE,IF(CFO3="y",TRUE,IF(CFO3="Y",TRUE,FALSE))))</formula>
    </cfRule>
  </conditionalFormatting>
  <conditionalFormatting sqref="CFJ3 CFJ8 CFJ21:CFJ26">
    <cfRule type="expression" dxfId="1322" priority="1323">
      <formula>IF(CFJ3="NO",TRUE,IF(CFJ3="no",TRUE,IF(CFJ3="n",TRUE,IF(CFJ3="N",TRUE,FALSE))))</formula>
    </cfRule>
  </conditionalFormatting>
  <conditionalFormatting sqref="CFJ4">
    <cfRule type="expression" dxfId="1321" priority="1322">
      <formula>IF(CFJ4="NO",TRUE,IF(CFJ4="no",TRUE,IF(CFJ4="n",TRUE,IF(CFJ4="N",TRUE,FALSE))))</formula>
    </cfRule>
  </conditionalFormatting>
  <conditionalFormatting sqref="CFJ3">
    <cfRule type="expression" dxfId="1320" priority="1321">
      <formula>IF(CFJ3="YES",TRUE,IF(CFJ3="yes",TRUE,IF(CFJ3="y",TRUE,IF(CFJ3="Y",TRUE,FALSE))))</formula>
    </cfRule>
  </conditionalFormatting>
  <conditionalFormatting sqref="CFE3 CFE8 CFE21:CFE26">
    <cfRule type="expression" dxfId="1319" priority="1320">
      <formula>IF(CFE3="NO",TRUE,IF(CFE3="no",TRUE,IF(CFE3="n",TRUE,IF(CFE3="N",TRUE,FALSE))))</formula>
    </cfRule>
  </conditionalFormatting>
  <conditionalFormatting sqref="CFE4">
    <cfRule type="expression" dxfId="1318" priority="1319">
      <formula>IF(CFE4="NO",TRUE,IF(CFE4="no",TRUE,IF(CFE4="n",TRUE,IF(CFE4="N",TRUE,FALSE))))</formula>
    </cfRule>
  </conditionalFormatting>
  <conditionalFormatting sqref="CFE3">
    <cfRule type="expression" dxfId="1317" priority="1318">
      <formula>IF(CFE3="YES",TRUE,IF(CFE3="yes",TRUE,IF(CFE3="y",TRUE,IF(CFE3="Y",TRUE,FALSE))))</formula>
    </cfRule>
  </conditionalFormatting>
  <conditionalFormatting sqref="CEZ3 CEZ8 CEZ21:CEZ26">
    <cfRule type="expression" dxfId="1316" priority="1317">
      <formula>IF(CEZ3="NO",TRUE,IF(CEZ3="no",TRUE,IF(CEZ3="n",TRUE,IF(CEZ3="N",TRUE,FALSE))))</formula>
    </cfRule>
  </conditionalFormatting>
  <conditionalFormatting sqref="CEZ4">
    <cfRule type="expression" dxfId="1315" priority="1316">
      <formula>IF(CEZ4="NO",TRUE,IF(CEZ4="no",TRUE,IF(CEZ4="n",TRUE,IF(CEZ4="N",TRUE,FALSE))))</formula>
    </cfRule>
  </conditionalFormatting>
  <conditionalFormatting sqref="CEZ3">
    <cfRule type="expression" dxfId="1314" priority="1315">
      <formula>IF(CEZ3="YES",TRUE,IF(CEZ3="yes",TRUE,IF(CEZ3="y",TRUE,IF(CEZ3="Y",TRUE,FALSE))))</formula>
    </cfRule>
  </conditionalFormatting>
  <conditionalFormatting sqref="CEU3 CEU8 CEU21:CEU26">
    <cfRule type="expression" dxfId="1313" priority="1314">
      <formula>IF(CEU3="NO",TRUE,IF(CEU3="no",TRUE,IF(CEU3="n",TRUE,IF(CEU3="N",TRUE,FALSE))))</formula>
    </cfRule>
  </conditionalFormatting>
  <conditionalFormatting sqref="CEU4">
    <cfRule type="expression" dxfId="1312" priority="1313">
      <formula>IF(CEU4="NO",TRUE,IF(CEU4="no",TRUE,IF(CEU4="n",TRUE,IF(CEU4="N",TRUE,FALSE))))</formula>
    </cfRule>
  </conditionalFormatting>
  <conditionalFormatting sqref="CEU3">
    <cfRule type="expression" dxfId="1311" priority="1312">
      <formula>IF(CEU3="YES",TRUE,IF(CEU3="yes",TRUE,IF(CEU3="y",TRUE,IF(CEU3="Y",TRUE,FALSE))))</formula>
    </cfRule>
  </conditionalFormatting>
  <conditionalFormatting sqref="CEP3 CEP8 CEP21:CEP26">
    <cfRule type="expression" dxfId="1310" priority="1311">
      <formula>IF(CEP3="NO",TRUE,IF(CEP3="no",TRUE,IF(CEP3="n",TRUE,IF(CEP3="N",TRUE,FALSE))))</formula>
    </cfRule>
  </conditionalFormatting>
  <conditionalFormatting sqref="CEP4">
    <cfRule type="expression" dxfId="1309" priority="1310">
      <formula>IF(CEP4="NO",TRUE,IF(CEP4="no",TRUE,IF(CEP4="n",TRUE,IF(CEP4="N",TRUE,FALSE))))</formula>
    </cfRule>
  </conditionalFormatting>
  <conditionalFormatting sqref="CEP3">
    <cfRule type="expression" dxfId="1308" priority="1309">
      <formula>IF(CEP3="YES",TRUE,IF(CEP3="yes",TRUE,IF(CEP3="y",TRUE,IF(CEP3="Y",TRUE,FALSE))))</formula>
    </cfRule>
  </conditionalFormatting>
  <conditionalFormatting sqref="CEK3 CEK8 CEK21:CEK26">
    <cfRule type="expression" dxfId="1307" priority="1308">
      <formula>IF(CEK3="NO",TRUE,IF(CEK3="no",TRUE,IF(CEK3="n",TRUE,IF(CEK3="N",TRUE,FALSE))))</formula>
    </cfRule>
  </conditionalFormatting>
  <conditionalFormatting sqref="CEK4">
    <cfRule type="expression" dxfId="1306" priority="1307">
      <formula>IF(CEK4="NO",TRUE,IF(CEK4="no",TRUE,IF(CEK4="n",TRUE,IF(CEK4="N",TRUE,FALSE))))</formula>
    </cfRule>
  </conditionalFormatting>
  <conditionalFormatting sqref="CEK3">
    <cfRule type="expression" dxfId="1305" priority="1306">
      <formula>IF(CEK3="YES",TRUE,IF(CEK3="yes",TRUE,IF(CEK3="y",TRUE,IF(CEK3="Y",TRUE,FALSE))))</formula>
    </cfRule>
  </conditionalFormatting>
  <conditionalFormatting sqref="CEF3 CEF8 CEF21:CEF26">
    <cfRule type="expression" dxfId="1304" priority="1305">
      <formula>IF(CEF3="NO",TRUE,IF(CEF3="no",TRUE,IF(CEF3="n",TRUE,IF(CEF3="N",TRUE,FALSE))))</formula>
    </cfRule>
  </conditionalFormatting>
  <conditionalFormatting sqref="CEF4">
    <cfRule type="expression" dxfId="1303" priority="1304">
      <formula>IF(CEF4="NO",TRUE,IF(CEF4="no",TRUE,IF(CEF4="n",TRUE,IF(CEF4="N",TRUE,FALSE))))</formula>
    </cfRule>
  </conditionalFormatting>
  <conditionalFormatting sqref="CEF3">
    <cfRule type="expression" dxfId="1302" priority="1303">
      <formula>IF(CEF3="YES",TRUE,IF(CEF3="yes",TRUE,IF(CEF3="y",TRUE,IF(CEF3="Y",TRUE,FALSE))))</formula>
    </cfRule>
  </conditionalFormatting>
  <conditionalFormatting sqref="CEA3 CEA8 CEA21:CEA26">
    <cfRule type="expression" dxfId="1301" priority="1302">
      <formula>IF(CEA3="NO",TRUE,IF(CEA3="no",TRUE,IF(CEA3="n",TRUE,IF(CEA3="N",TRUE,FALSE))))</formula>
    </cfRule>
  </conditionalFormatting>
  <conditionalFormatting sqref="CEA4">
    <cfRule type="expression" dxfId="1300" priority="1301">
      <formula>IF(CEA4="NO",TRUE,IF(CEA4="no",TRUE,IF(CEA4="n",TRUE,IF(CEA4="N",TRUE,FALSE))))</formula>
    </cfRule>
  </conditionalFormatting>
  <conditionalFormatting sqref="CEA3">
    <cfRule type="expression" dxfId="1299" priority="1300">
      <formula>IF(CEA3="YES",TRUE,IF(CEA3="yes",TRUE,IF(CEA3="y",TRUE,IF(CEA3="Y",TRUE,FALSE))))</formula>
    </cfRule>
  </conditionalFormatting>
  <conditionalFormatting sqref="CDV3 CDV8 CDV21:CDV26">
    <cfRule type="expression" dxfId="1298" priority="1299">
      <formula>IF(CDV3="NO",TRUE,IF(CDV3="no",TRUE,IF(CDV3="n",TRUE,IF(CDV3="N",TRUE,FALSE))))</formula>
    </cfRule>
  </conditionalFormatting>
  <conditionalFormatting sqref="CDV4">
    <cfRule type="expression" dxfId="1297" priority="1298">
      <formula>IF(CDV4="NO",TRUE,IF(CDV4="no",TRUE,IF(CDV4="n",TRUE,IF(CDV4="N",TRUE,FALSE))))</formula>
    </cfRule>
  </conditionalFormatting>
  <conditionalFormatting sqref="CDV3">
    <cfRule type="expression" dxfId="1296" priority="1297">
      <formula>IF(CDV3="YES",TRUE,IF(CDV3="yes",TRUE,IF(CDV3="y",TRUE,IF(CDV3="Y",TRUE,FALSE))))</formula>
    </cfRule>
  </conditionalFormatting>
  <conditionalFormatting sqref="CDQ3 CDQ8 CDQ21:CDQ26">
    <cfRule type="expression" dxfId="1295" priority="1296">
      <formula>IF(CDQ3="NO",TRUE,IF(CDQ3="no",TRUE,IF(CDQ3="n",TRUE,IF(CDQ3="N",TRUE,FALSE))))</formula>
    </cfRule>
  </conditionalFormatting>
  <conditionalFormatting sqref="CDQ4">
    <cfRule type="expression" dxfId="1294" priority="1295">
      <formula>IF(CDQ4="NO",TRUE,IF(CDQ4="no",TRUE,IF(CDQ4="n",TRUE,IF(CDQ4="N",TRUE,FALSE))))</formula>
    </cfRule>
  </conditionalFormatting>
  <conditionalFormatting sqref="CDQ3">
    <cfRule type="expression" dxfId="1293" priority="1294">
      <formula>IF(CDQ3="YES",TRUE,IF(CDQ3="yes",TRUE,IF(CDQ3="y",TRUE,IF(CDQ3="Y",TRUE,FALSE))))</formula>
    </cfRule>
  </conditionalFormatting>
  <conditionalFormatting sqref="CDL3 CDL8 CDL21:CDL26">
    <cfRule type="expression" dxfId="1292" priority="1293">
      <formula>IF(CDL3="NO",TRUE,IF(CDL3="no",TRUE,IF(CDL3="n",TRUE,IF(CDL3="N",TRUE,FALSE))))</formula>
    </cfRule>
  </conditionalFormatting>
  <conditionalFormatting sqref="CDL4">
    <cfRule type="expression" dxfId="1291" priority="1292">
      <formula>IF(CDL4="NO",TRUE,IF(CDL4="no",TRUE,IF(CDL4="n",TRUE,IF(CDL4="N",TRUE,FALSE))))</formula>
    </cfRule>
  </conditionalFormatting>
  <conditionalFormatting sqref="CDL3">
    <cfRule type="expression" dxfId="1290" priority="1291">
      <formula>IF(CDL3="YES",TRUE,IF(CDL3="yes",TRUE,IF(CDL3="y",TRUE,IF(CDL3="Y",TRUE,FALSE))))</formula>
    </cfRule>
  </conditionalFormatting>
  <conditionalFormatting sqref="CDG3 CDG8 CDG21:CDG26">
    <cfRule type="expression" dxfId="1289" priority="1290">
      <formula>IF(CDG3="NO",TRUE,IF(CDG3="no",TRUE,IF(CDG3="n",TRUE,IF(CDG3="N",TRUE,FALSE))))</formula>
    </cfRule>
  </conditionalFormatting>
  <conditionalFormatting sqref="CDG4">
    <cfRule type="expression" dxfId="1288" priority="1289">
      <formula>IF(CDG4="NO",TRUE,IF(CDG4="no",TRUE,IF(CDG4="n",TRUE,IF(CDG4="N",TRUE,FALSE))))</formula>
    </cfRule>
  </conditionalFormatting>
  <conditionalFormatting sqref="CDG3">
    <cfRule type="expression" dxfId="1287" priority="1288">
      <formula>IF(CDG3="YES",TRUE,IF(CDG3="yes",TRUE,IF(CDG3="y",TRUE,IF(CDG3="Y",TRUE,FALSE))))</formula>
    </cfRule>
  </conditionalFormatting>
  <conditionalFormatting sqref="CDB3 CDB8 CDB21:CDB26">
    <cfRule type="expression" dxfId="1286" priority="1287">
      <formula>IF(CDB3="NO",TRUE,IF(CDB3="no",TRUE,IF(CDB3="n",TRUE,IF(CDB3="N",TRUE,FALSE))))</formula>
    </cfRule>
  </conditionalFormatting>
  <conditionalFormatting sqref="CDB4">
    <cfRule type="expression" dxfId="1285" priority="1286">
      <formula>IF(CDB4="NO",TRUE,IF(CDB4="no",TRUE,IF(CDB4="n",TRUE,IF(CDB4="N",TRUE,FALSE))))</formula>
    </cfRule>
  </conditionalFormatting>
  <conditionalFormatting sqref="CDB3">
    <cfRule type="expression" dxfId="1284" priority="1285">
      <formula>IF(CDB3="YES",TRUE,IF(CDB3="yes",TRUE,IF(CDB3="y",TRUE,IF(CDB3="Y",TRUE,FALSE))))</formula>
    </cfRule>
  </conditionalFormatting>
  <conditionalFormatting sqref="CCW3 CCW8 CCW21:CCW26">
    <cfRule type="expression" dxfId="1283" priority="1284">
      <formula>IF(CCW3="NO",TRUE,IF(CCW3="no",TRUE,IF(CCW3="n",TRUE,IF(CCW3="N",TRUE,FALSE))))</formula>
    </cfRule>
  </conditionalFormatting>
  <conditionalFormatting sqref="CCW4">
    <cfRule type="expression" dxfId="1282" priority="1283">
      <formula>IF(CCW4="NO",TRUE,IF(CCW4="no",TRUE,IF(CCW4="n",TRUE,IF(CCW4="N",TRUE,FALSE))))</formula>
    </cfRule>
  </conditionalFormatting>
  <conditionalFormatting sqref="CCW3">
    <cfRule type="expression" dxfId="1281" priority="1282">
      <formula>IF(CCW3="YES",TRUE,IF(CCW3="yes",TRUE,IF(CCW3="y",TRUE,IF(CCW3="Y",TRUE,FALSE))))</formula>
    </cfRule>
  </conditionalFormatting>
  <conditionalFormatting sqref="CCR3 CCR8 CCR21:CCR26">
    <cfRule type="expression" dxfId="1280" priority="1281">
      <formula>IF(CCR3="NO",TRUE,IF(CCR3="no",TRUE,IF(CCR3="n",TRUE,IF(CCR3="N",TRUE,FALSE))))</formula>
    </cfRule>
  </conditionalFormatting>
  <conditionalFormatting sqref="CCR4">
    <cfRule type="expression" dxfId="1279" priority="1280">
      <formula>IF(CCR4="NO",TRUE,IF(CCR4="no",TRUE,IF(CCR4="n",TRUE,IF(CCR4="N",TRUE,FALSE))))</formula>
    </cfRule>
  </conditionalFormatting>
  <conditionalFormatting sqref="CCR3">
    <cfRule type="expression" dxfId="1278" priority="1279">
      <formula>IF(CCR3="YES",TRUE,IF(CCR3="yes",TRUE,IF(CCR3="y",TRUE,IF(CCR3="Y",TRUE,FALSE))))</formula>
    </cfRule>
  </conditionalFormatting>
  <conditionalFormatting sqref="CCM3 CCM8 CCM21:CCM26">
    <cfRule type="expression" dxfId="1277" priority="1278">
      <formula>IF(CCM3="NO",TRUE,IF(CCM3="no",TRUE,IF(CCM3="n",TRUE,IF(CCM3="N",TRUE,FALSE))))</formula>
    </cfRule>
  </conditionalFormatting>
  <conditionalFormatting sqref="CCM4">
    <cfRule type="expression" dxfId="1276" priority="1277">
      <formula>IF(CCM4="NO",TRUE,IF(CCM4="no",TRUE,IF(CCM4="n",TRUE,IF(CCM4="N",TRUE,FALSE))))</formula>
    </cfRule>
  </conditionalFormatting>
  <conditionalFormatting sqref="CCM3">
    <cfRule type="expression" dxfId="1275" priority="1276">
      <formula>IF(CCM3="YES",TRUE,IF(CCM3="yes",TRUE,IF(CCM3="y",TRUE,IF(CCM3="Y",TRUE,FALSE))))</formula>
    </cfRule>
  </conditionalFormatting>
  <conditionalFormatting sqref="CCH3 CCH8 CCH21:CCH26">
    <cfRule type="expression" dxfId="1274" priority="1275">
      <formula>IF(CCH3="NO",TRUE,IF(CCH3="no",TRUE,IF(CCH3="n",TRUE,IF(CCH3="N",TRUE,FALSE))))</formula>
    </cfRule>
  </conditionalFormatting>
  <conditionalFormatting sqref="CCH4">
    <cfRule type="expression" dxfId="1273" priority="1274">
      <formula>IF(CCH4="NO",TRUE,IF(CCH4="no",TRUE,IF(CCH4="n",TRUE,IF(CCH4="N",TRUE,FALSE))))</formula>
    </cfRule>
  </conditionalFormatting>
  <conditionalFormatting sqref="CCH3">
    <cfRule type="expression" dxfId="1272" priority="1273">
      <formula>IF(CCH3="YES",TRUE,IF(CCH3="yes",TRUE,IF(CCH3="y",TRUE,IF(CCH3="Y",TRUE,FALSE))))</formula>
    </cfRule>
  </conditionalFormatting>
  <conditionalFormatting sqref="CCC3 CCC8 CCC21:CCC26">
    <cfRule type="expression" dxfId="1271" priority="1272">
      <formula>IF(CCC3="NO",TRUE,IF(CCC3="no",TRUE,IF(CCC3="n",TRUE,IF(CCC3="N",TRUE,FALSE))))</formula>
    </cfRule>
  </conditionalFormatting>
  <conditionalFormatting sqref="CCC4">
    <cfRule type="expression" dxfId="1270" priority="1271">
      <formula>IF(CCC4="NO",TRUE,IF(CCC4="no",TRUE,IF(CCC4="n",TRUE,IF(CCC4="N",TRUE,FALSE))))</formula>
    </cfRule>
  </conditionalFormatting>
  <conditionalFormatting sqref="CCC3">
    <cfRule type="expression" dxfId="1269" priority="1270">
      <formula>IF(CCC3="YES",TRUE,IF(CCC3="yes",TRUE,IF(CCC3="y",TRUE,IF(CCC3="Y",TRUE,FALSE))))</formula>
    </cfRule>
  </conditionalFormatting>
  <conditionalFormatting sqref="CBX3 CBX8 CBX21:CBX26">
    <cfRule type="expression" dxfId="1268" priority="1269">
      <formula>IF(CBX3="NO",TRUE,IF(CBX3="no",TRUE,IF(CBX3="n",TRUE,IF(CBX3="N",TRUE,FALSE))))</formula>
    </cfRule>
  </conditionalFormatting>
  <conditionalFormatting sqref="CBX4">
    <cfRule type="expression" dxfId="1267" priority="1268">
      <formula>IF(CBX4="NO",TRUE,IF(CBX4="no",TRUE,IF(CBX4="n",TRUE,IF(CBX4="N",TRUE,FALSE))))</formula>
    </cfRule>
  </conditionalFormatting>
  <conditionalFormatting sqref="CBX3">
    <cfRule type="expression" dxfId="1266" priority="1267">
      <formula>IF(CBX3="YES",TRUE,IF(CBX3="yes",TRUE,IF(CBX3="y",TRUE,IF(CBX3="Y",TRUE,FALSE))))</formula>
    </cfRule>
  </conditionalFormatting>
  <conditionalFormatting sqref="CBS3 CBS8 CBS21:CBS26">
    <cfRule type="expression" dxfId="1265" priority="1266">
      <formula>IF(CBS3="NO",TRUE,IF(CBS3="no",TRUE,IF(CBS3="n",TRUE,IF(CBS3="N",TRUE,FALSE))))</formula>
    </cfRule>
  </conditionalFormatting>
  <conditionalFormatting sqref="CBS4">
    <cfRule type="expression" dxfId="1264" priority="1265">
      <formula>IF(CBS4="NO",TRUE,IF(CBS4="no",TRUE,IF(CBS4="n",TRUE,IF(CBS4="N",TRUE,FALSE))))</formula>
    </cfRule>
  </conditionalFormatting>
  <conditionalFormatting sqref="CBS3">
    <cfRule type="expression" dxfId="1263" priority="1264">
      <formula>IF(CBS3="YES",TRUE,IF(CBS3="yes",TRUE,IF(CBS3="y",TRUE,IF(CBS3="Y",TRUE,FALSE))))</formula>
    </cfRule>
  </conditionalFormatting>
  <conditionalFormatting sqref="CBN3 CBN8 CBN21:CBN26">
    <cfRule type="expression" dxfId="1262" priority="1263">
      <formula>IF(CBN3="NO",TRUE,IF(CBN3="no",TRUE,IF(CBN3="n",TRUE,IF(CBN3="N",TRUE,FALSE))))</formula>
    </cfRule>
  </conditionalFormatting>
  <conditionalFormatting sqref="CBN4">
    <cfRule type="expression" dxfId="1261" priority="1262">
      <formula>IF(CBN4="NO",TRUE,IF(CBN4="no",TRUE,IF(CBN4="n",TRUE,IF(CBN4="N",TRUE,FALSE))))</formula>
    </cfRule>
  </conditionalFormatting>
  <conditionalFormatting sqref="CBN3">
    <cfRule type="expression" dxfId="1260" priority="1261">
      <formula>IF(CBN3="YES",TRUE,IF(CBN3="yes",TRUE,IF(CBN3="y",TRUE,IF(CBN3="Y",TRUE,FALSE))))</formula>
    </cfRule>
  </conditionalFormatting>
  <conditionalFormatting sqref="CBI3 CBI8 CBI21:CBI26">
    <cfRule type="expression" dxfId="1259" priority="1260">
      <formula>IF(CBI3="NO",TRUE,IF(CBI3="no",TRUE,IF(CBI3="n",TRUE,IF(CBI3="N",TRUE,FALSE))))</formula>
    </cfRule>
  </conditionalFormatting>
  <conditionalFormatting sqref="CBI4">
    <cfRule type="expression" dxfId="1258" priority="1259">
      <formula>IF(CBI4="NO",TRUE,IF(CBI4="no",TRUE,IF(CBI4="n",TRUE,IF(CBI4="N",TRUE,FALSE))))</formula>
    </cfRule>
  </conditionalFormatting>
  <conditionalFormatting sqref="CBI3">
    <cfRule type="expression" dxfId="1257" priority="1258">
      <formula>IF(CBI3="YES",TRUE,IF(CBI3="yes",TRUE,IF(CBI3="y",TRUE,IF(CBI3="Y",TRUE,FALSE))))</formula>
    </cfRule>
  </conditionalFormatting>
  <conditionalFormatting sqref="CBD3 CBD8 CBD21:CBD26">
    <cfRule type="expression" dxfId="1256" priority="1257">
      <formula>IF(CBD3="NO",TRUE,IF(CBD3="no",TRUE,IF(CBD3="n",TRUE,IF(CBD3="N",TRUE,FALSE))))</formula>
    </cfRule>
  </conditionalFormatting>
  <conditionalFormatting sqref="CBD4">
    <cfRule type="expression" dxfId="1255" priority="1256">
      <formula>IF(CBD4="NO",TRUE,IF(CBD4="no",TRUE,IF(CBD4="n",TRUE,IF(CBD4="N",TRUE,FALSE))))</formula>
    </cfRule>
  </conditionalFormatting>
  <conditionalFormatting sqref="CBD3">
    <cfRule type="expression" dxfId="1254" priority="1255">
      <formula>IF(CBD3="YES",TRUE,IF(CBD3="yes",TRUE,IF(CBD3="y",TRUE,IF(CBD3="Y",TRUE,FALSE))))</formula>
    </cfRule>
  </conditionalFormatting>
  <conditionalFormatting sqref="CAY3 CAY8 CAY21:CAY26">
    <cfRule type="expression" dxfId="1253" priority="1254">
      <formula>IF(CAY3="NO",TRUE,IF(CAY3="no",TRUE,IF(CAY3="n",TRUE,IF(CAY3="N",TRUE,FALSE))))</formula>
    </cfRule>
  </conditionalFormatting>
  <conditionalFormatting sqref="CAY4">
    <cfRule type="expression" dxfId="1252" priority="1253">
      <formula>IF(CAY4="NO",TRUE,IF(CAY4="no",TRUE,IF(CAY4="n",TRUE,IF(CAY4="N",TRUE,FALSE))))</formula>
    </cfRule>
  </conditionalFormatting>
  <conditionalFormatting sqref="CAY3">
    <cfRule type="expression" dxfId="1251" priority="1252">
      <formula>IF(CAY3="YES",TRUE,IF(CAY3="yes",TRUE,IF(CAY3="y",TRUE,IF(CAY3="Y",TRUE,FALSE))))</formula>
    </cfRule>
  </conditionalFormatting>
  <conditionalFormatting sqref="CAT3 CAT8 CAT21:CAT26">
    <cfRule type="expression" dxfId="1250" priority="1251">
      <formula>IF(CAT3="NO",TRUE,IF(CAT3="no",TRUE,IF(CAT3="n",TRUE,IF(CAT3="N",TRUE,FALSE))))</formula>
    </cfRule>
  </conditionalFormatting>
  <conditionalFormatting sqref="CAT4">
    <cfRule type="expression" dxfId="1249" priority="1250">
      <formula>IF(CAT4="NO",TRUE,IF(CAT4="no",TRUE,IF(CAT4="n",TRUE,IF(CAT4="N",TRUE,FALSE))))</formula>
    </cfRule>
  </conditionalFormatting>
  <conditionalFormatting sqref="CAT3">
    <cfRule type="expression" dxfId="1248" priority="1249">
      <formula>IF(CAT3="YES",TRUE,IF(CAT3="yes",TRUE,IF(CAT3="y",TRUE,IF(CAT3="Y",TRUE,FALSE))))</formula>
    </cfRule>
  </conditionalFormatting>
  <conditionalFormatting sqref="CAO3 CAO8 CAO21:CAO26">
    <cfRule type="expression" dxfId="1247" priority="1248">
      <formula>IF(CAO3="NO",TRUE,IF(CAO3="no",TRUE,IF(CAO3="n",TRUE,IF(CAO3="N",TRUE,FALSE))))</formula>
    </cfRule>
  </conditionalFormatting>
  <conditionalFormatting sqref="CAO4">
    <cfRule type="expression" dxfId="1246" priority="1247">
      <formula>IF(CAO4="NO",TRUE,IF(CAO4="no",TRUE,IF(CAO4="n",TRUE,IF(CAO4="N",TRUE,FALSE))))</formula>
    </cfRule>
  </conditionalFormatting>
  <conditionalFormatting sqref="CAO3">
    <cfRule type="expression" dxfId="1245" priority="1246">
      <formula>IF(CAO3="YES",TRUE,IF(CAO3="yes",TRUE,IF(CAO3="y",TRUE,IF(CAO3="Y",TRUE,FALSE))))</formula>
    </cfRule>
  </conditionalFormatting>
  <conditionalFormatting sqref="CAJ3 CAJ8 CAJ21:CAJ26">
    <cfRule type="expression" dxfId="1244" priority="1245">
      <formula>IF(CAJ3="NO",TRUE,IF(CAJ3="no",TRUE,IF(CAJ3="n",TRUE,IF(CAJ3="N",TRUE,FALSE))))</formula>
    </cfRule>
  </conditionalFormatting>
  <conditionalFormatting sqref="CAJ4">
    <cfRule type="expression" dxfId="1243" priority="1244">
      <formula>IF(CAJ4="NO",TRUE,IF(CAJ4="no",TRUE,IF(CAJ4="n",TRUE,IF(CAJ4="N",TRUE,FALSE))))</formula>
    </cfRule>
  </conditionalFormatting>
  <conditionalFormatting sqref="CAJ3">
    <cfRule type="expression" dxfId="1242" priority="1243">
      <formula>IF(CAJ3="YES",TRUE,IF(CAJ3="yes",TRUE,IF(CAJ3="y",TRUE,IF(CAJ3="Y",TRUE,FALSE))))</formula>
    </cfRule>
  </conditionalFormatting>
  <conditionalFormatting sqref="CAE3 CAE8 CAE21:CAE26">
    <cfRule type="expression" dxfId="1241" priority="1242">
      <formula>IF(CAE3="NO",TRUE,IF(CAE3="no",TRUE,IF(CAE3="n",TRUE,IF(CAE3="N",TRUE,FALSE))))</formula>
    </cfRule>
  </conditionalFormatting>
  <conditionalFormatting sqref="CAE4">
    <cfRule type="expression" dxfId="1240" priority="1241">
      <formula>IF(CAE4="NO",TRUE,IF(CAE4="no",TRUE,IF(CAE4="n",TRUE,IF(CAE4="N",TRUE,FALSE))))</formula>
    </cfRule>
  </conditionalFormatting>
  <conditionalFormatting sqref="CAE3">
    <cfRule type="expression" dxfId="1239" priority="1240">
      <formula>IF(CAE3="YES",TRUE,IF(CAE3="yes",TRUE,IF(CAE3="y",TRUE,IF(CAE3="Y",TRUE,FALSE))))</formula>
    </cfRule>
  </conditionalFormatting>
  <conditionalFormatting sqref="BZZ3 BZZ8 BZZ21:BZZ26">
    <cfRule type="expression" dxfId="1238" priority="1239">
      <formula>IF(BZZ3="NO",TRUE,IF(BZZ3="no",TRUE,IF(BZZ3="n",TRUE,IF(BZZ3="N",TRUE,FALSE))))</formula>
    </cfRule>
  </conditionalFormatting>
  <conditionalFormatting sqref="BZZ4">
    <cfRule type="expression" dxfId="1237" priority="1238">
      <formula>IF(BZZ4="NO",TRUE,IF(BZZ4="no",TRUE,IF(BZZ4="n",TRUE,IF(BZZ4="N",TRUE,FALSE))))</formula>
    </cfRule>
  </conditionalFormatting>
  <conditionalFormatting sqref="BZZ3">
    <cfRule type="expression" dxfId="1236" priority="1237">
      <formula>IF(BZZ3="YES",TRUE,IF(BZZ3="yes",TRUE,IF(BZZ3="y",TRUE,IF(BZZ3="Y",TRUE,FALSE))))</formula>
    </cfRule>
  </conditionalFormatting>
  <conditionalFormatting sqref="BZU3 BZU8 BZU21:BZU26">
    <cfRule type="expression" dxfId="1235" priority="1236">
      <formula>IF(BZU3="NO",TRUE,IF(BZU3="no",TRUE,IF(BZU3="n",TRUE,IF(BZU3="N",TRUE,FALSE))))</formula>
    </cfRule>
  </conditionalFormatting>
  <conditionalFormatting sqref="BZU4">
    <cfRule type="expression" dxfId="1234" priority="1235">
      <formula>IF(BZU4="NO",TRUE,IF(BZU4="no",TRUE,IF(BZU4="n",TRUE,IF(BZU4="N",TRUE,FALSE))))</formula>
    </cfRule>
  </conditionalFormatting>
  <conditionalFormatting sqref="BZU3">
    <cfRule type="expression" dxfId="1233" priority="1234">
      <formula>IF(BZU3="YES",TRUE,IF(BZU3="yes",TRUE,IF(BZU3="y",TRUE,IF(BZU3="Y",TRUE,FALSE))))</formula>
    </cfRule>
  </conditionalFormatting>
  <conditionalFormatting sqref="BZP3 BZP8 BZP21:BZP26">
    <cfRule type="expression" dxfId="1232" priority="1233">
      <formula>IF(BZP3="NO",TRUE,IF(BZP3="no",TRUE,IF(BZP3="n",TRUE,IF(BZP3="N",TRUE,FALSE))))</formula>
    </cfRule>
  </conditionalFormatting>
  <conditionalFormatting sqref="BZP4">
    <cfRule type="expression" dxfId="1231" priority="1232">
      <formula>IF(BZP4="NO",TRUE,IF(BZP4="no",TRUE,IF(BZP4="n",TRUE,IF(BZP4="N",TRUE,FALSE))))</formula>
    </cfRule>
  </conditionalFormatting>
  <conditionalFormatting sqref="BZP3">
    <cfRule type="expression" dxfId="1230" priority="1231">
      <formula>IF(BZP3="YES",TRUE,IF(BZP3="yes",TRUE,IF(BZP3="y",TRUE,IF(BZP3="Y",TRUE,FALSE))))</formula>
    </cfRule>
  </conditionalFormatting>
  <conditionalFormatting sqref="BZK3 BZK8 BZK21:BZK26">
    <cfRule type="expression" dxfId="1229" priority="1230">
      <formula>IF(BZK3="NO",TRUE,IF(BZK3="no",TRUE,IF(BZK3="n",TRUE,IF(BZK3="N",TRUE,FALSE))))</formula>
    </cfRule>
  </conditionalFormatting>
  <conditionalFormatting sqref="BZK4">
    <cfRule type="expression" dxfId="1228" priority="1229">
      <formula>IF(BZK4="NO",TRUE,IF(BZK4="no",TRUE,IF(BZK4="n",TRUE,IF(BZK4="N",TRUE,FALSE))))</formula>
    </cfRule>
  </conditionalFormatting>
  <conditionalFormatting sqref="BZK3">
    <cfRule type="expression" dxfId="1227" priority="1228">
      <formula>IF(BZK3="YES",TRUE,IF(BZK3="yes",TRUE,IF(BZK3="y",TRUE,IF(BZK3="Y",TRUE,FALSE))))</formula>
    </cfRule>
  </conditionalFormatting>
  <conditionalFormatting sqref="BZF3 BZF8 BZF21:BZF26">
    <cfRule type="expression" dxfId="1226" priority="1227">
      <formula>IF(BZF3="NO",TRUE,IF(BZF3="no",TRUE,IF(BZF3="n",TRUE,IF(BZF3="N",TRUE,FALSE))))</formula>
    </cfRule>
  </conditionalFormatting>
  <conditionalFormatting sqref="BZF4">
    <cfRule type="expression" dxfId="1225" priority="1226">
      <formula>IF(BZF4="NO",TRUE,IF(BZF4="no",TRUE,IF(BZF4="n",TRUE,IF(BZF4="N",TRUE,FALSE))))</formula>
    </cfRule>
  </conditionalFormatting>
  <conditionalFormatting sqref="BZF3">
    <cfRule type="expression" dxfId="1224" priority="1225">
      <formula>IF(BZF3="YES",TRUE,IF(BZF3="yes",TRUE,IF(BZF3="y",TRUE,IF(BZF3="Y",TRUE,FALSE))))</formula>
    </cfRule>
  </conditionalFormatting>
  <conditionalFormatting sqref="BZA3 BZA8 BZA21:BZA26">
    <cfRule type="expression" dxfId="1223" priority="1224">
      <formula>IF(BZA3="NO",TRUE,IF(BZA3="no",TRUE,IF(BZA3="n",TRUE,IF(BZA3="N",TRUE,FALSE))))</formula>
    </cfRule>
  </conditionalFormatting>
  <conditionalFormatting sqref="BZA4">
    <cfRule type="expression" dxfId="1222" priority="1223">
      <formula>IF(BZA4="NO",TRUE,IF(BZA4="no",TRUE,IF(BZA4="n",TRUE,IF(BZA4="N",TRUE,FALSE))))</formula>
    </cfRule>
  </conditionalFormatting>
  <conditionalFormatting sqref="BZA3">
    <cfRule type="expression" dxfId="1221" priority="1222">
      <formula>IF(BZA3="YES",TRUE,IF(BZA3="yes",TRUE,IF(BZA3="y",TRUE,IF(BZA3="Y",TRUE,FALSE))))</formula>
    </cfRule>
  </conditionalFormatting>
  <conditionalFormatting sqref="BYV3 BYV8 BYV21:BYV26">
    <cfRule type="expression" dxfId="1220" priority="1221">
      <formula>IF(BYV3="NO",TRUE,IF(BYV3="no",TRUE,IF(BYV3="n",TRUE,IF(BYV3="N",TRUE,FALSE))))</formula>
    </cfRule>
  </conditionalFormatting>
  <conditionalFormatting sqref="BYV4">
    <cfRule type="expression" dxfId="1219" priority="1220">
      <formula>IF(BYV4="NO",TRUE,IF(BYV4="no",TRUE,IF(BYV4="n",TRUE,IF(BYV4="N",TRUE,FALSE))))</formula>
    </cfRule>
  </conditionalFormatting>
  <conditionalFormatting sqref="BYV3">
    <cfRule type="expression" dxfId="1218" priority="1219">
      <formula>IF(BYV3="YES",TRUE,IF(BYV3="yes",TRUE,IF(BYV3="y",TRUE,IF(BYV3="Y",TRUE,FALSE))))</formula>
    </cfRule>
  </conditionalFormatting>
  <conditionalFormatting sqref="BYQ3 BYQ8 BYQ21:BYQ26">
    <cfRule type="expression" dxfId="1217" priority="1218">
      <formula>IF(BYQ3="NO",TRUE,IF(BYQ3="no",TRUE,IF(BYQ3="n",TRUE,IF(BYQ3="N",TRUE,FALSE))))</formula>
    </cfRule>
  </conditionalFormatting>
  <conditionalFormatting sqref="BYQ4">
    <cfRule type="expression" dxfId="1216" priority="1217">
      <formula>IF(BYQ4="NO",TRUE,IF(BYQ4="no",TRUE,IF(BYQ4="n",TRUE,IF(BYQ4="N",TRUE,FALSE))))</formula>
    </cfRule>
  </conditionalFormatting>
  <conditionalFormatting sqref="BYQ3">
    <cfRule type="expression" dxfId="1215" priority="1216">
      <formula>IF(BYQ3="YES",TRUE,IF(BYQ3="yes",TRUE,IF(BYQ3="y",TRUE,IF(BYQ3="Y",TRUE,FALSE))))</formula>
    </cfRule>
  </conditionalFormatting>
  <conditionalFormatting sqref="BYL3 BYL8 BYL21:BYL26">
    <cfRule type="expression" dxfId="1214" priority="1215">
      <formula>IF(BYL3="NO",TRUE,IF(BYL3="no",TRUE,IF(BYL3="n",TRUE,IF(BYL3="N",TRUE,FALSE))))</formula>
    </cfRule>
  </conditionalFormatting>
  <conditionalFormatting sqref="BYL4">
    <cfRule type="expression" dxfId="1213" priority="1214">
      <formula>IF(BYL4="NO",TRUE,IF(BYL4="no",TRUE,IF(BYL4="n",TRUE,IF(BYL4="N",TRUE,FALSE))))</formula>
    </cfRule>
  </conditionalFormatting>
  <conditionalFormatting sqref="BYL3">
    <cfRule type="expression" dxfId="1212" priority="1213">
      <formula>IF(BYL3="YES",TRUE,IF(BYL3="yes",TRUE,IF(BYL3="y",TRUE,IF(BYL3="Y",TRUE,FALSE))))</formula>
    </cfRule>
  </conditionalFormatting>
  <conditionalFormatting sqref="BYG3 BYG8 BYG21:BYG26">
    <cfRule type="expression" dxfId="1211" priority="1212">
      <formula>IF(BYG3="NO",TRUE,IF(BYG3="no",TRUE,IF(BYG3="n",TRUE,IF(BYG3="N",TRUE,FALSE))))</formula>
    </cfRule>
  </conditionalFormatting>
  <conditionalFormatting sqref="BYG4">
    <cfRule type="expression" dxfId="1210" priority="1211">
      <formula>IF(BYG4="NO",TRUE,IF(BYG4="no",TRUE,IF(BYG4="n",TRUE,IF(BYG4="N",TRUE,FALSE))))</formula>
    </cfRule>
  </conditionalFormatting>
  <conditionalFormatting sqref="BYG3">
    <cfRule type="expression" dxfId="1209" priority="1210">
      <formula>IF(BYG3="YES",TRUE,IF(BYG3="yes",TRUE,IF(BYG3="y",TRUE,IF(BYG3="Y",TRUE,FALSE))))</formula>
    </cfRule>
  </conditionalFormatting>
  <conditionalFormatting sqref="BYB3 BYB8 BYB21:BYB26">
    <cfRule type="expression" dxfId="1208" priority="1209">
      <formula>IF(BYB3="NO",TRUE,IF(BYB3="no",TRUE,IF(BYB3="n",TRUE,IF(BYB3="N",TRUE,FALSE))))</formula>
    </cfRule>
  </conditionalFormatting>
  <conditionalFormatting sqref="BYB4">
    <cfRule type="expression" dxfId="1207" priority="1208">
      <formula>IF(BYB4="NO",TRUE,IF(BYB4="no",TRUE,IF(BYB4="n",TRUE,IF(BYB4="N",TRUE,FALSE))))</formula>
    </cfRule>
  </conditionalFormatting>
  <conditionalFormatting sqref="BYB3">
    <cfRule type="expression" dxfId="1206" priority="1207">
      <formula>IF(BYB3="YES",TRUE,IF(BYB3="yes",TRUE,IF(BYB3="y",TRUE,IF(BYB3="Y",TRUE,FALSE))))</formula>
    </cfRule>
  </conditionalFormatting>
  <conditionalFormatting sqref="BXW3 BXW8 BXW21:BXW26">
    <cfRule type="expression" dxfId="1205" priority="1206">
      <formula>IF(BXW3="NO",TRUE,IF(BXW3="no",TRUE,IF(BXW3="n",TRUE,IF(BXW3="N",TRUE,FALSE))))</formula>
    </cfRule>
  </conditionalFormatting>
  <conditionalFormatting sqref="BXW4">
    <cfRule type="expression" dxfId="1204" priority="1205">
      <formula>IF(BXW4="NO",TRUE,IF(BXW4="no",TRUE,IF(BXW4="n",TRUE,IF(BXW4="N",TRUE,FALSE))))</formula>
    </cfRule>
  </conditionalFormatting>
  <conditionalFormatting sqref="BXW3">
    <cfRule type="expression" dxfId="1203" priority="1204">
      <formula>IF(BXW3="YES",TRUE,IF(BXW3="yes",TRUE,IF(BXW3="y",TRUE,IF(BXW3="Y",TRUE,FALSE))))</formula>
    </cfRule>
  </conditionalFormatting>
  <conditionalFormatting sqref="BXR3 BXR8 BXR21:BXR26">
    <cfRule type="expression" dxfId="1202" priority="1203">
      <formula>IF(BXR3="NO",TRUE,IF(BXR3="no",TRUE,IF(BXR3="n",TRUE,IF(BXR3="N",TRUE,FALSE))))</formula>
    </cfRule>
  </conditionalFormatting>
  <conditionalFormatting sqref="BXR4">
    <cfRule type="expression" dxfId="1201" priority="1202">
      <formula>IF(BXR4="NO",TRUE,IF(BXR4="no",TRUE,IF(BXR4="n",TRUE,IF(BXR4="N",TRUE,FALSE))))</formula>
    </cfRule>
  </conditionalFormatting>
  <conditionalFormatting sqref="BXR3">
    <cfRule type="expression" dxfId="1200" priority="1201">
      <formula>IF(BXR3="YES",TRUE,IF(BXR3="yes",TRUE,IF(BXR3="y",TRUE,IF(BXR3="Y",TRUE,FALSE))))</formula>
    </cfRule>
  </conditionalFormatting>
  <conditionalFormatting sqref="BXM3 BXM8 BXM21:BXM26">
    <cfRule type="expression" dxfId="1199" priority="1200">
      <formula>IF(BXM3="NO",TRUE,IF(BXM3="no",TRUE,IF(BXM3="n",TRUE,IF(BXM3="N",TRUE,FALSE))))</formula>
    </cfRule>
  </conditionalFormatting>
  <conditionalFormatting sqref="BXM4">
    <cfRule type="expression" dxfId="1198" priority="1199">
      <formula>IF(BXM4="NO",TRUE,IF(BXM4="no",TRUE,IF(BXM4="n",TRUE,IF(BXM4="N",TRUE,FALSE))))</formula>
    </cfRule>
  </conditionalFormatting>
  <conditionalFormatting sqref="BXM3">
    <cfRule type="expression" dxfId="1197" priority="1198">
      <formula>IF(BXM3="YES",TRUE,IF(BXM3="yes",TRUE,IF(BXM3="y",TRUE,IF(BXM3="Y",TRUE,FALSE))))</formula>
    </cfRule>
  </conditionalFormatting>
  <conditionalFormatting sqref="BXH3 BXH8 BXH21:BXH26">
    <cfRule type="expression" dxfId="1196" priority="1197">
      <formula>IF(BXH3="NO",TRUE,IF(BXH3="no",TRUE,IF(BXH3="n",TRUE,IF(BXH3="N",TRUE,FALSE))))</formula>
    </cfRule>
  </conditionalFormatting>
  <conditionalFormatting sqref="BXH4">
    <cfRule type="expression" dxfId="1195" priority="1196">
      <formula>IF(BXH4="NO",TRUE,IF(BXH4="no",TRUE,IF(BXH4="n",TRUE,IF(BXH4="N",TRUE,FALSE))))</formula>
    </cfRule>
  </conditionalFormatting>
  <conditionalFormatting sqref="BXH3">
    <cfRule type="expression" dxfId="1194" priority="1195">
      <formula>IF(BXH3="YES",TRUE,IF(BXH3="yes",TRUE,IF(BXH3="y",TRUE,IF(BXH3="Y",TRUE,FALSE))))</formula>
    </cfRule>
  </conditionalFormatting>
  <conditionalFormatting sqref="BXC3 BXC8 BXC21:BXC26">
    <cfRule type="expression" dxfId="1193" priority="1194">
      <formula>IF(BXC3="NO",TRUE,IF(BXC3="no",TRUE,IF(BXC3="n",TRUE,IF(BXC3="N",TRUE,FALSE))))</formula>
    </cfRule>
  </conditionalFormatting>
  <conditionalFormatting sqref="BXC4">
    <cfRule type="expression" dxfId="1192" priority="1193">
      <formula>IF(BXC4="NO",TRUE,IF(BXC4="no",TRUE,IF(BXC4="n",TRUE,IF(BXC4="N",TRUE,FALSE))))</formula>
    </cfRule>
  </conditionalFormatting>
  <conditionalFormatting sqref="BXC3">
    <cfRule type="expression" dxfId="1191" priority="1192">
      <formula>IF(BXC3="YES",TRUE,IF(BXC3="yes",TRUE,IF(BXC3="y",TRUE,IF(BXC3="Y",TRUE,FALSE))))</formula>
    </cfRule>
  </conditionalFormatting>
  <conditionalFormatting sqref="BWX3 BWX8 BWX21:BWX26">
    <cfRule type="expression" dxfId="1190" priority="1191">
      <formula>IF(BWX3="NO",TRUE,IF(BWX3="no",TRUE,IF(BWX3="n",TRUE,IF(BWX3="N",TRUE,FALSE))))</formula>
    </cfRule>
  </conditionalFormatting>
  <conditionalFormatting sqref="BWX4">
    <cfRule type="expression" dxfId="1189" priority="1190">
      <formula>IF(BWX4="NO",TRUE,IF(BWX4="no",TRUE,IF(BWX4="n",TRUE,IF(BWX4="N",TRUE,FALSE))))</formula>
    </cfRule>
  </conditionalFormatting>
  <conditionalFormatting sqref="BWX3">
    <cfRule type="expression" dxfId="1188" priority="1189">
      <formula>IF(BWX3="YES",TRUE,IF(BWX3="yes",TRUE,IF(BWX3="y",TRUE,IF(BWX3="Y",TRUE,FALSE))))</formula>
    </cfRule>
  </conditionalFormatting>
  <conditionalFormatting sqref="BWS3 BWS8 BWS21:BWS26">
    <cfRule type="expression" dxfId="1187" priority="1188">
      <formula>IF(BWS3="NO",TRUE,IF(BWS3="no",TRUE,IF(BWS3="n",TRUE,IF(BWS3="N",TRUE,FALSE))))</formula>
    </cfRule>
  </conditionalFormatting>
  <conditionalFormatting sqref="BWS4">
    <cfRule type="expression" dxfId="1186" priority="1187">
      <formula>IF(BWS4="NO",TRUE,IF(BWS4="no",TRUE,IF(BWS4="n",TRUE,IF(BWS4="N",TRUE,FALSE))))</formula>
    </cfRule>
  </conditionalFormatting>
  <conditionalFormatting sqref="BWS3">
    <cfRule type="expression" dxfId="1185" priority="1186">
      <formula>IF(BWS3="YES",TRUE,IF(BWS3="yes",TRUE,IF(BWS3="y",TRUE,IF(BWS3="Y",TRUE,FALSE))))</formula>
    </cfRule>
  </conditionalFormatting>
  <conditionalFormatting sqref="BWN3 BWN8 BWN21:BWN26">
    <cfRule type="expression" dxfId="1184" priority="1185">
      <formula>IF(BWN3="NO",TRUE,IF(BWN3="no",TRUE,IF(BWN3="n",TRUE,IF(BWN3="N",TRUE,FALSE))))</formula>
    </cfRule>
  </conditionalFormatting>
  <conditionalFormatting sqref="BWN4">
    <cfRule type="expression" dxfId="1183" priority="1184">
      <formula>IF(BWN4="NO",TRUE,IF(BWN4="no",TRUE,IF(BWN4="n",TRUE,IF(BWN4="N",TRUE,FALSE))))</formula>
    </cfRule>
  </conditionalFormatting>
  <conditionalFormatting sqref="BWN3">
    <cfRule type="expression" dxfId="1182" priority="1183">
      <formula>IF(BWN3="YES",TRUE,IF(BWN3="yes",TRUE,IF(BWN3="y",TRUE,IF(BWN3="Y",TRUE,FALSE))))</formula>
    </cfRule>
  </conditionalFormatting>
  <conditionalFormatting sqref="BWI3 BWI8 BWI21:BWI26">
    <cfRule type="expression" dxfId="1181" priority="1182">
      <formula>IF(BWI3="NO",TRUE,IF(BWI3="no",TRUE,IF(BWI3="n",TRUE,IF(BWI3="N",TRUE,FALSE))))</formula>
    </cfRule>
  </conditionalFormatting>
  <conditionalFormatting sqref="BWI4">
    <cfRule type="expression" dxfId="1180" priority="1181">
      <formula>IF(BWI4="NO",TRUE,IF(BWI4="no",TRUE,IF(BWI4="n",TRUE,IF(BWI4="N",TRUE,FALSE))))</formula>
    </cfRule>
  </conditionalFormatting>
  <conditionalFormatting sqref="BWI3">
    <cfRule type="expression" dxfId="1179" priority="1180">
      <formula>IF(BWI3="YES",TRUE,IF(BWI3="yes",TRUE,IF(BWI3="y",TRUE,IF(BWI3="Y",TRUE,FALSE))))</formula>
    </cfRule>
  </conditionalFormatting>
  <conditionalFormatting sqref="BWD3 BWD8 BWD21:BWD26">
    <cfRule type="expression" dxfId="1178" priority="1179">
      <formula>IF(BWD3="NO",TRUE,IF(BWD3="no",TRUE,IF(BWD3="n",TRUE,IF(BWD3="N",TRUE,FALSE))))</formula>
    </cfRule>
  </conditionalFormatting>
  <conditionalFormatting sqref="BWD4">
    <cfRule type="expression" dxfId="1177" priority="1178">
      <formula>IF(BWD4="NO",TRUE,IF(BWD4="no",TRUE,IF(BWD4="n",TRUE,IF(BWD4="N",TRUE,FALSE))))</formula>
    </cfRule>
  </conditionalFormatting>
  <conditionalFormatting sqref="BWD3">
    <cfRule type="expression" dxfId="1176" priority="1177">
      <formula>IF(BWD3="YES",TRUE,IF(BWD3="yes",TRUE,IF(BWD3="y",TRUE,IF(BWD3="Y",TRUE,FALSE))))</formula>
    </cfRule>
  </conditionalFormatting>
  <conditionalFormatting sqref="BVY3 BVY8 BVY21:BVY26">
    <cfRule type="expression" dxfId="1175" priority="1176">
      <formula>IF(BVY3="NO",TRUE,IF(BVY3="no",TRUE,IF(BVY3="n",TRUE,IF(BVY3="N",TRUE,FALSE))))</formula>
    </cfRule>
  </conditionalFormatting>
  <conditionalFormatting sqref="BVY4">
    <cfRule type="expression" dxfId="1174" priority="1175">
      <formula>IF(BVY4="NO",TRUE,IF(BVY4="no",TRUE,IF(BVY4="n",TRUE,IF(BVY4="N",TRUE,FALSE))))</formula>
    </cfRule>
  </conditionalFormatting>
  <conditionalFormatting sqref="BVY3">
    <cfRule type="expression" dxfId="1173" priority="1174">
      <formula>IF(BVY3="YES",TRUE,IF(BVY3="yes",TRUE,IF(BVY3="y",TRUE,IF(BVY3="Y",TRUE,FALSE))))</formula>
    </cfRule>
  </conditionalFormatting>
  <conditionalFormatting sqref="BVT3 BVT8 BVT21:BVT26">
    <cfRule type="expression" dxfId="1172" priority="1173">
      <formula>IF(BVT3="NO",TRUE,IF(BVT3="no",TRUE,IF(BVT3="n",TRUE,IF(BVT3="N",TRUE,FALSE))))</formula>
    </cfRule>
  </conditionalFormatting>
  <conditionalFormatting sqref="BVT4">
    <cfRule type="expression" dxfId="1171" priority="1172">
      <formula>IF(BVT4="NO",TRUE,IF(BVT4="no",TRUE,IF(BVT4="n",TRUE,IF(BVT4="N",TRUE,FALSE))))</formula>
    </cfRule>
  </conditionalFormatting>
  <conditionalFormatting sqref="BVT3">
    <cfRule type="expression" dxfId="1170" priority="1171">
      <formula>IF(BVT3="YES",TRUE,IF(BVT3="yes",TRUE,IF(BVT3="y",TRUE,IF(BVT3="Y",TRUE,FALSE))))</formula>
    </cfRule>
  </conditionalFormatting>
  <conditionalFormatting sqref="BVO3 BVO8 BVO21:BVO26">
    <cfRule type="expression" dxfId="1169" priority="1170">
      <formula>IF(BVO3="NO",TRUE,IF(BVO3="no",TRUE,IF(BVO3="n",TRUE,IF(BVO3="N",TRUE,FALSE))))</formula>
    </cfRule>
  </conditionalFormatting>
  <conditionalFormatting sqref="BVO4">
    <cfRule type="expression" dxfId="1168" priority="1169">
      <formula>IF(BVO4="NO",TRUE,IF(BVO4="no",TRUE,IF(BVO4="n",TRUE,IF(BVO4="N",TRUE,FALSE))))</formula>
    </cfRule>
  </conditionalFormatting>
  <conditionalFormatting sqref="BVO3">
    <cfRule type="expression" dxfId="1167" priority="1168">
      <formula>IF(BVO3="YES",TRUE,IF(BVO3="yes",TRUE,IF(BVO3="y",TRUE,IF(BVO3="Y",TRUE,FALSE))))</formula>
    </cfRule>
  </conditionalFormatting>
  <conditionalFormatting sqref="BVJ3 BVJ8 BVJ21:BVJ26">
    <cfRule type="expression" dxfId="1166" priority="1167">
      <formula>IF(BVJ3="NO",TRUE,IF(BVJ3="no",TRUE,IF(BVJ3="n",TRUE,IF(BVJ3="N",TRUE,FALSE))))</formula>
    </cfRule>
  </conditionalFormatting>
  <conditionalFormatting sqref="BVJ4">
    <cfRule type="expression" dxfId="1165" priority="1166">
      <formula>IF(BVJ4="NO",TRUE,IF(BVJ4="no",TRUE,IF(BVJ4="n",TRUE,IF(BVJ4="N",TRUE,FALSE))))</formula>
    </cfRule>
  </conditionalFormatting>
  <conditionalFormatting sqref="BVJ3">
    <cfRule type="expression" dxfId="1164" priority="1165">
      <formula>IF(BVJ3="YES",TRUE,IF(BVJ3="yes",TRUE,IF(BVJ3="y",TRUE,IF(BVJ3="Y",TRUE,FALSE))))</formula>
    </cfRule>
  </conditionalFormatting>
  <conditionalFormatting sqref="BVE3 BVE8 BVE21:BVE26">
    <cfRule type="expression" dxfId="1163" priority="1164">
      <formula>IF(BVE3="NO",TRUE,IF(BVE3="no",TRUE,IF(BVE3="n",TRUE,IF(BVE3="N",TRUE,FALSE))))</formula>
    </cfRule>
  </conditionalFormatting>
  <conditionalFormatting sqref="BVE4">
    <cfRule type="expression" dxfId="1162" priority="1163">
      <formula>IF(BVE4="NO",TRUE,IF(BVE4="no",TRUE,IF(BVE4="n",TRUE,IF(BVE4="N",TRUE,FALSE))))</formula>
    </cfRule>
  </conditionalFormatting>
  <conditionalFormatting sqref="BVE3">
    <cfRule type="expression" dxfId="1161" priority="1162">
      <formula>IF(BVE3="YES",TRUE,IF(BVE3="yes",TRUE,IF(BVE3="y",TRUE,IF(BVE3="Y",TRUE,FALSE))))</formula>
    </cfRule>
  </conditionalFormatting>
  <conditionalFormatting sqref="BUZ3 BUZ8 BUZ21:BUZ26">
    <cfRule type="expression" dxfId="1160" priority="1161">
      <formula>IF(BUZ3="NO",TRUE,IF(BUZ3="no",TRUE,IF(BUZ3="n",TRUE,IF(BUZ3="N",TRUE,FALSE))))</formula>
    </cfRule>
  </conditionalFormatting>
  <conditionalFormatting sqref="BUZ4">
    <cfRule type="expression" dxfId="1159" priority="1160">
      <formula>IF(BUZ4="NO",TRUE,IF(BUZ4="no",TRUE,IF(BUZ4="n",TRUE,IF(BUZ4="N",TRUE,FALSE))))</formula>
    </cfRule>
  </conditionalFormatting>
  <conditionalFormatting sqref="BUZ3">
    <cfRule type="expression" dxfId="1158" priority="1159">
      <formula>IF(BUZ3="YES",TRUE,IF(BUZ3="yes",TRUE,IF(BUZ3="y",TRUE,IF(BUZ3="Y",TRUE,FALSE))))</formula>
    </cfRule>
  </conditionalFormatting>
  <conditionalFormatting sqref="BUU3 BUU8 BUU21:BUU26">
    <cfRule type="expression" dxfId="1157" priority="1158">
      <formula>IF(BUU3="NO",TRUE,IF(BUU3="no",TRUE,IF(BUU3="n",TRUE,IF(BUU3="N",TRUE,FALSE))))</formula>
    </cfRule>
  </conditionalFormatting>
  <conditionalFormatting sqref="BUU4">
    <cfRule type="expression" dxfId="1156" priority="1157">
      <formula>IF(BUU4="NO",TRUE,IF(BUU4="no",TRUE,IF(BUU4="n",TRUE,IF(BUU4="N",TRUE,FALSE))))</formula>
    </cfRule>
  </conditionalFormatting>
  <conditionalFormatting sqref="BUU3">
    <cfRule type="expression" dxfId="1155" priority="1156">
      <formula>IF(BUU3="YES",TRUE,IF(BUU3="yes",TRUE,IF(BUU3="y",TRUE,IF(BUU3="Y",TRUE,FALSE))))</formula>
    </cfRule>
  </conditionalFormatting>
  <conditionalFormatting sqref="BUP3 BUP8 BUP21:BUP26">
    <cfRule type="expression" dxfId="1154" priority="1155">
      <formula>IF(BUP3="NO",TRUE,IF(BUP3="no",TRUE,IF(BUP3="n",TRUE,IF(BUP3="N",TRUE,FALSE))))</formula>
    </cfRule>
  </conditionalFormatting>
  <conditionalFormatting sqref="BUP4">
    <cfRule type="expression" dxfId="1153" priority="1154">
      <formula>IF(BUP4="NO",TRUE,IF(BUP4="no",TRUE,IF(BUP4="n",TRUE,IF(BUP4="N",TRUE,FALSE))))</formula>
    </cfRule>
  </conditionalFormatting>
  <conditionalFormatting sqref="BUP3">
    <cfRule type="expression" dxfId="1152" priority="1153">
      <formula>IF(BUP3="YES",TRUE,IF(BUP3="yes",TRUE,IF(BUP3="y",TRUE,IF(BUP3="Y",TRUE,FALSE))))</formula>
    </cfRule>
  </conditionalFormatting>
  <conditionalFormatting sqref="BUK3 BUK8 BUK21:BUK26">
    <cfRule type="expression" dxfId="1151" priority="1152">
      <formula>IF(BUK3="NO",TRUE,IF(BUK3="no",TRUE,IF(BUK3="n",TRUE,IF(BUK3="N",TRUE,FALSE))))</formula>
    </cfRule>
  </conditionalFormatting>
  <conditionalFormatting sqref="BUK4">
    <cfRule type="expression" dxfId="1150" priority="1151">
      <formula>IF(BUK4="NO",TRUE,IF(BUK4="no",TRUE,IF(BUK4="n",TRUE,IF(BUK4="N",TRUE,FALSE))))</formula>
    </cfRule>
  </conditionalFormatting>
  <conditionalFormatting sqref="BUK3">
    <cfRule type="expression" dxfId="1149" priority="1150">
      <formula>IF(BUK3="YES",TRUE,IF(BUK3="yes",TRUE,IF(BUK3="y",TRUE,IF(BUK3="Y",TRUE,FALSE))))</formula>
    </cfRule>
  </conditionalFormatting>
  <conditionalFormatting sqref="BUF3 BUF8 BUF21:BUF26">
    <cfRule type="expression" dxfId="1148" priority="1149">
      <formula>IF(BUF3="NO",TRUE,IF(BUF3="no",TRUE,IF(BUF3="n",TRUE,IF(BUF3="N",TRUE,FALSE))))</formula>
    </cfRule>
  </conditionalFormatting>
  <conditionalFormatting sqref="BUF4">
    <cfRule type="expression" dxfId="1147" priority="1148">
      <formula>IF(BUF4="NO",TRUE,IF(BUF4="no",TRUE,IF(BUF4="n",TRUE,IF(BUF4="N",TRUE,FALSE))))</formula>
    </cfRule>
  </conditionalFormatting>
  <conditionalFormatting sqref="BUF3">
    <cfRule type="expression" dxfId="1146" priority="1147">
      <formula>IF(BUF3="YES",TRUE,IF(BUF3="yes",TRUE,IF(BUF3="y",TRUE,IF(BUF3="Y",TRUE,FALSE))))</formula>
    </cfRule>
  </conditionalFormatting>
  <conditionalFormatting sqref="BUA3 BUA8 BUA21:BUA26">
    <cfRule type="expression" dxfId="1145" priority="1146">
      <formula>IF(BUA3="NO",TRUE,IF(BUA3="no",TRUE,IF(BUA3="n",TRUE,IF(BUA3="N",TRUE,FALSE))))</formula>
    </cfRule>
  </conditionalFormatting>
  <conditionalFormatting sqref="BUA4">
    <cfRule type="expression" dxfId="1144" priority="1145">
      <formula>IF(BUA4="NO",TRUE,IF(BUA4="no",TRUE,IF(BUA4="n",TRUE,IF(BUA4="N",TRUE,FALSE))))</formula>
    </cfRule>
  </conditionalFormatting>
  <conditionalFormatting sqref="BUA3">
    <cfRule type="expression" dxfId="1143" priority="1144">
      <formula>IF(BUA3="YES",TRUE,IF(BUA3="yes",TRUE,IF(BUA3="y",TRUE,IF(BUA3="Y",TRUE,FALSE))))</formula>
    </cfRule>
  </conditionalFormatting>
  <conditionalFormatting sqref="BTV3 BTV8 BTV21:BTV26">
    <cfRule type="expression" dxfId="1142" priority="1143">
      <formula>IF(BTV3="NO",TRUE,IF(BTV3="no",TRUE,IF(BTV3="n",TRUE,IF(BTV3="N",TRUE,FALSE))))</formula>
    </cfRule>
  </conditionalFormatting>
  <conditionalFormatting sqref="BTV4">
    <cfRule type="expression" dxfId="1141" priority="1142">
      <formula>IF(BTV4="NO",TRUE,IF(BTV4="no",TRUE,IF(BTV4="n",TRUE,IF(BTV4="N",TRUE,FALSE))))</formula>
    </cfRule>
  </conditionalFormatting>
  <conditionalFormatting sqref="BTV3">
    <cfRule type="expression" dxfId="1140" priority="1141">
      <formula>IF(BTV3="YES",TRUE,IF(BTV3="yes",TRUE,IF(BTV3="y",TRUE,IF(BTV3="Y",TRUE,FALSE))))</formula>
    </cfRule>
  </conditionalFormatting>
  <conditionalFormatting sqref="BTQ3 BTQ8 BTQ21:BTQ26">
    <cfRule type="expression" dxfId="1139" priority="1140">
      <formula>IF(BTQ3="NO",TRUE,IF(BTQ3="no",TRUE,IF(BTQ3="n",TRUE,IF(BTQ3="N",TRUE,FALSE))))</formula>
    </cfRule>
  </conditionalFormatting>
  <conditionalFormatting sqref="BTQ4">
    <cfRule type="expression" dxfId="1138" priority="1139">
      <formula>IF(BTQ4="NO",TRUE,IF(BTQ4="no",TRUE,IF(BTQ4="n",TRUE,IF(BTQ4="N",TRUE,FALSE))))</formula>
    </cfRule>
  </conditionalFormatting>
  <conditionalFormatting sqref="BTQ3">
    <cfRule type="expression" dxfId="1137" priority="1138">
      <formula>IF(BTQ3="YES",TRUE,IF(BTQ3="yes",TRUE,IF(BTQ3="y",TRUE,IF(BTQ3="Y",TRUE,FALSE))))</formula>
    </cfRule>
  </conditionalFormatting>
  <conditionalFormatting sqref="BTL3 BTL8 BTL21:BTL26">
    <cfRule type="expression" dxfId="1136" priority="1137">
      <formula>IF(BTL3="NO",TRUE,IF(BTL3="no",TRUE,IF(BTL3="n",TRUE,IF(BTL3="N",TRUE,FALSE))))</formula>
    </cfRule>
  </conditionalFormatting>
  <conditionalFormatting sqref="BTL4">
    <cfRule type="expression" dxfId="1135" priority="1136">
      <formula>IF(BTL4="NO",TRUE,IF(BTL4="no",TRUE,IF(BTL4="n",TRUE,IF(BTL4="N",TRUE,FALSE))))</formula>
    </cfRule>
  </conditionalFormatting>
  <conditionalFormatting sqref="BTL3">
    <cfRule type="expression" dxfId="1134" priority="1135">
      <formula>IF(BTL3="YES",TRUE,IF(BTL3="yes",TRUE,IF(BTL3="y",TRUE,IF(BTL3="Y",TRUE,FALSE))))</formula>
    </cfRule>
  </conditionalFormatting>
  <conditionalFormatting sqref="BTG3 BTG8 BTG21:BTG26">
    <cfRule type="expression" dxfId="1133" priority="1134">
      <formula>IF(BTG3="NO",TRUE,IF(BTG3="no",TRUE,IF(BTG3="n",TRUE,IF(BTG3="N",TRUE,FALSE))))</formula>
    </cfRule>
  </conditionalFormatting>
  <conditionalFormatting sqref="BTG4">
    <cfRule type="expression" dxfId="1132" priority="1133">
      <formula>IF(BTG4="NO",TRUE,IF(BTG4="no",TRUE,IF(BTG4="n",TRUE,IF(BTG4="N",TRUE,FALSE))))</formula>
    </cfRule>
  </conditionalFormatting>
  <conditionalFormatting sqref="BTG3">
    <cfRule type="expression" dxfId="1131" priority="1132">
      <formula>IF(BTG3="YES",TRUE,IF(BTG3="yes",TRUE,IF(BTG3="y",TRUE,IF(BTG3="Y",TRUE,FALSE))))</formula>
    </cfRule>
  </conditionalFormatting>
  <conditionalFormatting sqref="BTB3 BTB8 BTB21:BTB26">
    <cfRule type="expression" dxfId="1130" priority="1131">
      <formula>IF(BTB3="NO",TRUE,IF(BTB3="no",TRUE,IF(BTB3="n",TRUE,IF(BTB3="N",TRUE,FALSE))))</formula>
    </cfRule>
  </conditionalFormatting>
  <conditionalFormatting sqref="BTB4">
    <cfRule type="expression" dxfId="1129" priority="1130">
      <formula>IF(BTB4="NO",TRUE,IF(BTB4="no",TRUE,IF(BTB4="n",TRUE,IF(BTB4="N",TRUE,FALSE))))</formula>
    </cfRule>
  </conditionalFormatting>
  <conditionalFormatting sqref="BTB3">
    <cfRule type="expression" dxfId="1128" priority="1129">
      <formula>IF(BTB3="YES",TRUE,IF(BTB3="yes",TRUE,IF(BTB3="y",TRUE,IF(BTB3="Y",TRUE,FALSE))))</formula>
    </cfRule>
  </conditionalFormatting>
  <conditionalFormatting sqref="BSW3 BSW8 BSW21:BSW26">
    <cfRule type="expression" dxfId="1127" priority="1128">
      <formula>IF(BSW3="NO",TRUE,IF(BSW3="no",TRUE,IF(BSW3="n",TRUE,IF(BSW3="N",TRUE,FALSE))))</formula>
    </cfRule>
  </conditionalFormatting>
  <conditionalFormatting sqref="BSW4">
    <cfRule type="expression" dxfId="1126" priority="1127">
      <formula>IF(BSW4="NO",TRUE,IF(BSW4="no",TRUE,IF(BSW4="n",TRUE,IF(BSW4="N",TRUE,FALSE))))</formula>
    </cfRule>
  </conditionalFormatting>
  <conditionalFormatting sqref="BSW3">
    <cfRule type="expression" dxfId="1125" priority="1126">
      <formula>IF(BSW3="YES",TRUE,IF(BSW3="yes",TRUE,IF(BSW3="y",TRUE,IF(BSW3="Y",TRUE,FALSE))))</formula>
    </cfRule>
  </conditionalFormatting>
  <conditionalFormatting sqref="BSR3 BSR8 BSR21:BSR26">
    <cfRule type="expression" dxfId="1124" priority="1125">
      <formula>IF(BSR3="NO",TRUE,IF(BSR3="no",TRUE,IF(BSR3="n",TRUE,IF(BSR3="N",TRUE,FALSE))))</formula>
    </cfRule>
  </conditionalFormatting>
  <conditionalFormatting sqref="BSR4">
    <cfRule type="expression" dxfId="1123" priority="1124">
      <formula>IF(BSR4="NO",TRUE,IF(BSR4="no",TRUE,IF(BSR4="n",TRUE,IF(BSR4="N",TRUE,FALSE))))</formula>
    </cfRule>
  </conditionalFormatting>
  <conditionalFormatting sqref="BSR3">
    <cfRule type="expression" dxfId="1122" priority="1123">
      <formula>IF(BSR3="YES",TRUE,IF(BSR3="yes",TRUE,IF(BSR3="y",TRUE,IF(BSR3="Y",TRUE,FALSE))))</formula>
    </cfRule>
  </conditionalFormatting>
  <conditionalFormatting sqref="BSM3 BSM8 BSM21:BSM26">
    <cfRule type="expression" dxfId="1121" priority="1122">
      <formula>IF(BSM3="NO",TRUE,IF(BSM3="no",TRUE,IF(BSM3="n",TRUE,IF(BSM3="N",TRUE,FALSE))))</formula>
    </cfRule>
  </conditionalFormatting>
  <conditionalFormatting sqref="BSM4">
    <cfRule type="expression" dxfId="1120" priority="1121">
      <formula>IF(BSM4="NO",TRUE,IF(BSM4="no",TRUE,IF(BSM4="n",TRUE,IF(BSM4="N",TRUE,FALSE))))</formula>
    </cfRule>
  </conditionalFormatting>
  <conditionalFormatting sqref="BSM3">
    <cfRule type="expression" dxfId="1119" priority="1120">
      <formula>IF(BSM3="YES",TRUE,IF(BSM3="yes",TRUE,IF(BSM3="y",TRUE,IF(BSM3="Y",TRUE,FALSE))))</formula>
    </cfRule>
  </conditionalFormatting>
  <conditionalFormatting sqref="BSH3 BSH8 BSH21:BSH26">
    <cfRule type="expression" dxfId="1118" priority="1119">
      <formula>IF(BSH3="NO",TRUE,IF(BSH3="no",TRUE,IF(BSH3="n",TRUE,IF(BSH3="N",TRUE,FALSE))))</formula>
    </cfRule>
  </conditionalFormatting>
  <conditionalFormatting sqref="BSH4">
    <cfRule type="expression" dxfId="1117" priority="1118">
      <formula>IF(BSH4="NO",TRUE,IF(BSH4="no",TRUE,IF(BSH4="n",TRUE,IF(BSH4="N",TRUE,FALSE))))</formula>
    </cfRule>
  </conditionalFormatting>
  <conditionalFormatting sqref="BSH3">
    <cfRule type="expression" dxfId="1116" priority="1117">
      <formula>IF(BSH3="YES",TRUE,IF(BSH3="yes",TRUE,IF(BSH3="y",TRUE,IF(BSH3="Y",TRUE,FALSE))))</formula>
    </cfRule>
  </conditionalFormatting>
  <conditionalFormatting sqref="BSC3 BSC8 BSC21:BSC26">
    <cfRule type="expression" dxfId="1115" priority="1116">
      <formula>IF(BSC3="NO",TRUE,IF(BSC3="no",TRUE,IF(BSC3="n",TRUE,IF(BSC3="N",TRUE,FALSE))))</formula>
    </cfRule>
  </conditionalFormatting>
  <conditionalFormatting sqref="BSC4">
    <cfRule type="expression" dxfId="1114" priority="1115">
      <formula>IF(BSC4="NO",TRUE,IF(BSC4="no",TRUE,IF(BSC4="n",TRUE,IF(BSC4="N",TRUE,FALSE))))</formula>
    </cfRule>
  </conditionalFormatting>
  <conditionalFormatting sqref="BSC3">
    <cfRule type="expression" dxfId="1113" priority="1114">
      <formula>IF(BSC3="YES",TRUE,IF(BSC3="yes",TRUE,IF(BSC3="y",TRUE,IF(BSC3="Y",TRUE,FALSE))))</formula>
    </cfRule>
  </conditionalFormatting>
  <conditionalFormatting sqref="BRX3 BRX8 BRX21:BRX26">
    <cfRule type="expression" dxfId="1112" priority="1113">
      <formula>IF(BRX3="NO",TRUE,IF(BRX3="no",TRUE,IF(BRX3="n",TRUE,IF(BRX3="N",TRUE,FALSE))))</formula>
    </cfRule>
  </conditionalFormatting>
  <conditionalFormatting sqref="BRX4">
    <cfRule type="expression" dxfId="1111" priority="1112">
      <formula>IF(BRX4="NO",TRUE,IF(BRX4="no",TRUE,IF(BRX4="n",TRUE,IF(BRX4="N",TRUE,FALSE))))</formula>
    </cfRule>
  </conditionalFormatting>
  <conditionalFormatting sqref="BRX3">
    <cfRule type="expression" dxfId="1110" priority="1111">
      <formula>IF(BRX3="YES",TRUE,IF(BRX3="yes",TRUE,IF(BRX3="y",TRUE,IF(BRX3="Y",TRUE,FALSE))))</formula>
    </cfRule>
  </conditionalFormatting>
  <conditionalFormatting sqref="BRS3 BRS8 BRS21:BRS26">
    <cfRule type="expression" dxfId="1109" priority="1110">
      <formula>IF(BRS3="NO",TRUE,IF(BRS3="no",TRUE,IF(BRS3="n",TRUE,IF(BRS3="N",TRUE,FALSE))))</formula>
    </cfRule>
  </conditionalFormatting>
  <conditionalFormatting sqref="BRS4">
    <cfRule type="expression" dxfId="1108" priority="1109">
      <formula>IF(BRS4="NO",TRUE,IF(BRS4="no",TRUE,IF(BRS4="n",TRUE,IF(BRS4="N",TRUE,FALSE))))</formula>
    </cfRule>
  </conditionalFormatting>
  <conditionalFormatting sqref="BRS3">
    <cfRule type="expression" dxfId="1107" priority="1108">
      <formula>IF(BRS3="YES",TRUE,IF(BRS3="yes",TRUE,IF(BRS3="y",TRUE,IF(BRS3="Y",TRUE,FALSE))))</formula>
    </cfRule>
  </conditionalFormatting>
  <conditionalFormatting sqref="BRN3 BRN8 BRN21:BRN26">
    <cfRule type="expression" dxfId="1106" priority="1107">
      <formula>IF(BRN3="NO",TRUE,IF(BRN3="no",TRUE,IF(BRN3="n",TRUE,IF(BRN3="N",TRUE,FALSE))))</formula>
    </cfRule>
  </conditionalFormatting>
  <conditionalFormatting sqref="BRN4">
    <cfRule type="expression" dxfId="1105" priority="1106">
      <formula>IF(BRN4="NO",TRUE,IF(BRN4="no",TRUE,IF(BRN4="n",TRUE,IF(BRN4="N",TRUE,FALSE))))</formula>
    </cfRule>
  </conditionalFormatting>
  <conditionalFormatting sqref="BRN3">
    <cfRule type="expression" dxfId="1104" priority="1105">
      <formula>IF(BRN3="YES",TRUE,IF(BRN3="yes",TRUE,IF(BRN3="y",TRUE,IF(BRN3="Y",TRUE,FALSE))))</formula>
    </cfRule>
  </conditionalFormatting>
  <conditionalFormatting sqref="BRI3 BRI8 BRI21:BRI26">
    <cfRule type="expression" dxfId="1103" priority="1104">
      <formula>IF(BRI3="NO",TRUE,IF(BRI3="no",TRUE,IF(BRI3="n",TRUE,IF(BRI3="N",TRUE,FALSE))))</formula>
    </cfRule>
  </conditionalFormatting>
  <conditionalFormatting sqref="BRI4">
    <cfRule type="expression" dxfId="1102" priority="1103">
      <formula>IF(BRI4="NO",TRUE,IF(BRI4="no",TRUE,IF(BRI4="n",TRUE,IF(BRI4="N",TRUE,FALSE))))</formula>
    </cfRule>
  </conditionalFormatting>
  <conditionalFormatting sqref="BRI3">
    <cfRule type="expression" dxfId="1101" priority="1102">
      <formula>IF(BRI3="YES",TRUE,IF(BRI3="yes",TRUE,IF(BRI3="y",TRUE,IF(BRI3="Y",TRUE,FALSE))))</formula>
    </cfRule>
  </conditionalFormatting>
  <conditionalFormatting sqref="BRD3 BRD8 BRD21:BRD26">
    <cfRule type="expression" dxfId="1100" priority="1101">
      <formula>IF(BRD3="NO",TRUE,IF(BRD3="no",TRUE,IF(BRD3="n",TRUE,IF(BRD3="N",TRUE,FALSE))))</formula>
    </cfRule>
  </conditionalFormatting>
  <conditionalFormatting sqref="BRD4">
    <cfRule type="expression" dxfId="1099" priority="1100">
      <formula>IF(BRD4="NO",TRUE,IF(BRD4="no",TRUE,IF(BRD4="n",TRUE,IF(BRD4="N",TRUE,FALSE))))</formula>
    </cfRule>
  </conditionalFormatting>
  <conditionalFormatting sqref="BRD3">
    <cfRule type="expression" dxfId="1098" priority="1099">
      <formula>IF(BRD3="YES",TRUE,IF(BRD3="yes",TRUE,IF(BRD3="y",TRUE,IF(BRD3="Y",TRUE,FALSE))))</formula>
    </cfRule>
  </conditionalFormatting>
  <conditionalFormatting sqref="BQY3 BQY8 BQY21:BQY26">
    <cfRule type="expression" dxfId="1097" priority="1092">
      <formula>IF(BQY3="NO",TRUE,IF(BQY3="no",TRUE,IF(BQY3="n",TRUE,IF(BQY3="N",TRUE,FALSE))))</formula>
    </cfRule>
  </conditionalFormatting>
  <conditionalFormatting sqref="BQY4">
    <cfRule type="expression" dxfId="1096" priority="1091">
      <formula>IF(BQY4="NO",TRUE,IF(BQY4="no",TRUE,IF(BQY4="n",TRUE,IF(BQY4="N",TRUE,FALSE))))</formula>
    </cfRule>
  </conditionalFormatting>
  <conditionalFormatting sqref="BQY3">
    <cfRule type="expression" dxfId="1095" priority="1090">
      <formula>IF(BQY3="YES",TRUE,IF(BQY3="yes",TRUE,IF(BQY3="y",TRUE,IF(BQY3="Y",TRUE,FALSE))))</formula>
    </cfRule>
  </conditionalFormatting>
  <conditionalFormatting sqref="BQT3 BQT8 BQT21:BQT26">
    <cfRule type="expression" dxfId="1094" priority="1089">
      <formula>IF(BQT3="NO",TRUE,IF(BQT3="no",TRUE,IF(BQT3="n",TRUE,IF(BQT3="N",TRUE,FALSE))))</formula>
    </cfRule>
  </conditionalFormatting>
  <conditionalFormatting sqref="BQT4">
    <cfRule type="expression" dxfId="1093" priority="1088">
      <formula>IF(BQT4="NO",TRUE,IF(BQT4="no",TRUE,IF(BQT4="n",TRUE,IF(BQT4="N",TRUE,FALSE))))</formula>
    </cfRule>
  </conditionalFormatting>
  <conditionalFormatting sqref="BQT3">
    <cfRule type="expression" dxfId="1092" priority="1087">
      <formula>IF(BQT3="YES",TRUE,IF(BQT3="yes",TRUE,IF(BQT3="y",TRUE,IF(BQT3="Y",TRUE,FALSE))))</formula>
    </cfRule>
  </conditionalFormatting>
  <conditionalFormatting sqref="BQO3 BQO8 BQO21:BQO26">
    <cfRule type="expression" dxfId="1091" priority="1086">
      <formula>IF(BQO3="NO",TRUE,IF(BQO3="no",TRUE,IF(BQO3="n",TRUE,IF(BQO3="N",TRUE,FALSE))))</formula>
    </cfRule>
  </conditionalFormatting>
  <conditionalFormatting sqref="BQO4">
    <cfRule type="expression" dxfId="1090" priority="1085">
      <formula>IF(BQO4="NO",TRUE,IF(BQO4="no",TRUE,IF(BQO4="n",TRUE,IF(BQO4="N",TRUE,FALSE))))</formula>
    </cfRule>
  </conditionalFormatting>
  <conditionalFormatting sqref="BQO3">
    <cfRule type="expression" dxfId="1089" priority="1084">
      <formula>IF(BQO3="YES",TRUE,IF(BQO3="yes",TRUE,IF(BQO3="y",TRUE,IF(BQO3="Y",TRUE,FALSE))))</formula>
    </cfRule>
  </conditionalFormatting>
  <conditionalFormatting sqref="BQJ3 BQJ8 BQJ21:BQJ26">
    <cfRule type="expression" dxfId="1088" priority="1083">
      <formula>IF(BQJ3="NO",TRUE,IF(BQJ3="no",TRUE,IF(BQJ3="n",TRUE,IF(BQJ3="N",TRUE,FALSE))))</formula>
    </cfRule>
  </conditionalFormatting>
  <conditionalFormatting sqref="BQJ4">
    <cfRule type="expression" dxfId="1087" priority="1082">
      <formula>IF(BQJ4="NO",TRUE,IF(BQJ4="no",TRUE,IF(BQJ4="n",TRUE,IF(BQJ4="N",TRUE,FALSE))))</formula>
    </cfRule>
  </conditionalFormatting>
  <conditionalFormatting sqref="BQJ3">
    <cfRule type="expression" dxfId="1086" priority="1081">
      <formula>IF(BQJ3="YES",TRUE,IF(BQJ3="yes",TRUE,IF(BQJ3="y",TRUE,IF(BQJ3="Y",TRUE,FALSE))))</formula>
    </cfRule>
  </conditionalFormatting>
  <conditionalFormatting sqref="BQE3 BQE8 BQE21:BQE26">
    <cfRule type="expression" dxfId="1085" priority="1080">
      <formula>IF(BQE3="NO",TRUE,IF(BQE3="no",TRUE,IF(BQE3="n",TRUE,IF(BQE3="N",TRUE,FALSE))))</formula>
    </cfRule>
  </conditionalFormatting>
  <conditionalFormatting sqref="BQE4">
    <cfRule type="expression" dxfId="1084" priority="1079">
      <formula>IF(BQE4="NO",TRUE,IF(BQE4="no",TRUE,IF(BQE4="n",TRUE,IF(BQE4="N",TRUE,FALSE))))</formula>
    </cfRule>
  </conditionalFormatting>
  <conditionalFormatting sqref="BQE3">
    <cfRule type="expression" dxfId="1083" priority="1078">
      <formula>IF(BQE3="YES",TRUE,IF(BQE3="yes",TRUE,IF(BQE3="y",TRUE,IF(BQE3="Y",TRUE,FALSE))))</formula>
    </cfRule>
  </conditionalFormatting>
  <conditionalFormatting sqref="BPZ3 BPZ8 BPZ21:BPZ26">
    <cfRule type="expression" dxfId="1082" priority="1077">
      <formula>IF(BPZ3="NO",TRUE,IF(BPZ3="no",TRUE,IF(BPZ3="n",TRUE,IF(BPZ3="N",TRUE,FALSE))))</formula>
    </cfRule>
  </conditionalFormatting>
  <conditionalFormatting sqref="BPZ4">
    <cfRule type="expression" dxfId="1081" priority="1076">
      <formula>IF(BPZ4="NO",TRUE,IF(BPZ4="no",TRUE,IF(BPZ4="n",TRUE,IF(BPZ4="N",TRUE,FALSE))))</formula>
    </cfRule>
  </conditionalFormatting>
  <conditionalFormatting sqref="BPZ3">
    <cfRule type="expression" dxfId="1080" priority="1075">
      <formula>IF(BPZ3="YES",TRUE,IF(BPZ3="yes",TRUE,IF(BPZ3="y",TRUE,IF(BPZ3="Y",TRUE,FALSE))))</formula>
    </cfRule>
  </conditionalFormatting>
  <conditionalFormatting sqref="BPU3 BPU8 BPU21:BPU26">
    <cfRule type="expression" dxfId="1079" priority="1074">
      <formula>IF(BPU3="NO",TRUE,IF(BPU3="no",TRUE,IF(BPU3="n",TRUE,IF(BPU3="N",TRUE,FALSE))))</formula>
    </cfRule>
  </conditionalFormatting>
  <conditionalFormatting sqref="BPU4">
    <cfRule type="expression" dxfId="1078" priority="1073">
      <formula>IF(BPU4="NO",TRUE,IF(BPU4="no",TRUE,IF(BPU4="n",TRUE,IF(BPU4="N",TRUE,FALSE))))</formula>
    </cfRule>
  </conditionalFormatting>
  <conditionalFormatting sqref="BPU3">
    <cfRule type="expression" dxfId="1077" priority="1072">
      <formula>IF(BPU3="YES",TRUE,IF(BPU3="yes",TRUE,IF(BPU3="y",TRUE,IF(BPU3="Y",TRUE,FALSE))))</formula>
    </cfRule>
  </conditionalFormatting>
  <conditionalFormatting sqref="BPP3 BPP8 BPP21:BPP26">
    <cfRule type="expression" dxfId="1076" priority="1071">
      <formula>IF(BPP3="NO",TRUE,IF(BPP3="no",TRUE,IF(BPP3="n",TRUE,IF(BPP3="N",TRUE,FALSE))))</formula>
    </cfRule>
  </conditionalFormatting>
  <conditionalFormatting sqref="BPP4">
    <cfRule type="expression" dxfId="1075" priority="1070">
      <formula>IF(BPP4="NO",TRUE,IF(BPP4="no",TRUE,IF(BPP4="n",TRUE,IF(BPP4="N",TRUE,FALSE))))</formula>
    </cfRule>
  </conditionalFormatting>
  <conditionalFormatting sqref="BPP3">
    <cfRule type="expression" dxfId="1074" priority="1069">
      <formula>IF(BPP3="YES",TRUE,IF(BPP3="yes",TRUE,IF(BPP3="y",TRUE,IF(BPP3="Y",TRUE,FALSE))))</formula>
    </cfRule>
  </conditionalFormatting>
  <conditionalFormatting sqref="BPK3 BPK8 BPK21:BPK26">
    <cfRule type="expression" dxfId="1073" priority="1068">
      <formula>IF(BPK3="NO",TRUE,IF(BPK3="no",TRUE,IF(BPK3="n",TRUE,IF(BPK3="N",TRUE,FALSE))))</formula>
    </cfRule>
  </conditionalFormatting>
  <conditionalFormatting sqref="BPK4">
    <cfRule type="expression" dxfId="1072" priority="1067">
      <formula>IF(BPK4="NO",TRUE,IF(BPK4="no",TRUE,IF(BPK4="n",TRUE,IF(BPK4="N",TRUE,FALSE))))</formula>
    </cfRule>
  </conditionalFormatting>
  <conditionalFormatting sqref="BPK3">
    <cfRule type="expression" dxfId="1071" priority="1066">
      <formula>IF(BPK3="YES",TRUE,IF(BPK3="yes",TRUE,IF(BPK3="y",TRUE,IF(BPK3="Y",TRUE,FALSE))))</formula>
    </cfRule>
  </conditionalFormatting>
  <conditionalFormatting sqref="BPF3 BPF8 BPF21:BPF26">
    <cfRule type="expression" dxfId="1070" priority="1065">
      <formula>IF(BPF3="NO",TRUE,IF(BPF3="no",TRUE,IF(BPF3="n",TRUE,IF(BPF3="N",TRUE,FALSE))))</formula>
    </cfRule>
  </conditionalFormatting>
  <conditionalFormatting sqref="BPF4">
    <cfRule type="expression" dxfId="1069" priority="1064">
      <formula>IF(BPF4="NO",TRUE,IF(BPF4="no",TRUE,IF(BPF4="n",TRUE,IF(BPF4="N",TRUE,FALSE))))</formula>
    </cfRule>
  </conditionalFormatting>
  <conditionalFormatting sqref="BPF3">
    <cfRule type="expression" dxfId="1068" priority="1063">
      <formula>IF(BPF3="YES",TRUE,IF(BPF3="yes",TRUE,IF(BPF3="y",TRUE,IF(BPF3="Y",TRUE,FALSE))))</formula>
    </cfRule>
  </conditionalFormatting>
  <conditionalFormatting sqref="BPA3 BPA8 BPA21:BPA26">
    <cfRule type="expression" dxfId="1067" priority="1062">
      <formula>IF(BPA3="NO",TRUE,IF(BPA3="no",TRUE,IF(BPA3="n",TRUE,IF(BPA3="N",TRUE,FALSE))))</formula>
    </cfRule>
  </conditionalFormatting>
  <conditionalFormatting sqref="BPA4">
    <cfRule type="expression" dxfId="1066" priority="1061">
      <formula>IF(BPA4="NO",TRUE,IF(BPA4="no",TRUE,IF(BPA4="n",TRUE,IF(BPA4="N",TRUE,FALSE))))</formula>
    </cfRule>
  </conditionalFormatting>
  <conditionalFormatting sqref="BPA3">
    <cfRule type="expression" dxfId="1065" priority="1060">
      <formula>IF(BPA3="YES",TRUE,IF(BPA3="yes",TRUE,IF(BPA3="y",TRUE,IF(BPA3="Y",TRUE,FALSE))))</formula>
    </cfRule>
  </conditionalFormatting>
  <conditionalFormatting sqref="BOV3 BOV8 BOV21:BOV26">
    <cfRule type="expression" dxfId="1064" priority="1059">
      <formula>IF(BOV3="NO",TRUE,IF(BOV3="no",TRUE,IF(BOV3="n",TRUE,IF(BOV3="N",TRUE,FALSE))))</formula>
    </cfRule>
  </conditionalFormatting>
  <conditionalFormatting sqref="BOV4">
    <cfRule type="expression" dxfId="1063" priority="1058">
      <formula>IF(BOV4="NO",TRUE,IF(BOV4="no",TRUE,IF(BOV4="n",TRUE,IF(BOV4="N",TRUE,FALSE))))</formula>
    </cfRule>
  </conditionalFormatting>
  <conditionalFormatting sqref="BOV3">
    <cfRule type="expression" dxfId="1062" priority="1057">
      <formula>IF(BOV3="YES",TRUE,IF(BOV3="yes",TRUE,IF(BOV3="y",TRUE,IF(BOV3="Y",TRUE,FALSE))))</formula>
    </cfRule>
  </conditionalFormatting>
  <conditionalFormatting sqref="BOQ3 BOQ8 BOQ21:BOQ26">
    <cfRule type="expression" dxfId="1061" priority="1056">
      <formula>IF(BOQ3="NO",TRUE,IF(BOQ3="no",TRUE,IF(BOQ3="n",TRUE,IF(BOQ3="N",TRUE,FALSE))))</formula>
    </cfRule>
  </conditionalFormatting>
  <conditionalFormatting sqref="BOQ4">
    <cfRule type="expression" dxfId="1060" priority="1055">
      <formula>IF(BOQ4="NO",TRUE,IF(BOQ4="no",TRUE,IF(BOQ4="n",TRUE,IF(BOQ4="N",TRUE,FALSE))))</formula>
    </cfRule>
  </conditionalFormatting>
  <conditionalFormatting sqref="BOQ3">
    <cfRule type="expression" dxfId="1059" priority="1054">
      <formula>IF(BOQ3="YES",TRUE,IF(BOQ3="yes",TRUE,IF(BOQ3="y",TRUE,IF(BOQ3="Y",TRUE,FALSE))))</formula>
    </cfRule>
  </conditionalFormatting>
  <conditionalFormatting sqref="BOL3 BOL8 BOL21:BOL26">
    <cfRule type="expression" dxfId="1058" priority="1053">
      <formula>IF(BOL3="NO",TRUE,IF(BOL3="no",TRUE,IF(BOL3="n",TRUE,IF(BOL3="N",TRUE,FALSE))))</formula>
    </cfRule>
  </conditionalFormatting>
  <conditionalFormatting sqref="BOL4">
    <cfRule type="expression" dxfId="1057" priority="1052">
      <formula>IF(BOL4="NO",TRUE,IF(BOL4="no",TRUE,IF(BOL4="n",TRUE,IF(BOL4="N",TRUE,FALSE))))</formula>
    </cfRule>
  </conditionalFormatting>
  <conditionalFormatting sqref="BOL3">
    <cfRule type="expression" dxfId="1056" priority="1051">
      <formula>IF(BOL3="YES",TRUE,IF(BOL3="yes",TRUE,IF(BOL3="y",TRUE,IF(BOL3="Y",TRUE,FALSE))))</formula>
    </cfRule>
  </conditionalFormatting>
  <conditionalFormatting sqref="BOG3 BOG8 BOG21:BOG26">
    <cfRule type="expression" dxfId="1055" priority="1050">
      <formula>IF(BOG3="NO",TRUE,IF(BOG3="no",TRUE,IF(BOG3="n",TRUE,IF(BOG3="N",TRUE,FALSE))))</formula>
    </cfRule>
  </conditionalFormatting>
  <conditionalFormatting sqref="BOG4">
    <cfRule type="expression" dxfId="1054" priority="1049">
      <formula>IF(BOG4="NO",TRUE,IF(BOG4="no",TRUE,IF(BOG4="n",TRUE,IF(BOG4="N",TRUE,FALSE))))</formula>
    </cfRule>
  </conditionalFormatting>
  <conditionalFormatting sqref="BOG3">
    <cfRule type="expression" dxfId="1053" priority="1048">
      <formula>IF(BOG3="YES",TRUE,IF(BOG3="yes",TRUE,IF(BOG3="y",TRUE,IF(BOG3="Y",TRUE,FALSE))))</formula>
    </cfRule>
  </conditionalFormatting>
  <conditionalFormatting sqref="BOB3 BOB8 BOB21:BOB26">
    <cfRule type="expression" dxfId="1052" priority="1047">
      <formula>IF(BOB3="NO",TRUE,IF(BOB3="no",TRUE,IF(BOB3="n",TRUE,IF(BOB3="N",TRUE,FALSE))))</formula>
    </cfRule>
  </conditionalFormatting>
  <conditionalFormatting sqref="BOB4">
    <cfRule type="expression" dxfId="1051" priority="1046">
      <formula>IF(BOB4="NO",TRUE,IF(BOB4="no",TRUE,IF(BOB4="n",TRUE,IF(BOB4="N",TRUE,FALSE))))</formula>
    </cfRule>
  </conditionalFormatting>
  <conditionalFormatting sqref="BOB3">
    <cfRule type="expression" dxfId="1050" priority="1045">
      <formula>IF(BOB3="YES",TRUE,IF(BOB3="yes",TRUE,IF(BOB3="y",TRUE,IF(BOB3="Y",TRUE,FALSE))))</formula>
    </cfRule>
  </conditionalFormatting>
  <conditionalFormatting sqref="BNW3 BNW8 BNW21:BNW26">
    <cfRule type="expression" dxfId="1049" priority="1044">
      <formula>IF(BNW3="NO",TRUE,IF(BNW3="no",TRUE,IF(BNW3="n",TRUE,IF(BNW3="N",TRUE,FALSE))))</formula>
    </cfRule>
  </conditionalFormatting>
  <conditionalFormatting sqref="BNW4">
    <cfRule type="expression" dxfId="1048" priority="1043">
      <formula>IF(BNW4="NO",TRUE,IF(BNW4="no",TRUE,IF(BNW4="n",TRUE,IF(BNW4="N",TRUE,FALSE))))</formula>
    </cfRule>
  </conditionalFormatting>
  <conditionalFormatting sqref="BNW3">
    <cfRule type="expression" dxfId="1047" priority="1042">
      <formula>IF(BNW3="YES",TRUE,IF(BNW3="yes",TRUE,IF(BNW3="y",TRUE,IF(BNW3="Y",TRUE,FALSE))))</formula>
    </cfRule>
  </conditionalFormatting>
  <conditionalFormatting sqref="BNR3 BNR8 BNR21:BNR26">
    <cfRule type="expression" dxfId="1046" priority="1041">
      <formula>IF(BNR3="NO",TRUE,IF(BNR3="no",TRUE,IF(BNR3="n",TRUE,IF(BNR3="N",TRUE,FALSE))))</formula>
    </cfRule>
  </conditionalFormatting>
  <conditionalFormatting sqref="BNR4">
    <cfRule type="expression" dxfId="1045" priority="1040">
      <formula>IF(BNR4="NO",TRUE,IF(BNR4="no",TRUE,IF(BNR4="n",TRUE,IF(BNR4="N",TRUE,FALSE))))</formula>
    </cfRule>
  </conditionalFormatting>
  <conditionalFormatting sqref="BNR3">
    <cfRule type="expression" dxfId="1044" priority="1039">
      <formula>IF(BNR3="YES",TRUE,IF(BNR3="yes",TRUE,IF(BNR3="y",TRUE,IF(BNR3="Y",TRUE,FALSE))))</formula>
    </cfRule>
  </conditionalFormatting>
  <conditionalFormatting sqref="BNM3 BNM8 BNM21:BNM26">
    <cfRule type="expression" dxfId="1043" priority="1038">
      <formula>IF(BNM3="NO",TRUE,IF(BNM3="no",TRUE,IF(BNM3="n",TRUE,IF(BNM3="N",TRUE,FALSE))))</formula>
    </cfRule>
  </conditionalFormatting>
  <conditionalFormatting sqref="BNM4">
    <cfRule type="expression" dxfId="1042" priority="1037">
      <formula>IF(BNM4="NO",TRUE,IF(BNM4="no",TRUE,IF(BNM4="n",TRUE,IF(BNM4="N",TRUE,FALSE))))</formula>
    </cfRule>
  </conditionalFormatting>
  <conditionalFormatting sqref="BNM3">
    <cfRule type="expression" dxfId="1041" priority="1036">
      <formula>IF(BNM3="YES",TRUE,IF(BNM3="yes",TRUE,IF(BNM3="y",TRUE,IF(BNM3="Y",TRUE,FALSE))))</formula>
    </cfRule>
  </conditionalFormatting>
  <conditionalFormatting sqref="BNH3 BNH8 BNH21:BNH26">
    <cfRule type="expression" dxfId="1040" priority="1035">
      <formula>IF(BNH3="NO",TRUE,IF(BNH3="no",TRUE,IF(BNH3="n",TRUE,IF(BNH3="N",TRUE,FALSE))))</formula>
    </cfRule>
  </conditionalFormatting>
  <conditionalFormatting sqref="BNH4">
    <cfRule type="expression" dxfId="1039" priority="1034">
      <formula>IF(BNH4="NO",TRUE,IF(BNH4="no",TRUE,IF(BNH4="n",TRUE,IF(BNH4="N",TRUE,FALSE))))</formula>
    </cfRule>
  </conditionalFormatting>
  <conditionalFormatting sqref="BNH3">
    <cfRule type="expression" dxfId="1038" priority="1033">
      <formula>IF(BNH3="YES",TRUE,IF(BNH3="yes",TRUE,IF(BNH3="y",TRUE,IF(BNH3="Y",TRUE,FALSE))))</formula>
    </cfRule>
  </conditionalFormatting>
  <conditionalFormatting sqref="BNC3 BNC8 BNC21:BNC26">
    <cfRule type="expression" dxfId="1037" priority="1032">
      <formula>IF(BNC3="NO",TRUE,IF(BNC3="no",TRUE,IF(BNC3="n",TRUE,IF(BNC3="N",TRUE,FALSE))))</formula>
    </cfRule>
  </conditionalFormatting>
  <conditionalFormatting sqref="BNC4">
    <cfRule type="expression" dxfId="1036" priority="1031">
      <formula>IF(BNC4="NO",TRUE,IF(BNC4="no",TRUE,IF(BNC4="n",TRUE,IF(BNC4="N",TRUE,FALSE))))</formula>
    </cfRule>
  </conditionalFormatting>
  <conditionalFormatting sqref="BNC3">
    <cfRule type="expression" dxfId="1035" priority="1030">
      <formula>IF(BNC3="YES",TRUE,IF(BNC3="yes",TRUE,IF(BNC3="y",TRUE,IF(BNC3="Y",TRUE,FALSE))))</formula>
    </cfRule>
  </conditionalFormatting>
  <conditionalFormatting sqref="BMX3 BMX8 BMX21:BMX26">
    <cfRule type="expression" dxfId="1034" priority="1029">
      <formula>IF(BMX3="NO",TRUE,IF(BMX3="no",TRUE,IF(BMX3="n",TRUE,IF(BMX3="N",TRUE,FALSE))))</formula>
    </cfRule>
  </conditionalFormatting>
  <conditionalFormatting sqref="BMX4">
    <cfRule type="expression" dxfId="1033" priority="1028">
      <formula>IF(BMX4="NO",TRUE,IF(BMX4="no",TRUE,IF(BMX4="n",TRUE,IF(BMX4="N",TRUE,FALSE))))</formula>
    </cfRule>
  </conditionalFormatting>
  <conditionalFormatting sqref="BMX3">
    <cfRule type="expression" dxfId="1032" priority="1027">
      <formula>IF(BMX3="YES",TRUE,IF(BMX3="yes",TRUE,IF(BMX3="y",TRUE,IF(BMX3="Y",TRUE,FALSE))))</formula>
    </cfRule>
  </conditionalFormatting>
  <conditionalFormatting sqref="BMS3 BMS8 BMS21:BMS26">
    <cfRule type="expression" dxfId="1031" priority="1026">
      <formula>IF(BMS3="NO",TRUE,IF(BMS3="no",TRUE,IF(BMS3="n",TRUE,IF(BMS3="N",TRUE,FALSE))))</formula>
    </cfRule>
  </conditionalFormatting>
  <conditionalFormatting sqref="BMS4">
    <cfRule type="expression" dxfId="1030" priority="1025">
      <formula>IF(BMS4="NO",TRUE,IF(BMS4="no",TRUE,IF(BMS4="n",TRUE,IF(BMS4="N",TRUE,FALSE))))</formula>
    </cfRule>
  </conditionalFormatting>
  <conditionalFormatting sqref="BMS3">
    <cfRule type="expression" dxfId="1029" priority="1024">
      <formula>IF(BMS3="YES",TRUE,IF(BMS3="yes",TRUE,IF(BMS3="y",TRUE,IF(BMS3="Y",TRUE,FALSE))))</formula>
    </cfRule>
  </conditionalFormatting>
  <conditionalFormatting sqref="BMN3 BMN8 BMN21:BMN26">
    <cfRule type="expression" dxfId="1028" priority="1023">
      <formula>IF(BMN3="NO",TRUE,IF(BMN3="no",TRUE,IF(BMN3="n",TRUE,IF(BMN3="N",TRUE,FALSE))))</formula>
    </cfRule>
  </conditionalFormatting>
  <conditionalFormatting sqref="BMN4">
    <cfRule type="expression" dxfId="1027" priority="1022">
      <formula>IF(BMN4="NO",TRUE,IF(BMN4="no",TRUE,IF(BMN4="n",TRUE,IF(BMN4="N",TRUE,FALSE))))</formula>
    </cfRule>
  </conditionalFormatting>
  <conditionalFormatting sqref="BMN3">
    <cfRule type="expression" dxfId="1026" priority="1021">
      <formula>IF(BMN3="YES",TRUE,IF(BMN3="yes",TRUE,IF(BMN3="y",TRUE,IF(BMN3="Y",TRUE,FALSE))))</formula>
    </cfRule>
  </conditionalFormatting>
  <conditionalFormatting sqref="BMI3 BMI8 BMI21:BMI26">
    <cfRule type="expression" dxfId="1025" priority="1020">
      <formula>IF(BMI3="NO",TRUE,IF(BMI3="no",TRUE,IF(BMI3="n",TRUE,IF(BMI3="N",TRUE,FALSE))))</formula>
    </cfRule>
  </conditionalFormatting>
  <conditionalFormatting sqref="BMI4">
    <cfRule type="expression" dxfId="1024" priority="1019">
      <formula>IF(BMI4="NO",TRUE,IF(BMI4="no",TRUE,IF(BMI4="n",TRUE,IF(BMI4="N",TRUE,FALSE))))</formula>
    </cfRule>
  </conditionalFormatting>
  <conditionalFormatting sqref="BMI3">
    <cfRule type="expression" dxfId="1023" priority="1018">
      <formula>IF(BMI3="YES",TRUE,IF(BMI3="yes",TRUE,IF(BMI3="y",TRUE,IF(BMI3="Y",TRUE,FALSE))))</formula>
    </cfRule>
  </conditionalFormatting>
  <conditionalFormatting sqref="BMD3 BMD8 BMD21:BMD26">
    <cfRule type="expression" dxfId="1022" priority="1017">
      <formula>IF(BMD3="NO",TRUE,IF(BMD3="no",TRUE,IF(BMD3="n",TRUE,IF(BMD3="N",TRUE,FALSE))))</formula>
    </cfRule>
  </conditionalFormatting>
  <conditionalFormatting sqref="BMD4">
    <cfRule type="expression" dxfId="1021" priority="1016">
      <formula>IF(BMD4="NO",TRUE,IF(BMD4="no",TRUE,IF(BMD4="n",TRUE,IF(BMD4="N",TRUE,FALSE))))</formula>
    </cfRule>
  </conditionalFormatting>
  <conditionalFormatting sqref="BMD3">
    <cfRule type="expression" dxfId="1020" priority="1015">
      <formula>IF(BMD3="YES",TRUE,IF(BMD3="yes",TRUE,IF(BMD3="y",TRUE,IF(BMD3="Y",TRUE,FALSE))))</formula>
    </cfRule>
  </conditionalFormatting>
  <conditionalFormatting sqref="BLY3 BLY8 BLY21:BLY26">
    <cfRule type="expression" dxfId="1019" priority="1014">
      <formula>IF(BLY3="NO",TRUE,IF(BLY3="no",TRUE,IF(BLY3="n",TRUE,IF(BLY3="N",TRUE,FALSE))))</formula>
    </cfRule>
  </conditionalFormatting>
  <conditionalFormatting sqref="BLY4">
    <cfRule type="expression" dxfId="1018" priority="1013">
      <formula>IF(BLY4="NO",TRUE,IF(BLY4="no",TRUE,IF(BLY4="n",TRUE,IF(BLY4="N",TRUE,FALSE))))</formula>
    </cfRule>
  </conditionalFormatting>
  <conditionalFormatting sqref="BLY3">
    <cfRule type="expression" dxfId="1017" priority="1012">
      <formula>IF(BLY3="YES",TRUE,IF(BLY3="yes",TRUE,IF(BLY3="y",TRUE,IF(BLY3="Y",TRUE,FALSE))))</formula>
    </cfRule>
  </conditionalFormatting>
  <conditionalFormatting sqref="BLT3 BLT8 BLT21:BLT26">
    <cfRule type="expression" dxfId="1016" priority="1011">
      <formula>IF(BLT3="NO",TRUE,IF(BLT3="no",TRUE,IF(BLT3="n",TRUE,IF(BLT3="N",TRUE,FALSE))))</formula>
    </cfRule>
  </conditionalFormatting>
  <conditionalFormatting sqref="BLT4">
    <cfRule type="expression" dxfId="1015" priority="1010">
      <formula>IF(BLT4="NO",TRUE,IF(BLT4="no",TRUE,IF(BLT4="n",TRUE,IF(BLT4="N",TRUE,FALSE))))</formula>
    </cfRule>
  </conditionalFormatting>
  <conditionalFormatting sqref="BLT3">
    <cfRule type="expression" dxfId="1014" priority="1009">
      <formula>IF(BLT3="YES",TRUE,IF(BLT3="yes",TRUE,IF(BLT3="y",TRUE,IF(BLT3="Y",TRUE,FALSE))))</formula>
    </cfRule>
  </conditionalFormatting>
  <conditionalFormatting sqref="BLO3 BLO8 BLO21:BLO26">
    <cfRule type="expression" dxfId="1013" priority="1008">
      <formula>IF(BLO3="NO",TRUE,IF(BLO3="no",TRUE,IF(BLO3="n",TRUE,IF(BLO3="N",TRUE,FALSE))))</formula>
    </cfRule>
  </conditionalFormatting>
  <conditionalFormatting sqref="BLO4">
    <cfRule type="expression" dxfId="1012" priority="1007">
      <formula>IF(BLO4="NO",TRUE,IF(BLO4="no",TRUE,IF(BLO4="n",TRUE,IF(BLO4="N",TRUE,FALSE))))</formula>
    </cfRule>
  </conditionalFormatting>
  <conditionalFormatting sqref="BLO3">
    <cfRule type="expression" dxfId="1011" priority="1006">
      <formula>IF(BLO3="YES",TRUE,IF(BLO3="yes",TRUE,IF(BLO3="y",TRUE,IF(BLO3="Y",TRUE,FALSE))))</formula>
    </cfRule>
  </conditionalFormatting>
  <conditionalFormatting sqref="BLJ3 BLJ8 BLJ21:BLJ26">
    <cfRule type="expression" dxfId="1010" priority="1005">
      <formula>IF(BLJ3="NO",TRUE,IF(BLJ3="no",TRUE,IF(BLJ3="n",TRUE,IF(BLJ3="N",TRUE,FALSE))))</formula>
    </cfRule>
  </conditionalFormatting>
  <conditionalFormatting sqref="BLJ4">
    <cfRule type="expression" dxfId="1009" priority="1004">
      <formula>IF(BLJ4="NO",TRUE,IF(BLJ4="no",TRUE,IF(BLJ4="n",TRUE,IF(BLJ4="N",TRUE,FALSE))))</formula>
    </cfRule>
  </conditionalFormatting>
  <conditionalFormatting sqref="BLJ3">
    <cfRule type="expression" dxfId="1008" priority="1003">
      <formula>IF(BLJ3="YES",TRUE,IF(BLJ3="yes",TRUE,IF(BLJ3="y",TRUE,IF(BLJ3="Y",TRUE,FALSE))))</formula>
    </cfRule>
  </conditionalFormatting>
  <conditionalFormatting sqref="BLE3 BLE8 BLE21:BLE26">
    <cfRule type="expression" dxfId="1007" priority="1002">
      <formula>IF(BLE3="NO",TRUE,IF(BLE3="no",TRUE,IF(BLE3="n",TRUE,IF(BLE3="N",TRUE,FALSE))))</formula>
    </cfRule>
  </conditionalFormatting>
  <conditionalFormatting sqref="BLE4">
    <cfRule type="expression" dxfId="1006" priority="1001">
      <formula>IF(BLE4="NO",TRUE,IF(BLE4="no",TRUE,IF(BLE4="n",TRUE,IF(BLE4="N",TRUE,FALSE))))</formula>
    </cfRule>
  </conditionalFormatting>
  <conditionalFormatting sqref="BLE3">
    <cfRule type="expression" dxfId="1005" priority="1000">
      <formula>IF(BLE3="YES",TRUE,IF(BLE3="yes",TRUE,IF(BLE3="y",TRUE,IF(BLE3="Y",TRUE,FALSE))))</formula>
    </cfRule>
  </conditionalFormatting>
  <conditionalFormatting sqref="BKZ3 BKZ8 BKZ21:BKZ26">
    <cfRule type="expression" dxfId="1004" priority="999">
      <formula>IF(BKZ3="NO",TRUE,IF(BKZ3="no",TRUE,IF(BKZ3="n",TRUE,IF(BKZ3="N",TRUE,FALSE))))</formula>
    </cfRule>
  </conditionalFormatting>
  <conditionalFormatting sqref="BKZ4">
    <cfRule type="expression" dxfId="1003" priority="998">
      <formula>IF(BKZ4="NO",TRUE,IF(BKZ4="no",TRUE,IF(BKZ4="n",TRUE,IF(BKZ4="N",TRUE,FALSE))))</formula>
    </cfRule>
  </conditionalFormatting>
  <conditionalFormatting sqref="BKZ3">
    <cfRule type="expression" dxfId="1002" priority="997">
      <formula>IF(BKZ3="YES",TRUE,IF(BKZ3="yes",TRUE,IF(BKZ3="y",TRUE,IF(BKZ3="Y",TRUE,FALSE))))</formula>
    </cfRule>
  </conditionalFormatting>
  <conditionalFormatting sqref="BKU3 BKU8 BKU21:BKU26">
    <cfRule type="expression" dxfId="1001" priority="996">
      <formula>IF(BKU3="NO",TRUE,IF(BKU3="no",TRUE,IF(BKU3="n",TRUE,IF(BKU3="N",TRUE,FALSE))))</formula>
    </cfRule>
  </conditionalFormatting>
  <conditionalFormatting sqref="BKU4">
    <cfRule type="expression" dxfId="1000" priority="995">
      <formula>IF(BKU4="NO",TRUE,IF(BKU4="no",TRUE,IF(BKU4="n",TRUE,IF(BKU4="N",TRUE,FALSE))))</formula>
    </cfRule>
  </conditionalFormatting>
  <conditionalFormatting sqref="BKU3">
    <cfRule type="expression" dxfId="999" priority="994">
      <formula>IF(BKU3="YES",TRUE,IF(BKU3="yes",TRUE,IF(BKU3="y",TRUE,IF(BKU3="Y",TRUE,FALSE))))</formula>
    </cfRule>
  </conditionalFormatting>
  <conditionalFormatting sqref="BKP3 BKP8 BKP21:BKP26">
    <cfRule type="expression" dxfId="998" priority="993">
      <formula>IF(BKP3="NO",TRUE,IF(BKP3="no",TRUE,IF(BKP3="n",TRUE,IF(BKP3="N",TRUE,FALSE))))</formula>
    </cfRule>
  </conditionalFormatting>
  <conditionalFormatting sqref="BKP4">
    <cfRule type="expression" dxfId="997" priority="992">
      <formula>IF(BKP4="NO",TRUE,IF(BKP4="no",TRUE,IF(BKP4="n",TRUE,IF(BKP4="N",TRUE,FALSE))))</formula>
    </cfRule>
  </conditionalFormatting>
  <conditionalFormatting sqref="BKP3">
    <cfRule type="expression" dxfId="996" priority="991">
      <formula>IF(BKP3="YES",TRUE,IF(BKP3="yes",TRUE,IF(BKP3="y",TRUE,IF(BKP3="Y",TRUE,FALSE))))</formula>
    </cfRule>
  </conditionalFormatting>
  <conditionalFormatting sqref="BKK3 BKK8 BKK21:BKK26">
    <cfRule type="expression" dxfId="995" priority="990">
      <formula>IF(BKK3="NO",TRUE,IF(BKK3="no",TRUE,IF(BKK3="n",TRUE,IF(BKK3="N",TRUE,FALSE))))</formula>
    </cfRule>
  </conditionalFormatting>
  <conditionalFormatting sqref="BKK4">
    <cfRule type="expression" dxfId="994" priority="989">
      <formula>IF(BKK4="NO",TRUE,IF(BKK4="no",TRUE,IF(BKK4="n",TRUE,IF(BKK4="N",TRUE,FALSE))))</formula>
    </cfRule>
  </conditionalFormatting>
  <conditionalFormatting sqref="BKK3">
    <cfRule type="expression" dxfId="993" priority="988">
      <formula>IF(BKK3="YES",TRUE,IF(BKK3="yes",TRUE,IF(BKK3="y",TRUE,IF(BKK3="Y",TRUE,FALSE))))</formula>
    </cfRule>
  </conditionalFormatting>
  <conditionalFormatting sqref="BKF3 BKF8 BKF21:BKF26">
    <cfRule type="expression" dxfId="992" priority="987">
      <formula>IF(BKF3="NO",TRUE,IF(BKF3="no",TRUE,IF(BKF3="n",TRUE,IF(BKF3="N",TRUE,FALSE))))</formula>
    </cfRule>
  </conditionalFormatting>
  <conditionalFormatting sqref="BKF4">
    <cfRule type="expression" dxfId="991" priority="986">
      <formula>IF(BKF4="NO",TRUE,IF(BKF4="no",TRUE,IF(BKF4="n",TRUE,IF(BKF4="N",TRUE,FALSE))))</formula>
    </cfRule>
  </conditionalFormatting>
  <conditionalFormatting sqref="BKF3">
    <cfRule type="expression" dxfId="990" priority="985">
      <formula>IF(BKF3="YES",TRUE,IF(BKF3="yes",TRUE,IF(BKF3="y",TRUE,IF(BKF3="Y",TRUE,FALSE))))</formula>
    </cfRule>
  </conditionalFormatting>
  <conditionalFormatting sqref="BKA3 BKA8 BKA21:BKA26">
    <cfRule type="expression" dxfId="989" priority="984">
      <formula>IF(BKA3="NO",TRUE,IF(BKA3="no",TRUE,IF(BKA3="n",TRUE,IF(BKA3="N",TRUE,FALSE))))</formula>
    </cfRule>
  </conditionalFormatting>
  <conditionalFormatting sqref="BKA4">
    <cfRule type="expression" dxfId="988" priority="983">
      <formula>IF(BKA4="NO",TRUE,IF(BKA4="no",TRUE,IF(BKA4="n",TRUE,IF(BKA4="N",TRUE,FALSE))))</formula>
    </cfRule>
  </conditionalFormatting>
  <conditionalFormatting sqref="BKA3">
    <cfRule type="expression" dxfId="987" priority="982">
      <formula>IF(BKA3="YES",TRUE,IF(BKA3="yes",TRUE,IF(BKA3="y",TRUE,IF(BKA3="Y",TRUE,FALSE))))</formula>
    </cfRule>
  </conditionalFormatting>
  <conditionalFormatting sqref="BJV3 BJV8 BJV21:BJV26">
    <cfRule type="expression" dxfId="986" priority="981">
      <formula>IF(BJV3="NO",TRUE,IF(BJV3="no",TRUE,IF(BJV3="n",TRUE,IF(BJV3="N",TRUE,FALSE))))</formula>
    </cfRule>
  </conditionalFormatting>
  <conditionalFormatting sqref="BJV4">
    <cfRule type="expression" dxfId="985" priority="980">
      <formula>IF(BJV4="NO",TRUE,IF(BJV4="no",TRUE,IF(BJV4="n",TRUE,IF(BJV4="N",TRUE,FALSE))))</formula>
    </cfRule>
  </conditionalFormatting>
  <conditionalFormatting sqref="BJV3">
    <cfRule type="expression" dxfId="984" priority="979">
      <formula>IF(BJV3="YES",TRUE,IF(BJV3="yes",TRUE,IF(BJV3="y",TRUE,IF(BJV3="Y",TRUE,FALSE))))</formula>
    </cfRule>
  </conditionalFormatting>
  <conditionalFormatting sqref="BJQ3 BJQ8 BJQ21:BJQ26">
    <cfRule type="expression" dxfId="983" priority="978">
      <formula>IF(BJQ3="NO",TRUE,IF(BJQ3="no",TRUE,IF(BJQ3="n",TRUE,IF(BJQ3="N",TRUE,FALSE))))</formula>
    </cfRule>
  </conditionalFormatting>
  <conditionalFormatting sqref="BJQ4">
    <cfRule type="expression" dxfId="982" priority="977">
      <formula>IF(BJQ4="NO",TRUE,IF(BJQ4="no",TRUE,IF(BJQ4="n",TRUE,IF(BJQ4="N",TRUE,FALSE))))</formula>
    </cfRule>
  </conditionalFormatting>
  <conditionalFormatting sqref="BJQ3">
    <cfRule type="expression" dxfId="981" priority="976">
      <formula>IF(BJQ3="YES",TRUE,IF(BJQ3="yes",TRUE,IF(BJQ3="y",TRUE,IF(BJQ3="Y",TRUE,FALSE))))</formula>
    </cfRule>
  </conditionalFormatting>
  <conditionalFormatting sqref="BJL3 BJL8 BJL21:BJL26">
    <cfRule type="expression" dxfId="980" priority="975">
      <formula>IF(BJL3="NO",TRUE,IF(BJL3="no",TRUE,IF(BJL3="n",TRUE,IF(BJL3="N",TRUE,FALSE))))</formula>
    </cfRule>
  </conditionalFormatting>
  <conditionalFormatting sqref="BJL4">
    <cfRule type="expression" dxfId="979" priority="974">
      <formula>IF(BJL4="NO",TRUE,IF(BJL4="no",TRUE,IF(BJL4="n",TRUE,IF(BJL4="N",TRUE,FALSE))))</formula>
    </cfRule>
  </conditionalFormatting>
  <conditionalFormatting sqref="BJL3">
    <cfRule type="expression" dxfId="978" priority="973">
      <formula>IF(BJL3="YES",TRUE,IF(BJL3="yes",TRUE,IF(BJL3="y",TRUE,IF(BJL3="Y",TRUE,FALSE))))</formula>
    </cfRule>
  </conditionalFormatting>
  <conditionalFormatting sqref="BJG3 BJG8 BJG21:BJG26">
    <cfRule type="expression" dxfId="977" priority="972">
      <formula>IF(BJG3="NO",TRUE,IF(BJG3="no",TRUE,IF(BJG3="n",TRUE,IF(BJG3="N",TRUE,FALSE))))</formula>
    </cfRule>
  </conditionalFormatting>
  <conditionalFormatting sqref="BJG4">
    <cfRule type="expression" dxfId="976" priority="971">
      <formula>IF(BJG4="NO",TRUE,IF(BJG4="no",TRUE,IF(BJG4="n",TRUE,IF(BJG4="N",TRUE,FALSE))))</formula>
    </cfRule>
  </conditionalFormatting>
  <conditionalFormatting sqref="BJG3">
    <cfRule type="expression" dxfId="975" priority="970">
      <formula>IF(BJG3="YES",TRUE,IF(BJG3="yes",TRUE,IF(BJG3="y",TRUE,IF(BJG3="Y",TRUE,FALSE))))</formula>
    </cfRule>
  </conditionalFormatting>
  <conditionalFormatting sqref="BJB3 BJB8 BJB21:BJB26">
    <cfRule type="expression" dxfId="974" priority="969">
      <formula>IF(BJB3="NO",TRUE,IF(BJB3="no",TRUE,IF(BJB3="n",TRUE,IF(BJB3="N",TRUE,FALSE))))</formula>
    </cfRule>
  </conditionalFormatting>
  <conditionalFormatting sqref="BJB4">
    <cfRule type="expression" dxfId="973" priority="968">
      <formula>IF(BJB4="NO",TRUE,IF(BJB4="no",TRUE,IF(BJB4="n",TRUE,IF(BJB4="N",TRUE,FALSE))))</formula>
    </cfRule>
  </conditionalFormatting>
  <conditionalFormatting sqref="BJB3">
    <cfRule type="expression" dxfId="972" priority="967">
      <formula>IF(BJB3="YES",TRUE,IF(BJB3="yes",TRUE,IF(BJB3="y",TRUE,IF(BJB3="Y",TRUE,FALSE))))</formula>
    </cfRule>
  </conditionalFormatting>
  <conditionalFormatting sqref="BIW3 BIW8 BIW21:BIW26">
    <cfRule type="expression" dxfId="971" priority="966">
      <formula>IF(BIW3="NO",TRUE,IF(BIW3="no",TRUE,IF(BIW3="n",TRUE,IF(BIW3="N",TRUE,FALSE))))</formula>
    </cfRule>
  </conditionalFormatting>
  <conditionalFormatting sqref="BIW4">
    <cfRule type="expression" dxfId="970" priority="965">
      <formula>IF(BIW4="NO",TRUE,IF(BIW4="no",TRUE,IF(BIW4="n",TRUE,IF(BIW4="N",TRUE,FALSE))))</formula>
    </cfRule>
  </conditionalFormatting>
  <conditionalFormatting sqref="BIW3">
    <cfRule type="expression" dxfId="969" priority="964">
      <formula>IF(BIW3="YES",TRUE,IF(BIW3="yes",TRUE,IF(BIW3="y",TRUE,IF(BIW3="Y",TRUE,FALSE))))</formula>
    </cfRule>
  </conditionalFormatting>
  <conditionalFormatting sqref="BIR3 BIR8 BIR21:BIR26">
    <cfRule type="expression" dxfId="968" priority="963">
      <formula>IF(BIR3="NO",TRUE,IF(BIR3="no",TRUE,IF(BIR3="n",TRUE,IF(BIR3="N",TRUE,FALSE))))</formula>
    </cfRule>
  </conditionalFormatting>
  <conditionalFormatting sqref="BIR4">
    <cfRule type="expression" dxfId="967" priority="962">
      <formula>IF(BIR4="NO",TRUE,IF(BIR4="no",TRUE,IF(BIR4="n",TRUE,IF(BIR4="N",TRUE,FALSE))))</formula>
    </cfRule>
  </conditionalFormatting>
  <conditionalFormatting sqref="BIR3">
    <cfRule type="expression" dxfId="966" priority="961">
      <formula>IF(BIR3="YES",TRUE,IF(BIR3="yes",TRUE,IF(BIR3="y",TRUE,IF(BIR3="Y",TRUE,FALSE))))</formula>
    </cfRule>
  </conditionalFormatting>
  <conditionalFormatting sqref="BIM3 BIM8 BIM21:BIM26">
    <cfRule type="expression" dxfId="965" priority="960">
      <formula>IF(BIM3="NO",TRUE,IF(BIM3="no",TRUE,IF(BIM3="n",TRUE,IF(BIM3="N",TRUE,FALSE))))</formula>
    </cfRule>
  </conditionalFormatting>
  <conditionalFormatting sqref="BIM4">
    <cfRule type="expression" dxfId="964" priority="959">
      <formula>IF(BIM4="NO",TRUE,IF(BIM4="no",TRUE,IF(BIM4="n",TRUE,IF(BIM4="N",TRUE,FALSE))))</formula>
    </cfRule>
  </conditionalFormatting>
  <conditionalFormatting sqref="BIM3">
    <cfRule type="expression" dxfId="963" priority="958">
      <formula>IF(BIM3="YES",TRUE,IF(BIM3="yes",TRUE,IF(BIM3="y",TRUE,IF(BIM3="Y",TRUE,FALSE))))</formula>
    </cfRule>
  </conditionalFormatting>
  <conditionalFormatting sqref="BIH3 BIH8 BIH21:BIH26">
    <cfRule type="expression" dxfId="962" priority="957">
      <formula>IF(BIH3="NO",TRUE,IF(BIH3="no",TRUE,IF(BIH3="n",TRUE,IF(BIH3="N",TRUE,FALSE))))</formula>
    </cfRule>
  </conditionalFormatting>
  <conditionalFormatting sqref="BIH4">
    <cfRule type="expression" dxfId="961" priority="956">
      <formula>IF(BIH4="NO",TRUE,IF(BIH4="no",TRUE,IF(BIH4="n",TRUE,IF(BIH4="N",TRUE,FALSE))))</formula>
    </cfRule>
  </conditionalFormatting>
  <conditionalFormatting sqref="BIH3">
    <cfRule type="expression" dxfId="960" priority="955">
      <formula>IF(BIH3="YES",TRUE,IF(BIH3="yes",TRUE,IF(BIH3="y",TRUE,IF(BIH3="Y",TRUE,FALSE))))</formula>
    </cfRule>
  </conditionalFormatting>
  <conditionalFormatting sqref="BIC3 BIC8 BIC21:BIC26">
    <cfRule type="expression" dxfId="959" priority="954">
      <formula>IF(BIC3="NO",TRUE,IF(BIC3="no",TRUE,IF(BIC3="n",TRUE,IF(BIC3="N",TRUE,FALSE))))</formula>
    </cfRule>
  </conditionalFormatting>
  <conditionalFormatting sqref="BIC4">
    <cfRule type="expression" dxfId="958" priority="953">
      <formula>IF(BIC4="NO",TRUE,IF(BIC4="no",TRUE,IF(BIC4="n",TRUE,IF(BIC4="N",TRUE,FALSE))))</formula>
    </cfRule>
  </conditionalFormatting>
  <conditionalFormatting sqref="BIC3">
    <cfRule type="expression" dxfId="957" priority="952">
      <formula>IF(BIC3="YES",TRUE,IF(BIC3="yes",TRUE,IF(BIC3="y",TRUE,IF(BIC3="Y",TRUE,FALSE))))</formula>
    </cfRule>
  </conditionalFormatting>
  <conditionalFormatting sqref="BHX3 BHX8 BHX21:BHX26">
    <cfRule type="expression" dxfId="956" priority="951">
      <formula>IF(BHX3="NO",TRUE,IF(BHX3="no",TRUE,IF(BHX3="n",TRUE,IF(BHX3="N",TRUE,FALSE))))</formula>
    </cfRule>
  </conditionalFormatting>
  <conditionalFormatting sqref="BHX4">
    <cfRule type="expression" dxfId="955" priority="950">
      <formula>IF(BHX4="NO",TRUE,IF(BHX4="no",TRUE,IF(BHX4="n",TRUE,IF(BHX4="N",TRUE,FALSE))))</formula>
    </cfRule>
  </conditionalFormatting>
  <conditionalFormatting sqref="BHX3">
    <cfRule type="expression" dxfId="954" priority="949">
      <formula>IF(BHX3="YES",TRUE,IF(BHX3="yes",TRUE,IF(BHX3="y",TRUE,IF(BHX3="Y",TRUE,FALSE))))</formula>
    </cfRule>
  </conditionalFormatting>
  <conditionalFormatting sqref="BHS3 BHS8 BHS21:BHS26">
    <cfRule type="expression" dxfId="953" priority="948">
      <formula>IF(BHS3="NO",TRUE,IF(BHS3="no",TRUE,IF(BHS3="n",TRUE,IF(BHS3="N",TRUE,FALSE))))</formula>
    </cfRule>
  </conditionalFormatting>
  <conditionalFormatting sqref="BHS4">
    <cfRule type="expression" dxfId="952" priority="947">
      <formula>IF(BHS4="NO",TRUE,IF(BHS4="no",TRUE,IF(BHS4="n",TRUE,IF(BHS4="N",TRUE,FALSE))))</formula>
    </cfRule>
  </conditionalFormatting>
  <conditionalFormatting sqref="BHS3">
    <cfRule type="expression" dxfId="951" priority="946">
      <formula>IF(BHS3="YES",TRUE,IF(BHS3="yes",TRUE,IF(BHS3="y",TRUE,IF(BHS3="Y",TRUE,FALSE))))</formula>
    </cfRule>
  </conditionalFormatting>
  <conditionalFormatting sqref="BHN3 BHN8 BHN21:BHN26">
    <cfRule type="expression" dxfId="950" priority="945">
      <formula>IF(BHN3="NO",TRUE,IF(BHN3="no",TRUE,IF(BHN3="n",TRUE,IF(BHN3="N",TRUE,FALSE))))</formula>
    </cfRule>
  </conditionalFormatting>
  <conditionalFormatting sqref="BHN4">
    <cfRule type="expression" dxfId="949" priority="944">
      <formula>IF(BHN4="NO",TRUE,IF(BHN4="no",TRUE,IF(BHN4="n",TRUE,IF(BHN4="N",TRUE,FALSE))))</formula>
    </cfRule>
  </conditionalFormatting>
  <conditionalFormatting sqref="BHN3">
    <cfRule type="expression" dxfId="948" priority="943">
      <formula>IF(BHN3="YES",TRUE,IF(BHN3="yes",TRUE,IF(BHN3="y",TRUE,IF(BHN3="Y",TRUE,FALSE))))</formula>
    </cfRule>
  </conditionalFormatting>
  <conditionalFormatting sqref="BHI3 BHI8 BHI21:BHI26">
    <cfRule type="expression" dxfId="947" priority="942">
      <formula>IF(BHI3="NO",TRUE,IF(BHI3="no",TRUE,IF(BHI3="n",TRUE,IF(BHI3="N",TRUE,FALSE))))</formula>
    </cfRule>
  </conditionalFormatting>
  <conditionalFormatting sqref="BHI4">
    <cfRule type="expression" dxfId="946" priority="941">
      <formula>IF(BHI4="NO",TRUE,IF(BHI4="no",TRUE,IF(BHI4="n",TRUE,IF(BHI4="N",TRUE,FALSE))))</formula>
    </cfRule>
  </conditionalFormatting>
  <conditionalFormatting sqref="BHI3">
    <cfRule type="expression" dxfId="945" priority="940">
      <formula>IF(BHI3="YES",TRUE,IF(BHI3="yes",TRUE,IF(BHI3="y",TRUE,IF(BHI3="Y",TRUE,FALSE))))</formula>
    </cfRule>
  </conditionalFormatting>
  <conditionalFormatting sqref="BHD3 BHD8 BHD21:BHD26">
    <cfRule type="expression" dxfId="944" priority="939">
      <formula>IF(BHD3="NO",TRUE,IF(BHD3="no",TRUE,IF(BHD3="n",TRUE,IF(BHD3="N",TRUE,FALSE))))</formula>
    </cfRule>
  </conditionalFormatting>
  <conditionalFormatting sqref="BHD4">
    <cfRule type="expression" dxfId="943" priority="938">
      <formula>IF(BHD4="NO",TRUE,IF(BHD4="no",TRUE,IF(BHD4="n",TRUE,IF(BHD4="N",TRUE,FALSE))))</formula>
    </cfRule>
  </conditionalFormatting>
  <conditionalFormatting sqref="BHD3">
    <cfRule type="expression" dxfId="942" priority="937">
      <formula>IF(BHD3="YES",TRUE,IF(BHD3="yes",TRUE,IF(BHD3="y",TRUE,IF(BHD3="Y",TRUE,FALSE))))</formula>
    </cfRule>
  </conditionalFormatting>
  <conditionalFormatting sqref="BGY3 BGY8 BGY21:BGY26">
    <cfRule type="expression" dxfId="941" priority="936">
      <formula>IF(BGY3="NO",TRUE,IF(BGY3="no",TRUE,IF(BGY3="n",TRUE,IF(BGY3="N",TRUE,FALSE))))</formula>
    </cfRule>
  </conditionalFormatting>
  <conditionalFormatting sqref="BGY4">
    <cfRule type="expression" dxfId="940" priority="935">
      <formula>IF(BGY4="NO",TRUE,IF(BGY4="no",TRUE,IF(BGY4="n",TRUE,IF(BGY4="N",TRUE,FALSE))))</formula>
    </cfRule>
  </conditionalFormatting>
  <conditionalFormatting sqref="BGY3">
    <cfRule type="expression" dxfId="939" priority="934">
      <formula>IF(BGY3="YES",TRUE,IF(BGY3="yes",TRUE,IF(BGY3="y",TRUE,IF(BGY3="Y",TRUE,FALSE))))</formula>
    </cfRule>
  </conditionalFormatting>
  <conditionalFormatting sqref="BGT3 BGT8 BGT21:BGT26">
    <cfRule type="expression" dxfId="938" priority="933">
      <formula>IF(BGT3="NO",TRUE,IF(BGT3="no",TRUE,IF(BGT3="n",TRUE,IF(BGT3="N",TRUE,FALSE))))</formula>
    </cfRule>
  </conditionalFormatting>
  <conditionalFormatting sqref="BGT4">
    <cfRule type="expression" dxfId="937" priority="932">
      <formula>IF(BGT4="NO",TRUE,IF(BGT4="no",TRUE,IF(BGT4="n",TRUE,IF(BGT4="N",TRUE,FALSE))))</formula>
    </cfRule>
  </conditionalFormatting>
  <conditionalFormatting sqref="BGT3">
    <cfRule type="expression" dxfId="936" priority="931">
      <formula>IF(BGT3="YES",TRUE,IF(BGT3="yes",TRUE,IF(BGT3="y",TRUE,IF(BGT3="Y",TRUE,FALSE))))</formula>
    </cfRule>
  </conditionalFormatting>
  <conditionalFormatting sqref="BGO3 BGO8 BGO21:BGO26">
    <cfRule type="expression" dxfId="935" priority="930">
      <formula>IF(BGO3="NO",TRUE,IF(BGO3="no",TRUE,IF(BGO3="n",TRUE,IF(BGO3="N",TRUE,FALSE))))</formula>
    </cfRule>
  </conditionalFormatting>
  <conditionalFormatting sqref="BGO4">
    <cfRule type="expression" dxfId="934" priority="929">
      <formula>IF(BGO4="NO",TRUE,IF(BGO4="no",TRUE,IF(BGO4="n",TRUE,IF(BGO4="N",TRUE,FALSE))))</formula>
    </cfRule>
  </conditionalFormatting>
  <conditionalFormatting sqref="BGO3">
    <cfRule type="expression" dxfId="933" priority="928">
      <formula>IF(BGO3="YES",TRUE,IF(BGO3="yes",TRUE,IF(BGO3="y",TRUE,IF(BGO3="Y",TRUE,FALSE))))</formula>
    </cfRule>
  </conditionalFormatting>
  <conditionalFormatting sqref="BGJ3 BGJ8 BGJ21:BGJ26">
    <cfRule type="expression" dxfId="932" priority="927">
      <formula>IF(BGJ3="NO",TRUE,IF(BGJ3="no",TRUE,IF(BGJ3="n",TRUE,IF(BGJ3="N",TRUE,FALSE))))</formula>
    </cfRule>
  </conditionalFormatting>
  <conditionalFormatting sqref="BGJ4">
    <cfRule type="expression" dxfId="931" priority="926">
      <formula>IF(BGJ4="NO",TRUE,IF(BGJ4="no",TRUE,IF(BGJ4="n",TRUE,IF(BGJ4="N",TRUE,FALSE))))</formula>
    </cfRule>
  </conditionalFormatting>
  <conditionalFormatting sqref="BGJ3">
    <cfRule type="expression" dxfId="930" priority="925">
      <formula>IF(BGJ3="YES",TRUE,IF(BGJ3="yes",TRUE,IF(BGJ3="y",TRUE,IF(BGJ3="Y",TRUE,FALSE))))</formula>
    </cfRule>
  </conditionalFormatting>
  <conditionalFormatting sqref="BGE3 BGE8 BGE21:BGE26">
    <cfRule type="expression" dxfId="929" priority="924">
      <formula>IF(BGE3="NO",TRUE,IF(BGE3="no",TRUE,IF(BGE3="n",TRUE,IF(BGE3="N",TRUE,FALSE))))</formula>
    </cfRule>
  </conditionalFormatting>
  <conditionalFormatting sqref="BGE4">
    <cfRule type="expression" dxfId="928" priority="923">
      <formula>IF(BGE4="NO",TRUE,IF(BGE4="no",TRUE,IF(BGE4="n",TRUE,IF(BGE4="N",TRUE,FALSE))))</formula>
    </cfRule>
  </conditionalFormatting>
  <conditionalFormatting sqref="BGE3">
    <cfRule type="expression" dxfId="927" priority="922">
      <formula>IF(BGE3="YES",TRUE,IF(BGE3="yes",TRUE,IF(BGE3="y",TRUE,IF(BGE3="Y",TRUE,FALSE))))</formula>
    </cfRule>
  </conditionalFormatting>
  <conditionalFormatting sqref="BFZ3 BFZ8 BFZ21:BFZ26">
    <cfRule type="expression" dxfId="926" priority="921">
      <formula>IF(BFZ3="NO",TRUE,IF(BFZ3="no",TRUE,IF(BFZ3="n",TRUE,IF(BFZ3="N",TRUE,FALSE))))</formula>
    </cfRule>
  </conditionalFormatting>
  <conditionalFormatting sqref="BFZ4">
    <cfRule type="expression" dxfId="925" priority="920">
      <formula>IF(BFZ4="NO",TRUE,IF(BFZ4="no",TRUE,IF(BFZ4="n",TRUE,IF(BFZ4="N",TRUE,FALSE))))</formula>
    </cfRule>
  </conditionalFormatting>
  <conditionalFormatting sqref="BFZ3">
    <cfRule type="expression" dxfId="924" priority="919">
      <formula>IF(BFZ3="YES",TRUE,IF(BFZ3="yes",TRUE,IF(BFZ3="y",TRUE,IF(BFZ3="Y",TRUE,FALSE))))</formula>
    </cfRule>
  </conditionalFormatting>
  <conditionalFormatting sqref="BFU3 BFU8 BFU21:BFU26">
    <cfRule type="expression" dxfId="923" priority="918">
      <formula>IF(BFU3="NO",TRUE,IF(BFU3="no",TRUE,IF(BFU3="n",TRUE,IF(BFU3="N",TRUE,FALSE))))</formula>
    </cfRule>
  </conditionalFormatting>
  <conditionalFormatting sqref="BFU4">
    <cfRule type="expression" dxfId="922" priority="917">
      <formula>IF(BFU4="NO",TRUE,IF(BFU4="no",TRUE,IF(BFU4="n",TRUE,IF(BFU4="N",TRUE,FALSE))))</formula>
    </cfRule>
  </conditionalFormatting>
  <conditionalFormatting sqref="BFU3">
    <cfRule type="expression" dxfId="921" priority="916">
      <formula>IF(BFU3="YES",TRUE,IF(BFU3="yes",TRUE,IF(BFU3="y",TRUE,IF(BFU3="Y",TRUE,FALSE))))</formula>
    </cfRule>
  </conditionalFormatting>
  <conditionalFormatting sqref="BFP3 BFP8 BFP21:BFP26">
    <cfRule type="expression" dxfId="920" priority="915">
      <formula>IF(BFP3="NO",TRUE,IF(BFP3="no",TRUE,IF(BFP3="n",TRUE,IF(BFP3="N",TRUE,FALSE))))</formula>
    </cfRule>
  </conditionalFormatting>
  <conditionalFormatting sqref="BFP4">
    <cfRule type="expression" dxfId="919" priority="914">
      <formula>IF(BFP4="NO",TRUE,IF(BFP4="no",TRUE,IF(BFP4="n",TRUE,IF(BFP4="N",TRUE,FALSE))))</formula>
    </cfRule>
  </conditionalFormatting>
  <conditionalFormatting sqref="BFP3">
    <cfRule type="expression" dxfId="918" priority="913">
      <formula>IF(BFP3="YES",TRUE,IF(BFP3="yes",TRUE,IF(BFP3="y",TRUE,IF(BFP3="Y",TRUE,FALSE))))</formula>
    </cfRule>
  </conditionalFormatting>
  <conditionalFormatting sqref="BFK3 BFK8 BFK21:BFK26">
    <cfRule type="expression" dxfId="917" priority="912">
      <formula>IF(BFK3="NO",TRUE,IF(BFK3="no",TRUE,IF(BFK3="n",TRUE,IF(BFK3="N",TRUE,FALSE))))</formula>
    </cfRule>
  </conditionalFormatting>
  <conditionalFormatting sqref="BFK4">
    <cfRule type="expression" dxfId="916" priority="911">
      <formula>IF(BFK4="NO",TRUE,IF(BFK4="no",TRUE,IF(BFK4="n",TRUE,IF(BFK4="N",TRUE,FALSE))))</formula>
    </cfRule>
  </conditionalFormatting>
  <conditionalFormatting sqref="BFK3">
    <cfRule type="expression" dxfId="915" priority="910">
      <formula>IF(BFK3="YES",TRUE,IF(BFK3="yes",TRUE,IF(BFK3="y",TRUE,IF(BFK3="Y",TRUE,FALSE))))</formula>
    </cfRule>
  </conditionalFormatting>
  <conditionalFormatting sqref="BFF3 BFF8 BFF21:BFF26">
    <cfRule type="expression" dxfId="914" priority="909">
      <formula>IF(BFF3="NO",TRUE,IF(BFF3="no",TRUE,IF(BFF3="n",TRUE,IF(BFF3="N",TRUE,FALSE))))</formula>
    </cfRule>
  </conditionalFormatting>
  <conditionalFormatting sqref="BFF4">
    <cfRule type="expression" dxfId="913" priority="908">
      <formula>IF(BFF4="NO",TRUE,IF(BFF4="no",TRUE,IF(BFF4="n",TRUE,IF(BFF4="N",TRUE,FALSE))))</formula>
    </cfRule>
  </conditionalFormatting>
  <conditionalFormatting sqref="BFF3">
    <cfRule type="expression" dxfId="912" priority="907">
      <formula>IF(BFF3="YES",TRUE,IF(BFF3="yes",TRUE,IF(BFF3="y",TRUE,IF(BFF3="Y",TRUE,FALSE))))</formula>
    </cfRule>
  </conditionalFormatting>
  <conditionalFormatting sqref="BFA3 BFA8 BFA21:BFA26">
    <cfRule type="expression" dxfId="911" priority="906">
      <formula>IF(BFA3="NO",TRUE,IF(BFA3="no",TRUE,IF(BFA3="n",TRUE,IF(BFA3="N",TRUE,FALSE))))</formula>
    </cfRule>
  </conditionalFormatting>
  <conditionalFormatting sqref="BFA4">
    <cfRule type="expression" dxfId="910" priority="905">
      <formula>IF(BFA4="NO",TRUE,IF(BFA4="no",TRUE,IF(BFA4="n",TRUE,IF(BFA4="N",TRUE,FALSE))))</formula>
    </cfRule>
  </conditionalFormatting>
  <conditionalFormatting sqref="BFA3">
    <cfRule type="expression" dxfId="909" priority="904">
      <formula>IF(BFA3="YES",TRUE,IF(BFA3="yes",TRUE,IF(BFA3="y",TRUE,IF(BFA3="Y",TRUE,FALSE))))</formula>
    </cfRule>
  </conditionalFormatting>
  <conditionalFormatting sqref="BEV3 BEV8 BEV21:BEV26">
    <cfRule type="expression" dxfId="908" priority="903">
      <formula>IF(BEV3="NO",TRUE,IF(BEV3="no",TRUE,IF(BEV3="n",TRUE,IF(BEV3="N",TRUE,FALSE))))</formula>
    </cfRule>
  </conditionalFormatting>
  <conditionalFormatting sqref="BEV4">
    <cfRule type="expression" dxfId="907" priority="902">
      <formula>IF(BEV4="NO",TRUE,IF(BEV4="no",TRUE,IF(BEV4="n",TRUE,IF(BEV4="N",TRUE,FALSE))))</formula>
    </cfRule>
  </conditionalFormatting>
  <conditionalFormatting sqref="BEV3">
    <cfRule type="expression" dxfId="906" priority="901">
      <formula>IF(BEV3="YES",TRUE,IF(BEV3="yes",TRUE,IF(BEV3="y",TRUE,IF(BEV3="Y",TRUE,FALSE))))</formula>
    </cfRule>
  </conditionalFormatting>
  <conditionalFormatting sqref="BEQ3 BEQ8 BEQ21:BEQ26">
    <cfRule type="expression" dxfId="905" priority="900">
      <formula>IF(BEQ3="NO",TRUE,IF(BEQ3="no",TRUE,IF(BEQ3="n",TRUE,IF(BEQ3="N",TRUE,FALSE))))</formula>
    </cfRule>
  </conditionalFormatting>
  <conditionalFormatting sqref="BEQ4">
    <cfRule type="expression" dxfId="904" priority="899">
      <formula>IF(BEQ4="NO",TRUE,IF(BEQ4="no",TRUE,IF(BEQ4="n",TRUE,IF(BEQ4="N",TRUE,FALSE))))</formula>
    </cfRule>
  </conditionalFormatting>
  <conditionalFormatting sqref="BEQ3">
    <cfRule type="expression" dxfId="903" priority="898">
      <formula>IF(BEQ3="YES",TRUE,IF(BEQ3="yes",TRUE,IF(BEQ3="y",TRUE,IF(BEQ3="Y",TRUE,FALSE))))</formula>
    </cfRule>
  </conditionalFormatting>
  <conditionalFormatting sqref="BEL3 BEL8 BEL21:BEL26">
    <cfRule type="expression" dxfId="902" priority="897">
      <formula>IF(BEL3="NO",TRUE,IF(BEL3="no",TRUE,IF(BEL3="n",TRUE,IF(BEL3="N",TRUE,FALSE))))</formula>
    </cfRule>
  </conditionalFormatting>
  <conditionalFormatting sqref="BEL4">
    <cfRule type="expression" dxfId="901" priority="896">
      <formula>IF(BEL4="NO",TRUE,IF(BEL4="no",TRUE,IF(BEL4="n",TRUE,IF(BEL4="N",TRUE,FALSE))))</formula>
    </cfRule>
  </conditionalFormatting>
  <conditionalFormatting sqref="BEL3">
    <cfRule type="expression" dxfId="900" priority="895">
      <formula>IF(BEL3="YES",TRUE,IF(BEL3="yes",TRUE,IF(BEL3="y",TRUE,IF(BEL3="Y",TRUE,FALSE))))</formula>
    </cfRule>
  </conditionalFormatting>
  <conditionalFormatting sqref="BEG3 BEG8 BEG21:BEG26">
    <cfRule type="expression" dxfId="899" priority="894">
      <formula>IF(BEG3="NO",TRUE,IF(BEG3="no",TRUE,IF(BEG3="n",TRUE,IF(BEG3="N",TRUE,FALSE))))</formula>
    </cfRule>
  </conditionalFormatting>
  <conditionalFormatting sqref="BEG4">
    <cfRule type="expression" dxfId="898" priority="893">
      <formula>IF(BEG4="NO",TRUE,IF(BEG4="no",TRUE,IF(BEG4="n",TRUE,IF(BEG4="N",TRUE,FALSE))))</formula>
    </cfRule>
  </conditionalFormatting>
  <conditionalFormatting sqref="BEG3">
    <cfRule type="expression" dxfId="897" priority="892">
      <formula>IF(BEG3="YES",TRUE,IF(BEG3="yes",TRUE,IF(BEG3="y",TRUE,IF(BEG3="Y",TRUE,FALSE))))</formula>
    </cfRule>
  </conditionalFormatting>
  <conditionalFormatting sqref="BEB3 BEB8 BEB21:BEB26">
    <cfRule type="expression" dxfId="896" priority="891">
      <formula>IF(BEB3="NO",TRUE,IF(BEB3="no",TRUE,IF(BEB3="n",TRUE,IF(BEB3="N",TRUE,FALSE))))</formula>
    </cfRule>
  </conditionalFormatting>
  <conditionalFormatting sqref="BEB4">
    <cfRule type="expression" dxfId="895" priority="890">
      <formula>IF(BEB4="NO",TRUE,IF(BEB4="no",TRUE,IF(BEB4="n",TRUE,IF(BEB4="N",TRUE,FALSE))))</formula>
    </cfRule>
  </conditionalFormatting>
  <conditionalFormatting sqref="BEB3">
    <cfRule type="expression" dxfId="894" priority="889">
      <formula>IF(BEB3="YES",TRUE,IF(BEB3="yes",TRUE,IF(BEB3="y",TRUE,IF(BEB3="Y",TRUE,FALSE))))</formula>
    </cfRule>
  </conditionalFormatting>
  <conditionalFormatting sqref="BDW3 BDW8 BDW21:BDW26">
    <cfRule type="expression" dxfId="893" priority="888">
      <formula>IF(BDW3="NO",TRUE,IF(BDW3="no",TRUE,IF(BDW3="n",TRUE,IF(BDW3="N",TRUE,FALSE))))</formula>
    </cfRule>
  </conditionalFormatting>
  <conditionalFormatting sqref="BDW4">
    <cfRule type="expression" dxfId="892" priority="887">
      <formula>IF(BDW4="NO",TRUE,IF(BDW4="no",TRUE,IF(BDW4="n",TRUE,IF(BDW4="N",TRUE,FALSE))))</formula>
    </cfRule>
  </conditionalFormatting>
  <conditionalFormatting sqref="BDW3">
    <cfRule type="expression" dxfId="891" priority="886">
      <formula>IF(BDW3="YES",TRUE,IF(BDW3="yes",TRUE,IF(BDW3="y",TRUE,IF(BDW3="Y",TRUE,FALSE))))</formula>
    </cfRule>
  </conditionalFormatting>
  <conditionalFormatting sqref="BDR3 BDR8 BDR21:BDR26">
    <cfRule type="expression" dxfId="890" priority="885">
      <formula>IF(BDR3="NO",TRUE,IF(BDR3="no",TRUE,IF(BDR3="n",TRUE,IF(BDR3="N",TRUE,FALSE))))</formula>
    </cfRule>
  </conditionalFormatting>
  <conditionalFormatting sqref="BDR4">
    <cfRule type="expression" dxfId="889" priority="884">
      <formula>IF(BDR4="NO",TRUE,IF(BDR4="no",TRUE,IF(BDR4="n",TRUE,IF(BDR4="N",TRUE,FALSE))))</formula>
    </cfRule>
  </conditionalFormatting>
  <conditionalFormatting sqref="BDR3">
    <cfRule type="expression" dxfId="888" priority="883">
      <formula>IF(BDR3="YES",TRUE,IF(BDR3="yes",TRUE,IF(BDR3="y",TRUE,IF(BDR3="Y",TRUE,FALSE))))</formula>
    </cfRule>
  </conditionalFormatting>
  <conditionalFormatting sqref="BDM3 BDM8 BDM21:BDM26">
    <cfRule type="expression" dxfId="887" priority="882">
      <formula>IF(BDM3="NO",TRUE,IF(BDM3="no",TRUE,IF(BDM3="n",TRUE,IF(BDM3="N",TRUE,FALSE))))</formula>
    </cfRule>
  </conditionalFormatting>
  <conditionalFormatting sqref="BDM4">
    <cfRule type="expression" dxfId="886" priority="881">
      <formula>IF(BDM4="NO",TRUE,IF(BDM4="no",TRUE,IF(BDM4="n",TRUE,IF(BDM4="N",TRUE,FALSE))))</formula>
    </cfRule>
  </conditionalFormatting>
  <conditionalFormatting sqref="BDM3">
    <cfRule type="expression" dxfId="885" priority="880">
      <formula>IF(BDM3="YES",TRUE,IF(BDM3="yes",TRUE,IF(BDM3="y",TRUE,IF(BDM3="Y",TRUE,FALSE))))</formula>
    </cfRule>
  </conditionalFormatting>
  <conditionalFormatting sqref="BDH3 BDH8 BDH21:BDH26">
    <cfRule type="expression" dxfId="884" priority="879">
      <formula>IF(BDH3="NO",TRUE,IF(BDH3="no",TRUE,IF(BDH3="n",TRUE,IF(BDH3="N",TRUE,FALSE))))</formula>
    </cfRule>
  </conditionalFormatting>
  <conditionalFormatting sqref="BDH4">
    <cfRule type="expression" dxfId="883" priority="878">
      <formula>IF(BDH4="NO",TRUE,IF(BDH4="no",TRUE,IF(BDH4="n",TRUE,IF(BDH4="N",TRUE,FALSE))))</formula>
    </cfRule>
  </conditionalFormatting>
  <conditionalFormatting sqref="BDH3">
    <cfRule type="expression" dxfId="882" priority="877">
      <formula>IF(BDH3="YES",TRUE,IF(BDH3="yes",TRUE,IF(BDH3="y",TRUE,IF(BDH3="Y",TRUE,FALSE))))</formula>
    </cfRule>
  </conditionalFormatting>
  <conditionalFormatting sqref="BDC3 BDC8 BDC21:BDC26">
    <cfRule type="expression" dxfId="881" priority="876">
      <formula>IF(BDC3="NO",TRUE,IF(BDC3="no",TRUE,IF(BDC3="n",TRUE,IF(BDC3="N",TRUE,FALSE))))</formula>
    </cfRule>
  </conditionalFormatting>
  <conditionalFormatting sqref="BDC4">
    <cfRule type="expression" dxfId="880" priority="875">
      <formula>IF(BDC4="NO",TRUE,IF(BDC4="no",TRUE,IF(BDC4="n",TRUE,IF(BDC4="N",TRUE,FALSE))))</formula>
    </cfRule>
  </conditionalFormatting>
  <conditionalFormatting sqref="BDC3">
    <cfRule type="expression" dxfId="879" priority="874">
      <formula>IF(BDC3="YES",TRUE,IF(BDC3="yes",TRUE,IF(BDC3="y",TRUE,IF(BDC3="Y",TRUE,FALSE))))</formula>
    </cfRule>
  </conditionalFormatting>
  <conditionalFormatting sqref="BCX3 BCX8 BCX21:BCX26">
    <cfRule type="expression" dxfId="878" priority="873">
      <formula>IF(BCX3="NO",TRUE,IF(BCX3="no",TRUE,IF(BCX3="n",TRUE,IF(BCX3="N",TRUE,FALSE))))</formula>
    </cfRule>
  </conditionalFormatting>
  <conditionalFormatting sqref="BCX4">
    <cfRule type="expression" dxfId="877" priority="872">
      <formula>IF(BCX4="NO",TRUE,IF(BCX4="no",TRUE,IF(BCX4="n",TRUE,IF(BCX4="N",TRUE,FALSE))))</formula>
    </cfRule>
  </conditionalFormatting>
  <conditionalFormatting sqref="BCX3">
    <cfRule type="expression" dxfId="876" priority="871">
      <formula>IF(BCX3="YES",TRUE,IF(BCX3="yes",TRUE,IF(BCX3="y",TRUE,IF(BCX3="Y",TRUE,FALSE))))</formula>
    </cfRule>
  </conditionalFormatting>
  <conditionalFormatting sqref="BCS3 BCS8 BCS21:BCS26">
    <cfRule type="expression" dxfId="875" priority="870">
      <formula>IF(BCS3="NO",TRUE,IF(BCS3="no",TRUE,IF(BCS3="n",TRUE,IF(BCS3="N",TRUE,FALSE))))</formula>
    </cfRule>
  </conditionalFormatting>
  <conditionalFormatting sqref="BCS4">
    <cfRule type="expression" dxfId="874" priority="869">
      <formula>IF(BCS4="NO",TRUE,IF(BCS4="no",TRUE,IF(BCS4="n",TRUE,IF(BCS4="N",TRUE,FALSE))))</formula>
    </cfRule>
  </conditionalFormatting>
  <conditionalFormatting sqref="BCS3">
    <cfRule type="expression" dxfId="873" priority="868">
      <formula>IF(BCS3="YES",TRUE,IF(BCS3="yes",TRUE,IF(BCS3="y",TRUE,IF(BCS3="Y",TRUE,FALSE))))</formula>
    </cfRule>
  </conditionalFormatting>
  <conditionalFormatting sqref="BCN3 BCN8 BCN21:BCN26">
    <cfRule type="expression" dxfId="872" priority="867">
      <formula>IF(BCN3="NO",TRUE,IF(BCN3="no",TRUE,IF(BCN3="n",TRUE,IF(BCN3="N",TRUE,FALSE))))</formula>
    </cfRule>
  </conditionalFormatting>
  <conditionalFormatting sqref="BCN4">
    <cfRule type="expression" dxfId="871" priority="866">
      <formula>IF(BCN4="NO",TRUE,IF(BCN4="no",TRUE,IF(BCN4="n",TRUE,IF(BCN4="N",TRUE,FALSE))))</formula>
    </cfRule>
  </conditionalFormatting>
  <conditionalFormatting sqref="BCN3">
    <cfRule type="expression" dxfId="870" priority="865">
      <formula>IF(BCN3="YES",TRUE,IF(BCN3="yes",TRUE,IF(BCN3="y",TRUE,IF(BCN3="Y",TRUE,FALSE))))</formula>
    </cfRule>
  </conditionalFormatting>
  <conditionalFormatting sqref="BCI3 BCI8 BCI21:BCI26">
    <cfRule type="expression" dxfId="869" priority="864">
      <formula>IF(BCI3="NO",TRUE,IF(BCI3="no",TRUE,IF(BCI3="n",TRUE,IF(BCI3="N",TRUE,FALSE))))</formula>
    </cfRule>
  </conditionalFormatting>
  <conditionalFormatting sqref="BCI4">
    <cfRule type="expression" dxfId="868" priority="863">
      <formula>IF(BCI4="NO",TRUE,IF(BCI4="no",TRUE,IF(BCI4="n",TRUE,IF(BCI4="N",TRUE,FALSE))))</formula>
    </cfRule>
  </conditionalFormatting>
  <conditionalFormatting sqref="BCI3">
    <cfRule type="expression" dxfId="867" priority="862">
      <formula>IF(BCI3="YES",TRUE,IF(BCI3="yes",TRUE,IF(BCI3="y",TRUE,IF(BCI3="Y",TRUE,FALSE))))</formula>
    </cfRule>
  </conditionalFormatting>
  <conditionalFormatting sqref="BCD3 BCD8 BCD21:BCD26">
    <cfRule type="expression" dxfId="866" priority="861">
      <formula>IF(BCD3="NO",TRUE,IF(BCD3="no",TRUE,IF(BCD3="n",TRUE,IF(BCD3="N",TRUE,FALSE))))</formula>
    </cfRule>
  </conditionalFormatting>
  <conditionalFormatting sqref="BCD4">
    <cfRule type="expression" dxfId="865" priority="860">
      <formula>IF(BCD4="NO",TRUE,IF(BCD4="no",TRUE,IF(BCD4="n",TRUE,IF(BCD4="N",TRUE,FALSE))))</formula>
    </cfRule>
  </conditionalFormatting>
  <conditionalFormatting sqref="BCD3">
    <cfRule type="expression" dxfId="864" priority="859">
      <formula>IF(BCD3="YES",TRUE,IF(BCD3="yes",TRUE,IF(BCD3="y",TRUE,IF(BCD3="Y",TRUE,FALSE))))</formula>
    </cfRule>
  </conditionalFormatting>
  <conditionalFormatting sqref="BBY3 BBY8 BBY21:BBY26">
    <cfRule type="expression" dxfId="863" priority="858">
      <formula>IF(BBY3="NO",TRUE,IF(BBY3="no",TRUE,IF(BBY3="n",TRUE,IF(BBY3="N",TRUE,FALSE))))</formula>
    </cfRule>
  </conditionalFormatting>
  <conditionalFormatting sqref="BBY4">
    <cfRule type="expression" dxfId="862" priority="857">
      <formula>IF(BBY4="NO",TRUE,IF(BBY4="no",TRUE,IF(BBY4="n",TRUE,IF(BBY4="N",TRUE,FALSE))))</formula>
    </cfRule>
  </conditionalFormatting>
  <conditionalFormatting sqref="BBY3">
    <cfRule type="expression" dxfId="861" priority="856">
      <formula>IF(BBY3="YES",TRUE,IF(BBY3="yes",TRUE,IF(BBY3="y",TRUE,IF(BBY3="Y",TRUE,FALSE))))</formula>
    </cfRule>
  </conditionalFormatting>
  <conditionalFormatting sqref="BBT3 BBT8 BBT21:BBT26">
    <cfRule type="expression" dxfId="860" priority="855">
      <formula>IF(BBT3="NO",TRUE,IF(BBT3="no",TRUE,IF(BBT3="n",TRUE,IF(BBT3="N",TRUE,FALSE))))</formula>
    </cfRule>
  </conditionalFormatting>
  <conditionalFormatting sqref="BBT4">
    <cfRule type="expression" dxfId="859" priority="854">
      <formula>IF(BBT4="NO",TRUE,IF(BBT4="no",TRUE,IF(BBT4="n",TRUE,IF(BBT4="N",TRUE,FALSE))))</formula>
    </cfRule>
  </conditionalFormatting>
  <conditionalFormatting sqref="BBT3">
    <cfRule type="expression" dxfId="858" priority="853">
      <formula>IF(BBT3="YES",TRUE,IF(BBT3="yes",TRUE,IF(BBT3="y",TRUE,IF(BBT3="Y",TRUE,FALSE))))</formula>
    </cfRule>
  </conditionalFormatting>
  <conditionalFormatting sqref="BBO3 BBO8 BBO21:BBO26">
    <cfRule type="expression" dxfId="857" priority="852">
      <formula>IF(BBO3="NO",TRUE,IF(BBO3="no",TRUE,IF(BBO3="n",TRUE,IF(BBO3="N",TRUE,FALSE))))</formula>
    </cfRule>
  </conditionalFormatting>
  <conditionalFormatting sqref="BBO4">
    <cfRule type="expression" dxfId="856" priority="851">
      <formula>IF(BBO4="NO",TRUE,IF(BBO4="no",TRUE,IF(BBO4="n",TRUE,IF(BBO4="N",TRUE,FALSE))))</formula>
    </cfRule>
  </conditionalFormatting>
  <conditionalFormatting sqref="BBO3">
    <cfRule type="expression" dxfId="855" priority="850">
      <formula>IF(BBO3="YES",TRUE,IF(BBO3="yes",TRUE,IF(BBO3="y",TRUE,IF(BBO3="Y",TRUE,FALSE))))</formula>
    </cfRule>
  </conditionalFormatting>
  <conditionalFormatting sqref="BBJ3 BBJ8 BBJ21:BBJ26">
    <cfRule type="expression" dxfId="854" priority="849">
      <formula>IF(BBJ3="NO",TRUE,IF(BBJ3="no",TRUE,IF(BBJ3="n",TRUE,IF(BBJ3="N",TRUE,FALSE))))</formula>
    </cfRule>
  </conditionalFormatting>
  <conditionalFormatting sqref="BBJ4">
    <cfRule type="expression" dxfId="853" priority="848">
      <formula>IF(BBJ4="NO",TRUE,IF(BBJ4="no",TRUE,IF(BBJ4="n",TRUE,IF(BBJ4="N",TRUE,FALSE))))</formula>
    </cfRule>
  </conditionalFormatting>
  <conditionalFormatting sqref="BBJ3">
    <cfRule type="expression" dxfId="852" priority="847">
      <formula>IF(BBJ3="YES",TRUE,IF(BBJ3="yes",TRUE,IF(BBJ3="y",TRUE,IF(BBJ3="Y",TRUE,FALSE))))</formula>
    </cfRule>
  </conditionalFormatting>
  <conditionalFormatting sqref="BBE3 BBE8 BBE21:BBE26">
    <cfRule type="expression" dxfId="851" priority="846">
      <formula>IF(BBE3="NO",TRUE,IF(BBE3="no",TRUE,IF(BBE3="n",TRUE,IF(BBE3="N",TRUE,FALSE))))</formula>
    </cfRule>
  </conditionalFormatting>
  <conditionalFormatting sqref="BBE4">
    <cfRule type="expression" dxfId="850" priority="845">
      <formula>IF(BBE4="NO",TRUE,IF(BBE4="no",TRUE,IF(BBE4="n",TRUE,IF(BBE4="N",TRUE,FALSE))))</formula>
    </cfRule>
  </conditionalFormatting>
  <conditionalFormatting sqref="BBE3">
    <cfRule type="expression" dxfId="849" priority="844">
      <formula>IF(BBE3="YES",TRUE,IF(BBE3="yes",TRUE,IF(BBE3="y",TRUE,IF(BBE3="Y",TRUE,FALSE))))</formula>
    </cfRule>
  </conditionalFormatting>
  <conditionalFormatting sqref="BAZ3 BAZ8 BAZ21:BAZ26">
    <cfRule type="expression" dxfId="848" priority="843">
      <formula>IF(BAZ3="NO",TRUE,IF(BAZ3="no",TRUE,IF(BAZ3="n",TRUE,IF(BAZ3="N",TRUE,FALSE))))</formula>
    </cfRule>
  </conditionalFormatting>
  <conditionalFormatting sqref="BAZ4">
    <cfRule type="expression" dxfId="847" priority="842">
      <formula>IF(BAZ4="NO",TRUE,IF(BAZ4="no",TRUE,IF(BAZ4="n",TRUE,IF(BAZ4="N",TRUE,FALSE))))</formula>
    </cfRule>
  </conditionalFormatting>
  <conditionalFormatting sqref="BAZ3">
    <cfRule type="expression" dxfId="846" priority="841">
      <formula>IF(BAZ3="YES",TRUE,IF(BAZ3="yes",TRUE,IF(BAZ3="y",TRUE,IF(BAZ3="Y",TRUE,FALSE))))</formula>
    </cfRule>
  </conditionalFormatting>
  <conditionalFormatting sqref="BAU3 BAU8 BAU21:BAU26">
    <cfRule type="expression" dxfId="845" priority="840">
      <formula>IF(BAU3="NO",TRUE,IF(BAU3="no",TRUE,IF(BAU3="n",TRUE,IF(BAU3="N",TRUE,FALSE))))</formula>
    </cfRule>
  </conditionalFormatting>
  <conditionalFormatting sqref="BAU4">
    <cfRule type="expression" dxfId="844" priority="839">
      <formula>IF(BAU4="NO",TRUE,IF(BAU4="no",TRUE,IF(BAU4="n",TRUE,IF(BAU4="N",TRUE,FALSE))))</formula>
    </cfRule>
  </conditionalFormatting>
  <conditionalFormatting sqref="BAU3">
    <cfRule type="expression" dxfId="843" priority="838">
      <formula>IF(BAU3="YES",TRUE,IF(BAU3="yes",TRUE,IF(BAU3="y",TRUE,IF(BAU3="Y",TRUE,FALSE))))</formula>
    </cfRule>
  </conditionalFormatting>
  <conditionalFormatting sqref="BAP3 BAP8 BAP21:BAP26">
    <cfRule type="expression" dxfId="842" priority="837">
      <formula>IF(BAP3="NO",TRUE,IF(BAP3="no",TRUE,IF(BAP3="n",TRUE,IF(BAP3="N",TRUE,FALSE))))</formula>
    </cfRule>
  </conditionalFormatting>
  <conditionalFormatting sqref="BAP4">
    <cfRule type="expression" dxfId="841" priority="836">
      <formula>IF(BAP4="NO",TRUE,IF(BAP4="no",TRUE,IF(BAP4="n",TRUE,IF(BAP4="N",TRUE,FALSE))))</formula>
    </cfRule>
  </conditionalFormatting>
  <conditionalFormatting sqref="BAP3">
    <cfRule type="expression" dxfId="840" priority="835">
      <formula>IF(BAP3="YES",TRUE,IF(BAP3="yes",TRUE,IF(BAP3="y",TRUE,IF(BAP3="Y",TRUE,FALSE))))</formula>
    </cfRule>
  </conditionalFormatting>
  <conditionalFormatting sqref="BAK3 BAK8 BAK21:BAK26">
    <cfRule type="expression" dxfId="839" priority="834">
      <formula>IF(BAK3="NO",TRUE,IF(BAK3="no",TRUE,IF(BAK3="n",TRUE,IF(BAK3="N",TRUE,FALSE))))</formula>
    </cfRule>
  </conditionalFormatting>
  <conditionalFormatting sqref="BAK4">
    <cfRule type="expression" dxfId="838" priority="833">
      <formula>IF(BAK4="NO",TRUE,IF(BAK4="no",TRUE,IF(BAK4="n",TRUE,IF(BAK4="N",TRUE,FALSE))))</formula>
    </cfRule>
  </conditionalFormatting>
  <conditionalFormatting sqref="BAK3">
    <cfRule type="expression" dxfId="837" priority="832">
      <formula>IF(BAK3="YES",TRUE,IF(BAK3="yes",TRUE,IF(BAK3="y",TRUE,IF(BAK3="Y",TRUE,FALSE))))</formula>
    </cfRule>
  </conditionalFormatting>
  <conditionalFormatting sqref="BAF3 BAF8 BAF21:BAF26">
    <cfRule type="expression" dxfId="836" priority="831">
      <formula>IF(BAF3="NO",TRUE,IF(BAF3="no",TRUE,IF(BAF3="n",TRUE,IF(BAF3="N",TRUE,FALSE))))</formula>
    </cfRule>
  </conditionalFormatting>
  <conditionalFormatting sqref="BAF4">
    <cfRule type="expression" dxfId="835" priority="830">
      <formula>IF(BAF4="NO",TRUE,IF(BAF4="no",TRUE,IF(BAF4="n",TRUE,IF(BAF4="N",TRUE,FALSE))))</formula>
    </cfRule>
  </conditionalFormatting>
  <conditionalFormatting sqref="BAF3">
    <cfRule type="expression" dxfId="834" priority="829">
      <formula>IF(BAF3="YES",TRUE,IF(BAF3="yes",TRUE,IF(BAF3="y",TRUE,IF(BAF3="Y",TRUE,FALSE))))</formula>
    </cfRule>
  </conditionalFormatting>
  <conditionalFormatting sqref="BAA3 BAA8 BAA21:BAA26">
    <cfRule type="expression" dxfId="833" priority="828">
      <formula>IF(BAA3="NO",TRUE,IF(BAA3="no",TRUE,IF(BAA3="n",TRUE,IF(BAA3="N",TRUE,FALSE))))</formula>
    </cfRule>
  </conditionalFormatting>
  <conditionalFormatting sqref="BAA4">
    <cfRule type="expression" dxfId="832" priority="827">
      <formula>IF(BAA4="NO",TRUE,IF(BAA4="no",TRUE,IF(BAA4="n",TRUE,IF(BAA4="N",TRUE,FALSE))))</formula>
    </cfRule>
  </conditionalFormatting>
  <conditionalFormatting sqref="BAA3">
    <cfRule type="expression" dxfId="831" priority="826">
      <formula>IF(BAA3="YES",TRUE,IF(BAA3="yes",TRUE,IF(BAA3="y",TRUE,IF(BAA3="Y",TRUE,FALSE))))</formula>
    </cfRule>
  </conditionalFormatting>
  <conditionalFormatting sqref="AZV3 AZV8 AZV21:AZV26">
    <cfRule type="expression" dxfId="830" priority="825">
      <formula>IF(AZV3="NO",TRUE,IF(AZV3="no",TRUE,IF(AZV3="n",TRUE,IF(AZV3="N",TRUE,FALSE))))</formula>
    </cfRule>
  </conditionalFormatting>
  <conditionalFormatting sqref="AZV4">
    <cfRule type="expression" dxfId="829" priority="824">
      <formula>IF(AZV4="NO",TRUE,IF(AZV4="no",TRUE,IF(AZV4="n",TRUE,IF(AZV4="N",TRUE,FALSE))))</formula>
    </cfRule>
  </conditionalFormatting>
  <conditionalFormatting sqref="AZV3">
    <cfRule type="expression" dxfId="828" priority="823">
      <formula>IF(AZV3="YES",TRUE,IF(AZV3="yes",TRUE,IF(AZV3="y",TRUE,IF(AZV3="Y",TRUE,FALSE))))</formula>
    </cfRule>
  </conditionalFormatting>
  <conditionalFormatting sqref="AZQ3 AZQ8 AZQ21:AZQ26">
    <cfRule type="expression" dxfId="827" priority="822">
      <formula>IF(AZQ3="NO",TRUE,IF(AZQ3="no",TRUE,IF(AZQ3="n",TRUE,IF(AZQ3="N",TRUE,FALSE))))</formula>
    </cfRule>
  </conditionalFormatting>
  <conditionalFormatting sqref="AZQ4">
    <cfRule type="expression" dxfId="826" priority="821">
      <formula>IF(AZQ4="NO",TRUE,IF(AZQ4="no",TRUE,IF(AZQ4="n",TRUE,IF(AZQ4="N",TRUE,FALSE))))</formula>
    </cfRule>
  </conditionalFormatting>
  <conditionalFormatting sqref="AZQ3">
    <cfRule type="expression" dxfId="825" priority="820">
      <formula>IF(AZQ3="YES",TRUE,IF(AZQ3="yes",TRUE,IF(AZQ3="y",TRUE,IF(AZQ3="Y",TRUE,FALSE))))</formula>
    </cfRule>
  </conditionalFormatting>
  <conditionalFormatting sqref="AZL3 AZL8 AZL21:AZL26">
    <cfRule type="expression" dxfId="824" priority="819">
      <formula>IF(AZL3="NO",TRUE,IF(AZL3="no",TRUE,IF(AZL3="n",TRUE,IF(AZL3="N",TRUE,FALSE))))</formula>
    </cfRule>
  </conditionalFormatting>
  <conditionalFormatting sqref="AZL4">
    <cfRule type="expression" dxfId="823" priority="818">
      <formula>IF(AZL4="NO",TRUE,IF(AZL4="no",TRUE,IF(AZL4="n",TRUE,IF(AZL4="N",TRUE,FALSE))))</formula>
    </cfRule>
  </conditionalFormatting>
  <conditionalFormatting sqref="AZL3">
    <cfRule type="expression" dxfId="822" priority="817">
      <formula>IF(AZL3="YES",TRUE,IF(AZL3="yes",TRUE,IF(AZL3="y",TRUE,IF(AZL3="Y",TRUE,FALSE))))</formula>
    </cfRule>
  </conditionalFormatting>
  <conditionalFormatting sqref="AZG3 AZG8 AZG21:AZG26">
    <cfRule type="expression" dxfId="821" priority="816">
      <formula>IF(AZG3="NO",TRUE,IF(AZG3="no",TRUE,IF(AZG3="n",TRUE,IF(AZG3="N",TRUE,FALSE))))</formula>
    </cfRule>
  </conditionalFormatting>
  <conditionalFormatting sqref="AZG4">
    <cfRule type="expression" dxfId="820" priority="815">
      <formula>IF(AZG4="NO",TRUE,IF(AZG4="no",TRUE,IF(AZG4="n",TRUE,IF(AZG4="N",TRUE,FALSE))))</formula>
    </cfRule>
  </conditionalFormatting>
  <conditionalFormatting sqref="AZG3">
    <cfRule type="expression" dxfId="819" priority="814">
      <formula>IF(AZG3="YES",TRUE,IF(AZG3="yes",TRUE,IF(AZG3="y",TRUE,IF(AZG3="Y",TRUE,FALSE))))</formula>
    </cfRule>
  </conditionalFormatting>
  <conditionalFormatting sqref="AZB3 AZB8 AZB21:AZB26">
    <cfRule type="expression" dxfId="818" priority="813">
      <formula>IF(AZB3="NO",TRUE,IF(AZB3="no",TRUE,IF(AZB3="n",TRUE,IF(AZB3="N",TRUE,FALSE))))</formula>
    </cfRule>
  </conditionalFormatting>
  <conditionalFormatting sqref="AZB4">
    <cfRule type="expression" dxfId="817" priority="812">
      <formula>IF(AZB4="NO",TRUE,IF(AZB4="no",TRUE,IF(AZB4="n",TRUE,IF(AZB4="N",TRUE,FALSE))))</formula>
    </cfRule>
  </conditionalFormatting>
  <conditionalFormatting sqref="AZB3">
    <cfRule type="expression" dxfId="816" priority="811">
      <formula>IF(AZB3="YES",TRUE,IF(AZB3="yes",TRUE,IF(AZB3="y",TRUE,IF(AZB3="Y",TRUE,FALSE))))</formula>
    </cfRule>
  </conditionalFormatting>
  <conditionalFormatting sqref="AYW3 AYW8 AYW21:AYW26">
    <cfRule type="expression" dxfId="815" priority="810">
      <formula>IF(AYW3="NO",TRUE,IF(AYW3="no",TRUE,IF(AYW3="n",TRUE,IF(AYW3="N",TRUE,FALSE))))</formula>
    </cfRule>
  </conditionalFormatting>
  <conditionalFormatting sqref="AYW4">
    <cfRule type="expression" dxfId="814" priority="809">
      <formula>IF(AYW4="NO",TRUE,IF(AYW4="no",TRUE,IF(AYW4="n",TRUE,IF(AYW4="N",TRUE,FALSE))))</formula>
    </cfRule>
  </conditionalFormatting>
  <conditionalFormatting sqref="AYW3">
    <cfRule type="expression" dxfId="813" priority="808">
      <formula>IF(AYW3="YES",TRUE,IF(AYW3="yes",TRUE,IF(AYW3="y",TRUE,IF(AYW3="Y",TRUE,FALSE))))</formula>
    </cfRule>
  </conditionalFormatting>
  <conditionalFormatting sqref="AYR3 AYR8 AYR21:AYR26">
    <cfRule type="expression" dxfId="812" priority="807">
      <formula>IF(AYR3="NO",TRUE,IF(AYR3="no",TRUE,IF(AYR3="n",TRUE,IF(AYR3="N",TRUE,FALSE))))</formula>
    </cfRule>
  </conditionalFormatting>
  <conditionalFormatting sqref="AYR4">
    <cfRule type="expression" dxfId="811" priority="806">
      <formula>IF(AYR4="NO",TRUE,IF(AYR4="no",TRUE,IF(AYR4="n",TRUE,IF(AYR4="N",TRUE,FALSE))))</formula>
    </cfRule>
  </conditionalFormatting>
  <conditionalFormatting sqref="AYR3">
    <cfRule type="expression" dxfId="810" priority="805">
      <formula>IF(AYR3="YES",TRUE,IF(AYR3="yes",TRUE,IF(AYR3="y",TRUE,IF(AYR3="Y",TRUE,FALSE))))</formula>
    </cfRule>
  </conditionalFormatting>
  <conditionalFormatting sqref="AYM3 AYM8 AYM21:AYM26">
    <cfRule type="expression" dxfId="809" priority="804">
      <formula>IF(AYM3="NO",TRUE,IF(AYM3="no",TRUE,IF(AYM3="n",TRUE,IF(AYM3="N",TRUE,FALSE))))</formula>
    </cfRule>
  </conditionalFormatting>
  <conditionalFormatting sqref="AYM4">
    <cfRule type="expression" dxfId="808" priority="803">
      <formula>IF(AYM4="NO",TRUE,IF(AYM4="no",TRUE,IF(AYM4="n",TRUE,IF(AYM4="N",TRUE,FALSE))))</formula>
    </cfRule>
  </conditionalFormatting>
  <conditionalFormatting sqref="AYM3">
    <cfRule type="expression" dxfId="807" priority="802">
      <formula>IF(AYM3="YES",TRUE,IF(AYM3="yes",TRUE,IF(AYM3="y",TRUE,IF(AYM3="Y",TRUE,FALSE))))</formula>
    </cfRule>
  </conditionalFormatting>
  <conditionalFormatting sqref="AYH3 AYH8 AYH21:AYH26">
    <cfRule type="expression" dxfId="806" priority="801">
      <formula>IF(AYH3="NO",TRUE,IF(AYH3="no",TRUE,IF(AYH3="n",TRUE,IF(AYH3="N",TRUE,FALSE))))</formula>
    </cfRule>
  </conditionalFormatting>
  <conditionalFormatting sqref="AYH4">
    <cfRule type="expression" dxfId="805" priority="800">
      <formula>IF(AYH4="NO",TRUE,IF(AYH4="no",TRUE,IF(AYH4="n",TRUE,IF(AYH4="N",TRUE,FALSE))))</formula>
    </cfRule>
  </conditionalFormatting>
  <conditionalFormatting sqref="AYH3">
    <cfRule type="expression" dxfId="804" priority="799">
      <formula>IF(AYH3="YES",TRUE,IF(AYH3="yes",TRUE,IF(AYH3="y",TRUE,IF(AYH3="Y",TRUE,FALSE))))</formula>
    </cfRule>
  </conditionalFormatting>
  <conditionalFormatting sqref="AYC3 AYC8 AYC21:AYC26">
    <cfRule type="expression" dxfId="803" priority="798">
      <formula>IF(AYC3="NO",TRUE,IF(AYC3="no",TRUE,IF(AYC3="n",TRUE,IF(AYC3="N",TRUE,FALSE))))</formula>
    </cfRule>
  </conditionalFormatting>
  <conditionalFormatting sqref="AYC4">
    <cfRule type="expression" dxfId="802" priority="797">
      <formula>IF(AYC4="NO",TRUE,IF(AYC4="no",TRUE,IF(AYC4="n",TRUE,IF(AYC4="N",TRUE,FALSE))))</formula>
    </cfRule>
  </conditionalFormatting>
  <conditionalFormatting sqref="AYC3">
    <cfRule type="expression" dxfId="801" priority="796">
      <formula>IF(AYC3="YES",TRUE,IF(AYC3="yes",TRUE,IF(AYC3="y",TRUE,IF(AYC3="Y",TRUE,FALSE))))</formula>
    </cfRule>
  </conditionalFormatting>
  <conditionalFormatting sqref="AXX3 AXX8 AXX21:AXX26">
    <cfRule type="expression" dxfId="800" priority="795">
      <formula>IF(AXX3="NO",TRUE,IF(AXX3="no",TRUE,IF(AXX3="n",TRUE,IF(AXX3="N",TRUE,FALSE))))</formula>
    </cfRule>
  </conditionalFormatting>
  <conditionalFormatting sqref="AXX4">
    <cfRule type="expression" dxfId="799" priority="794">
      <formula>IF(AXX4="NO",TRUE,IF(AXX4="no",TRUE,IF(AXX4="n",TRUE,IF(AXX4="N",TRUE,FALSE))))</formula>
    </cfRule>
  </conditionalFormatting>
  <conditionalFormatting sqref="AXX3">
    <cfRule type="expression" dxfId="798" priority="793">
      <formula>IF(AXX3="YES",TRUE,IF(AXX3="yes",TRUE,IF(AXX3="y",TRUE,IF(AXX3="Y",TRUE,FALSE))))</formula>
    </cfRule>
  </conditionalFormatting>
  <conditionalFormatting sqref="AXS3 AXS8 AXS21:AXS26">
    <cfRule type="expression" dxfId="797" priority="792">
      <formula>IF(AXS3="NO",TRUE,IF(AXS3="no",TRUE,IF(AXS3="n",TRUE,IF(AXS3="N",TRUE,FALSE))))</formula>
    </cfRule>
  </conditionalFormatting>
  <conditionalFormatting sqref="AXS4">
    <cfRule type="expression" dxfId="796" priority="791">
      <formula>IF(AXS4="NO",TRUE,IF(AXS4="no",TRUE,IF(AXS4="n",TRUE,IF(AXS4="N",TRUE,FALSE))))</formula>
    </cfRule>
  </conditionalFormatting>
  <conditionalFormatting sqref="AXS3">
    <cfRule type="expression" dxfId="795" priority="790">
      <formula>IF(AXS3="YES",TRUE,IF(AXS3="yes",TRUE,IF(AXS3="y",TRUE,IF(AXS3="Y",TRUE,FALSE))))</formula>
    </cfRule>
  </conditionalFormatting>
  <conditionalFormatting sqref="AXN3 AXN8 AXN21:AXN26">
    <cfRule type="expression" dxfId="794" priority="789">
      <formula>IF(AXN3="NO",TRUE,IF(AXN3="no",TRUE,IF(AXN3="n",TRUE,IF(AXN3="N",TRUE,FALSE))))</formula>
    </cfRule>
  </conditionalFormatting>
  <conditionalFormatting sqref="AXN4">
    <cfRule type="expression" dxfId="793" priority="788">
      <formula>IF(AXN4="NO",TRUE,IF(AXN4="no",TRUE,IF(AXN4="n",TRUE,IF(AXN4="N",TRUE,FALSE))))</formula>
    </cfRule>
  </conditionalFormatting>
  <conditionalFormatting sqref="AXN3">
    <cfRule type="expression" dxfId="792" priority="787">
      <formula>IF(AXN3="YES",TRUE,IF(AXN3="yes",TRUE,IF(AXN3="y",TRUE,IF(AXN3="Y",TRUE,FALSE))))</formula>
    </cfRule>
  </conditionalFormatting>
  <conditionalFormatting sqref="AXI3 AXI8 AXI21:AXI26">
    <cfRule type="expression" dxfId="791" priority="786">
      <formula>IF(AXI3="NO",TRUE,IF(AXI3="no",TRUE,IF(AXI3="n",TRUE,IF(AXI3="N",TRUE,FALSE))))</formula>
    </cfRule>
  </conditionalFormatting>
  <conditionalFormatting sqref="AXI4">
    <cfRule type="expression" dxfId="790" priority="785">
      <formula>IF(AXI4="NO",TRUE,IF(AXI4="no",TRUE,IF(AXI4="n",TRUE,IF(AXI4="N",TRUE,FALSE))))</formula>
    </cfRule>
  </conditionalFormatting>
  <conditionalFormatting sqref="AXI3">
    <cfRule type="expression" dxfId="789" priority="784">
      <formula>IF(AXI3="YES",TRUE,IF(AXI3="yes",TRUE,IF(AXI3="y",TRUE,IF(AXI3="Y",TRUE,FALSE))))</formula>
    </cfRule>
  </conditionalFormatting>
  <conditionalFormatting sqref="AXD3 AXD8 AXD21:AXD26">
    <cfRule type="expression" dxfId="788" priority="783">
      <formula>IF(AXD3="NO",TRUE,IF(AXD3="no",TRUE,IF(AXD3="n",TRUE,IF(AXD3="N",TRUE,FALSE))))</formula>
    </cfRule>
  </conditionalFormatting>
  <conditionalFormatting sqref="AXD4">
    <cfRule type="expression" dxfId="787" priority="782">
      <formula>IF(AXD4="NO",TRUE,IF(AXD4="no",TRUE,IF(AXD4="n",TRUE,IF(AXD4="N",TRUE,FALSE))))</formula>
    </cfRule>
  </conditionalFormatting>
  <conditionalFormatting sqref="AXD3">
    <cfRule type="expression" dxfId="786" priority="781">
      <formula>IF(AXD3="YES",TRUE,IF(AXD3="yes",TRUE,IF(AXD3="y",TRUE,IF(AXD3="Y",TRUE,FALSE))))</formula>
    </cfRule>
  </conditionalFormatting>
  <conditionalFormatting sqref="AWY3 AWY8 AWY21:AWY26">
    <cfRule type="expression" dxfId="785" priority="780">
      <formula>IF(AWY3="NO",TRUE,IF(AWY3="no",TRUE,IF(AWY3="n",TRUE,IF(AWY3="N",TRUE,FALSE))))</formula>
    </cfRule>
  </conditionalFormatting>
  <conditionalFormatting sqref="AWY4">
    <cfRule type="expression" dxfId="784" priority="779">
      <formula>IF(AWY4="NO",TRUE,IF(AWY4="no",TRUE,IF(AWY4="n",TRUE,IF(AWY4="N",TRUE,FALSE))))</formula>
    </cfRule>
  </conditionalFormatting>
  <conditionalFormatting sqref="AWY3">
    <cfRule type="expression" dxfId="783" priority="778">
      <formula>IF(AWY3="YES",TRUE,IF(AWY3="yes",TRUE,IF(AWY3="y",TRUE,IF(AWY3="Y",TRUE,FALSE))))</formula>
    </cfRule>
  </conditionalFormatting>
  <conditionalFormatting sqref="AWT3 AWT8 AWT21:AWT26">
    <cfRule type="expression" dxfId="782" priority="777">
      <formula>IF(AWT3="NO",TRUE,IF(AWT3="no",TRUE,IF(AWT3="n",TRUE,IF(AWT3="N",TRUE,FALSE))))</formula>
    </cfRule>
  </conditionalFormatting>
  <conditionalFormatting sqref="AWT4">
    <cfRule type="expression" dxfId="781" priority="776">
      <formula>IF(AWT4="NO",TRUE,IF(AWT4="no",TRUE,IF(AWT4="n",TRUE,IF(AWT4="N",TRUE,FALSE))))</formula>
    </cfRule>
  </conditionalFormatting>
  <conditionalFormatting sqref="AWT3">
    <cfRule type="expression" dxfId="780" priority="775">
      <formula>IF(AWT3="YES",TRUE,IF(AWT3="yes",TRUE,IF(AWT3="y",TRUE,IF(AWT3="Y",TRUE,FALSE))))</formula>
    </cfRule>
  </conditionalFormatting>
  <conditionalFormatting sqref="AWO3 AWO8 AWO21:AWO26">
    <cfRule type="expression" dxfId="779" priority="774">
      <formula>IF(AWO3="NO",TRUE,IF(AWO3="no",TRUE,IF(AWO3="n",TRUE,IF(AWO3="N",TRUE,FALSE))))</formula>
    </cfRule>
  </conditionalFormatting>
  <conditionalFormatting sqref="AWO4">
    <cfRule type="expression" dxfId="778" priority="773">
      <formula>IF(AWO4="NO",TRUE,IF(AWO4="no",TRUE,IF(AWO4="n",TRUE,IF(AWO4="N",TRUE,FALSE))))</formula>
    </cfRule>
  </conditionalFormatting>
  <conditionalFormatting sqref="AWO3">
    <cfRule type="expression" dxfId="777" priority="772">
      <formula>IF(AWO3="YES",TRUE,IF(AWO3="yes",TRUE,IF(AWO3="y",TRUE,IF(AWO3="Y",TRUE,FALSE))))</formula>
    </cfRule>
  </conditionalFormatting>
  <conditionalFormatting sqref="AWJ3 AWJ8 AWJ21:AWJ26">
    <cfRule type="expression" dxfId="776" priority="771">
      <formula>IF(AWJ3="NO",TRUE,IF(AWJ3="no",TRUE,IF(AWJ3="n",TRUE,IF(AWJ3="N",TRUE,FALSE))))</formula>
    </cfRule>
  </conditionalFormatting>
  <conditionalFormatting sqref="AWJ4">
    <cfRule type="expression" dxfId="775" priority="770">
      <formula>IF(AWJ4="NO",TRUE,IF(AWJ4="no",TRUE,IF(AWJ4="n",TRUE,IF(AWJ4="N",TRUE,FALSE))))</formula>
    </cfRule>
  </conditionalFormatting>
  <conditionalFormatting sqref="AWJ3">
    <cfRule type="expression" dxfId="774" priority="769">
      <formula>IF(AWJ3="YES",TRUE,IF(AWJ3="yes",TRUE,IF(AWJ3="y",TRUE,IF(AWJ3="Y",TRUE,FALSE))))</formula>
    </cfRule>
  </conditionalFormatting>
  <conditionalFormatting sqref="AWE3 AWE8 AWE21:AWE26">
    <cfRule type="expression" dxfId="773" priority="768">
      <formula>IF(AWE3="NO",TRUE,IF(AWE3="no",TRUE,IF(AWE3="n",TRUE,IF(AWE3="N",TRUE,FALSE))))</formula>
    </cfRule>
  </conditionalFormatting>
  <conditionalFormatting sqref="AWE4">
    <cfRule type="expression" dxfId="772" priority="767">
      <formula>IF(AWE4="NO",TRUE,IF(AWE4="no",TRUE,IF(AWE4="n",TRUE,IF(AWE4="N",TRUE,FALSE))))</formula>
    </cfRule>
  </conditionalFormatting>
  <conditionalFormatting sqref="AWE3">
    <cfRule type="expression" dxfId="771" priority="766">
      <formula>IF(AWE3="YES",TRUE,IF(AWE3="yes",TRUE,IF(AWE3="y",TRUE,IF(AWE3="Y",TRUE,FALSE))))</formula>
    </cfRule>
  </conditionalFormatting>
  <conditionalFormatting sqref="AVZ3 AVZ8 AVZ21:AVZ26">
    <cfRule type="expression" dxfId="770" priority="765">
      <formula>IF(AVZ3="NO",TRUE,IF(AVZ3="no",TRUE,IF(AVZ3="n",TRUE,IF(AVZ3="N",TRUE,FALSE))))</formula>
    </cfRule>
  </conditionalFormatting>
  <conditionalFormatting sqref="AVZ4">
    <cfRule type="expression" dxfId="769" priority="764">
      <formula>IF(AVZ4="NO",TRUE,IF(AVZ4="no",TRUE,IF(AVZ4="n",TRUE,IF(AVZ4="N",TRUE,FALSE))))</formula>
    </cfRule>
  </conditionalFormatting>
  <conditionalFormatting sqref="AVZ3">
    <cfRule type="expression" dxfId="768" priority="763">
      <formula>IF(AVZ3="YES",TRUE,IF(AVZ3="yes",TRUE,IF(AVZ3="y",TRUE,IF(AVZ3="Y",TRUE,FALSE))))</formula>
    </cfRule>
  </conditionalFormatting>
  <conditionalFormatting sqref="AVU3 AVU8 AVU21:AVU26">
    <cfRule type="expression" dxfId="767" priority="762">
      <formula>IF(AVU3="NO",TRUE,IF(AVU3="no",TRUE,IF(AVU3="n",TRUE,IF(AVU3="N",TRUE,FALSE))))</formula>
    </cfRule>
  </conditionalFormatting>
  <conditionalFormatting sqref="AVU4">
    <cfRule type="expression" dxfId="766" priority="761">
      <formula>IF(AVU4="NO",TRUE,IF(AVU4="no",TRUE,IF(AVU4="n",TRUE,IF(AVU4="N",TRUE,FALSE))))</formula>
    </cfRule>
  </conditionalFormatting>
  <conditionalFormatting sqref="AVU3">
    <cfRule type="expression" dxfId="765" priority="760">
      <formula>IF(AVU3="YES",TRUE,IF(AVU3="yes",TRUE,IF(AVU3="y",TRUE,IF(AVU3="Y",TRUE,FALSE))))</formula>
    </cfRule>
  </conditionalFormatting>
  <conditionalFormatting sqref="AVP3 AVP8 AVP21:AVP26">
    <cfRule type="expression" dxfId="764" priority="759">
      <formula>IF(AVP3="NO",TRUE,IF(AVP3="no",TRUE,IF(AVP3="n",TRUE,IF(AVP3="N",TRUE,FALSE))))</formula>
    </cfRule>
  </conditionalFormatting>
  <conditionalFormatting sqref="AVP4">
    <cfRule type="expression" dxfId="763" priority="758">
      <formula>IF(AVP4="NO",TRUE,IF(AVP4="no",TRUE,IF(AVP4="n",TRUE,IF(AVP4="N",TRUE,FALSE))))</formula>
    </cfRule>
  </conditionalFormatting>
  <conditionalFormatting sqref="AVP3">
    <cfRule type="expression" dxfId="762" priority="757">
      <formula>IF(AVP3="YES",TRUE,IF(AVP3="yes",TRUE,IF(AVP3="y",TRUE,IF(AVP3="Y",TRUE,FALSE))))</formula>
    </cfRule>
  </conditionalFormatting>
  <conditionalFormatting sqref="AVK3 AVK8 AVK21:AVK26">
    <cfRule type="expression" dxfId="761" priority="756">
      <formula>IF(AVK3="NO",TRUE,IF(AVK3="no",TRUE,IF(AVK3="n",TRUE,IF(AVK3="N",TRUE,FALSE))))</formula>
    </cfRule>
  </conditionalFormatting>
  <conditionalFormatting sqref="AVK4">
    <cfRule type="expression" dxfId="760" priority="755">
      <formula>IF(AVK4="NO",TRUE,IF(AVK4="no",TRUE,IF(AVK4="n",TRUE,IF(AVK4="N",TRUE,FALSE))))</formula>
    </cfRule>
  </conditionalFormatting>
  <conditionalFormatting sqref="AVK3">
    <cfRule type="expression" dxfId="759" priority="754">
      <formula>IF(AVK3="YES",TRUE,IF(AVK3="yes",TRUE,IF(AVK3="y",TRUE,IF(AVK3="Y",TRUE,FALSE))))</formula>
    </cfRule>
  </conditionalFormatting>
  <conditionalFormatting sqref="AVF3 AVF8 AVF21:AVF26">
    <cfRule type="expression" dxfId="758" priority="753">
      <formula>IF(AVF3="NO",TRUE,IF(AVF3="no",TRUE,IF(AVF3="n",TRUE,IF(AVF3="N",TRUE,FALSE))))</formula>
    </cfRule>
  </conditionalFormatting>
  <conditionalFormatting sqref="AVF4">
    <cfRule type="expression" dxfId="757" priority="752">
      <formula>IF(AVF4="NO",TRUE,IF(AVF4="no",TRUE,IF(AVF4="n",TRUE,IF(AVF4="N",TRUE,FALSE))))</formula>
    </cfRule>
  </conditionalFormatting>
  <conditionalFormatting sqref="AVF3">
    <cfRule type="expression" dxfId="756" priority="751">
      <formula>IF(AVF3="YES",TRUE,IF(AVF3="yes",TRUE,IF(AVF3="y",TRUE,IF(AVF3="Y",TRUE,FALSE))))</formula>
    </cfRule>
  </conditionalFormatting>
  <conditionalFormatting sqref="AVA3 AVA8 AVA21:AVA26">
    <cfRule type="expression" dxfId="755" priority="750">
      <formula>IF(AVA3="NO",TRUE,IF(AVA3="no",TRUE,IF(AVA3="n",TRUE,IF(AVA3="N",TRUE,FALSE))))</formula>
    </cfRule>
  </conditionalFormatting>
  <conditionalFormatting sqref="AVA4">
    <cfRule type="expression" dxfId="754" priority="749">
      <formula>IF(AVA4="NO",TRUE,IF(AVA4="no",TRUE,IF(AVA4="n",TRUE,IF(AVA4="N",TRUE,FALSE))))</formula>
    </cfRule>
  </conditionalFormatting>
  <conditionalFormatting sqref="AVA3">
    <cfRule type="expression" dxfId="753" priority="748">
      <formula>IF(AVA3="YES",TRUE,IF(AVA3="yes",TRUE,IF(AVA3="y",TRUE,IF(AVA3="Y",TRUE,FALSE))))</formula>
    </cfRule>
  </conditionalFormatting>
  <conditionalFormatting sqref="AUV3 AUV8 AUV21:AUV26">
    <cfRule type="expression" dxfId="752" priority="747">
      <formula>IF(AUV3="NO",TRUE,IF(AUV3="no",TRUE,IF(AUV3="n",TRUE,IF(AUV3="N",TRUE,FALSE))))</formula>
    </cfRule>
  </conditionalFormatting>
  <conditionalFormatting sqref="AUV4">
    <cfRule type="expression" dxfId="751" priority="746">
      <formula>IF(AUV4="NO",TRUE,IF(AUV4="no",TRUE,IF(AUV4="n",TRUE,IF(AUV4="N",TRUE,FALSE))))</formula>
    </cfRule>
  </conditionalFormatting>
  <conditionalFormatting sqref="AUV3">
    <cfRule type="expression" dxfId="750" priority="745">
      <formula>IF(AUV3="YES",TRUE,IF(AUV3="yes",TRUE,IF(AUV3="y",TRUE,IF(AUV3="Y",TRUE,FALSE))))</formula>
    </cfRule>
  </conditionalFormatting>
  <conditionalFormatting sqref="AUQ3 AUQ8 AUQ21:AUQ26">
    <cfRule type="expression" dxfId="749" priority="744">
      <formula>IF(AUQ3="NO",TRUE,IF(AUQ3="no",TRUE,IF(AUQ3="n",TRUE,IF(AUQ3="N",TRUE,FALSE))))</formula>
    </cfRule>
  </conditionalFormatting>
  <conditionalFormatting sqref="AUQ4">
    <cfRule type="expression" dxfId="748" priority="743">
      <formula>IF(AUQ4="NO",TRUE,IF(AUQ4="no",TRUE,IF(AUQ4="n",TRUE,IF(AUQ4="N",TRUE,FALSE))))</formula>
    </cfRule>
  </conditionalFormatting>
  <conditionalFormatting sqref="AUQ3">
    <cfRule type="expression" dxfId="747" priority="742">
      <formula>IF(AUQ3="YES",TRUE,IF(AUQ3="yes",TRUE,IF(AUQ3="y",TRUE,IF(AUQ3="Y",TRUE,FALSE))))</formula>
    </cfRule>
  </conditionalFormatting>
  <conditionalFormatting sqref="AUL3 AUL8 AUL21:AUL26">
    <cfRule type="expression" dxfId="746" priority="741">
      <formula>IF(AUL3="NO",TRUE,IF(AUL3="no",TRUE,IF(AUL3="n",TRUE,IF(AUL3="N",TRUE,FALSE))))</formula>
    </cfRule>
  </conditionalFormatting>
  <conditionalFormatting sqref="AUL4">
    <cfRule type="expression" dxfId="745" priority="740">
      <formula>IF(AUL4="NO",TRUE,IF(AUL4="no",TRUE,IF(AUL4="n",TRUE,IF(AUL4="N",TRUE,FALSE))))</formula>
    </cfRule>
  </conditionalFormatting>
  <conditionalFormatting sqref="AUL3">
    <cfRule type="expression" dxfId="744" priority="739">
      <formula>IF(AUL3="YES",TRUE,IF(AUL3="yes",TRUE,IF(AUL3="y",TRUE,IF(AUL3="Y",TRUE,FALSE))))</formula>
    </cfRule>
  </conditionalFormatting>
  <conditionalFormatting sqref="AUG3 AUG8 AUG21:AUG26">
    <cfRule type="expression" dxfId="743" priority="738">
      <formula>IF(AUG3="NO",TRUE,IF(AUG3="no",TRUE,IF(AUG3="n",TRUE,IF(AUG3="N",TRUE,FALSE))))</formula>
    </cfRule>
  </conditionalFormatting>
  <conditionalFormatting sqref="AUG4">
    <cfRule type="expression" dxfId="742" priority="737">
      <formula>IF(AUG4="NO",TRUE,IF(AUG4="no",TRUE,IF(AUG4="n",TRUE,IF(AUG4="N",TRUE,FALSE))))</formula>
    </cfRule>
  </conditionalFormatting>
  <conditionalFormatting sqref="AUG3">
    <cfRule type="expression" dxfId="741" priority="736">
      <formula>IF(AUG3="YES",TRUE,IF(AUG3="yes",TRUE,IF(AUG3="y",TRUE,IF(AUG3="Y",TRUE,FALSE))))</formula>
    </cfRule>
  </conditionalFormatting>
  <conditionalFormatting sqref="AUB3 AUB8 AUB21:AUB26">
    <cfRule type="expression" dxfId="740" priority="735">
      <formula>IF(AUB3="NO",TRUE,IF(AUB3="no",TRUE,IF(AUB3="n",TRUE,IF(AUB3="N",TRUE,FALSE))))</formula>
    </cfRule>
  </conditionalFormatting>
  <conditionalFormatting sqref="AUB4">
    <cfRule type="expression" dxfId="739" priority="734">
      <formula>IF(AUB4="NO",TRUE,IF(AUB4="no",TRUE,IF(AUB4="n",TRUE,IF(AUB4="N",TRUE,FALSE))))</formula>
    </cfRule>
  </conditionalFormatting>
  <conditionalFormatting sqref="AUB3">
    <cfRule type="expression" dxfId="738" priority="733">
      <formula>IF(AUB3="YES",TRUE,IF(AUB3="yes",TRUE,IF(AUB3="y",TRUE,IF(AUB3="Y",TRUE,FALSE))))</formula>
    </cfRule>
  </conditionalFormatting>
  <conditionalFormatting sqref="ATW3 ATW8 ATW21:ATW26">
    <cfRule type="expression" dxfId="737" priority="732">
      <formula>IF(ATW3="NO",TRUE,IF(ATW3="no",TRUE,IF(ATW3="n",TRUE,IF(ATW3="N",TRUE,FALSE))))</formula>
    </cfRule>
  </conditionalFormatting>
  <conditionalFormatting sqref="ATW4">
    <cfRule type="expression" dxfId="736" priority="731">
      <formula>IF(ATW4="NO",TRUE,IF(ATW4="no",TRUE,IF(ATW4="n",TRUE,IF(ATW4="N",TRUE,FALSE))))</formula>
    </cfRule>
  </conditionalFormatting>
  <conditionalFormatting sqref="ATW3">
    <cfRule type="expression" dxfId="735" priority="730">
      <formula>IF(ATW3="YES",TRUE,IF(ATW3="yes",TRUE,IF(ATW3="y",TRUE,IF(ATW3="Y",TRUE,FALSE))))</formula>
    </cfRule>
  </conditionalFormatting>
  <conditionalFormatting sqref="ATR3 ATR8 ATR21:ATR26">
    <cfRule type="expression" dxfId="734" priority="729">
      <formula>IF(ATR3="NO",TRUE,IF(ATR3="no",TRUE,IF(ATR3="n",TRUE,IF(ATR3="N",TRUE,FALSE))))</formula>
    </cfRule>
  </conditionalFormatting>
  <conditionalFormatting sqref="ATR4">
    <cfRule type="expression" dxfId="733" priority="728">
      <formula>IF(ATR4="NO",TRUE,IF(ATR4="no",TRUE,IF(ATR4="n",TRUE,IF(ATR4="N",TRUE,FALSE))))</formula>
    </cfRule>
  </conditionalFormatting>
  <conditionalFormatting sqref="ATR3">
    <cfRule type="expression" dxfId="732" priority="727">
      <formula>IF(ATR3="YES",TRUE,IF(ATR3="yes",TRUE,IF(ATR3="y",TRUE,IF(ATR3="Y",TRUE,FALSE))))</formula>
    </cfRule>
  </conditionalFormatting>
  <conditionalFormatting sqref="ATM3 ATM8 ATM21:ATM26">
    <cfRule type="expression" dxfId="731" priority="726">
      <formula>IF(ATM3="NO",TRUE,IF(ATM3="no",TRUE,IF(ATM3="n",TRUE,IF(ATM3="N",TRUE,FALSE))))</formula>
    </cfRule>
  </conditionalFormatting>
  <conditionalFormatting sqref="ATM4">
    <cfRule type="expression" dxfId="730" priority="725">
      <formula>IF(ATM4="NO",TRUE,IF(ATM4="no",TRUE,IF(ATM4="n",TRUE,IF(ATM4="N",TRUE,FALSE))))</formula>
    </cfRule>
  </conditionalFormatting>
  <conditionalFormatting sqref="ATM3">
    <cfRule type="expression" dxfId="729" priority="724">
      <formula>IF(ATM3="YES",TRUE,IF(ATM3="yes",TRUE,IF(ATM3="y",TRUE,IF(ATM3="Y",TRUE,FALSE))))</formula>
    </cfRule>
  </conditionalFormatting>
  <conditionalFormatting sqref="ATH3 ATH8 ATH21:ATH26">
    <cfRule type="expression" dxfId="728" priority="723">
      <formula>IF(ATH3="NO",TRUE,IF(ATH3="no",TRUE,IF(ATH3="n",TRUE,IF(ATH3="N",TRUE,FALSE))))</formula>
    </cfRule>
  </conditionalFormatting>
  <conditionalFormatting sqref="ATH4">
    <cfRule type="expression" dxfId="727" priority="722">
      <formula>IF(ATH4="NO",TRUE,IF(ATH4="no",TRUE,IF(ATH4="n",TRUE,IF(ATH4="N",TRUE,FALSE))))</formula>
    </cfRule>
  </conditionalFormatting>
  <conditionalFormatting sqref="ATH3">
    <cfRule type="expression" dxfId="726" priority="721">
      <formula>IF(ATH3="YES",TRUE,IF(ATH3="yes",TRUE,IF(ATH3="y",TRUE,IF(ATH3="Y",TRUE,FALSE))))</formula>
    </cfRule>
  </conditionalFormatting>
  <conditionalFormatting sqref="ATC3 ATC8 ATC21:ATC26">
    <cfRule type="expression" dxfId="725" priority="720">
      <formula>IF(ATC3="NO",TRUE,IF(ATC3="no",TRUE,IF(ATC3="n",TRUE,IF(ATC3="N",TRUE,FALSE))))</formula>
    </cfRule>
  </conditionalFormatting>
  <conditionalFormatting sqref="ATC4">
    <cfRule type="expression" dxfId="724" priority="719">
      <formula>IF(ATC4="NO",TRUE,IF(ATC4="no",TRUE,IF(ATC4="n",TRUE,IF(ATC4="N",TRUE,FALSE))))</formula>
    </cfRule>
  </conditionalFormatting>
  <conditionalFormatting sqref="ATC3">
    <cfRule type="expression" dxfId="723" priority="718">
      <formula>IF(ATC3="YES",TRUE,IF(ATC3="yes",TRUE,IF(ATC3="y",TRUE,IF(ATC3="Y",TRUE,FALSE))))</formula>
    </cfRule>
  </conditionalFormatting>
  <conditionalFormatting sqref="ASX3 ASX8 ASX21:ASX26">
    <cfRule type="expression" dxfId="722" priority="717">
      <formula>IF(ASX3="NO",TRUE,IF(ASX3="no",TRUE,IF(ASX3="n",TRUE,IF(ASX3="N",TRUE,FALSE))))</formula>
    </cfRule>
  </conditionalFormatting>
  <conditionalFormatting sqref="ASX4">
    <cfRule type="expression" dxfId="721" priority="716">
      <formula>IF(ASX4="NO",TRUE,IF(ASX4="no",TRUE,IF(ASX4="n",TRUE,IF(ASX4="N",TRUE,FALSE))))</formula>
    </cfRule>
  </conditionalFormatting>
  <conditionalFormatting sqref="ASX3">
    <cfRule type="expression" dxfId="720" priority="715">
      <formula>IF(ASX3="YES",TRUE,IF(ASX3="yes",TRUE,IF(ASX3="y",TRUE,IF(ASX3="Y",TRUE,FALSE))))</formula>
    </cfRule>
  </conditionalFormatting>
  <conditionalFormatting sqref="ASS3 ASS8 ASS21:ASS26">
    <cfRule type="expression" dxfId="719" priority="714">
      <formula>IF(ASS3="NO",TRUE,IF(ASS3="no",TRUE,IF(ASS3="n",TRUE,IF(ASS3="N",TRUE,FALSE))))</formula>
    </cfRule>
  </conditionalFormatting>
  <conditionalFormatting sqref="ASS4">
    <cfRule type="expression" dxfId="718" priority="713">
      <formula>IF(ASS4="NO",TRUE,IF(ASS4="no",TRUE,IF(ASS4="n",TRUE,IF(ASS4="N",TRUE,FALSE))))</formula>
    </cfRule>
  </conditionalFormatting>
  <conditionalFormatting sqref="ASS3">
    <cfRule type="expression" dxfId="717" priority="712">
      <formula>IF(ASS3="YES",TRUE,IF(ASS3="yes",TRUE,IF(ASS3="y",TRUE,IF(ASS3="Y",TRUE,FALSE))))</formula>
    </cfRule>
  </conditionalFormatting>
  <conditionalFormatting sqref="ASN3 ASN8 ASN21:ASN26">
    <cfRule type="expression" dxfId="716" priority="711">
      <formula>IF(ASN3="NO",TRUE,IF(ASN3="no",TRUE,IF(ASN3="n",TRUE,IF(ASN3="N",TRUE,FALSE))))</formula>
    </cfRule>
  </conditionalFormatting>
  <conditionalFormatting sqref="ASN4">
    <cfRule type="expression" dxfId="715" priority="710">
      <formula>IF(ASN4="NO",TRUE,IF(ASN4="no",TRUE,IF(ASN4="n",TRUE,IF(ASN4="N",TRUE,FALSE))))</formula>
    </cfRule>
  </conditionalFormatting>
  <conditionalFormatting sqref="ASN3">
    <cfRule type="expression" dxfId="714" priority="709">
      <formula>IF(ASN3="YES",TRUE,IF(ASN3="yes",TRUE,IF(ASN3="y",TRUE,IF(ASN3="Y",TRUE,FALSE))))</formula>
    </cfRule>
  </conditionalFormatting>
  <conditionalFormatting sqref="ASI3 ASI8 ASI21:ASI26">
    <cfRule type="expression" dxfId="713" priority="708">
      <formula>IF(ASI3="NO",TRUE,IF(ASI3="no",TRUE,IF(ASI3="n",TRUE,IF(ASI3="N",TRUE,FALSE))))</formula>
    </cfRule>
  </conditionalFormatting>
  <conditionalFormatting sqref="ASI4">
    <cfRule type="expression" dxfId="712" priority="707">
      <formula>IF(ASI4="NO",TRUE,IF(ASI4="no",TRUE,IF(ASI4="n",TRUE,IF(ASI4="N",TRUE,FALSE))))</formula>
    </cfRule>
  </conditionalFormatting>
  <conditionalFormatting sqref="ASI3">
    <cfRule type="expression" dxfId="711" priority="706">
      <formula>IF(ASI3="YES",TRUE,IF(ASI3="yes",TRUE,IF(ASI3="y",TRUE,IF(ASI3="Y",TRUE,FALSE))))</formula>
    </cfRule>
  </conditionalFormatting>
  <conditionalFormatting sqref="ASD3 ASD8 ASD21:ASD26">
    <cfRule type="expression" dxfId="710" priority="705">
      <formula>IF(ASD3="NO",TRUE,IF(ASD3="no",TRUE,IF(ASD3="n",TRUE,IF(ASD3="N",TRUE,FALSE))))</formula>
    </cfRule>
  </conditionalFormatting>
  <conditionalFormatting sqref="ASD4">
    <cfRule type="expression" dxfId="709" priority="704">
      <formula>IF(ASD4="NO",TRUE,IF(ASD4="no",TRUE,IF(ASD4="n",TRUE,IF(ASD4="N",TRUE,FALSE))))</formula>
    </cfRule>
  </conditionalFormatting>
  <conditionalFormatting sqref="ASD3">
    <cfRule type="expression" dxfId="708" priority="703">
      <formula>IF(ASD3="YES",TRUE,IF(ASD3="yes",TRUE,IF(ASD3="y",TRUE,IF(ASD3="Y",TRUE,FALSE))))</formula>
    </cfRule>
  </conditionalFormatting>
  <conditionalFormatting sqref="ARY3 ARY8 ARY21:ARY26">
    <cfRule type="expression" dxfId="707" priority="702">
      <formula>IF(ARY3="NO",TRUE,IF(ARY3="no",TRUE,IF(ARY3="n",TRUE,IF(ARY3="N",TRUE,FALSE))))</formula>
    </cfRule>
  </conditionalFormatting>
  <conditionalFormatting sqref="ARY4">
    <cfRule type="expression" dxfId="706" priority="701">
      <formula>IF(ARY4="NO",TRUE,IF(ARY4="no",TRUE,IF(ARY4="n",TRUE,IF(ARY4="N",TRUE,FALSE))))</formula>
    </cfRule>
  </conditionalFormatting>
  <conditionalFormatting sqref="ARY3">
    <cfRule type="expression" dxfId="705" priority="700">
      <formula>IF(ARY3="YES",TRUE,IF(ARY3="yes",TRUE,IF(ARY3="y",TRUE,IF(ARY3="Y",TRUE,FALSE))))</formula>
    </cfRule>
  </conditionalFormatting>
  <conditionalFormatting sqref="ART3 ART8 ART21:ART26">
    <cfRule type="expression" dxfId="704" priority="699">
      <formula>IF(ART3="NO",TRUE,IF(ART3="no",TRUE,IF(ART3="n",TRUE,IF(ART3="N",TRUE,FALSE))))</formula>
    </cfRule>
  </conditionalFormatting>
  <conditionalFormatting sqref="ART4">
    <cfRule type="expression" dxfId="703" priority="698">
      <formula>IF(ART4="NO",TRUE,IF(ART4="no",TRUE,IF(ART4="n",TRUE,IF(ART4="N",TRUE,FALSE))))</formula>
    </cfRule>
  </conditionalFormatting>
  <conditionalFormatting sqref="ART3">
    <cfRule type="expression" dxfId="702" priority="697">
      <formula>IF(ART3="YES",TRUE,IF(ART3="yes",TRUE,IF(ART3="y",TRUE,IF(ART3="Y",TRUE,FALSE))))</formula>
    </cfRule>
  </conditionalFormatting>
  <conditionalFormatting sqref="ARO3 ARO8 ARO21:ARO26">
    <cfRule type="expression" dxfId="701" priority="696">
      <formula>IF(ARO3="NO",TRUE,IF(ARO3="no",TRUE,IF(ARO3="n",TRUE,IF(ARO3="N",TRUE,FALSE))))</formula>
    </cfRule>
  </conditionalFormatting>
  <conditionalFormatting sqref="ARO4">
    <cfRule type="expression" dxfId="700" priority="695">
      <formula>IF(ARO4="NO",TRUE,IF(ARO4="no",TRUE,IF(ARO4="n",TRUE,IF(ARO4="N",TRUE,FALSE))))</formula>
    </cfRule>
  </conditionalFormatting>
  <conditionalFormatting sqref="ARO3">
    <cfRule type="expression" dxfId="699" priority="694">
      <formula>IF(ARO3="YES",TRUE,IF(ARO3="yes",TRUE,IF(ARO3="y",TRUE,IF(ARO3="Y",TRUE,FALSE))))</formula>
    </cfRule>
  </conditionalFormatting>
  <conditionalFormatting sqref="ARJ3 ARJ8 ARJ21:ARJ26">
    <cfRule type="expression" dxfId="698" priority="693">
      <formula>IF(ARJ3="NO",TRUE,IF(ARJ3="no",TRUE,IF(ARJ3="n",TRUE,IF(ARJ3="N",TRUE,FALSE))))</formula>
    </cfRule>
  </conditionalFormatting>
  <conditionalFormatting sqref="ARJ4">
    <cfRule type="expression" dxfId="697" priority="692">
      <formula>IF(ARJ4="NO",TRUE,IF(ARJ4="no",TRUE,IF(ARJ4="n",TRUE,IF(ARJ4="N",TRUE,FALSE))))</formula>
    </cfRule>
  </conditionalFormatting>
  <conditionalFormatting sqref="ARJ3">
    <cfRule type="expression" dxfId="696" priority="691">
      <formula>IF(ARJ3="YES",TRUE,IF(ARJ3="yes",TRUE,IF(ARJ3="y",TRUE,IF(ARJ3="Y",TRUE,FALSE))))</formula>
    </cfRule>
  </conditionalFormatting>
  <conditionalFormatting sqref="ARE3 ARE8 ARE21:ARE26">
    <cfRule type="expression" dxfId="695" priority="690">
      <formula>IF(ARE3="NO",TRUE,IF(ARE3="no",TRUE,IF(ARE3="n",TRUE,IF(ARE3="N",TRUE,FALSE))))</formula>
    </cfRule>
  </conditionalFormatting>
  <conditionalFormatting sqref="ARE4">
    <cfRule type="expression" dxfId="694" priority="689">
      <formula>IF(ARE4="NO",TRUE,IF(ARE4="no",TRUE,IF(ARE4="n",TRUE,IF(ARE4="N",TRUE,FALSE))))</formula>
    </cfRule>
  </conditionalFormatting>
  <conditionalFormatting sqref="ARE3">
    <cfRule type="expression" dxfId="693" priority="688">
      <formula>IF(ARE3="YES",TRUE,IF(ARE3="yes",TRUE,IF(ARE3="y",TRUE,IF(ARE3="Y",TRUE,FALSE))))</formula>
    </cfRule>
  </conditionalFormatting>
  <conditionalFormatting sqref="AQZ3 AQZ8 AQZ21:AQZ26">
    <cfRule type="expression" dxfId="692" priority="687">
      <formula>IF(AQZ3="NO",TRUE,IF(AQZ3="no",TRUE,IF(AQZ3="n",TRUE,IF(AQZ3="N",TRUE,FALSE))))</formula>
    </cfRule>
  </conditionalFormatting>
  <conditionalFormatting sqref="AQZ4">
    <cfRule type="expression" dxfId="691" priority="686">
      <formula>IF(AQZ4="NO",TRUE,IF(AQZ4="no",TRUE,IF(AQZ4="n",TRUE,IF(AQZ4="N",TRUE,FALSE))))</formula>
    </cfRule>
  </conditionalFormatting>
  <conditionalFormatting sqref="AQZ3">
    <cfRule type="expression" dxfId="690" priority="685">
      <formula>IF(AQZ3="YES",TRUE,IF(AQZ3="yes",TRUE,IF(AQZ3="y",TRUE,IF(AQZ3="Y",TRUE,FALSE))))</formula>
    </cfRule>
  </conditionalFormatting>
  <conditionalFormatting sqref="AQU3 AQU8 AQU21:AQU26">
    <cfRule type="expression" dxfId="689" priority="684">
      <formula>IF(AQU3="NO",TRUE,IF(AQU3="no",TRUE,IF(AQU3="n",TRUE,IF(AQU3="N",TRUE,FALSE))))</formula>
    </cfRule>
  </conditionalFormatting>
  <conditionalFormatting sqref="AQU4">
    <cfRule type="expression" dxfId="688" priority="683">
      <formula>IF(AQU4="NO",TRUE,IF(AQU4="no",TRUE,IF(AQU4="n",TRUE,IF(AQU4="N",TRUE,FALSE))))</formula>
    </cfRule>
  </conditionalFormatting>
  <conditionalFormatting sqref="AQU3">
    <cfRule type="expression" dxfId="687" priority="682">
      <formula>IF(AQU3="YES",TRUE,IF(AQU3="yes",TRUE,IF(AQU3="y",TRUE,IF(AQU3="Y",TRUE,FALSE))))</formula>
    </cfRule>
  </conditionalFormatting>
  <conditionalFormatting sqref="AQP3 AQP8 AQP21:AQP26">
    <cfRule type="expression" dxfId="686" priority="681">
      <formula>IF(AQP3="NO",TRUE,IF(AQP3="no",TRUE,IF(AQP3="n",TRUE,IF(AQP3="N",TRUE,FALSE))))</formula>
    </cfRule>
  </conditionalFormatting>
  <conditionalFormatting sqref="AQP4">
    <cfRule type="expression" dxfId="685" priority="680">
      <formula>IF(AQP4="NO",TRUE,IF(AQP4="no",TRUE,IF(AQP4="n",TRUE,IF(AQP4="N",TRUE,FALSE))))</formula>
    </cfRule>
  </conditionalFormatting>
  <conditionalFormatting sqref="AQP3">
    <cfRule type="expression" dxfId="684" priority="679">
      <formula>IF(AQP3="YES",TRUE,IF(AQP3="yes",TRUE,IF(AQP3="y",TRUE,IF(AQP3="Y",TRUE,FALSE))))</formula>
    </cfRule>
  </conditionalFormatting>
  <conditionalFormatting sqref="AQK3 AQK8 AQK21:AQK26">
    <cfRule type="expression" dxfId="683" priority="678">
      <formula>IF(AQK3="NO",TRUE,IF(AQK3="no",TRUE,IF(AQK3="n",TRUE,IF(AQK3="N",TRUE,FALSE))))</formula>
    </cfRule>
  </conditionalFormatting>
  <conditionalFormatting sqref="AQK4">
    <cfRule type="expression" dxfId="682" priority="677">
      <formula>IF(AQK4="NO",TRUE,IF(AQK4="no",TRUE,IF(AQK4="n",TRUE,IF(AQK4="N",TRUE,FALSE))))</formula>
    </cfRule>
  </conditionalFormatting>
  <conditionalFormatting sqref="AQK3">
    <cfRule type="expression" dxfId="681" priority="676">
      <formula>IF(AQK3="YES",TRUE,IF(AQK3="yes",TRUE,IF(AQK3="y",TRUE,IF(AQK3="Y",TRUE,FALSE))))</formula>
    </cfRule>
  </conditionalFormatting>
  <conditionalFormatting sqref="AQF3 AQF8 AQF21:AQF26">
    <cfRule type="expression" dxfId="680" priority="675">
      <formula>IF(AQF3="NO",TRUE,IF(AQF3="no",TRUE,IF(AQF3="n",TRUE,IF(AQF3="N",TRUE,FALSE))))</formula>
    </cfRule>
  </conditionalFormatting>
  <conditionalFormatting sqref="AQF4">
    <cfRule type="expression" dxfId="679" priority="674">
      <formula>IF(AQF4="NO",TRUE,IF(AQF4="no",TRUE,IF(AQF4="n",TRUE,IF(AQF4="N",TRUE,FALSE))))</formula>
    </cfRule>
  </conditionalFormatting>
  <conditionalFormatting sqref="AQF3">
    <cfRule type="expression" dxfId="678" priority="673">
      <formula>IF(AQF3="YES",TRUE,IF(AQF3="yes",TRUE,IF(AQF3="y",TRUE,IF(AQF3="Y",TRUE,FALSE))))</formula>
    </cfRule>
  </conditionalFormatting>
  <conditionalFormatting sqref="AQA3 AQA8 AQA21:AQA26">
    <cfRule type="expression" dxfId="677" priority="672">
      <formula>IF(AQA3="NO",TRUE,IF(AQA3="no",TRUE,IF(AQA3="n",TRUE,IF(AQA3="N",TRUE,FALSE))))</formula>
    </cfRule>
  </conditionalFormatting>
  <conditionalFormatting sqref="AQA4">
    <cfRule type="expression" dxfId="676" priority="671">
      <formula>IF(AQA4="NO",TRUE,IF(AQA4="no",TRUE,IF(AQA4="n",TRUE,IF(AQA4="N",TRUE,FALSE))))</formula>
    </cfRule>
  </conditionalFormatting>
  <conditionalFormatting sqref="AQA3">
    <cfRule type="expression" dxfId="675" priority="670">
      <formula>IF(AQA3="YES",TRUE,IF(AQA3="yes",TRUE,IF(AQA3="y",TRUE,IF(AQA3="Y",TRUE,FALSE))))</formula>
    </cfRule>
  </conditionalFormatting>
  <conditionalFormatting sqref="APV3 APV8 APV21:APV26">
    <cfRule type="expression" dxfId="674" priority="669">
      <formula>IF(APV3="NO",TRUE,IF(APV3="no",TRUE,IF(APV3="n",TRUE,IF(APV3="N",TRUE,FALSE))))</formula>
    </cfRule>
  </conditionalFormatting>
  <conditionalFormatting sqref="APV4">
    <cfRule type="expression" dxfId="673" priority="668">
      <formula>IF(APV4="NO",TRUE,IF(APV4="no",TRUE,IF(APV4="n",TRUE,IF(APV4="N",TRUE,FALSE))))</formula>
    </cfRule>
  </conditionalFormatting>
  <conditionalFormatting sqref="APV3">
    <cfRule type="expression" dxfId="672" priority="667">
      <formula>IF(APV3="YES",TRUE,IF(APV3="yes",TRUE,IF(APV3="y",TRUE,IF(APV3="Y",TRUE,FALSE))))</formula>
    </cfRule>
  </conditionalFormatting>
  <conditionalFormatting sqref="APQ3 APQ8 APQ21:APQ26">
    <cfRule type="expression" dxfId="671" priority="666">
      <formula>IF(APQ3="NO",TRUE,IF(APQ3="no",TRUE,IF(APQ3="n",TRUE,IF(APQ3="N",TRUE,FALSE))))</formula>
    </cfRule>
  </conditionalFormatting>
  <conditionalFormatting sqref="APQ4">
    <cfRule type="expression" dxfId="670" priority="665">
      <formula>IF(APQ4="NO",TRUE,IF(APQ4="no",TRUE,IF(APQ4="n",TRUE,IF(APQ4="N",TRUE,FALSE))))</formula>
    </cfRule>
  </conditionalFormatting>
  <conditionalFormatting sqref="APQ3">
    <cfRule type="expression" dxfId="669" priority="664">
      <formula>IF(APQ3="YES",TRUE,IF(APQ3="yes",TRUE,IF(APQ3="y",TRUE,IF(APQ3="Y",TRUE,FALSE))))</formula>
    </cfRule>
  </conditionalFormatting>
  <conditionalFormatting sqref="APL3 APL8 APL21:APL26">
    <cfRule type="expression" dxfId="668" priority="663">
      <formula>IF(APL3="NO",TRUE,IF(APL3="no",TRUE,IF(APL3="n",TRUE,IF(APL3="N",TRUE,FALSE))))</formula>
    </cfRule>
  </conditionalFormatting>
  <conditionalFormatting sqref="APL4">
    <cfRule type="expression" dxfId="667" priority="662">
      <formula>IF(APL4="NO",TRUE,IF(APL4="no",TRUE,IF(APL4="n",TRUE,IF(APL4="N",TRUE,FALSE))))</formula>
    </cfRule>
  </conditionalFormatting>
  <conditionalFormatting sqref="APL3">
    <cfRule type="expression" dxfId="666" priority="661">
      <formula>IF(APL3="YES",TRUE,IF(APL3="yes",TRUE,IF(APL3="y",TRUE,IF(APL3="Y",TRUE,FALSE))))</formula>
    </cfRule>
  </conditionalFormatting>
  <conditionalFormatting sqref="APG3 APG8 APG21:APG26">
    <cfRule type="expression" dxfId="665" priority="660">
      <formula>IF(APG3="NO",TRUE,IF(APG3="no",TRUE,IF(APG3="n",TRUE,IF(APG3="N",TRUE,FALSE))))</formula>
    </cfRule>
  </conditionalFormatting>
  <conditionalFormatting sqref="APG4">
    <cfRule type="expression" dxfId="664" priority="659">
      <formula>IF(APG4="NO",TRUE,IF(APG4="no",TRUE,IF(APG4="n",TRUE,IF(APG4="N",TRUE,FALSE))))</formula>
    </cfRule>
  </conditionalFormatting>
  <conditionalFormatting sqref="APG3">
    <cfRule type="expression" dxfId="663" priority="658">
      <formula>IF(APG3="YES",TRUE,IF(APG3="yes",TRUE,IF(APG3="y",TRUE,IF(APG3="Y",TRUE,FALSE))))</formula>
    </cfRule>
  </conditionalFormatting>
  <conditionalFormatting sqref="APB3 APB8 APB21:APB26">
    <cfRule type="expression" dxfId="662" priority="657">
      <formula>IF(APB3="NO",TRUE,IF(APB3="no",TRUE,IF(APB3="n",TRUE,IF(APB3="N",TRUE,FALSE))))</formula>
    </cfRule>
  </conditionalFormatting>
  <conditionalFormatting sqref="APB4">
    <cfRule type="expression" dxfId="661" priority="656">
      <formula>IF(APB4="NO",TRUE,IF(APB4="no",TRUE,IF(APB4="n",TRUE,IF(APB4="N",TRUE,FALSE))))</formula>
    </cfRule>
  </conditionalFormatting>
  <conditionalFormatting sqref="APB3">
    <cfRule type="expression" dxfId="660" priority="655">
      <formula>IF(APB3="YES",TRUE,IF(APB3="yes",TRUE,IF(APB3="y",TRUE,IF(APB3="Y",TRUE,FALSE))))</formula>
    </cfRule>
  </conditionalFormatting>
  <conditionalFormatting sqref="AOW3 AOW8 AOW21:AOW26">
    <cfRule type="expression" dxfId="659" priority="654">
      <formula>IF(AOW3="NO",TRUE,IF(AOW3="no",TRUE,IF(AOW3="n",TRUE,IF(AOW3="N",TRUE,FALSE))))</formula>
    </cfRule>
  </conditionalFormatting>
  <conditionalFormatting sqref="AOW4">
    <cfRule type="expression" dxfId="658" priority="653">
      <formula>IF(AOW4="NO",TRUE,IF(AOW4="no",TRUE,IF(AOW4="n",TRUE,IF(AOW4="N",TRUE,FALSE))))</formula>
    </cfRule>
  </conditionalFormatting>
  <conditionalFormatting sqref="AOW3">
    <cfRule type="expression" dxfId="657" priority="652">
      <formula>IF(AOW3="YES",TRUE,IF(AOW3="yes",TRUE,IF(AOW3="y",TRUE,IF(AOW3="Y",TRUE,FALSE))))</formula>
    </cfRule>
  </conditionalFormatting>
  <conditionalFormatting sqref="AOR3 AOR8 AOR21:AOR26">
    <cfRule type="expression" dxfId="656" priority="651">
      <formula>IF(AOR3="NO",TRUE,IF(AOR3="no",TRUE,IF(AOR3="n",TRUE,IF(AOR3="N",TRUE,FALSE))))</formula>
    </cfRule>
  </conditionalFormatting>
  <conditionalFormatting sqref="AOR4">
    <cfRule type="expression" dxfId="655" priority="650">
      <formula>IF(AOR4="NO",TRUE,IF(AOR4="no",TRUE,IF(AOR4="n",TRUE,IF(AOR4="N",TRUE,FALSE))))</formula>
    </cfRule>
  </conditionalFormatting>
  <conditionalFormatting sqref="AOR3">
    <cfRule type="expression" dxfId="654" priority="649">
      <formula>IF(AOR3="YES",TRUE,IF(AOR3="yes",TRUE,IF(AOR3="y",TRUE,IF(AOR3="Y",TRUE,FALSE))))</formula>
    </cfRule>
  </conditionalFormatting>
  <conditionalFormatting sqref="AOM3 AOM8 AOM21:AOM26">
    <cfRule type="expression" dxfId="653" priority="648">
      <formula>IF(AOM3="NO",TRUE,IF(AOM3="no",TRUE,IF(AOM3="n",TRUE,IF(AOM3="N",TRUE,FALSE))))</formula>
    </cfRule>
  </conditionalFormatting>
  <conditionalFormatting sqref="AOM4">
    <cfRule type="expression" dxfId="652" priority="647">
      <formula>IF(AOM4="NO",TRUE,IF(AOM4="no",TRUE,IF(AOM4="n",TRUE,IF(AOM4="N",TRUE,FALSE))))</formula>
    </cfRule>
  </conditionalFormatting>
  <conditionalFormatting sqref="AOM3">
    <cfRule type="expression" dxfId="651" priority="646">
      <formula>IF(AOM3="YES",TRUE,IF(AOM3="yes",TRUE,IF(AOM3="y",TRUE,IF(AOM3="Y",TRUE,FALSE))))</formula>
    </cfRule>
  </conditionalFormatting>
  <conditionalFormatting sqref="AOH3 AOH8 AOH21:AOH26">
    <cfRule type="expression" dxfId="650" priority="645">
      <formula>IF(AOH3="NO",TRUE,IF(AOH3="no",TRUE,IF(AOH3="n",TRUE,IF(AOH3="N",TRUE,FALSE))))</formula>
    </cfRule>
  </conditionalFormatting>
  <conditionalFormatting sqref="AOH4">
    <cfRule type="expression" dxfId="649" priority="644">
      <formula>IF(AOH4="NO",TRUE,IF(AOH4="no",TRUE,IF(AOH4="n",TRUE,IF(AOH4="N",TRUE,FALSE))))</formula>
    </cfRule>
  </conditionalFormatting>
  <conditionalFormatting sqref="AOH3">
    <cfRule type="expression" dxfId="648" priority="643">
      <formula>IF(AOH3="YES",TRUE,IF(AOH3="yes",TRUE,IF(AOH3="y",TRUE,IF(AOH3="Y",TRUE,FALSE))))</formula>
    </cfRule>
  </conditionalFormatting>
  <conditionalFormatting sqref="AOC3 AOC8 AOC21:AOC26">
    <cfRule type="expression" dxfId="647" priority="642">
      <formula>IF(AOC3="NO",TRUE,IF(AOC3="no",TRUE,IF(AOC3="n",TRUE,IF(AOC3="N",TRUE,FALSE))))</formula>
    </cfRule>
  </conditionalFormatting>
  <conditionalFormatting sqref="AOC4">
    <cfRule type="expression" dxfId="646" priority="641">
      <formula>IF(AOC4="NO",TRUE,IF(AOC4="no",TRUE,IF(AOC4="n",TRUE,IF(AOC4="N",TRUE,FALSE))))</formula>
    </cfRule>
  </conditionalFormatting>
  <conditionalFormatting sqref="AOC3">
    <cfRule type="expression" dxfId="645" priority="640">
      <formula>IF(AOC3="YES",TRUE,IF(AOC3="yes",TRUE,IF(AOC3="y",TRUE,IF(AOC3="Y",TRUE,FALSE))))</formula>
    </cfRule>
  </conditionalFormatting>
  <conditionalFormatting sqref="ANX3 ANX8 ANX21:ANX26">
    <cfRule type="expression" dxfId="644" priority="639">
      <formula>IF(ANX3="NO",TRUE,IF(ANX3="no",TRUE,IF(ANX3="n",TRUE,IF(ANX3="N",TRUE,FALSE))))</formula>
    </cfRule>
  </conditionalFormatting>
  <conditionalFormatting sqref="ANX4">
    <cfRule type="expression" dxfId="643" priority="638">
      <formula>IF(ANX4="NO",TRUE,IF(ANX4="no",TRUE,IF(ANX4="n",TRUE,IF(ANX4="N",TRUE,FALSE))))</formula>
    </cfRule>
  </conditionalFormatting>
  <conditionalFormatting sqref="ANX3">
    <cfRule type="expression" dxfId="642" priority="637">
      <formula>IF(ANX3="YES",TRUE,IF(ANX3="yes",TRUE,IF(ANX3="y",TRUE,IF(ANX3="Y",TRUE,FALSE))))</formula>
    </cfRule>
  </conditionalFormatting>
  <conditionalFormatting sqref="ANS3 ANS8 ANS21:ANS26">
    <cfRule type="expression" dxfId="641" priority="636">
      <formula>IF(ANS3="NO",TRUE,IF(ANS3="no",TRUE,IF(ANS3="n",TRUE,IF(ANS3="N",TRUE,FALSE))))</formula>
    </cfRule>
  </conditionalFormatting>
  <conditionalFormatting sqref="ANS4">
    <cfRule type="expression" dxfId="640" priority="635">
      <formula>IF(ANS4="NO",TRUE,IF(ANS4="no",TRUE,IF(ANS4="n",TRUE,IF(ANS4="N",TRUE,FALSE))))</formula>
    </cfRule>
  </conditionalFormatting>
  <conditionalFormatting sqref="ANS3">
    <cfRule type="expression" dxfId="639" priority="634">
      <formula>IF(ANS3="YES",TRUE,IF(ANS3="yes",TRUE,IF(ANS3="y",TRUE,IF(ANS3="Y",TRUE,FALSE))))</formula>
    </cfRule>
  </conditionalFormatting>
  <conditionalFormatting sqref="ANN3 ANN8 ANN21:ANN26">
    <cfRule type="expression" dxfId="638" priority="633">
      <formula>IF(ANN3="NO",TRUE,IF(ANN3="no",TRUE,IF(ANN3="n",TRUE,IF(ANN3="N",TRUE,FALSE))))</formula>
    </cfRule>
  </conditionalFormatting>
  <conditionalFormatting sqref="ANN4">
    <cfRule type="expression" dxfId="637" priority="632">
      <formula>IF(ANN4="NO",TRUE,IF(ANN4="no",TRUE,IF(ANN4="n",TRUE,IF(ANN4="N",TRUE,FALSE))))</formula>
    </cfRule>
  </conditionalFormatting>
  <conditionalFormatting sqref="ANN3">
    <cfRule type="expression" dxfId="636" priority="631">
      <formula>IF(ANN3="YES",TRUE,IF(ANN3="yes",TRUE,IF(ANN3="y",TRUE,IF(ANN3="Y",TRUE,FALSE))))</formula>
    </cfRule>
  </conditionalFormatting>
  <conditionalFormatting sqref="ANI3 ANI8 ANI21:ANI26">
    <cfRule type="expression" dxfId="635" priority="630">
      <formula>IF(ANI3="NO",TRUE,IF(ANI3="no",TRUE,IF(ANI3="n",TRUE,IF(ANI3="N",TRUE,FALSE))))</formula>
    </cfRule>
  </conditionalFormatting>
  <conditionalFormatting sqref="ANI4">
    <cfRule type="expression" dxfId="634" priority="629">
      <formula>IF(ANI4="NO",TRUE,IF(ANI4="no",TRUE,IF(ANI4="n",TRUE,IF(ANI4="N",TRUE,FALSE))))</formula>
    </cfRule>
  </conditionalFormatting>
  <conditionalFormatting sqref="ANI3">
    <cfRule type="expression" dxfId="633" priority="628">
      <formula>IF(ANI3="YES",TRUE,IF(ANI3="yes",TRUE,IF(ANI3="y",TRUE,IF(ANI3="Y",TRUE,FALSE))))</formula>
    </cfRule>
  </conditionalFormatting>
  <conditionalFormatting sqref="AND3 AND8 AND21:AND26">
    <cfRule type="expression" dxfId="632" priority="627">
      <formula>IF(AND3="NO",TRUE,IF(AND3="no",TRUE,IF(AND3="n",TRUE,IF(AND3="N",TRUE,FALSE))))</formula>
    </cfRule>
  </conditionalFormatting>
  <conditionalFormatting sqref="AND4">
    <cfRule type="expression" dxfId="631" priority="626">
      <formula>IF(AND4="NO",TRUE,IF(AND4="no",TRUE,IF(AND4="n",TRUE,IF(AND4="N",TRUE,FALSE))))</formula>
    </cfRule>
  </conditionalFormatting>
  <conditionalFormatting sqref="AND3">
    <cfRule type="expression" dxfId="630" priority="625">
      <formula>IF(AND3="YES",TRUE,IF(AND3="yes",TRUE,IF(AND3="y",TRUE,IF(AND3="Y",TRUE,FALSE))))</formula>
    </cfRule>
  </conditionalFormatting>
  <conditionalFormatting sqref="AMY3 AMY8 AMY21:AMY26">
    <cfRule type="expression" dxfId="629" priority="624">
      <formula>IF(AMY3="NO",TRUE,IF(AMY3="no",TRUE,IF(AMY3="n",TRUE,IF(AMY3="N",TRUE,FALSE))))</formula>
    </cfRule>
  </conditionalFormatting>
  <conditionalFormatting sqref="AMY4">
    <cfRule type="expression" dxfId="628" priority="623">
      <formula>IF(AMY4="NO",TRUE,IF(AMY4="no",TRUE,IF(AMY4="n",TRUE,IF(AMY4="N",TRUE,FALSE))))</formula>
    </cfRule>
  </conditionalFormatting>
  <conditionalFormatting sqref="AMY3">
    <cfRule type="expression" dxfId="627" priority="622">
      <formula>IF(AMY3="YES",TRUE,IF(AMY3="yes",TRUE,IF(AMY3="y",TRUE,IF(AMY3="Y",TRUE,FALSE))))</formula>
    </cfRule>
  </conditionalFormatting>
  <conditionalFormatting sqref="AMT3 AMT8 AMT21:AMT26">
    <cfRule type="expression" dxfId="626" priority="621">
      <formula>IF(AMT3="NO",TRUE,IF(AMT3="no",TRUE,IF(AMT3="n",TRUE,IF(AMT3="N",TRUE,FALSE))))</formula>
    </cfRule>
  </conditionalFormatting>
  <conditionalFormatting sqref="AMT4">
    <cfRule type="expression" dxfId="625" priority="620">
      <formula>IF(AMT4="NO",TRUE,IF(AMT4="no",TRUE,IF(AMT4="n",TRUE,IF(AMT4="N",TRUE,FALSE))))</formula>
    </cfRule>
  </conditionalFormatting>
  <conditionalFormatting sqref="AMT3">
    <cfRule type="expression" dxfId="624" priority="619">
      <formula>IF(AMT3="YES",TRUE,IF(AMT3="yes",TRUE,IF(AMT3="y",TRUE,IF(AMT3="Y",TRUE,FALSE))))</formula>
    </cfRule>
  </conditionalFormatting>
  <conditionalFormatting sqref="AMO3 AMO8 AMO21:AMO26">
    <cfRule type="expression" dxfId="623" priority="618">
      <formula>IF(AMO3="NO",TRUE,IF(AMO3="no",TRUE,IF(AMO3="n",TRUE,IF(AMO3="N",TRUE,FALSE))))</formula>
    </cfRule>
  </conditionalFormatting>
  <conditionalFormatting sqref="AMO4">
    <cfRule type="expression" dxfId="622" priority="617">
      <formula>IF(AMO4="NO",TRUE,IF(AMO4="no",TRUE,IF(AMO4="n",TRUE,IF(AMO4="N",TRUE,FALSE))))</formula>
    </cfRule>
  </conditionalFormatting>
  <conditionalFormatting sqref="AMO3">
    <cfRule type="expression" dxfId="621" priority="616">
      <formula>IF(AMO3="YES",TRUE,IF(AMO3="yes",TRUE,IF(AMO3="y",TRUE,IF(AMO3="Y",TRUE,FALSE))))</formula>
    </cfRule>
  </conditionalFormatting>
  <conditionalFormatting sqref="AMJ3 AMJ8 AMJ21:AMJ26">
    <cfRule type="expression" dxfId="620" priority="615">
      <formula>IF(AMJ3="NO",TRUE,IF(AMJ3="no",TRUE,IF(AMJ3="n",TRUE,IF(AMJ3="N",TRUE,FALSE))))</formula>
    </cfRule>
  </conditionalFormatting>
  <conditionalFormatting sqref="AMJ4">
    <cfRule type="expression" dxfId="619" priority="614">
      <formula>IF(AMJ4="NO",TRUE,IF(AMJ4="no",TRUE,IF(AMJ4="n",TRUE,IF(AMJ4="N",TRUE,FALSE))))</formula>
    </cfRule>
  </conditionalFormatting>
  <conditionalFormatting sqref="AMJ3">
    <cfRule type="expression" dxfId="618" priority="613">
      <formula>IF(AMJ3="YES",TRUE,IF(AMJ3="yes",TRUE,IF(AMJ3="y",TRUE,IF(AMJ3="Y",TRUE,FALSE))))</formula>
    </cfRule>
  </conditionalFormatting>
  <conditionalFormatting sqref="AME3 AME8 AME21:AME26">
    <cfRule type="expression" dxfId="617" priority="612">
      <formula>IF(AME3="NO",TRUE,IF(AME3="no",TRUE,IF(AME3="n",TRUE,IF(AME3="N",TRUE,FALSE))))</formula>
    </cfRule>
  </conditionalFormatting>
  <conditionalFormatting sqref="AME4">
    <cfRule type="expression" dxfId="616" priority="611">
      <formula>IF(AME4="NO",TRUE,IF(AME4="no",TRUE,IF(AME4="n",TRUE,IF(AME4="N",TRUE,FALSE))))</formula>
    </cfRule>
  </conditionalFormatting>
  <conditionalFormatting sqref="AME3">
    <cfRule type="expression" dxfId="615" priority="610">
      <formula>IF(AME3="YES",TRUE,IF(AME3="yes",TRUE,IF(AME3="y",TRUE,IF(AME3="Y",TRUE,FALSE))))</formula>
    </cfRule>
  </conditionalFormatting>
  <conditionalFormatting sqref="ALZ3 ALZ8 ALZ21:ALZ26">
    <cfRule type="expression" dxfId="614" priority="609">
      <formula>IF(ALZ3="NO",TRUE,IF(ALZ3="no",TRUE,IF(ALZ3="n",TRUE,IF(ALZ3="N",TRUE,FALSE))))</formula>
    </cfRule>
  </conditionalFormatting>
  <conditionalFormatting sqref="ALZ4">
    <cfRule type="expression" dxfId="613" priority="608">
      <formula>IF(ALZ4="NO",TRUE,IF(ALZ4="no",TRUE,IF(ALZ4="n",TRUE,IF(ALZ4="N",TRUE,FALSE))))</formula>
    </cfRule>
  </conditionalFormatting>
  <conditionalFormatting sqref="ALZ3">
    <cfRule type="expression" dxfId="612" priority="607">
      <formula>IF(ALZ3="YES",TRUE,IF(ALZ3="yes",TRUE,IF(ALZ3="y",TRUE,IF(ALZ3="Y",TRUE,FALSE))))</formula>
    </cfRule>
  </conditionalFormatting>
  <conditionalFormatting sqref="ALU3 ALU8 ALU21:ALU26">
    <cfRule type="expression" dxfId="611" priority="606">
      <formula>IF(ALU3="NO",TRUE,IF(ALU3="no",TRUE,IF(ALU3="n",TRUE,IF(ALU3="N",TRUE,FALSE))))</formula>
    </cfRule>
  </conditionalFormatting>
  <conditionalFormatting sqref="ALU4">
    <cfRule type="expression" dxfId="610" priority="605">
      <formula>IF(ALU4="NO",TRUE,IF(ALU4="no",TRUE,IF(ALU4="n",TRUE,IF(ALU4="N",TRUE,FALSE))))</formula>
    </cfRule>
  </conditionalFormatting>
  <conditionalFormatting sqref="ALU3">
    <cfRule type="expression" dxfId="609" priority="604">
      <formula>IF(ALU3="YES",TRUE,IF(ALU3="yes",TRUE,IF(ALU3="y",TRUE,IF(ALU3="Y",TRUE,FALSE))))</formula>
    </cfRule>
  </conditionalFormatting>
  <conditionalFormatting sqref="ALP3 ALP8 ALP21:ALP26">
    <cfRule type="expression" dxfId="608" priority="603">
      <formula>IF(ALP3="NO",TRUE,IF(ALP3="no",TRUE,IF(ALP3="n",TRUE,IF(ALP3="N",TRUE,FALSE))))</formula>
    </cfRule>
  </conditionalFormatting>
  <conditionalFormatting sqref="ALP4">
    <cfRule type="expression" dxfId="607" priority="602">
      <formula>IF(ALP4="NO",TRUE,IF(ALP4="no",TRUE,IF(ALP4="n",TRUE,IF(ALP4="N",TRUE,FALSE))))</formula>
    </cfRule>
  </conditionalFormatting>
  <conditionalFormatting sqref="ALP3">
    <cfRule type="expression" dxfId="606" priority="601">
      <formula>IF(ALP3="YES",TRUE,IF(ALP3="yes",TRUE,IF(ALP3="y",TRUE,IF(ALP3="Y",TRUE,FALSE))))</formula>
    </cfRule>
  </conditionalFormatting>
  <conditionalFormatting sqref="ALK3 ALK8 ALK21:ALK26">
    <cfRule type="expression" dxfId="605" priority="600">
      <formula>IF(ALK3="NO",TRUE,IF(ALK3="no",TRUE,IF(ALK3="n",TRUE,IF(ALK3="N",TRUE,FALSE))))</formula>
    </cfRule>
  </conditionalFormatting>
  <conditionalFormatting sqref="ALK4">
    <cfRule type="expression" dxfId="604" priority="599">
      <formula>IF(ALK4="NO",TRUE,IF(ALK4="no",TRUE,IF(ALK4="n",TRUE,IF(ALK4="N",TRUE,FALSE))))</formula>
    </cfRule>
  </conditionalFormatting>
  <conditionalFormatting sqref="ALK3">
    <cfRule type="expression" dxfId="603" priority="598">
      <formula>IF(ALK3="YES",TRUE,IF(ALK3="yes",TRUE,IF(ALK3="y",TRUE,IF(ALK3="Y",TRUE,FALSE))))</formula>
    </cfRule>
  </conditionalFormatting>
  <conditionalFormatting sqref="ALF3 ALF8 ALF21:ALF26">
    <cfRule type="expression" dxfId="602" priority="597">
      <formula>IF(ALF3="NO",TRUE,IF(ALF3="no",TRUE,IF(ALF3="n",TRUE,IF(ALF3="N",TRUE,FALSE))))</formula>
    </cfRule>
  </conditionalFormatting>
  <conditionalFormatting sqref="ALF4">
    <cfRule type="expression" dxfId="601" priority="596">
      <formula>IF(ALF4="NO",TRUE,IF(ALF4="no",TRUE,IF(ALF4="n",TRUE,IF(ALF4="N",TRUE,FALSE))))</formula>
    </cfRule>
  </conditionalFormatting>
  <conditionalFormatting sqref="ALF3">
    <cfRule type="expression" dxfId="600" priority="595">
      <formula>IF(ALF3="YES",TRUE,IF(ALF3="yes",TRUE,IF(ALF3="y",TRUE,IF(ALF3="Y",TRUE,FALSE))))</formula>
    </cfRule>
  </conditionalFormatting>
  <conditionalFormatting sqref="ALA3 ALA8 ALA21:ALA26">
    <cfRule type="expression" dxfId="599" priority="594">
      <formula>IF(ALA3="NO",TRUE,IF(ALA3="no",TRUE,IF(ALA3="n",TRUE,IF(ALA3="N",TRUE,FALSE))))</formula>
    </cfRule>
  </conditionalFormatting>
  <conditionalFormatting sqref="ALA4">
    <cfRule type="expression" dxfId="598" priority="593">
      <formula>IF(ALA4="NO",TRUE,IF(ALA4="no",TRUE,IF(ALA4="n",TRUE,IF(ALA4="N",TRUE,FALSE))))</formula>
    </cfRule>
  </conditionalFormatting>
  <conditionalFormatting sqref="ALA3">
    <cfRule type="expression" dxfId="597" priority="592">
      <formula>IF(ALA3="YES",TRUE,IF(ALA3="yes",TRUE,IF(ALA3="y",TRUE,IF(ALA3="Y",TRUE,FALSE))))</formula>
    </cfRule>
  </conditionalFormatting>
  <conditionalFormatting sqref="AKV3 AKV8 AKV21:AKV26">
    <cfRule type="expression" dxfId="596" priority="591">
      <formula>IF(AKV3="NO",TRUE,IF(AKV3="no",TRUE,IF(AKV3="n",TRUE,IF(AKV3="N",TRUE,FALSE))))</formula>
    </cfRule>
  </conditionalFormatting>
  <conditionalFormatting sqref="AKV4">
    <cfRule type="expression" dxfId="595" priority="590">
      <formula>IF(AKV4="NO",TRUE,IF(AKV4="no",TRUE,IF(AKV4="n",TRUE,IF(AKV4="N",TRUE,FALSE))))</formula>
    </cfRule>
  </conditionalFormatting>
  <conditionalFormatting sqref="AKV3">
    <cfRule type="expression" dxfId="594" priority="589">
      <formula>IF(AKV3="YES",TRUE,IF(AKV3="yes",TRUE,IF(AKV3="y",TRUE,IF(AKV3="Y",TRUE,FALSE))))</formula>
    </cfRule>
  </conditionalFormatting>
  <conditionalFormatting sqref="AKQ3 AKQ8 AKQ21:AKQ26">
    <cfRule type="expression" dxfId="593" priority="588">
      <formula>IF(AKQ3="NO",TRUE,IF(AKQ3="no",TRUE,IF(AKQ3="n",TRUE,IF(AKQ3="N",TRUE,FALSE))))</formula>
    </cfRule>
  </conditionalFormatting>
  <conditionalFormatting sqref="AKQ4">
    <cfRule type="expression" dxfId="592" priority="587">
      <formula>IF(AKQ4="NO",TRUE,IF(AKQ4="no",TRUE,IF(AKQ4="n",TRUE,IF(AKQ4="N",TRUE,FALSE))))</formula>
    </cfRule>
  </conditionalFormatting>
  <conditionalFormatting sqref="AKQ3">
    <cfRule type="expression" dxfId="591" priority="586">
      <formula>IF(AKQ3="YES",TRUE,IF(AKQ3="yes",TRUE,IF(AKQ3="y",TRUE,IF(AKQ3="Y",TRUE,FALSE))))</formula>
    </cfRule>
  </conditionalFormatting>
  <conditionalFormatting sqref="AKL3 AKL8 AKL21:AKL26">
    <cfRule type="expression" dxfId="590" priority="585">
      <formula>IF(AKL3="NO",TRUE,IF(AKL3="no",TRUE,IF(AKL3="n",TRUE,IF(AKL3="N",TRUE,FALSE))))</formula>
    </cfRule>
  </conditionalFormatting>
  <conditionalFormatting sqref="AKL4">
    <cfRule type="expression" dxfId="589" priority="584">
      <formula>IF(AKL4="NO",TRUE,IF(AKL4="no",TRUE,IF(AKL4="n",TRUE,IF(AKL4="N",TRUE,FALSE))))</formula>
    </cfRule>
  </conditionalFormatting>
  <conditionalFormatting sqref="AKL3">
    <cfRule type="expression" dxfId="588" priority="583">
      <formula>IF(AKL3="YES",TRUE,IF(AKL3="yes",TRUE,IF(AKL3="y",TRUE,IF(AKL3="Y",TRUE,FALSE))))</formula>
    </cfRule>
  </conditionalFormatting>
  <conditionalFormatting sqref="AKG3 AKG8 AKG21:AKG26">
    <cfRule type="expression" dxfId="587" priority="582">
      <formula>IF(AKG3="NO",TRUE,IF(AKG3="no",TRUE,IF(AKG3="n",TRUE,IF(AKG3="N",TRUE,FALSE))))</formula>
    </cfRule>
  </conditionalFormatting>
  <conditionalFormatting sqref="AKG4">
    <cfRule type="expression" dxfId="586" priority="581">
      <formula>IF(AKG4="NO",TRUE,IF(AKG4="no",TRUE,IF(AKG4="n",TRUE,IF(AKG4="N",TRUE,FALSE))))</formula>
    </cfRule>
  </conditionalFormatting>
  <conditionalFormatting sqref="AKG3">
    <cfRule type="expression" dxfId="585" priority="580">
      <formula>IF(AKG3="YES",TRUE,IF(AKG3="yes",TRUE,IF(AKG3="y",TRUE,IF(AKG3="Y",TRUE,FALSE))))</formula>
    </cfRule>
  </conditionalFormatting>
  <conditionalFormatting sqref="AKB3 AKB8 AKB21:AKB26">
    <cfRule type="expression" dxfId="584" priority="579">
      <formula>IF(AKB3="NO",TRUE,IF(AKB3="no",TRUE,IF(AKB3="n",TRUE,IF(AKB3="N",TRUE,FALSE))))</formula>
    </cfRule>
  </conditionalFormatting>
  <conditionalFormatting sqref="AKB4">
    <cfRule type="expression" dxfId="583" priority="578">
      <formula>IF(AKB4="NO",TRUE,IF(AKB4="no",TRUE,IF(AKB4="n",TRUE,IF(AKB4="N",TRUE,FALSE))))</formula>
    </cfRule>
  </conditionalFormatting>
  <conditionalFormatting sqref="AKB3">
    <cfRule type="expression" dxfId="582" priority="577">
      <formula>IF(AKB3="YES",TRUE,IF(AKB3="yes",TRUE,IF(AKB3="y",TRUE,IF(AKB3="Y",TRUE,FALSE))))</formula>
    </cfRule>
  </conditionalFormatting>
  <conditionalFormatting sqref="AJW3 AJW8 AJW21:AJW26">
    <cfRule type="expression" dxfId="581" priority="576">
      <formula>IF(AJW3="NO",TRUE,IF(AJW3="no",TRUE,IF(AJW3="n",TRUE,IF(AJW3="N",TRUE,FALSE))))</formula>
    </cfRule>
  </conditionalFormatting>
  <conditionalFormatting sqref="AJW4">
    <cfRule type="expression" dxfId="580" priority="575">
      <formula>IF(AJW4="NO",TRUE,IF(AJW4="no",TRUE,IF(AJW4="n",TRUE,IF(AJW4="N",TRUE,FALSE))))</formula>
    </cfRule>
  </conditionalFormatting>
  <conditionalFormatting sqref="AJW3">
    <cfRule type="expression" dxfId="579" priority="574">
      <formula>IF(AJW3="YES",TRUE,IF(AJW3="yes",TRUE,IF(AJW3="y",TRUE,IF(AJW3="Y",TRUE,FALSE))))</formula>
    </cfRule>
  </conditionalFormatting>
  <conditionalFormatting sqref="AJR3 AJR8 AJR21:AJR26">
    <cfRule type="expression" dxfId="578" priority="573">
      <formula>IF(AJR3="NO",TRUE,IF(AJR3="no",TRUE,IF(AJR3="n",TRUE,IF(AJR3="N",TRUE,FALSE))))</formula>
    </cfRule>
  </conditionalFormatting>
  <conditionalFormatting sqref="AJR4">
    <cfRule type="expression" dxfId="577" priority="572">
      <formula>IF(AJR4="NO",TRUE,IF(AJR4="no",TRUE,IF(AJR4="n",TRUE,IF(AJR4="N",TRUE,FALSE))))</formula>
    </cfRule>
  </conditionalFormatting>
  <conditionalFormatting sqref="AJR3">
    <cfRule type="expression" dxfId="576" priority="571">
      <formula>IF(AJR3="YES",TRUE,IF(AJR3="yes",TRUE,IF(AJR3="y",TRUE,IF(AJR3="Y",TRUE,FALSE))))</formula>
    </cfRule>
  </conditionalFormatting>
  <conditionalFormatting sqref="AJM3 AJM8 AJM21:AJM26">
    <cfRule type="expression" dxfId="575" priority="570">
      <formula>IF(AJM3="NO",TRUE,IF(AJM3="no",TRUE,IF(AJM3="n",TRUE,IF(AJM3="N",TRUE,FALSE))))</formula>
    </cfRule>
  </conditionalFormatting>
  <conditionalFormatting sqref="AJM4">
    <cfRule type="expression" dxfId="574" priority="569">
      <formula>IF(AJM4="NO",TRUE,IF(AJM4="no",TRUE,IF(AJM4="n",TRUE,IF(AJM4="N",TRUE,FALSE))))</formula>
    </cfRule>
  </conditionalFormatting>
  <conditionalFormatting sqref="AJM3">
    <cfRule type="expression" dxfId="573" priority="568">
      <formula>IF(AJM3="YES",TRUE,IF(AJM3="yes",TRUE,IF(AJM3="y",TRUE,IF(AJM3="Y",TRUE,FALSE))))</formula>
    </cfRule>
  </conditionalFormatting>
  <conditionalFormatting sqref="AJH3 AJH8 AJH21:AJH26">
    <cfRule type="expression" dxfId="572" priority="567">
      <formula>IF(AJH3="NO",TRUE,IF(AJH3="no",TRUE,IF(AJH3="n",TRUE,IF(AJH3="N",TRUE,FALSE))))</formula>
    </cfRule>
  </conditionalFormatting>
  <conditionalFormatting sqref="AJH4">
    <cfRule type="expression" dxfId="571" priority="566">
      <formula>IF(AJH4="NO",TRUE,IF(AJH4="no",TRUE,IF(AJH4="n",TRUE,IF(AJH4="N",TRUE,FALSE))))</formula>
    </cfRule>
  </conditionalFormatting>
  <conditionalFormatting sqref="AJH3">
    <cfRule type="expression" dxfId="570" priority="565">
      <formula>IF(AJH3="YES",TRUE,IF(AJH3="yes",TRUE,IF(AJH3="y",TRUE,IF(AJH3="Y",TRUE,FALSE))))</formula>
    </cfRule>
  </conditionalFormatting>
  <conditionalFormatting sqref="AJC3 AJC8 AJC21:AJC26">
    <cfRule type="expression" dxfId="569" priority="564">
      <formula>IF(AJC3="NO",TRUE,IF(AJC3="no",TRUE,IF(AJC3="n",TRUE,IF(AJC3="N",TRUE,FALSE))))</formula>
    </cfRule>
  </conditionalFormatting>
  <conditionalFormatting sqref="AJC4">
    <cfRule type="expression" dxfId="568" priority="563">
      <formula>IF(AJC4="NO",TRUE,IF(AJC4="no",TRUE,IF(AJC4="n",TRUE,IF(AJC4="N",TRUE,FALSE))))</formula>
    </cfRule>
  </conditionalFormatting>
  <conditionalFormatting sqref="AJC3">
    <cfRule type="expression" dxfId="567" priority="562">
      <formula>IF(AJC3="YES",TRUE,IF(AJC3="yes",TRUE,IF(AJC3="y",TRUE,IF(AJC3="Y",TRUE,FALSE))))</formula>
    </cfRule>
  </conditionalFormatting>
  <conditionalFormatting sqref="AIX3 AIX8 AIX21:AIX26">
    <cfRule type="expression" dxfId="566" priority="561">
      <formula>IF(AIX3="NO",TRUE,IF(AIX3="no",TRUE,IF(AIX3="n",TRUE,IF(AIX3="N",TRUE,FALSE))))</formula>
    </cfRule>
  </conditionalFormatting>
  <conditionalFormatting sqref="AIX4">
    <cfRule type="expression" dxfId="565" priority="560">
      <formula>IF(AIX4="NO",TRUE,IF(AIX4="no",TRUE,IF(AIX4="n",TRUE,IF(AIX4="N",TRUE,FALSE))))</formula>
    </cfRule>
  </conditionalFormatting>
  <conditionalFormatting sqref="AIX3">
    <cfRule type="expression" dxfId="564" priority="559">
      <formula>IF(AIX3="YES",TRUE,IF(AIX3="yes",TRUE,IF(AIX3="y",TRUE,IF(AIX3="Y",TRUE,FALSE))))</formula>
    </cfRule>
  </conditionalFormatting>
  <conditionalFormatting sqref="AIS3 AIS8 AIS21:AIS26">
    <cfRule type="expression" dxfId="563" priority="558">
      <formula>IF(AIS3="NO",TRUE,IF(AIS3="no",TRUE,IF(AIS3="n",TRUE,IF(AIS3="N",TRUE,FALSE))))</formula>
    </cfRule>
  </conditionalFormatting>
  <conditionalFormatting sqref="AIS4">
    <cfRule type="expression" dxfId="562" priority="557">
      <formula>IF(AIS4="NO",TRUE,IF(AIS4="no",TRUE,IF(AIS4="n",TRUE,IF(AIS4="N",TRUE,FALSE))))</formula>
    </cfRule>
  </conditionalFormatting>
  <conditionalFormatting sqref="AIS3">
    <cfRule type="expression" dxfId="561" priority="556">
      <formula>IF(AIS3="YES",TRUE,IF(AIS3="yes",TRUE,IF(AIS3="y",TRUE,IF(AIS3="Y",TRUE,FALSE))))</formula>
    </cfRule>
  </conditionalFormatting>
  <conditionalFormatting sqref="AIN3 AIN8 AIN21:AIN26">
    <cfRule type="expression" dxfId="560" priority="555">
      <formula>IF(AIN3="NO",TRUE,IF(AIN3="no",TRUE,IF(AIN3="n",TRUE,IF(AIN3="N",TRUE,FALSE))))</formula>
    </cfRule>
  </conditionalFormatting>
  <conditionalFormatting sqref="AIN4">
    <cfRule type="expression" dxfId="559" priority="554">
      <formula>IF(AIN4="NO",TRUE,IF(AIN4="no",TRUE,IF(AIN4="n",TRUE,IF(AIN4="N",TRUE,FALSE))))</formula>
    </cfRule>
  </conditionalFormatting>
  <conditionalFormatting sqref="AIN3">
    <cfRule type="expression" dxfId="558" priority="553">
      <formula>IF(AIN3="YES",TRUE,IF(AIN3="yes",TRUE,IF(AIN3="y",TRUE,IF(AIN3="Y",TRUE,FALSE))))</formula>
    </cfRule>
  </conditionalFormatting>
  <conditionalFormatting sqref="AII3 AII8 AII21:AII26">
    <cfRule type="expression" dxfId="557" priority="552">
      <formula>IF(AII3="NO",TRUE,IF(AII3="no",TRUE,IF(AII3="n",TRUE,IF(AII3="N",TRUE,FALSE))))</formula>
    </cfRule>
  </conditionalFormatting>
  <conditionalFormatting sqref="AII4">
    <cfRule type="expression" dxfId="556" priority="551">
      <formula>IF(AII4="NO",TRUE,IF(AII4="no",TRUE,IF(AII4="n",TRUE,IF(AII4="N",TRUE,FALSE))))</formula>
    </cfRule>
  </conditionalFormatting>
  <conditionalFormatting sqref="AII3">
    <cfRule type="expression" dxfId="555" priority="550">
      <formula>IF(AII3="YES",TRUE,IF(AII3="yes",TRUE,IF(AII3="y",TRUE,IF(AII3="Y",TRUE,FALSE))))</formula>
    </cfRule>
  </conditionalFormatting>
  <conditionalFormatting sqref="AID3 AID8 AID21:AID26">
    <cfRule type="expression" dxfId="554" priority="549">
      <formula>IF(AID3="NO",TRUE,IF(AID3="no",TRUE,IF(AID3="n",TRUE,IF(AID3="N",TRUE,FALSE))))</formula>
    </cfRule>
  </conditionalFormatting>
  <conditionalFormatting sqref="AID4">
    <cfRule type="expression" dxfId="553" priority="548">
      <formula>IF(AID4="NO",TRUE,IF(AID4="no",TRUE,IF(AID4="n",TRUE,IF(AID4="N",TRUE,FALSE))))</formula>
    </cfRule>
  </conditionalFormatting>
  <conditionalFormatting sqref="AID3">
    <cfRule type="expression" dxfId="552" priority="547">
      <formula>IF(AID3="YES",TRUE,IF(AID3="yes",TRUE,IF(AID3="y",TRUE,IF(AID3="Y",TRUE,FALSE))))</formula>
    </cfRule>
  </conditionalFormatting>
  <conditionalFormatting sqref="AHY3 AHY8 AHY21:AHY26">
    <cfRule type="expression" dxfId="551" priority="546">
      <formula>IF(AHY3="NO",TRUE,IF(AHY3="no",TRUE,IF(AHY3="n",TRUE,IF(AHY3="N",TRUE,FALSE))))</formula>
    </cfRule>
  </conditionalFormatting>
  <conditionalFormatting sqref="AHY4">
    <cfRule type="expression" dxfId="550" priority="545">
      <formula>IF(AHY4="NO",TRUE,IF(AHY4="no",TRUE,IF(AHY4="n",TRUE,IF(AHY4="N",TRUE,FALSE))))</formula>
    </cfRule>
  </conditionalFormatting>
  <conditionalFormatting sqref="AHY3">
    <cfRule type="expression" dxfId="549" priority="544">
      <formula>IF(AHY3="YES",TRUE,IF(AHY3="yes",TRUE,IF(AHY3="y",TRUE,IF(AHY3="Y",TRUE,FALSE))))</formula>
    </cfRule>
  </conditionalFormatting>
  <conditionalFormatting sqref="AHT3 AHT8 AHT21:AHT26">
    <cfRule type="expression" dxfId="548" priority="543">
      <formula>IF(AHT3="NO",TRUE,IF(AHT3="no",TRUE,IF(AHT3="n",TRUE,IF(AHT3="N",TRUE,FALSE))))</formula>
    </cfRule>
  </conditionalFormatting>
  <conditionalFormatting sqref="AHT4">
    <cfRule type="expression" dxfId="547" priority="542">
      <formula>IF(AHT4="NO",TRUE,IF(AHT4="no",TRUE,IF(AHT4="n",TRUE,IF(AHT4="N",TRUE,FALSE))))</formula>
    </cfRule>
  </conditionalFormatting>
  <conditionalFormatting sqref="AHT3">
    <cfRule type="expression" dxfId="546" priority="541">
      <formula>IF(AHT3="YES",TRUE,IF(AHT3="yes",TRUE,IF(AHT3="y",TRUE,IF(AHT3="Y",TRUE,FALSE))))</formula>
    </cfRule>
  </conditionalFormatting>
  <conditionalFormatting sqref="AHO3 AHO8 AHO21:AHO26">
    <cfRule type="expression" dxfId="545" priority="540">
      <formula>IF(AHO3="NO",TRUE,IF(AHO3="no",TRUE,IF(AHO3="n",TRUE,IF(AHO3="N",TRUE,FALSE))))</formula>
    </cfRule>
  </conditionalFormatting>
  <conditionalFormatting sqref="AHO4">
    <cfRule type="expression" dxfId="544" priority="539">
      <formula>IF(AHO4="NO",TRUE,IF(AHO4="no",TRUE,IF(AHO4="n",TRUE,IF(AHO4="N",TRUE,FALSE))))</formula>
    </cfRule>
  </conditionalFormatting>
  <conditionalFormatting sqref="AHO3">
    <cfRule type="expression" dxfId="543" priority="538">
      <formula>IF(AHO3="YES",TRUE,IF(AHO3="yes",TRUE,IF(AHO3="y",TRUE,IF(AHO3="Y",TRUE,FALSE))))</formula>
    </cfRule>
  </conditionalFormatting>
  <conditionalFormatting sqref="AHJ3 AHJ8 AHJ21:AHJ26">
    <cfRule type="expression" dxfId="542" priority="537">
      <formula>IF(AHJ3="NO",TRUE,IF(AHJ3="no",TRUE,IF(AHJ3="n",TRUE,IF(AHJ3="N",TRUE,FALSE))))</formula>
    </cfRule>
  </conditionalFormatting>
  <conditionalFormatting sqref="AHJ4">
    <cfRule type="expression" dxfId="541" priority="536">
      <formula>IF(AHJ4="NO",TRUE,IF(AHJ4="no",TRUE,IF(AHJ4="n",TRUE,IF(AHJ4="N",TRUE,FALSE))))</formula>
    </cfRule>
  </conditionalFormatting>
  <conditionalFormatting sqref="AHJ3">
    <cfRule type="expression" dxfId="540" priority="535">
      <formula>IF(AHJ3="YES",TRUE,IF(AHJ3="yes",TRUE,IF(AHJ3="y",TRUE,IF(AHJ3="Y",TRUE,FALSE))))</formula>
    </cfRule>
  </conditionalFormatting>
  <conditionalFormatting sqref="AHE3 AHE8 AHE21:AHE26">
    <cfRule type="expression" dxfId="539" priority="534">
      <formula>IF(AHE3="NO",TRUE,IF(AHE3="no",TRUE,IF(AHE3="n",TRUE,IF(AHE3="N",TRUE,FALSE))))</formula>
    </cfRule>
  </conditionalFormatting>
  <conditionalFormatting sqref="AHE4">
    <cfRule type="expression" dxfId="538" priority="533">
      <formula>IF(AHE4="NO",TRUE,IF(AHE4="no",TRUE,IF(AHE4="n",TRUE,IF(AHE4="N",TRUE,FALSE))))</formula>
    </cfRule>
  </conditionalFormatting>
  <conditionalFormatting sqref="AHE3">
    <cfRule type="expression" dxfId="537" priority="532">
      <formula>IF(AHE3="YES",TRUE,IF(AHE3="yes",TRUE,IF(AHE3="y",TRUE,IF(AHE3="Y",TRUE,FALSE))))</formula>
    </cfRule>
  </conditionalFormatting>
  <conditionalFormatting sqref="AGZ3 AGZ8 AGZ21:AGZ26">
    <cfRule type="expression" dxfId="536" priority="531">
      <formula>IF(AGZ3="NO",TRUE,IF(AGZ3="no",TRUE,IF(AGZ3="n",TRUE,IF(AGZ3="N",TRUE,FALSE))))</formula>
    </cfRule>
  </conditionalFormatting>
  <conditionalFormatting sqref="AGZ4">
    <cfRule type="expression" dxfId="535" priority="530">
      <formula>IF(AGZ4="NO",TRUE,IF(AGZ4="no",TRUE,IF(AGZ4="n",TRUE,IF(AGZ4="N",TRUE,FALSE))))</formula>
    </cfRule>
  </conditionalFormatting>
  <conditionalFormatting sqref="AGZ3">
    <cfRule type="expression" dxfId="534" priority="529">
      <formula>IF(AGZ3="YES",TRUE,IF(AGZ3="yes",TRUE,IF(AGZ3="y",TRUE,IF(AGZ3="Y",TRUE,FALSE))))</formula>
    </cfRule>
  </conditionalFormatting>
  <conditionalFormatting sqref="AGU3 AGU8 AGU21:AGU26">
    <cfRule type="expression" dxfId="533" priority="528">
      <formula>IF(AGU3="NO",TRUE,IF(AGU3="no",TRUE,IF(AGU3="n",TRUE,IF(AGU3="N",TRUE,FALSE))))</formula>
    </cfRule>
  </conditionalFormatting>
  <conditionalFormatting sqref="AGU4">
    <cfRule type="expression" dxfId="532" priority="527">
      <formula>IF(AGU4="NO",TRUE,IF(AGU4="no",TRUE,IF(AGU4="n",TRUE,IF(AGU4="N",TRUE,FALSE))))</formula>
    </cfRule>
  </conditionalFormatting>
  <conditionalFormatting sqref="AGU3">
    <cfRule type="expression" dxfId="531" priority="526">
      <formula>IF(AGU3="YES",TRUE,IF(AGU3="yes",TRUE,IF(AGU3="y",TRUE,IF(AGU3="Y",TRUE,FALSE))))</formula>
    </cfRule>
  </conditionalFormatting>
  <conditionalFormatting sqref="AGP3 AGP8 AGP21:AGP26">
    <cfRule type="expression" dxfId="530" priority="525">
      <formula>IF(AGP3="NO",TRUE,IF(AGP3="no",TRUE,IF(AGP3="n",TRUE,IF(AGP3="N",TRUE,FALSE))))</formula>
    </cfRule>
  </conditionalFormatting>
  <conditionalFormatting sqref="AGP4">
    <cfRule type="expression" dxfId="529" priority="524">
      <formula>IF(AGP4="NO",TRUE,IF(AGP4="no",TRUE,IF(AGP4="n",TRUE,IF(AGP4="N",TRUE,FALSE))))</formula>
    </cfRule>
  </conditionalFormatting>
  <conditionalFormatting sqref="AGP3">
    <cfRule type="expression" dxfId="528" priority="523">
      <formula>IF(AGP3="YES",TRUE,IF(AGP3="yes",TRUE,IF(AGP3="y",TRUE,IF(AGP3="Y",TRUE,FALSE))))</formula>
    </cfRule>
  </conditionalFormatting>
  <conditionalFormatting sqref="AGK3 AGK8 AGK21:AGK26">
    <cfRule type="expression" dxfId="527" priority="522">
      <formula>IF(AGK3="NO",TRUE,IF(AGK3="no",TRUE,IF(AGK3="n",TRUE,IF(AGK3="N",TRUE,FALSE))))</formula>
    </cfRule>
  </conditionalFormatting>
  <conditionalFormatting sqref="AGK4">
    <cfRule type="expression" dxfId="526" priority="521">
      <formula>IF(AGK4="NO",TRUE,IF(AGK4="no",TRUE,IF(AGK4="n",TRUE,IF(AGK4="N",TRUE,FALSE))))</formula>
    </cfRule>
  </conditionalFormatting>
  <conditionalFormatting sqref="AGK3">
    <cfRule type="expression" dxfId="525" priority="520">
      <formula>IF(AGK3="YES",TRUE,IF(AGK3="yes",TRUE,IF(AGK3="y",TRUE,IF(AGK3="Y",TRUE,FALSE))))</formula>
    </cfRule>
  </conditionalFormatting>
  <conditionalFormatting sqref="AGF3 AGF8 AGF21:AGF26">
    <cfRule type="expression" dxfId="524" priority="519">
      <formula>IF(AGF3="NO",TRUE,IF(AGF3="no",TRUE,IF(AGF3="n",TRUE,IF(AGF3="N",TRUE,FALSE))))</formula>
    </cfRule>
  </conditionalFormatting>
  <conditionalFormatting sqref="AGF4">
    <cfRule type="expression" dxfId="523" priority="518">
      <formula>IF(AGF4="NO",TRUE,IF(AGF4="no",TRUE,IF(AGF4="n",TRUE,IF(AGF4="N",TRUE,FALSE))))</formula>
    </cfRule>
  </conditionalFormatting>
  <conditionalFormatting sqref="AGF3">
    <cfRule type="expression" dxfId="522" priority="517">
      <formula>IF(AGF3="YES",TRUE,IF(AGF3="yes",TRUE,IF(AGF3="y",TRUE,IF(AGF3="Y",TRUE,FALSE))))</formula>
    </cfRule>
  </conditionalFormatting>
  <conditionalFormatting sqref="AGA3 AGA8 AGA21:AGA26">
    <cfRule type="expression" dxfId="521" priority="516">
      <formula>IF(AGA3="NO",TRUE,IF(AGA3="no",TRUE,IF(AGA3="n",TRUE,IF(AGA3="N",TRUE,FALSE))))</formula>
    </cfRule>
  </conditionalFormatting>
  <conditionalFormatting sqref="AGA4">
    <cfRule type="expression" dxfId="520" priority="515">
      <formula>IF(AGA4="NO",TRUE,IF(AGA4="no",TRUE,IF(AGA4="n",TRUE,IF(AGA4="N",TRUE,FALSE))))</formula>
    </cfRule>
  </conditionalFormatting>
  <conditionalFormatting sqref="AGA3">
    <cfRule type="expression" dxfId="519" priority="514">
      <formula>IF(AGA3="YES",TRUE,IF(AGA3="yes",TRUE,IF(AGA3="y",TRUE,IF(AGA3="Y",TRUE,FALSE))))</formula>
    </cfRule>
  </conditionalFormatting>
  <conditionalFormatting sqref="AFV3 AFV8 AFV21:AFV26">
    <cfRule type="expression" dxfId="518" priority="513">
      <formula>IF(AFV3="NO",TRUE,IF(AFV3="no",TRUE,IF(AFV3="n",TRUE,IF(AFV3="N",TRUE,FALSE))))</formula>
    </cfRule>
  </conditionalFormatting>
  <conditionalFormatting sqref="AFV4">
    <cfRule type="expression" dxfId="517" priority="512">
      <formula>IF(AFV4="NO",TRUE,IF(AFV4="no",TRUE,IF(AFV4="n",TRUE,IF(AFV4="N",TRUE,FALSE))))</formula>
    </cfRule>
  </conditionalFormatting>
  <conditionalFormatting sqref="AFV3">
    <cfRule type="expression" dxfId="516" priority="511">
      <formula>IF(AFV3="YES",TRUE,IF(AFV3="yes",TRUE,IF(AFV3="y",TRUE,IF(AFV3="Y",TRUE,FALSE))))</formula>
    </cfRule>
  </conditionalFormatting>
  <conditionalFormatting sqref="AFQ3 AFQ8 AFQ21:AFQ26">
    <cfRule type="expression" dxfId="515" priority="510">
      <formula>IF(AFQ3="NO",TRUE,IF(AFQ3="no",TRUE,IF(AFQ3="n",TRUE,IF(AFQ3="N",TRUE,FALSE))))</formula>
    </cfRule>
  </conditionalFormatting>
  <conditionalFormatting sqref="AFQ4">
    <cfRule type="expression" dxfId="514" priority="509">
      <formula>IF(AFQ4="NO",TRUE,IF(AFQ4="no",TRUE,IF(AFQ4="n",TRUE,IF(AFQ4="N",TRUE,FALSE))))</formula>
    </cfRule>
  </conditionalFormatting>
  <conditionalFormatting sqref="AFQ3">
    <cfRule type="expression" dxfId="513" priority="508">
      <formula>IF(AFQ3="YES",TRUE,IF(AFQ3="yes",TRUE,IF(AFQ3="y",TRUE,IF(AFQ3="Y",TRUE,FALSE))))</formula>
    </cfRule>
  </conditionalFormatting>
  <conditionalFormatting sqref="AFL3 AFL8 AFL21:AFL26">
    <cfRule type="expression" dxfId="512" priority="507">
      <formula>IF(AFL3="NO",TRUE,IF(AFL3="no",TRUE,IF(AFL3="n",TRUE,IF(AFL3="N",TRUE,FALSE))))</formula>
    </cfRule>
  </conditionalFormatting>
  <conditionalFormatting sqref="AFL4">
    <cfRule type="expression" dxfId="511" priority="506">
      <formula>IF(AFL4="NO",TRUE,IF(AFL4="no",TRUE,IF(AFL4="n",TRUE,IF(AFL4="N",TRUE,FALSE))))</formula>
    </cfRule>
  </conditionalFormatting>
  <conditionalFormatting sqref="AFL3">
    <cfRule type="expression" dxfId="510" priority="505">
      <formula>IF(AFL3="YES",TRUE,IF(AFL3="yes",TRUE,IF(AFL3="y",TRUE,IF(AFL3="Y",TRUE,FALSE))))</formula>
    </cfRule>
  </conditionalFormatting>
  <conditionalFormatting sqref="AFG3 AFG8 AFG21:AFG26">
    <cfRule type="expression" dxfId="509" priority="504">
      <formula>IF(AFG3="NO",TRUE,IF(AFG3="no",TRUE,IF(AFG3="n",TRUE,IF(AFG3="N",TRUE,FALSE))))</formula>
    </cfRule>
  </conditionalFormatting>
  <conditionalFormatting sqref="AFG4">
    <cfRule type="expression" dxfId="508" priority="503">
      <formula>IF(AFG4="NO",TRUE,IF(AFG4="no",TRUE,IF(AFG4="n",TRUE,IF(AFG4="N",TRUE,FALSE))))</formula>
    </cfRule>
  </conditionalFormatting>
  <conditionalFormatting sqref="AFG3">
    <cfRule type="expression" dxfId="507" priority="502">
      <formula>IF(AFG3="YES",TRUE,IF(AFG3="yes",TRUE,IF(AFG3="y",TRUE,IF(AFG3="Y",TRUE,FALSE))))</formula>
    </cfRule>
  </conditionalFormatting>
  <conditionalFormatting sqref="AFB3 AFB8 AFB21:AFB26">
    <cfRule type="expression" dxfId="506" priority="501">
      <formula>IF(AFB3="NO",TRUE,IF(AFB3="no",TRUE,IF(AFB3="n",TRUE,IF(AFB3="N",TRUE,FALSE))))</formula>
    </cfRule>
  </conditionalFormatting>
  <conditionalFormatting sqref="AFB4">
    <cfRule type="expression" dxfId="505" priority="500">
      <formula>IF(AFB4="NO",TRUE,IF(AFB4="no",TRUE,IF(AFB4="n",TRUE,IF(AFB4="N",TRUE,FALSE))))</formula>
    </cfRule>
  </conditionalFormatting>
  <conditionalFormatting sqref="AFB3">
    <cfRule type="expression" dxfId="504" priority="499">
      <formula>IF(AFB3="YES",TRUE,IF(AFB3="yes",TRUE,IF(AFB3="y",TRUE,IF(AFB3="Y",TRUE,FALSE))))</formula>
    </cfRule>
  </conditionalFormatting>
  <conditionalFormatting sqref="AEW3 AEW8 AEW21:AEW26">
    <cfRule type="expression" dxfId="503" priority="498">
      <formula>IF(AEW3="NO",TRUE,IF(AEW3="no",TRUE,IF(AEW3="n",TRUE,IF(AEW3="N",TRUE,FALSE))))</formula>
    </cfRule>
  </conditionalFormatting>
  <conditionalFormatting sqref="AEW4">
    <cfRule type="expression" dxfId="502" priority="497">
      <formula>IF(AEW4="NO",TRUE,IF(AEW4="no",TRUE,IF(AEW4="n",TRUE,IF(AEW4="N",TRUE,FALSE))))</formula>
    </cfRule>
  </conditionalFormatting>
  <conditionalFormatting sqref="AEW3">
    <cfRule type="expression" dxfId="501" priority="496">
      <formula>IF(AEW3="YES",TRUE,IF(AEW3="yes",TRUE,IF(AEW3="y",TRUE,IF(AEW3="Y",TRUE,FALSE))))</formula>
    </cfRule>
  </conditionalFormatting>
  <conditionalFormatting sqref="AER3 AER8 AER21:AER26">
    <cfRule type="expression" dxfId="500" priority="495">
      <formula>IF(AER3="NO",TRUE,IF(AER3="no",TRUE,IF(AER3="n",TRUE,IF(AER3="N",TRUE,FALSE))))</formula>
    </cfRule>
  </conditionalFormatting>
  <conditionalFormatting sqref="AER4">
    <cfRule type="expression" dxfId="499" priority="494">
      <formula>IF(AER4="NO",TRUE,IF(AER4="no",TRUE,IF(AER4="n",TRUE,IF(AER4="N",TRUE,FALSE))))</formula>
    </cfRule>
  </conditionalFormatting>
  <conditionalFormatting sqref="AER3">
    <cfRule type="expression" dxfId="498" priority="493">
      <formula>IF(AER3="YES",TRUE,IF(AER3="yes",TRUE,IF(AER3="y",TRUE,IF(AER3="Y",TRUE,FALSE))))</formula>
    </cfRule>
  </conditionalFormatting>
  <conditionalFormatting sqref="AEM3 AEM8 AEM21:AEM26">
    <cfRule type="expression" dxfId="497" priority="492">
      <formula>IF(AEM3="NO",TRUE,IF(AEM3="no",TRUE,IF(AEM3="n",TRUE,IF(AEM3="N",TRUE,FALSE))))</formula>
    </cfRule>
  </conditionalFormatting>
  <conditionalFormatting sqref="AEM4">
    <cfRule type="expression" dxfId="496" priority="491">
      <formula>IF(AEM4="NO",TRUE,IF(AEM4="no",TRUE,IF(AEM4="n",TRUE,IF(AEM4="N",TRUE,FALSE))))</formula>
    </cfRule>
  </conditionalFormatting>
  <conditionalFormatting sqref="AEM3">
    <cfRule type="expression" dxfId="495" priority="490">
      <formula>IF(AEM3="YES",TRUE,IF(AEM3="yes",TRUE,IF(AEM3="y",TRUE,IF(AEM3="Y",TRUE,FALSE))))</formula>
    </cfRule>
  </conditionalFormatting>
  <conditionalFormatting sqref="AEH3 AEH8 AEH21:AEH26">
    <cfRule type="expression" dxfId="494" priority="489">
      <formula>IF(AEH3="NO",TRUE,IF(AEH3="no",TRUE,IF(AEH3="n",TRUE,IF(AEH3="N",TRUE,FALSE))))</formula>
    </cfRule>
  </conditionalFormatting>
  <conditionalFormatting sqref="AEH4">
    <cfRule type="expression" dxfId="493" priority="488">
      <formula>IF(AEH4="NO",TRUE,IF(AEH4="no",TRUE,IF(AEH4="n",TRUE,IF(AEH4="N",TRUE,FALSE))))</formula>
    </cfRule>
  </conditionalFormatting>
  <conditionalFormatting sqref="AEH3">
    <cfRule type="expression" dxfId="492" priority="487">
      <formula>IF(AEH3="YES",TRUE,IF(AEH3="yes",TRUE,IF(AEH3="y",TRUE,IF(AEH3="Y",TRUE,FALSE))))</formula>
    </cfRule>
  </conditionalFormatting>
  <conditionalFormatting sqref="AEC3 AEC8 AEC21:AEC26">
    <cfRule type="expression" dxfId="491" priority="486">
      <formula>IF(AEC3="NO",TRUE,IF(AEC3="no",TRUE,IF(AEC3="n",TRUE,IF(AEC3="N",TRUE,FALSE))))</formula>
    </cfRule>
  </conditionalFormatting>
  <conditionalFormatting sqref="AEC4">
    <cfRule type="expression" dxfId="490" priority="485">
      <formula>IF(AEC4="NO",TRUE,IF(AEC4="no",TRUE,IF(AEC4="n",TRUE,IF(AEC4="N",TRUE,FALSE))))</formula>
    </cfRule>
  </conditionalFormatting>
  <conditionalFormatting sqref="AEC3">
    <cfRule type="expression" dxfId="489" priority="484">
      <formula>IF(AEC3="YES",TRUE,IF(AEC3="yes",TRUE,IF(AEC3="y",TRUE,IF(AEC3="Y",TRUE,FALSE))))</formula>
    </cfRule>
  </conditionalFormatting>
  <conditionalFormatting sqref="ADX3 ADX8 ADX21:ADX26">
    <cfRule type="expression" dxfId="488" priority="483">
      <formula>IF(ADX3="NO",TRUE,IF(ADX3="no",TRUE,IF(ADX3="n",TRUE,IF(ADX3="N",TRUE,FALSE))))</formula>
    </cfRule>
  </conditionalFormatting>
  <conditionalFormatting sqref="ADX4">
    <cfRule type="expression" dxfId="487" priority="482">
      <formula>IF(ADX4="NO",TRUE,IF(ADX4="no",TRUE,IF(ADX4="n",TRUE,IF(ADX4="N",TRUE,FALSE))))</formula>
    </cfRule>
  </conditionalFormatting>
  <conditionalFormatting sqref="ADX3">
    <cfRule type="expression" dxfId="486" priority="481">
      <formula>IF(ADX3="YES",TRUE,IF(ADX3="yes",TRUE,IF(ADX3="y",TRUE,IF(ADX3="Y",TRUE,FALSE))))</formula>
    </cfRule>
  </conditionalFormatting>
  <conditionalFormatting sqref="ADS3 ADS8 ADS21:ADS26">
    <cfRule type="expression" dxfId="485" priority="480">
      <formula>IF(ADS3="NO",TRUE,IF(ADS3="no",TRUE,IF(ADS3="n",TRUE,IF(ADS3="N",TRUE,FALSE))))</formula>
    </cfRule>
  </conditionalFormatting>
  <conditionalFormatting sqref="ADS4">
    <cfRule type="expression" dxfId="484" priority="479">
      <formula>IF(ADS4="NO",TRUE,IF(ADS4="no",TRUE,IF(ADS4="n",TRUE,IF(ADS4="N",TRUE,FALSE))))</formula>
    </cfRule>
  </conditionalFormatting>
  <conditionalFormatting sqref="ADS3">
    <cfRule type="expression" dxfId="483" priority="478">
      <formula>IF(ADS3="YES",TRUE,IF(ADS3="yes",TRUE,IF(ADS3="y",TRUE,IF(ADS3="Y",TRUE,FALSE))))</formula>
    </cfRule>
  </conditionalFormatting>
  <conditionalFormatting sqref="ADN3 ADN8 ADN21:ADN26">
    <cfRule type="expression" dxfId="482" priority="477">
      <formula>IF(ADN3="NO",TRUE,IF(ADN3="no",TRUE,IF(ADN3="n",TRUE,IF(ADN3="N",TRUE,FALSE))))</formula>
    </cfRule>
  </conditionalFormatting>
  <conditionalFormatting sqref="ADN4">
    <cfRule type="expression" dxfId="481" priority="476">
      <formula>IF(ADN4="NO",TRUE,IF(ADN4="no",TRUE,IF(ADN4="n",TRUE,IF(ADN4="N",TRUE,FALSE))))</formula>
    </cfRule>
  </conditionalFormatting>
  <conditionalFormatting sqref="ADN3">
    <cfRule type="expression" dxfId="480" priority="475">
      <formula>IF(ADN3="YES",TRUE,IF(ADN3="yes",TRUE,IF(ADN3="y",TRUE,IF(ADN3="Y",TRUE,FALSE))))</formula>
    </cfRule>
  </conditionalFormatting>
  <conditionalFormatting sqref="ADI3 ADI8 ADI21:ADI26">
    <cfRule type="expression" dxfId="479" priority="474">
      <formula>IF(ADI3="NO",TRUE,IF(ADI3="no",TRUE,IF(ADI3="n",TRUE,IF(ADI3="N",TRUE,FALSE))))</formula>
    </cfRule>
  </conditionalFormatting>
  <conditionalFormatting sqref="ADI4">
    <cfRule type="expression" dxfId="478" priority="473">
      <formula>IF(ADI4="NO",TRUE,IF(ADI4="no",TRUE,IF(ADI4="n",TRUE,IF(ADI4="N",TRUE,FALSE))))</formula>
    </cfRule>
  </conditionalFormatting>
  <conditionalFormatting sqref="ADI3">
    <cfRule type="expression" dxfId="477" priority="472">
      <formula>IF(ADI3="YES",TRUE,IF(ADI3="yes",TRUE,IF(ADI3="y",TRUE,IF(ADI3="Y",TRUE,FALSE))))</formula>
    </cfRule>
  </conditionalFormatting>
  <conditionalFormatting sqref="ADD3 ADD8 ADD21:ADD26">
    <cfRule type="expression" dxfId="476" priority="471">
      <formula>IF(ADD3="NO",TRUE,IF(ADD3="no",TRUE,IF(ADD3="n",TRUE,IF(ADD3="N",TRUE,FALSE))))</formula>
    </cfRule>
  </conditionalFormatting>
  <conditionalFormatting sqref="ADD4">
    <cfRule type="expression" dxfId="475" priority="470">
      <formula>IF(ADD4="NO",TRUE,IF(ADD4="no",TRUE,IF(ADD4="n",TRUE,IF(ADD4="N",TRUE,FALSE))))</formula>
    </cfRule>
  </conditionalFormatting>
  <conditionalFormatting sqref="ADD3">
    <cfRule type="expression" dxfId="474" priority="469">
      <formula>IF(ADD3="YES",TRUE,IF(ADD3="yes",TRUE,IF(ADD3="y",TRUE,IF(ADD3="Y",TRUE,FALSE))))</formula>
    </cfRule>
  </conditionalFormatting>
  <conditionalFormatting sqref="ACY3 ACY8 ACY21:ACY26">
    <cfRule type="expression" dxfId="473" priority="468">
      <formula>IF(ACY3="NO",TRUE,IF(ACY3="no",TRUE,IF(ACY3="n",TRUE,IF(ACY3="N",TRUE,FALSE))))</formula>
    </cfRule>
  </conditionalFormatting>
  <conditionalFormatting sqref="ACY4">
    <cfRule type="expression" dxfId="472" priority="467">
      <formula>IF(ACY4="NO",TRUE,IF(ACY4="no",TRUE,IF(ACY4="n",TRUE,IF(ACY4="N",TRUE,FALSE))))</formula>
    </cfRule>
  </conditionalFormatting>
  <conditionalFormatting sqref="ACY3">
    <cfRule type="expression" dxfId="471" priority="466">
      <formula>IF(ACY3="YES",TRUE,IF(ACY3="yes",TRUE,IF(ACY3="y",TRUE,IF(ACY3="Y",TRUE,FALSE))))</formula>
    </cfRule>
  </conditionalFormatting>
  <conditionalFormatting sqref="ACT3 ACT8 ACT21:ACT26">
    <cfRule type="expression" dxfId="470" priority="465">
      <formula>IF(ACT3="NO",TRUE,IF(ACT3="no",TRUE,IF(ACT3="n",TRUE,IF(ACT3="N",TRUE,FALSE))))</formula>
    </cfRule>
  </conditionalFormatting>
  <conditionalFormatting sqref="ACT4">
    <cfRule type="expression" dxfId="469" priority="464">
      <formula>IF(ACT4="NO",TRUE,IF(ACT4="no",TRUE,IF(ACT4="n",TRUE,IF(ACT4="N",TRUE,FALSE))))</formula>
    </cfRule>
  </conditionalFormatting>
  <conditionalFormatting sqref="ACT3">
    <cfRule type="expression" dxfId="468" priority="463">
      <formula>IF(ACT3="YES",TRUE,IF(ACT3="yes",TRUE,IF(ACT3="y",TRUE,IF(ACT3="Y",TRUE,FALSE))))</formula>
    </cfRule>
  </conditionalFormatting>
  <conditionalFormatting sqref="ACO3 ACO8 ACO21:ACO26">
    <cfRule type="expression" dxfId="467" priority="462">
      <formula>IF(ACO3="NO",TRUE,IF(ACO3="no",TRUE,IF(ACO3="n",TRUE,IF(ACO3="N",TRUE,FALSE))))</formula>
    </cfRule>
  </conditionalFormatting>
  <conditionalFormatting sqref="ACO4">
    <cfRule type="expression" dxfId="466" priority="461">
      <formula>IF(ACO4="NO",TRUE,IF(ACO4="no",TRUE,IF(ACO4="n",TRUE,IF(ACO4="N",TRUE,FALSE))))</formula>
    </cfRule>
  </conditionalFormatting>
  <conditionalFormatting sqref="ACO3">
    <cfRule type="expression" dxfId="465" priority="460">
      <formula>IF(ACO3="YES",TRUE,IF(ACO3="yes",TRUE,IF(ACO3="y",TRUE,IF(ACO3="Y",TRUE,FALSE))))</formula>
    </cfRule>
  </conditionalFormatting>
  <conditionalFormatting sqref="ACJ3 ACJ8 ACJ21:ACJ26">
    <cfRule type="expression" dxfId="464" priority="459">
      <formula>IF(ACJ3="NO",TRUE,IF(ACJ3="no",TRUE,IF(ACJ3="n",TRUE,IF(ACJ3="N",TRUE,FALSE))))</formula>
    </cfRule>
  </conditionalFormatting>
  <conditionalFormatting sqref="ACJ4">
    <cfRule type="expression" dxfId="463" priority="458">
      <formula>IF(ACJ4="NO",TRUE,IF(ACJ4="no",TRUE,IF(ACJ4="n",TRUE,IF(ACJ4="N",TRUE,FALSE))))</formula>
    </cfRule>
  </conditionalFormatting>
  <conditionalFormatting sqref="ACJ3">
    <cfRule type="expression" dxfId="462" priority="457">
      <formula>IF(ACJ3="YES",TRUE,IF(ACJ3="yes",TRUE,IF(ACJ3="y",TRUE,IF(ACJ3="Y",TRUE,FALSE))))</formula>
    </cfRule>
  </conditionalFormatting>
  <conditionalFormatting sqref="ACE3 ACE8 ACE21:ACE26">
    <cfRule type="expression" dxfId="461" priority="456">
      <formula>IF(ACE3="NO",TRUE,IF(ACE3="no",TRUE,IF(ACE3="n",TRUE,IF(ACE3="N",TRUE,FALSE))))</formula>
    </cfRule>
  </conditionalFormatting>
  <conditionalFormatting sqref="ACE4">
    <cfRule type="expression" dxfId="460" priority="455">
      <formula>IF(ACE4="NO",TRUE,IF(ACE4="no",TRUE,IF(ACE4="n",TRUE,IF(ACE4="N",TRUE,FALSE))))</formula>
    </cfRule>
  </conditionalFormatting>
  <conditionalFormatting sqref="ACE3">
    <cfRule type="expression" dxfId="459" priority="454">
      <formula>IF(ACE3="YES",TRUE,IF(ACE3="yes",TRUE,IF(ACE3="y",TRUE,IF(ACE3="Y",TRUE,FALSE))))</formula>
    </cfRule>
  </conditionalFormatting>
  <conditionalFormatting sqref="ABZ3 ABZ8 ABZ21:ABZ26">
    <cfRule type="expression" dxfId="458" priority="453">
      <formula>IF(ABZ3="NO",TRUE,IF(ABZ3="no",TRUE,IF(ABZ3="n",TRUE,IF(ABZ3="N",TRUE,FALSE))))</formula>
    </cfRule>
  </conditionalFormatting>
  <conditionalFormatting sqref="ABZ4">
    <cfRule type="expression" dxfId="457" priority="452">
      <formula>IF(ABZ4="NO",TRUE,IF(ABZ4="no",TRUE,IF(ABZ4="n",TRUE,IF(ABZ4="N",TRUE,FALSE))))</formula>
    </cfRule>
  </conditionalFormatting>
  <conditionalFormatting sqref="ABZ3">
    <cfRule type="expression" dxfId="456" priority="451">
      <formula>IF(ABZ3="YES",TRUE,IF(ABZ3="yes",TRUE,IF(ABZ3="y",TRUE,IF(ABZ3="Y",TRUE,FALSE))))</formula>
    </cfRule>
  </conditionalFormatting>
  <conditionalFormatting sqref="ABU3 ABU8 ABU21:ABU26">
    <cfRule type="expression" dxfId="455" priority="450">
      <formula>IF(ABU3="NO",TRUE,IF(ABU3="no",TRUE,IF(ABU3="n",TRUE,IF(ABU3="N",TRUE,FALSE))))</formula>
    </cfRule>
  </conditionalFormatting>
  <conditionalFormatting sqref="ABU4">
    <cfRule type="expression" dxfId="454" priority="449">
      <formula>IF(ABU4="NO",TRUE,IF(ABU4="no",TRUE,IF(ABU4="n",TRUE,IF(ABU4="N",TRUE,FALSE))))</formula>
    </cfRule>
  </conditionalFormatting>
  <conditionalFormatting sqref="ABU3">
    <cfRule type="expression" dxfId="453" priority="448">
      <formula>IF(ABU3="YES",TRUE,IF(ABU3="yes",TRUE,IF(ABU3="y",TRUE,IF(ABU3="Y",TRUE,FALSE))))</formula>
    </cfRule>
  </conditionalFormatting>
  <conditionalFormatting sqref="ABP3 ABP8 ABP21:ABP26">
    <cfRule type="expression" dxfId="452" priority="447">
      <formula>IF(ABP3="NO",TRUE,IF(ABP3="no",TRUE,IF(ABP3="n",TRUE,IF(ABP3="N",TRUE,FALSE))))</formula>
    </cfRule>
  </conditionalFormatting>
  <conditionalFormatting sqref="ABP4">
    <cfRule type="expression" dxfId="451" priority="446">
      <formula>IF(ABP4="NO",TRUE,IF(ABP4="no",TRUE,IF(ABP4="n",TRUE,IF(ABP4="N",TRUE,FALSE))))</formula>
    </cfRule>
  </conditionalFormatting>
  <conditionalFormatting sqref="ABP3">
    <cfRule type="expression" dxfId="450" priority="445">
      <formula>IF(ABP3="YES",TRUE,IF(ABP3="yes",TRUE,IF(ABP3="y",TRUE,IF(ABP3="Y",TRUE,FALSE))))</formula>
    </cfRule>
  </conditionalFormatting>
  <conditionalFormatting sqref="ABK3 ABK8 ABK21:ABK26">
    <cfRule type="expression" dxfId="449" priority="444">
      <formula>IF(ABK3="NO",TRUE,IF(ABK3="no",TRUE,IF(ABK3="n",TRUE,IF(ABK3="N",TRUE,FALSE))))</formula>
    </cfRule>
  </conditionalFormatting>
  <conditionalFormatting sqref="ABK4">
    <cfRule type="expression" dxfId="448" priority="443">
      <formula>IF(ABK4="NO",TRUE,IF(ABK4="no",TRUE,IF(ABK4="n",TRUE,IF(ABK4="N",TRUE,FALSE))))</formula>
    </cfRule>
  </conditionalFormatting>
  <conditionalFormatting sqref="ABK3">
    <cfRule type="expression" dxfId="447" priority="442">
      <formula>IF(ABK3="YES",TRUE,IF(ABK3="yes",TRUE,IF(ABK3="y",TRUE,IF(ABK3="Y",TRUE,FALSE))))</formula>
    </cfRule>
  </conditionalFormatting>
  <conditionalFormatting sqref="ABF3 ABF8 ABF21:ABF26">
    <cfRule type="expression" dxfId="446" priority="441">
      <formula>IF(ABF3="NO",TRUE,IF(ABF3="no",TRUE,IF(ABF3="n",TRUE,IF(ABF3="N",TRUE,FALSE))))</formula>
    </cfRule>
  </conditionalFormatting>
  <conditionalFormatting sqref="ABF4">
    <cfRule type="expression" dxfId="445" priority="440">
      <formula>IF(ABF4="NO",TRUE,IF(ABF4="no",TRUE,IF(ABF4="n",TRUE,IF(ABF4="N",TRUE,FALSE))))</formula>
    </cfRule>
  </conditionalFormatting>
  <conditionalFormatting sqref="ABF3">
    <cfRule type="expression" dxfId="444" priority="439">
      <formula>IF(ABF3="YES",TRUE,IF(ABF3="yes",TRUE,IF(ABF3="y",TRUE,IF(ABF3="Y",TRUE,FALSE))))</formula>
    </cfRule>
  </conditionalFormatting>
  <conditionalFormatting sqref="ABA3 ABA8 ABA21:ABA26">
    <cfRule type="expression" dxfId="443" priority="438">
      <formula>IF(ABA3="NO",TRUE,IF(ABA3="no",TRUE,IF(ABA3="n",TRUE,IF(ABA3="N",TRUE,FALSE))))</formula>
    </cfRule>
  </conditionalFormatting>
  <conditionalFormatting sqref="ABA4">
    <cfRule type="expression" dxfId="442" priority="437">
      <formula>IF(ABA4="NO",TRUE,IF(ABA4="no",TRUE,IF(ABA4="n",TRUE,IF(ABA4="N",TRUE,FALSE))))</formula>
    </cfRule>
  </conditionalFormatting>
  <conditionalFormatting sqref="ABA3">
    <cfRule type="expression" dxfId="441" priority="436">
      <formula>IF(ABA3="YES",TRUE,IF(ABA3="yes",TRUE,IF(ABA3="y",TRUE,IF(ABA3="Y",TRUE,FALSE))))</formula>
    </cfRule>
  </conditionalFormatting>
  <conditionalFormatting sqref="AAV3 AAV8 AAV21:AAV26">
    <cfRule type="expression" dxfId="440" priority="435">
      <formula>IF(AAV3="NO",TRUE,IF(AAV3="no",TRUE,IF(AAV3="n",TRUE,IF(AAV3="N",TRUE,FALSE))))</formula>
    </cfRule>
  </conditionalFormatting>
  <conditionalFormatting sqref="AAV4">
    <cfRule type="expression" dxfId="439" priority="434">
      <formula>IF(AAV4="NO",TRUE,IF(AAV4="no",TRUE,IF(AAV4="n",TRUE,IF(AAV4="N",TRUE,FALSE))))</formula>
    </cfRule>
  </conditionalFormatting>
  <conditionalFormatting sqref="AAV3">
    <cfRule type="expression" dxfId="438" priority="433">
      <formula>IF(AAV3="YES",TRUE,IF(AAV3="yes",TRUE,IF(AAV3="y",TRUE,IF(AAV3="Y",TRUE,FALSE))))</formula>
    </cfRule>
  </conditionalFormatting>
  <conditionalFormatting sqref="AAQ3 AAQ8 AAQ21:AAQ26">
    <cfRule type="expression" dxfId="437" priority="432">
      <formula>IF(AAQ3="NO",TRUE,IF(AAQ3="no",TRUE,IF(AAQ3="n",TRUE,IF(AAQ3="N",TRUE,FALSE))))</formula>
    </cfRule>
  </conditionalFormatting>
  <conditionalFormatting sqref="AAQ4">
    <cfRule type="expression" dxfId="436" priority="431">
      <formula>IF(AAQ4="NO",TRUE,IF(AAQ4="no",TRUE,IF(AAQ4="n",TRUE,IF(AAQ4="N",TRUE,FALSE))))</formula>
    </cfRule>
  </conditionalFormatting>
  <conditionalFormatting sqref="AAQ3">
    <cfRule type="expression" dxfId="435" priority="430">
      <formula>IF(AAQ3="YES",TRUE,IF(AAQ3="yes",TRUE,IF(AAQ3="y",TRUE,IF(AAQ3="Y",TRUE,FALSE))))</formula>
    </cfRule>
  </conditionalFormatting>
  <conditionalFormatting sqref="AAL3 AAL8 AAL21:AAL26">
    <cfRule type="expression" dxfId="434" priority="429">
      <formula>IF(AAL3="NO",TRUE,IF(AAL3="no",TRUE,IF(AAL3="n",TRUE,IF(AAL3="N",TRUE,FALSE))))</formula>
    </cfRule>
  </conditionalFormatting>
  <conditionalFormatting sqref="AAL4">
    <cfRule type="expression" dxfId="433" priority="428">
      <formula>IF(AAL4="NO",TRUE,IF(AAL4="no",TRUE,IF(AAL4="n",TRUE,IF(AAL4="N",TRUE,FALSE))))</formula>
    </cfRule>
  </conditionalFormatting>
  <conditionalFormatting sqref="AAL3">
    <cfRule type="expression" dxfId="432" priority="427">
      <formula>IF(AAL3="YES",TRUE,IF(AAL3="yes",TRUE,IF(AAL3="y",TRUE,IF(AAL3="Y",TRUE,FALSE))))</formula>
    </cfRule>
  </conditionalFormatting>
  <conditionalFormatting sqref="AAG3 AAG8 AAG21:AAG26">
    <cfRule type="expression" dxfId="431" priority="426">
      <formula>IF(AAG3="NO",TRUE,IF(AAG3="no",TRUE,IF(AAG3="n",TRUE,IF(AAG3="N",TRUE,FALSE))))</formula>
    </cfRule>
  </conditionalFormatting>
  <conditionalFormatting sqref="AAG4">
    <cfRule type="expression" dxfId="430" priority="425">
      <formula>IF(AAG4="NO",TRUE,IF(AAG4="no",TRUE,IF(AAG4="n",TRUE,IF(AAG4="N",TRUE,FALSE))))</formula>
    </cfRule>
  </conditionalFormatting>
  <conditionalFormatting sqref="AAG3">
    <cfRule type="expression" dxfId="429" priority="424">
      <formula>IF(AAG3="YES",TRUE,IF(AAG3="yes",TRUE,IF(AAG3="y",TRUE,IF(AAG3="Y",TRUE,FALSE))))</formula>
    </cfRule>
  </conditionalFormatting>
  <conditionalFormatting sqref="AAB3 AAB8 AAB21:AAB26">
    <cfRule type="expression" dxfId="428" priority="423">
      <formula>IF(AAB3="NO",TRUE,IF(AAB3="no",TRUE,IF(AAB3="n",TRUE,IF(AAB3="N",TRUE,FALSE))))</formula>
    </cfRule>
  </conditionalFormatting>
  <conditionalFormatting sqref="AAB4">
    <cfRule type="expression" dxfId="427" priority="422">
      <formula>IF(AAB4="NO",TRUE,IF(AAB4="no",TRUE,IF(AAB4="n",TRUE,IF(AAB4="N",TRUE,FALSE))))</formula>
    </cfRule>
  </conditionalFormatting>
  <conditionalFormatting sqref="AAB3">
    <cfRule type="expression" dxfId="426" priority="421">
      <formula>IF(AAB3="YES",TRUE,IF(AAB3="yes",TRUE,IF(AAB3="y",TRUE,IF(AAB3="Y",TRUE,FALSE))))</formula>
    </cfRule>
  </conditionalFormatting>
  <conditionalFormatting sqref="ZW3 ZW8 ZW21:ZW26">
    <cfRule type="expression" dxfId="425" priority="420">
      <formula>IF(ZW3="NO",TRUE,IF(ZW3="no",TRUE,IF(ZW3="n",TRUE,IF(ZW3="N",TRUE,FALSE))))</formula>
    </cfRule>
  </conditionalFormatting>
  <conditionalFormatting sqref="ZW4">
    <cfRule type="expression" dxfId="424" priority="419">
      <formula>IF(ZW4="NO",TRUE,IF(ZW4="no",TRUE,IF(ZW4="n",TRUE,IF(ZW4="N",TRUE,FALSE))))</formula>
    </cfRule>
  </conditionalFormatting>
  <conditionalFormatting sqref="ZW3">
    <cfRule type="expression" dxfId="423" priority="418">
      <formula>IF(ZW3="YES",TRUE,IF(ZW3="yes",TRUE,IF(ZW3="y",TRUE,IF(ZW3="Y",TRUE,FALSE))))</formula>
    </cfRule>
  </conditionalFormatting>
  <conditionalFormatting sqref="ZR3 ZR8 ZR21:ZR26">
    <cfRule type="expression" dxfId="422" priority="417">
      <formula>IF(ZR3="NO",TRUE,IF(ZR3="no",TRUE,IF(ZR3="n",TRUE,IF(ZR3="N",TRUE,FALSE))))</formula>
    </cfRule>
  </conditionalFormatting>
  <conditionalFormatting sqref="ZR4">
    <cfRule type="expression" dxfId="421" priority="416">
      <formula>IF(ZR4="NO",TRUE,IF(ZR4="no",TRUE,IF(ZR4="n",TRUE,IF(ZR4="N",TRUE,FALSE))))</formula>
    </cfRule>
  </conditionalFormatting>
  <conditionalFormatting sqref="ZR3">
    <cfRule type="expression" dxfId="420" priority="415">
      <formula>IF(ZR3="YES",TRUE,IF(ZR3="yes",TRUE,IF(ZR3="y",TRUE,IF(ZR3="Y",TRUE,FALSE))))</formula>
    </cfRule>
  </conditionalFormatting>
  <conditionalFormatting sqref="ZM3 ZM8 ZM21:ZM26">
    <cfRule type="expression" dxfId="419" priority="414">
      <formula>IF(ZM3="NO",TRUE,IF(ZM3="no",TRUE,IF(ZM3="n",TRUE,IF(ZM3="N",TRUE,FALSE))))</formula>
    </cfRule>
  </conditionalFormatting>
  <conditionalFormatting sqref="ZM4">
    <cfRule type="expression" dxfId="418" priority="413">
      <formula>IF(ZM4="NO",TRUE,IF(ZM4="no",TRUE,IF(ZM4="n",TRUE,IF(ZM4="N",TRUE,FALSE))))</formula>
    </cfRule>
  </conditionalFormatting>
  <conditionalFormatting sqref="ZM3">
    <cfRule type="expression" dxfId="417" priority="412">
      <formula>IF(ZM3="YES",TRUE,IF(ZM3="yes",TRUE,IF(ZM3="y",TRUE,IF(ZM3="Y",TRUE,FALSE))))</formula>
    </cfRule>
  </conditionalFormatting>
  <conditionalFormatting sqref="ZH3 ZH8 ZH21:ZH26">
    <cfRule type="expression" dxfId="416" priority="411">
      <formula>IF(ZH3="NO",TRUE,IF(ZH3="no",TRUE,IF(ZH3="n",TRUE,IF(ZH3="N",TRUE,FALSE))))</formula>
    </cfRule>
  </conditionalFormatting>
  <conditionalFormatting sqref="ZH4">
    <cfRule type="expression" dxfId="415" priority="410">
      <formula>IF(ZH4="NO",TRUE,IF(ZH4="no",TRUE,IF(ZH4="n",TRUE,IF(ZH4="N",TRUE,FALSE))))</formula>
    </cfRule>
  </conditionalFormatting>
  <conditionalFormatting sqref="ZH3">
    <cfRule type="expression" dxfId="414" priority="409">
      <formula>IF(ZH3="YES",TRUE,IF(ZH3="yes",TRUE,IF(ZH3="y",TRUE,IF(ZH3="Y",TRUE,FALSE))))</formula>
    </cfRule>
  </conditionalFormatting>
  <conditionalFormatting sqref="ZC3 ZC8 ZC21:ZC26">
    <cfRule type="expression" dxfId="413" priority="408">
      <formula>IF(ZC3="NO",TRUE,IF(ZC3="no",TRUE,IF(ZC3="n",TRUE,IF(ZC3="N",TRUE,FALSE))))</formula>
    </cfRule>
  </conditionalFormatting>
  <conditionalFormatting sqref="ZC4">
    <cfRule type="expression" dxfId="412" priority="407">
      <formula>IF(ZC4="NO",TRUE,IF(ZC4="no",TRUE,IF(ZC4="n",TRUE,IF(ZC4="N",TRUE,FALSE))))</formula>
    </cfRule>
  </conditionalFormatting>
  <conditionalFormatting sqref="ZC3">
    <cfRule type="expression" dxfId="411" priority="406">
      <formula>IF(ZC3="YES",TRUE,IF(ZC3="yes",TRUE,IF(ZC3="y",TRUE,IF(ZC3="Y",TRUE,FALSE))))</formula>
    </cfRule>
  </conditionalFormatting>
  <conditionalFormatting sqref="YX3 YX8 YX21:YX26">
    <cfRule type="expression" dxfId="410" priority="405">
      <formula>IF(YX3="NO",TRUE,IF(YX3="no",TRUE,IF(YX3="n",TRUE,IF(YX3="N",TRUE,FALSE))))</formula>
    </cfRule>
  </conditionalFormatting>
  <conditionalFormatting sqref="YX4">
    <cfRule type="expression" dxfId="409" priority="404">
      <formula>IF(YX4="NO",TRUE,IF(YX4="no",TRUE,IF(YX4="n",TRUE,IF(YX4="N",TRUE,FALSE))))</formula>
    </cfRule>
  </conditionalFormatting>
  <conditionalFormatting sqref="YX3">
    <cfRule type="expression" dxfId="408" priority="403">
      <formula>IF(YX3="YES",TRUE,IF(YX3="yes",TRUE,IF(YX3="y",TRUE,IF(YX3="Y",TRUE,FALSE))))</formula>
    </cfRule>
  </conditionalFormatting>
  <conditionalFormatting sqref="YS3 YS8 YS21:YS26">
    <cfRule type="expression" dxfId="407" priority="402">
      <formula>IF(YS3="NO",TRUE,IF(YS3="no",TRUE,IF(YS3="n",TRUE,IF(YS3="N",TRUE,FALSE))))</formula>
    </cfRule>
  </conditionalFormatting>
  <conditionalFormatting sqref="YS4">
    <cfRule type="expression" dxfId="406" priority="401">
      <formula>IF(YS4="NO",TRUE,IF(YS4="no",TRUE,IF(YS4="n",TRUE,IF(YS4="N",TRUE,FALSE))))</formula>
    </cfRule>
  </conditionalFormatting>
  <conditionalFormatting sqref="YS3">
    <cfRule type="expression" dxfId="405" priority="400">
      <formula>IF(YS3="YES",TRUE,IF(YS3="yes",TRUE,IF(YS3="y",TRUE,IF(YS3="Y",TRUE,FALSE))))</formula>
    </cfRule>
  </conditionalFormatting>
  <conditionalFormatting sqref="YN3 YN8 YN21:YN26">
    <cfRule type="expression" dxfId="404" priority="399">
      <formula>IF(YN3="NO",TRUE,IF(YN3="no",TRUE,IF(YN3="n",TRUE,IF(YN3="N",TRUE,FALSE))))</formula>
    </cfRule>
  </conditionalFormatting>
  <conditionalFormatting sqref="YN4">
    <cfRule type="expression" dxfId="403" priority="398">
      <formula>IF(YN4="NO",TRUE,IF(YN4="no",TRUE,IF(YN4="n",TRUE,IF(YN4="N",TRUE,FALSE))))</formula>
    </cfRule>
  </conditionalFormatting>
  <conditionalFormatting sqref="YN3">
    <cfRule type="expression" dxfId="402" priority="397">
      <formula>IF(YN3="YES",TRUE,IF(YN3="yes",TRUE,IF(YN3="y",TRUE,IF(YN3="Y",TRUE,FALSE))))</formula>
    </cfRule>
  </conditionalFormatting>
  <conditionalFormatting sqref="YI3 YI8 YI21:YI26">
    <cfRule type="expression" dxfId="401" priority="396">
      <formula>IF(YI3="NO",TRUE,IF(YI3="no",TRUE,IF(YI3="n",TRUE,IF(YI3="N",TRUE,FALSE))))</formula>
    </cfRule>
  </conditionalFormatting>
  <conditionalFormatting sqref="YI4">
    <cfRule type="expression" dxfId="400" priority="395">
      <formula>IF(YI4="NO",TRUE,IF(YI4="no",TRUE,IF(YI4="n",TRUE,IF(YI4="N",TRUE,FALSE))))</formula>
    </cfRule>
  </conditionalFormatting>
  <conditionalFormatting sqref="YI3">
    <cfRule type="expression" dxfId="399" priority="394">
      <formula>IF(YI3="YES",TRUE,IF(YI3="yes",TRUE,IF(YI3="y",TRUE,IF(YI3="Y",TRUE,FALSE))))</formula>
    </cfRule>
  </conditionalFormatting>
  <conditionalFormatting sqref="YD3 YD8 YD21:YD26">
    <cfRule type="expression" dxfId="398" priority="393">
      <formula>IF(YD3="NO",TRUE,IF(YD3="no",TRUE,IF(YD3="n",TRUE,IF(YD3="N",TRUE,FALSE))))</formula>
    </cfRule>
  </conditionalFormatting>
  <conditionalFormatting sqref="YD4">
    <cfRule type="expression" dxfId="397" priority="392">
      <formula>IF(YD4="NO",TRUE,IF(YD4="no",TRUE,IF(YD4="n",TRUE,IF(YD4="N",TRUE,FALSE))))</formula>
    </cfRule>
  </conditionalFormatting>
  <conditionalFormatting sqref="YD3">
    <cfRule type="expression" dxfId="396" priority="391">
      <formula>IF(YD3="YES",TRUE,IF(YD3="yes",TRUE,IF(YD3="y",TRUE,IF(YD3="Y",TRUE,FALSE))))</formula>
    </cfRule>
  </conditionalFormatting>
  <conditionalFormatting sqref="XY3 XY8 XY21:XY26">
    <cfRule type="expression" dxfId="395" priority="390">
      <formula>IF(XY3="NO",TRUE,IF(XY3="no",TRUE,IF(XY3="n",TRUE,IF(XY3="N",TRUE,FALSE))))</formula>
    </cfRule>
  </conditionalFormatting>
  <conditionalFormatting sqref="XY4">
    <cfRule type="expression" dxfId="394" priority="389">
      <formula>IF(XY4="NO",TRUE,IF(XY4="no",TRUE,IF(XY4="n",TRUE,IF(XY4="N",TRUE,FALSE))))</formula>
    </cfRule>
  </conditionalFormatting>
  <conditionalFormatting sqref="XY3">
    <cfRule type="expression" dxfId="393" priority="388">
      <formula>IF(XY3="YES",TRUE,IF(XY3="yes",TRUE,IF(XY3="y",TRUE,IF(XY3="Y",TRUE,FALSE))))</formula>
    </cfRule>
  </conditionalFormatting>
  <conditionalFormatting sqref="XT3 XT8 XT21:XT26">
    <cfRule type="expression" dxfId="392" priority="387">
      <formula>IF(XT3="NO",TRUE,IF(XT3="no",TRUE,IF(XT3="n",TRUE,IF(XT3="N",TRUE,FALSE))))</formula>
    </cfRule>
  </conditionalFormatting>
  <conditionalFormatting sqref="XT4">
    <cfRule type="expression" dxfId="391" priority="386">
      <formula>IF(XT4="NO",TRUE,IF(XT4="no",TRUE,IF(XT4="n",TRUE,IF(XT4="N",TRUE,FALSE))))</formula>
    </cfRule>
  </conditionalFormatting>
  <conditionalFormatting sqref="XT3">
    <cfRule type="expression" dxfId="390" priority="385">
      <formula>IF(XT3="YES",TRUE,IF(XT3="yes",TRUE,IF(XT3="y",TRUE,IF(XT3="Y",TRUE,FALSE))))</formula>
    </cfRule>
  </conditionalFormatting>
  <conditionalFormatting sqref="XO3 XO8 XO21:XO26">
    <cfRule type="expression" dxfId="389" priority="384">
      <formula>IF(XO3="NO",TRUE,IF(XO3="no",TRUE,IF(XO3="n",TRUE,IF(XO3="N",TRUE,FALSE))))</formula>
    </cfRule>
  </conditionalFormatting>
  <conditionalFormatting sqref="XO4">
    <cfRule type="expression" dxfId="388" priority="383">
      <formula>IF(XO4="NO",TRUE,IF(XO4="no",TRUE,IF(XO4="n",TRUE,IF(XO4="N",TRUE,FALSE))))</formula>
    </cfRule>
  </conditionalFormatting>
  <conditionalFormatting sqref="XO3">
    <cfRule type="expression" dxfId="387" priority="382">
      <formula>IF(XO3="YES",TRUE,IF(XO3="yes",TRUE,IF(XO3="y",TRUE,IF(XO3="Y",TRUE,FALSE))))</formula>
    </cfRule>
  </conditionalFormatting>
  <conditionalFormatting sqref="XJ3 XJ8 XJ21:XJ26">
    <cfRule type="expression" dxfId="386" priority="381">
      <formula>IF(XJ3="NO",TRUE,IF(XJ3="no",TRUE,IF(XJ3="n",TRUE,IF(XJ3="N",TRUE,FALSE))))</formula>
    </cfRule>
  </conditionalFormatting>
  <conditionalFormatting sqref="XJ4">
    <cfRule type="expression" dxfId="385" priority="380">
      <formula>IF(XJ4="NO",TRUE,IF(XJ4="no",TRUE,IF(XJ4="n",TRUE,IF(XJ4="N",TRUE,FALSE))))</formula>
    </cfRule>
  </conditionalFormatting>
  <conditionalFormatting sqref="XJ3">
    <cfRule type="expression" dxfId="384" priority="379">
      <formula>IF(XJ3="YES",TRUE,IF(XJ3="yes",TRUE,IF(XJ3="y",TRUE,IF(XJ3="Y",TRUE,FALSE))))</formula>
    </cfRule>
  </conditionalFormatting>
  <conditionalFormatting sqref="XE3 XE8 XE21:XE26">
    <cfRule type="expression" dxfId="383" priority="378">
      <formula>IF(XE3="NO",TRUE,IF(XE3="no",TRUE,IF(XE3="n",TRUE,IF(XE3="N",TRUE,FALSE))))</formula>
    </cfRule>
  </conditionalFormatting>
  <conditionalFormatting sqref="XE4">
    <cfRule type="expression" dxfId="382" priority="377">
      <formula>IF(XE4="NO",TRUE,IF(XE4="no",TRUE,IF(XE4="n",TRUE,IF(XE4="N",TRUE,FALSE))))</formula>
    </cfRule>
  </conditionalFormatting>
  <conditionalFormatting sqref="XE3">
    <cfRule type="expression" dxfId="381" priority="376">
      <formula>IF(XE3="YES",TRUE,IF(XE3="yes",TRUE,IF(XE3="y",TRUE,IF(XE3="Y",TRUE,FALSE))))</formula>
    </cfRule>
  </conditionalFormatting>
  <conditionalFormatting sqref="WZ3 WZ8 WZ21:WZ26">
    <cfRule type="expression" dxfId="380" priority="375">
      <formula>IF(WZ3="NO",TRUE,IF(WZ3="no",TRUE,IF(WZ3="n",TRUE,IF(WZ3="N",TRUE,FALSE))))</formula>
    </cfRule>
  </conditionalFormatting>
  <conditionalFormatting sqref="WZ4">
    <cfRule type="expression" dxfId="379" priority="374">
      <formula>IF(WZ4="NO",TRUE,IF(WZ4="no",TRUE,IF(WZ4="n",TRUE,IF(WZ4="N",TRUE,FALSE))))</formula>
    </cfRule>
  </conditionalFormatting>
  <conditionalFormatting sqref="WZ3">
    <cfRule type="expression" dxfId="378" priority="373">
      <formula>IF(WZ3="YES",TRUE,IF(WZ3="yes",TRUE,IF(WZ3="y",TRUE,IF(WZ3="Y",TRUE,FALSE))))</formula>
    </cfRule>
  </conditionalFormatting>
  <conditionalFormatting sqref="WU3 WU8 WU21:WU26">
    <cfRule type="expression" dxfId="377" priority="372">
      <formula>IF(WU3="NO",TRUE,IF(WU3="no",TRUE,IF(WU3="n",TRUE,IF(WU3="N",TRUE,FALSE))))</formula>
    </cfRule>
  </conditionalFormatting>
  <conditionalFormatting sqref="WU4">
    <cfRule type="expression" dxfId="376" priority="371">
      <formula>IF(WU4="NO",TRUE,IF(WU4="no",TRUE,IF(WU4="n",TRUE,IF(WU4="N",TRUE,FALSE))))</formula>
    </cfRule>
  </conditionalFormatting>
  <conditionalFormatting sqref="WU3">
    <cfRule type="expression" dxfId="375" priority="370">
      <formula>IF(WU3="YES",TRUE,IF(WU3="yes",TRUE,IF(WU3="y",TRUE,IF(WU3="Y",TRUE,FALSE))))</formula>
    </cfRule>
  </conditionalFormatting>
  <conditionalFormatting sqref="WP3 WP8 WP21:WP26">
    <cfRule type="expression" dxfId="374" priority="369">
      <formula>IF(WP3="NO",TRUE,IF(WP3="no",TRUE,IF(WP3="n",TRUE,IF(WP3="N",TRUE,FALSE))))</formula>
    </cfRule>
  </conditionalFormatting>
  <conditionalFormatting sqref="WP4">
    <cfRule type="expression" dxfId="373" priority="368">
      <formula>IF(WP4="NO",TRUE,IF(WP4="no",TRUE,IF(WP4="n",TRUE,IF(WP4="N",TRUE,FALSE))))</formula>
    </cfRule>
  </conditionalFormatting>
  <conditionalFormatting sqref="WP3">
    <cfRule type="expression" dxfId="372" priority="367">
      <formula>IF(WP3="YES",TRUE,IF(WP3="yes",TRUE,IF(WP3="y",TRUE,IF(WP3="Y",TRUE,FALSE))))</formula>
    </cfRule>
  </conditionalFormatting>
  <conditionalFormatting sqref="WK3 WK8 WK21:WK26">
    <cfRule type="expression" dxfId="371" priority="366">
      <formula>IF(WK3="NO",TRUE,IF(WK3="no",TRUE,IF(WK3="n",TRUE,IF(WK3="N",TRUE,FALSE))))</formula>
    </cfRule>
  </conditionalFormatting>
  <conditionalFormatting sqref="WK4">
    <cfRule type="expression" dxfId="370" priority="365">
      <formula>IF(WK4="NO",TRUE,IF(WK4="no",TRUE,IF(WK4="n",TRUE,IF(WK4="N",TRUE,FALSE))))</formula>
    </cfRule>
  </conditionalFormatting>
  <conditionalFormatting sqref="WK3">
    <cfRule type="expression" dxfId="369" priority="364">
      <formula>IF(WK3="YES",TRUE,IF(WK3="yes",TRUE,IF(WK3="y",TRUE,IF(WK3="Y",TRUE,FALSE))))</formula>
    </cfRule>
  </conditionalFormatting>
  <conditionalFormatting sqref="WF3 WF8 WF21:WF26">
    <cfRule type="expression" dxfId="368" priority="363">
      <formula>IF(WF3="NO",TRUE,IF(WF3="no",TRUE,IF(WF3="n",TRUE,IF(WF3="N",TRUE,FALSE))))</formula>
    </cfRule>
  </conditionalFormatting>
  <conditionalFormatting sqref="WF4">
    <cfRule type="expression" dxfId="367" priority="362">
      <formula>IF(WF4="NO",TRUE,IF(WF4="no",TRUE,IF(WF4="n",TRUE,IF(WF4="N",TRUE,FALSE))))</formula>
    </cfRule>
  </conditionalFormatting>
  <conditionalFormatting sqref="WF3">
    <cfRule type="expression" dxfId="366" priority="361">
      <formula>IF(WF3="YES",TRUE,IF(WF3="yes",TRUE,IF(WF3="y",TRUE,IF(WF3="Y",TRUE,FALSE))))</formula>
    </cfRule>
  </conditionalFormatting>
  <conditionalFormatting sqref="WA3 WA8 WA21:WA26">
    <cfRule type="expression" dxfId="365" priority="360">
      <formula>IF(WA3="NO",TRUE,IF(WA3="no",TRUE,IF(WA3="n",TRUE,IF(WA3="N",TRUE,FALSE))))</formula>
    </cfRule>
  </conditionalFormatting>
  <conditionalFormatting sqref="WA4">
    <cfRule type="expression" dxfId="364" priority="359">
      <formula>IF(WA4="NO",TRUE,IF(WA4="no",TRUE,IF(WA4="n",TRUE,IF(WA4="N",TRUE,FALSE))))</formula>
    </cfRule>
  </conditionalFormatting>
  <conditionalFormatting sqref="WA3">
    <cfRule type="expression" dxfId="363" priority="358">
      <formula>IF(WA3="YES",TRUE,IF(WA3="yes",TRUE,IF(WA3="y",TRUE,IF(WA3="Y",TRUE,FALSE))))</formula>
    </cfRule>
  </conditionalFormatting>
  <conditionalFormatting sqref="VV3 VV8 VV21:VV26">
    <cfRule type="expression" dxfId="362" priority="357">
      <formula>IF(VV3="NO",TRUE,IF(VV3="no",TRUE,IF(VV3="n",TRUE,IF(VV3="N",TRUE,FALSE))))</formula>
    </cfRule>
  </conditionalFormatting>
  <conditionalFormatting sqref="VV4">
    <cfRule type="expression" dxfId="361" priority="356">
      <formula>IF(VV4="NO",TRUE,IF(VV4="no",TRUE,IF(VV4="n",TRUE,IF(VV4="N",TRUE,FALSE))))</formula>
    </cfRule>
  </conditionalFormatting>
  <conditionalFormatting sqref="VV3">
    <cfRule type="expression" dxfId="360" priority="355">
      <formula>IF(VV3="YES",TRUE,IF(VV3="yes",TRUE,IF(VV3="y",TRUE,IF(VV3="Y",TRUE,FALSE))))</formula>
    </cfRule>
  </conditionalFormatting>
  <conditionalFormatting sqref="VQ3 VQ8 VQ21:VQ26">
    <cfRule type="expression" dxfId="359" priority="354">
      <formula>IF(VQ3="NO",TRUE,IF(VQ3="no",TRUE,IF(VQ3="n",TRUE,IF(VQ3="N",TRUE,FALSE))))</formula>
    </cfRule>
  </conditionalFormatting>
  <conditionalFormatting sqref="VQ4">
    <cfRule type="expression" dxfId="358" priority="353">
      <formula>IF(VQ4="NO",TRUE,IF(VQ4="no",TRUE,IF(VQ4="n",TRUE,IF(VQ4="N",TRUE,FALSE))))</formula>
    </cfRule>
  </conditionalFormatting>
  <conditionalFormatting sqref="VQ3">
    <cfRule type="expression" dxfId="357" priority="352">
      <formula>IF(VQ3="YES",TRUE,IF(VQ3="yes",TRUE,IF(VQ3="y",TRUE,IF(VQ3="Y",TRUE,FALSE))))</formula>
    </cfRule>
  </conditionalFormatting>
  <conditionalFormatting sqref="VL3 VL8 VL21:VL26">
    <cfRule type="expression" dxfId="356" priority="351">
      <formula>IF(VL3="NO",TRUE,IF(VL3="no",TRUE,IF(VL3="n",TRUE,IF(VL3="N",TRUE,FALSE))))</formula>
    </cfRule>
  </conditionalFormatting>
  <conditionalFormatting sqref="VL4">
    <cfRule type="expression" dxfId="355" priority="350">
      <formula>IF(VL4="NO",TRUE,IF(VL4="no",TRUE,IF(VL4="n",TRUE,IF(VL4="N",TRUE,FALSE))))</formula>
    </cfRule>
  </conditionalFormatting>
  <conditionalFormatting sqref="VL3">
    <cfRule type="expression" dxfId="354" priority="349">
      <formula>IF(VL3="YES",TRUE,IF(VL3="yes",TRUE,IF(VL3="y",TRUE,IF(VL3="Y",TRUE,FALSE))))</formula>
    </cfRule>
  </conditionalFormatting>
  <conditionalFormatting sqref="VG3 VG8 VG21:VG26">
    <cfRule type="expression" dxfId="353" priority="348">
      <formula>IF(VG3="NO",TRUE,IF(VG3="no",TRUE,IF(VG3="n",TRUE,IF(VG3="N",TRUE,FALSE))))</formula>
    </cfRule>
  </conditionalFormatting>
  <conditionalFormatting sqref="VG4">
    <cfRule type="expression" dxfId="352" priority="347">
      <formula>IF(VG4="NO",TRUE,IF(VG4="no",TRUE,IF(VG4="n",TRUE,IF(VG4="N",TRUE,FALSE))))</formula>
    </cfRule>
  </conditionalFormatting>
  <conditionalFormatting sqref="VG3">
    <cfRule type="expression" dxfId="351" priority="346">
      <formula>IF(VG3="YES",TRUE,IF(VG3="yes",TRUE,IF(VG3="y",TRUE,IF(VG3="Y",TRUE,FALSE))))</formula>
    </cfRule>
  </conditionalFormatting>
  <conditionalFormatting sqref="VB3 VB8 VB21:VB26">
    <cfRule type="expression" dxfId="350" priority="345">
      <formula>IF(VB3="NO",TRUE,IF(VB3="no",TRUE,IF(VB3="n",TRUE,IF(VB3="N",TRUE,FALSE))))</formula>
    </cfRule>
  </conditionalFormatting>
  <conditionalFormatting sqref="VB4">
    <cfRule type="expression" dxfId="349" priority="344">
      <formula>IF(VB4="NO",TRUE,IF(VB4="no",TRUE,IF(VB4="n",TRUE,IF(VB4="N",TRUE,FALSE))))</formula>
    </cfRule>
  </conditionalFormatting>
  <conditionalFormatting sqref="VB3">
    <cfRule type="expression" dxfId="348" priority="343">
      <formula>IF(VB3="YES",TRUE,IF(VB3="yes",TRUE,IF(VB3="y",TRUE,IF(VB3="Y",TRUE,FALSE))))</formula>
    </cfRule>
  </conditionalFormatting>
  <conditionalFormatting sqref="UW3 UW8 UW21:UW26">
    <cfRule type="expression" dxfId="347" priority="342">
      <formula>IF(UW3="NO",TRUE,IF(UW3="no",TRUE,IF(UW3="n",TRUE,IF(UW3="N",TRUE,FALSE))))</formula>
    </cfRule>
  </conditionalFormatting>
  <conditionalFormatting sqref="UW4">
    <cfRule type="expression" dxfId="346" priority="341">
      <formula>IF(UW4="NO",TRUE,IF(UW4="no",TRUE,IF(UW4="n",TRUE,IF(UW4="N",TRUE,FALSE))))</formula>
    </cfRule>
  </conditionalFormatting>
  <conditionalFormatting sqref="UW3">
    <cfRule type="expression" dxfId="345" priority="340">
      <formula>IF(UW3="YES",TRUE,IF(UW3="yes",TRUE,IF(UW3="y",TRUE,IF(UW3="Y",TRUE,FALSE))))</formula>
    </cfRule>
  </conditionalFormatting>
  <conditionalFormatting sqref="UR3 UR8 UR21:UR26">
    <cfRule type="expression" dxfId="344" priority="339">
      <formula>IF(UR3="NO",TRUE,IF(UR3="no",TRUE,IF(UR3="n",TRUE,IF(UR3="N",TRUE,FALSE))))</formula>
    </cfRule>
  </conditionalFormatting>
  <conditionalFormatting sqref="UR4">
    <cfRule type="expression" dxfId="343" priority="338">
      <formula>IF(UR4="NO",TRUE,IF(UR4="no",TRUE,IF(UR4="n",TRUE,IF(UR4="N",TRUE,FALSE))))</formula>
    </cfRule>
  </conditionalFormatting>
  <conditionalFormatting sqref="UR3">
    <cfRule type="expression" dxfId="342" priority="337">
      <formula>IF(UR3="YES",TRUE,IF(UR3="yes",TRUE,IF(UR3="y",TRUE,IF(UR3="Y",TRUE,FALSE))))</formula>
    </cfRule>
  </conditionalFormatting>
  <conditionalFormatting sqref="UM3 UM8 UM21:UM26">
    <cfRule type="expression" dxfId="341" priority="336">
      <formula>IF(UM3="NO",TRUE,IF(UM3="no",TRUE,IF(UM3="n",TRUE,IF(UM3="N",TRUE,FALSE))))</formula>
    </cfRule>
  </conditionalFormatting>
  <conditionalFormatting sqref="UM4">
    <cfRule type="expression" dxfId="340" priority="335">
      <formula>IF(UM4="NO",TRUE,IF(UM4="no",TRUE,IF(UM4="n",TRUE,IF(UM4="N",TRUE,FALSE))))</formula>
    </cfRule>
  </conditionalFormatting>
  <conditionalFormatting sqref="UM3">
    <cfRule type="expression" dxfId="339" priority="334">
      <formula>IF(UM3="YES",TRUE,IF(UM3="yes",TRUE,IF(UM3="y",TRUE,IF(UM3="Y",TRUE,FALSE))))</formula>
    </cfRule>
  </conditionalFormatting>
  <conditionalFormatting sqref="UH3 UH8 UH21:UH26">
    <cfRule type="expression" dxfId="338" priority="333">
      <formula>IF(UH3="NO",TRUE,IF(UH3="no",TRUE,IF(UH3="n",TRUE,IF(UH3="N",TRUE,FALSE))))</formula>
    </cfRule>
  </conditionalFormatting>
  <conditionalFormatting sqref="UH4">
    <cfRule type="expression" dxfId="337" priority="332">
      <formula>IF(UH4="NO",TRUE,IF(UH4="no",TRUE,IF(UH4="n",TRUE,IF(UH4="N",TRUE,FALSE))))</formula>
    </cfRule>
  </conditionalFormatting>
  <conditionalFormatting sqref="UH3">
    <cfRule type="expression" dxfId="336" priority="331">
      <formula>IF(UH3="YES",TRUE,IF(UH3="yes",TRUE,IF(UH3="y",TRUE,IF(UH3="Y",TRUE,FALSE))))</formula>
    </cfRule>
  </conditionalFormatting>
  <conditionalFormatting sqref="UC3 UC8 UC21:UC26">
    <cfRule type="expression" dxfId="335" priority="330">
      <formula>IF(UC3="NO",TRUE,IF(UC3="no",TRUE,IF(UC3="n",TRUE,IF(UC3="N",TRUE,FALSE))))</formula>
    </cfRule>
  </conditionalFormatting>
  <conditionalFormatting sqref="UC4">
    <cfRule type="expression" dxfId="334" priority="329">
      <formula>IF(UC4="NO",TRUE,IF(UC4="no",TRUE,IF(UC4="n",TRUE,IF(UC4="N",TRUE,FALSE))))</formula>
    </cfRule>
  </conditionalFormatting>
  <conditionalFormatting sqref="UC3">
    <cfRule type="expression" dxfId="333" priority="328">
      <formula>IF(UC3="YES",TRUE,IF(UC3="yes",TRUE,IF(UC3="y",TRUE,IF(UC3="Y",TRUE,FALSE))))</formula>
    </cfRule>
  </conditionalFormatting>
  <conditionalFormatting sqref="TX3 TX8 TX21:TX26">
    <cfRule type="expression" dxfId="332" priority="327">
      <formula>IF(TX3="NO",TRUE,IF(TX3="no",TRUE,IF(TX3="n",TRUE,IF(TX3="N",TRUE,FALSE))))</formula>
    </cfRule>
  </conditionalFormatting>
  <conditionalFormatting sqref="TX4">
    <cfRule type="expression" dxfId="331" priority="326">
      <formula>IF(TX4="NO",TRUE,IF(TX4="no",TRUE,IF(TX4="n",TRUE,IF(TX4="N",TRUE,FALSE))))</formula>
    </cfRule>
  </conditionalFormatting>
  <conditionalFormatting sqref="TX3">
    <cfRule type="expression" dxfId="330" priority="325">
      <formula>IF(TX3="YES",TRUE,IF(TX3="yes",TRUE,IF(TX3="y",TRUE,IF(TX3="Y",TRUE,FALSE))))</formula>
    </cfRule>
  </conditionalFormatting>
  <conditionalFormatting sqref="TS3 TS8 TS21:TS26">
    <cfRule type="expression" dxfId="329" priority="324">
      <formula>IF(TS3="NO",TRUE,IF(TS3="no",TRUE,IF(TS3="n",TRUE,IF(TS3="N",TRUE,FALSE))))</formula>
    </cfRule>
  </conditionalFormatting>
  <conditionalFormatting sqref="TS4">
    <cfRule type="expression" dxfId="328" priority="323">
      <formula>IF(TS4="NO",TRUE,IF(TS4="no",TRUE,IF(TS4="n",TRUE,IF(TS4="N",TRUE,FALSE))))</formula>
    </cfRule>
  </conditionalFormatting>
  <conditionalFormatting sqref="TS3">
    <cfRule type="expression" dxfId="327" priority="322">
      <formula>IF(TS3="YES",TRUE,IF(TS3="yes",TRUE,IF(TS3="y",TRUE,IF(TS3="Y",TRUE,FALSE))))</formula>
    </cfRule>
  </conditionalFormatting>
  <conditionalFormatting sqref="TN3 TN8 TN21:TN26">
    <cfRule type="expression" dxfId="326" priority="321">
      <formula>IF(TN3="NO",TRUE,IF(TN3="no",TRUE,IF(TN3="n",TRUE,IF(TN3="N",TRUE,FALSE))))</formula>
    </cfRule>
  </conditionalFormatting>
  <conditionalFormatting sqref="TN4">
    <cfRule type="expression" dxfId="325" priority="320">
      <formula>IF(TN4="NO",TRUE,IF(TN4="no",TRUE,IF(TN4="n",TRUE,IF(TN4="N",TRUE,FALSE))))</formula>
    </cfRule>
  </conditionalFormatting>
  <conditionalFormatting sqref="TN3">
    <cfRule type="expression" dxfId="324" priority="319">
      <formula>IF(TN3="YES",TRUE,IF(TN3="yes",TRUE,IF(TN3="y",TRUE,IF(TN3="Y",TRUE,FALSE))))</formula>
    </cfRule>
  </conditionalFormatting>
  <conditionalFormatting sqref="TI3 TI8 TI21:TI26">
    <cfRule type="expression" dxfId="323" priority="318">
      <formula>IF(TI3="NO",TRUE,IF(TI3="no",TRUE,IF(TI3="n",TRUE,IF(TI3="N",TRUE,FALSE))))</formula>
    </cfRule>
  </conditionalFormatting>
  <conditionalFormatting sqref="TI4">
    <cfRule type="expression" dxfId="322" priority="317">
      <formula>IF(TI4="NO",TRUE,IF(TI4="no",TRUE,IF(TI4="n",TRUE,IF(TI4="N",TRUE,FALSE))))</formula>
    </cfRule>
  </conditionalFormatting>
  <conditionalFormatting sqref="TI3">
    <cfRule type="expression" dxfId="321" priority="316">
      <formula>IF(TI3="YES",TRUE,IF(TI3="yes",TRUE,IF(TI3="y",TRUE,IF(TI3="Y",TRUE,FALSE))))</formula>
    </cfRule>
  </conditionalFormatting>
  <conditionalFormatting sqref="TD3 TD8 TD21:TD26">
    <cfRule type="expression" dxfId="320" priority="315">
      <formula>IF(TD3="NO",TRUE,IF(TD3="no",TRUE,IF(TD3="n",TRUE,IF(TD3="N",TRUE,FALSE))))</formula>
    </cfRule>
  </conditionalFormatting>
  <conditionalFormatting sqref="TD4">
    <cfRule type="expression" dxfId="319" priority="314">
      <formula>IF(TD4="NO",TRUE,IF(TD4="no",TRUE,IF(TD4="n",TRUE,IF(TD4="N",TRUE,FALSE))))</formula>
    </cfRule>
  </conditionalFormatting>
  <conditionalFormatting sqref="TD3">
    <cfRule type="expression" dxfId="318" priority="313">
      <formula>IF(TD3="YES",TRUE,IF(TD3="yes",TRUE,IF(TD3="y",TRUE,IF(TD3="Y",TRUE,FALSE))))</formula>
    </cfRule>
  </conditionalFormatting>
  <conditionalFormatting sqref="SY3 SY8 SY21:SY26">
    <cfRule type="expression" dxfId="317" priority="312">
      <formula>IF(SY3="NO",TRUE,IF(SY3="no",TRUE,IF(SY3="n",TRUE,IF(SY3="N",TRUE,FALSE))))</formula>
    </cfRule>
  </conditionalFormatting>
  <conditionalFormatting sqref="SY4">
    <cfRule type="expression" dxfId="316" priority="311">
      <formula>IF(SY4="NO",TRUE,IF(SY4="no",TRUE,IF(SY4="n",TRUE,IF(SY4="N",TRUE,FALSE))))</formula>
    </cfRule>
  </conditionalFormatting>
  <conditionalFormatting sqref="SY3">
    <cfRule type="expression" dxfId="315" priority="310">
      <formula>IF(SY3="YES",TRUE,IF(SY3="yes",TRUE,IF(SY3="y",TRUE,IF(SY3="Y",TRUE,FALSE))))</formula>
    </cfRule>
  </conditionalFormatting>
  <conditionalFormatting sqref="ST3 ST8 ST21:ST26">
    <cfRule type="expression" dxfId="314" priority="309">
      <formula>IF(ST3="NO",TRUE,IF(ST3="no",TRUE,IF(ST3="n",TRUE,IF(ST3="N",TRUE,FALSE))))</formula>
    </cfRule>
  </conditionalFormatting>
  <conditionalFormatting sqref="ST4">
    <cfRule type="expression" dxfId="313" priority="308">
      <formula>IF(ST4="NO",TRUE,IF(ST4="no",TRUE,IF(ST4="n",TRUE,IF(ST4="N",TRUE,FALSE))))</formula>
    </cfRule>
  </conditionalFormatting>
  <conditionalFormatting sqref="ST3">
    <cfRule type="expression" dxfId="312" priority="307">
      <formula>IF(ST3="YES",TRUE,IF(ST3="yes",TRUE,IF(ST3="y",TRUE,IF(ST3="Y",TRUE,FALSE))))</formula>
    </cfRule>
  </conditionalFormatting>
  <conditionalFormatting sqref="SO3 SO8 SO21:SO26">
    <cfRule type="expression" dxfId="311" priority="306">
      <formula>IF(SO3="NO",TRUE,IF(SO3="no",TRUE,IF(SO3="n",TRUE,IF(SO3="N",TRUE,FALSE))))</formula>
    </cfRule>
  </conditionalFormatting>
  <conditionalFormatting sqref="SO4">
    <cfRule type="expression" dxfId="310" priority="305">
      <formula>IF(SO4="NO",TRUE,IF(SO4="no",TRUE,IF(SO4="n",TRUE,IF(SO4="N",TRUE,FALSE))))</formula>
    </cfRule>
  </conditionalFormatting>
  <conditionalFormatting sqref="SO3">
    <cfRule type="expression" dxfId="309" priority="304">
      <formula>IF(SO3="YES",TRUE,IF(SO3="yes",TRUE,IF(SO3="y",TRUE,IF(SO3="Y",TRUE,FALSE))))</formula>
    </cfRule>
  </conditionalFormatting>
  <conditionalFormatting sqref="SJ3 SJ8 SJ21:SJ26">
    <cfRule type="expression" dxfId="308" priority="303">
      <formula>IF(SJ3="NO",TRUE,IF(SJ3="no",TRUE,IF(SJ3="n",TRUE,IF(SJ3="N",TRUE,FALSE))))</formula>
    </cfRule>
  </conditionalFormatting>
  <conditionalFormatting sqref="SJ4">
    <cfRule type="expression" dxfId="307" priority="302">
      <formula>IF(SJ4="NO",TRUE,IF(SJ4="no",TRUE,IF(SJ4="n",TRUE,IF(SJ4="N",TRUE,FALSE))))</formula>
    </cfRule>
  </conditionalFormatting>
  <conditionalFormatting sqref="SJ3">
    <cfRule type="expression" dxfId="306" priority="301">
      <formula>IF(SJ3="YES",TRUE,IF(SJ3="yes",TRUE,IF(SJ3="y",TRUE,IF(SJ3="Y",TRUE,FALSE))))</formula>
    </cfRule>
  </conditionalFormatting>
  <conditionalFormatting sqref="SE3 SE8 SE21:SE26">
    <cfRule type="expression" dxfId="305" priority="300">
      <formula>IF(SE3="NO",TRUE,IF(SE3="no",TRUE,IF(SE3="n",TRUE,IF(SE3="N",TRUE,FALSE))))</formula>
    </cfRule>
  </conditionalFormatting>
  <conditionalFormatting sqref="SE4">
    <cfRule type="expression" dxfId="304" priority="299">
      <formula>IF(SE4="NO",TRUE,IF(SE4="no",TRUE,IF(SE4="n",TRUE,IF(SE4="N",TRUE,FALSE))))</formula>
    </cfRule>
  </conditionalFormatting>
  <conditionalFormatting sqref="SE3">
    <cfRule type="expression" dxfId="303" priority="298">
      <formula>IF(SE3="YES",TRUE,IF(SE3="yes",TRUE,IF(SE3="y",TRUE,IF(SE3="Y",TRUE,FALSE))))</formula>
    </cfRule>
  </conditionalFormatting>
  <conditionalFormatting sqref="RZ3 RZ8 RZ21:RZ26">
    <cfRule type="expression" dxfId="302" priority="297">
      <formula>IF(RZ3="NO",TRUE,IF(RZ3="no",TRUE,IF(RZ3="n",TRUE,IF(RZ3="N",TRUE,FALSE))))</formula>
    </cfRule>
  </conditionalFormatting>
  <conditionalFormatting sqref="RZ4">
    <cfRule type="expression" dxfId="301" priority="296">
      <formula>IF(RZ4="NO",TRUE,IF(RZ4="no",TRUE,IF(RZ4="n",TRUE,IF(RZ4="N",TRUE,FALSE))))</formula>
    </cfRule>
  </conditionalFormatting>
  <conditionalFormatting sqref="RZ3">
    <cfRule type="expression" dxfId="300" priority="295">
      <formula>IF(RZ3="YES",TRUE,IF(RZ3="yes",TRUE,IF(RZ3="y",TRUE,IF(RZ3="Y",TRUE,FALSE))))</formula>
    </cfRule>
  </conditionalFormatting>
  <conditionalFormatting sqref="RU3 RU8 RU21:RU26">
    <cfRule type="expression" dxfId="299" priority="294">
      <formula>IF(RU3="NO",TRUE,IF(RU3="no",TRUE,IF(RU3="n",TRUE,IF(RU3="N",TRUE,FALSE))))</formula>
    </cfRule>
  </conditionalFormatting>
  <conditionalFormatting sqref="RU4">
    <cfRule type="expression" dxfId="298" priority="293">
      <formula>IF(RU4="NO",TRUE,IF(RU4="no",TRUE,IF(RU4="n",TRUE,IF(RU4="N",TRUE,FALSE))))</formula>
    </cfRule>
  </conditionalFormatting>
  <conditionalFormatting sqref="RU3">
    <cfRule type="expression" dxfId="297" priority="292">
      <formula>IF(RU3="YES",TRUE,IF(RU3="yes",TRUE,IF(RU3="y",TRUE,IF(RU3="Y",TRUE,FALSE))))</formula>
    </cfRule>
  </conditionalFormatting>
  <conditionalFormatting sqref="RP3 RP8 RP21:RP26">
    <cfRule type="expression" dxfId="296" priority="291">
      <formula>IF(RP3="NO",TRUE,IF(RP3="no",TRUE,IF(RP3="n",TRUE,IF(RP3="N",TRUE,FALSE))))</formula>
    </cfRule>
  </conditionalFormatting>
  <conditionalFormatting sqref="RP4">
    <cfRule type="expression" dxfId="295" priority="290">
      <formula>IF(RP4="NO",TRUE,IF(RP4="no",TRUE,IF(RP4="n",TRUE,IF(RP4="N",TRUE,FALSE))))</formula>
    </cfRule>
  </conditionalFormatting>
  <conditionalFormatting sqref="RP3">
    <cfRule type="expression" dxfId="294" priority="289">
      <formula>IF(RP3="YES",TRUE,IF(RP3="yes",TRUE,IF(RP3="y",TRUE,IF(RP3="Y",TRUE,FALSE))))</formula>
    </cfRule>
  </conditionalFormatting>
  <conditionalFormatting sqref="RK3 RK8 RK21:RK26">
    <cfRule type="expression" dxfId="293" priority="288">
      <formula>IF(RK3="NO",TRUE,IF(RK3="no",TRUE,IF(RK3="n",TRUE,IF(RK3="N",TRUE,FALSE))))</formula>
    </cfRule>
  </conditionalFormatting>
  <conditionalFormatting sqref="RK4">
    <cfRule type="expression" dxfId="292" priority="287">
      <formula>IF(RK4="NO",TRUE,IF(RK4="no",TRUE,IF(RK4="n",TRUE,IF(RK4="N",TRUE,FALSE))))</formula>
    </cfRule>
  </conditionalFormatting>
  <conditionalFormatting sqref="RK3">
    <cfRule type="expression" dxfId="291" priority="286">
      <formula>IF(RK3="YES",TRUE,IF(RK3="yes",TRUE,IF(RK3="y",TRUE,IF(RK3="Y",TRUE,FALSE))))</formula>
    </cfRule>
  </conditionalFormatting>
  <conditionalFormatting sqref="RF3 RF8 RF21:RF26">
    <cfRule type="expression" dxfId="290" priority="285">
      <formula>IF(RF3="NO",TRUE,IF(RF3="no",TRUE,IF(RF3="n",TRUE,IF(RF3="N",TRUE,FALSE))))</formula>
    </cfRule>
  </conditionalFormatting>
  <conditionalFormatting sqref="RF4">
    <cfRule type="expression" dxfId="289" priority="284">
      <formula>IF(RF4="NO",TRUE,IF(RF4="no",TRUE,IF(RF4="n",TRUE,IF(RF4="N",TRUE,FALSE))))</formula>
    </cfRule>
  </conditionalFormatting>
  <conditionalFormatting sqref="RF3">
    <cfRule type="expression" dxfId="288" priority="283">
      <formula>IF(RF3="YES",TRUE,IF(RF3="yes",TRUE,IF(RF3="y",TRUE,IF(RF3="Y",TRUE,FALSE))))</formula>
    </cfRule>
  </conditionalFormatting>
  <conditionalFormatting sqref="RA3 RA8 RA21:RA26">
    <cfRule type="expression" dxfId="287" priority="282">
      <formula>IF(RA3="NO",TRUE,IF(RA3="no",TRUE,IF(RA3="n",TRUE,IF(RA3="N",TRUE,FALSE))))</formula>
    </cfRule>
  </conditionalFormatting>
  <conditionalFormatting sqref="RA4">
    <cfRule type="expression" dxfId="286" priority="281">
      <formula>IF(RA4="NO",TRUE,IF(RA4="no",TRUE,IF(RA4="n",TRUE,IF(RA4="N",TRUE,FALSE))))</formula>
    </cfRule>
  </conditionalFormatting>
  <conditionalFormatting sqref="RA3">
    <cfRule type="expression" dxfId="285" priority="280">
      <formula>IF(RA3="YES",TRUE,IF(RA3="yes",TRUE,IF(RA3="y",TRUE,IF(RA3="Y",TRUE,FALSE))))</formula>
    </cfRule>
  </conditionalFormatting>
  <conditionalFormatting sqref="QV3 QV8 QV21:QV26">
    <cfRule type="expression" dxfId="284" priority="279">
      <formula>IF(QV3="NO",TRUE,IF(QV3="no",TRUE,IF(QV3="n",TRUE,IF(QV3="N",TRUE,FALSE))))</formula>
    </cfRule>
  </conditionalFormatting>
  <conditionalFormatting sqref="QV4">
    <cfRule type="expression" dxfId="283" priority="278">
      <formula>IF(QV4="NO",TRUE,IF(QV4="no",TRUE,IF(QV4="n",TRUE,IF(QV4="N",TRUE,FALSE))))</formula>
    </cfRule>
  </conditionalFormatting>
  <conditionalFormatting sqref="QV3">
    <cfRule type="expression" dxfId="282" priority="277">
      <formula>IF(QV3="YES",TRUE,IF(QV3="yes",TRUE,IF(QV3="y",TRUE,IF(QV3="Y",TRUE,FALSE))))</formula>
    </cfRule>
  </conditionalFormatting>
  <conditionalFormatting sqref="QQ3 QQ8 QQ21:QQ26">
    <cfRule type="expression" dxfId="281" priority="276">
      <formula>IF(QQ3="NO",TRUE,IF(QQ3="no",TRUE,IF(QQ3="n",TRUE,IF(QQ3="N",TRUE,FALSE))))</formula>
    </cfRule>
  </conditionalFormatting>
  <conditionalFormatting sqref="QQ4">
    <cfRule type="expression" dxfId="280" priority="275">
      <formula>IF(QQ4="NO",TRUE,IF(QQ4="no",TRUE,IF(QQ4="n",TRUE,IF(QQ4="N",TRUE,FALSE))))</formula>
    </cfRule>
  </conditionalFormatting>
  <conditionalFormatting sqref="QQ3">
    <cfRule type="expression" dxfId="279" priority="274">
      <formula>IF(QQ3="YES",TRUE,IF(QQ3="yes",TRUE,IF(QQ3="y",TRUE,IF(QQ3="Y",TRUE,FALSE))))</formula>
    </cfRule>
  </conditionalFormatting>
  <conditionalFormatting sqref="QL3 QL8 QL21:QL26">
    <cfRule type="expression" dxfId="278" priority="273">
      <formula>IF(QL3="NO",TRUE,IF(QL3="no",TRUE,IF(QL3="n",TRUE,IF(QL3="N",TRUE,FALSE))))</formula>
    </cfRule>
  </conditionalFormatting>
  <conditionalFormatting sqref="QL4">
    <cfRule type="expression" dxfId="277" priority="272">
      <formula>IF(QL4="NO",TRUE,IF(QL4="no",TRUE,IF(QL4="n",TRUE,IF(QL4="N",TRUE,FALSE))))</formula>
    </cfRule>
  </conditionalFormatting>
  <conditionalFormatting sqref="QL3">
    <cfRule type="expression" dxfId="276" priority="271">
      <formula>IF(QL3="YES",TRUE,IF(QL3="yes",TRUE,IF(QL3="y",TRUE,IF(QL3="Y",TRUE,FALSE))))</formula>
    </cfRule>
  </conditionalFormatting>
  <conditionalFormatting sqref="QG3 QG8 QG21:QG26">
    <cfRule type="expression" dxfId="275" priority="270">
      <formula>IF(QG3="NO",TRUE,IF(QG3="no",TRUE,IF(QG3="n",TRUE,IF(QG3="N",TRUE,FALSE))))</formula>
    </cfRule>
  </conditionalFormatting>
  <conditionalFormatting sqref="QG4">
    <cfRule type="expression" dxfId="274" priority="269">
      <formula>IF(QG4="NO",TRUE,IF(QG4="no",TRUE,IF(QG4="n",TRUE,IF(QG4="N",TRUE,FALSE))))</formula>
    </cfRule>
  </conditionalFormatting>
  <conditionalFormatting sqref="QG3">
    <cfRule type="expression" dxfId="273" priority="268">
      <formula>IF(QG3="YES",TRUE,IF(QG3="yes",TRUE,IF(QG3="y",TRUE,IF(QG3="Y",TRUE,FALSE))))</formula>
    </cfRule>
  </conditionalFormatting>
  <conditionalFormatting sqref="QB3 QB8 QB21:QB26">
    <cfRule type="expression" dxfId="272" priority="267">
      <formula>IF(QB3="NO",TRUE,IF(QB3="no",TRUE,IF(QB3="n",TRUE,IF(QB3="N",TRUE,FALSE))))</formula>
    </cfRule>
  </conditionalFormatting>
  <conditionalFormatting sqref="QB4">
    <cfRule type="expression" dxfId="271" priority="266">
      <formula>IF(QB4="NO",TRUE,IF(QB4="no",TRUE,IF(QB4="n",TRUE,IF(QB4="N",TRUE,FALSE))))</formula>
    </cfRule>
  </conditionalFormatting>
  <conditionalFormatting sqref="QB3">
    <cfRule type="expression" dxfId="270" priority="265">
      <formula>IF(QB3="YES",TRUE,IF(QB3="yes",TRUE,IF(QB3="y",TRUE,IF(QB3="Y",TRUE,FALSE))))</formula>
    </cfRule>
  </conditionalFormatting>
  <conditionalFormatting sqref="PW3 PW8 PW21:PW26">
    <cfRule type="expression" dxfId="269" priority="264">
      <formula>IF(PW3="NO",TRUE,IF(PW3="no",TRUE,IF(PW3="n",TRUE,IF(PW3="N",TRUE,FALSE))))</formula>
    </cfRule>
  </conditionalFormatting>
  <conditionalFormatting sqref="PW4">
    <cfRule type="expression" dxfId="268" priority="263">
      <formula>IF(PW4="NO",TRUE,IF(PW4="no",TRUE,IF(PW4="n",TRUE,IF(PW4="N",TRUE,FALSE))))</formula>
    </cfRule>
  </conditionalFormatting>
  <conditionalFormatting sqref="PW3">
    <cfRule type="expression" dxfId="267" priority="262">
      <formula>IF(PW3="YES",TRUE,IF(PW3="yes",TRUE,IF(PW3="y",TRUE,IF(PW3="Y",TRUE,FALSE))))</formula>
    </cfRule>
  </conditionalFormatting>
  <conditionalFormatting sqref="PR3 PR8 PR21:PR26">
    <cfRule type="expression" dxfId="266" priority="261">
      <formula>IF(PR3="NO",TRUE,IF(PR3="no",TRUE,IF(PR3="n",TRUE,IF(PR3="N",TRUE,FALSE))))</formula>
    </cfRule>
  </conditionalFormatting>
  <conditionalFormatting sqref="PR4">
    <cfRule type="expression" dxfId="265" priority="260">
      <formula>IF(PR4="NO",TRUE,IF(PR4="no",TRUE,IF(PR4="n",TRUE,IF(PR4="N",TRUE,FALSE))))</formula>
    </cfRule>
  </conditionalFormatting>
  <conditionalFormatting sqref="PR3">
    <cfRule type="expression" dxfId="264" priority="259">
      <formula>IF(PR3="YES",TRUE,IF(PR3="yes",TRUE,IF(PR3="y",TRUE,IF(PR3="Y",TRUE,FALSE))))</formula>
    </cfRule>
  </conditionalFormatting>
  <conditionalFormatting sqref="PM3 PM8 PM21:PM26">
    <cfRule type="expression" dxfId="263" priority="258">
      <formula>IF(PM3="NO",TRUE,IF(PM3="no",TRUE,IF(PM3="n",TRUE,IF(PM3="N",TRUE,FALSE))))</formula>
    </cfRule>
  </conditionalFormatting>
  <conditionalFormatting sqref="PM4">
    <cfRule type="expression" dxfId="262" priority="257">
      <formula>IF(PM4="NO",TRUE,IF(PM4="no",TRUE,IF(PM4="n",TRUE,IF(PM4="N",TRUE,FALSE))))</formula>
    </cfRule>
  </conditionalFormatting>
  <conditionalFormatting sqref="PM3">
    <cfRule type="expression" dxfId="261" priority="256">
      <formula>IF(PM3="YES",TRUE,IF(PM3="yes",TRUE,IF(PM3="y",TRUE,IF(PM3="Y",TRUE,FALSE))))</formula>
    </cfRule>
  </conditionalFormatting>
  <conditionalFormatting sqref="PH3 PH8 PH21:PH26">
    <cfRule type="expression" dxfId="260" priority="255">
      <formula>IF(PH3="NO",TRUE,IF(PH3="no",TRUE,IF(PH3="n",TRUE,IF(PH3="N",TRUE,FALSE))))</formula>
    </cfRule>
  </conditionalFormatting>
  <conditionalFormatting sqref="PH4">
    <cfRule type="expression" dxfId="259" priority="254">
      <formula>IF(PH4="NO",TRUE,IF(PH4="no",TRUE,IF(PH4="n",TRUE,IF(PH4="N",TRUE,FALSE))))</formula>
    </cfRule>
  </conditionalFormatting>
  <conditionalFormatting sqref="PH3">
    <cfRule type="expression" dxfId="258" priority="253">
      <formula>IF(PH3="YES",TRUE,IF(PH3="yes",TRUE,IF(PH3="y",TRUE,IF(PH3="Y",TRUE,FALSE))))</formula>
    </cfRule>
  </conditionalFormatting>
  <conditionalFormatting sqref="PC3 PC8 PC21:PC26">
    <cfRule type="expression" dxfId="257" priority="252">
      <formula>IF(PC3="NO",TRUE,IF(PC3="no",TRUE,IF(PC3="n",TRUE,IF(PC3="N",TRUE,FALSE))))</formula>
    </cfRule>
  </conditionalFormatting>
  <conditionalFormatting sqref="PC4">
    <cfRule type="expression" dxfId="256" priority="251">
      <formula>IF(PC4="NO",TRUE,IF(PC4="no",TRUE,IF(PC4="n",TRUE,IF(PC4="N",TRUE,FALSE))))</formula>
    </cfRule>
  </conditionalFormatting>
  <conditionalFormatting sqref="PC3">
    <cfRule type="expression" dxfId="255" priority="250">
      <formula>IF(PC3="YES",TRUE,IF(PC3="yes",TRUE,IF(PC3="y",TRUE,IF(PC3="Y",TRUE,FALSE))))</formula>
    </cfRule>
  </conditionalFormatting>
  <conditionalFormatting sqref="OX3 OX8 OX21:OX26">
    <cfRule type="expression" dxfId="254" priority="249">
      <formula>IF(OX3="NO",TRUE,IF(OX3="no",TRUE,IF(OX3="n",TRUE,IF(OX3="N",TRUE,FALSE))))</formula>
    </cfRule>
  </conditionalFormatting>
  <conditionalFormatting sqref="OX4">
    <cfRule type="expression" dxfId="253" priority="248">
      <formula>IF(OX4="NO",TRUE,IF(OX4="no",TRUE,IF(OX4="n",TRUE,IF(OX4="N",TRUE,FALSE))))</formula>
    </cfRule>
  </conditionalFormatting>
  <conditionalFormatting sqref="OX3">
    <cfRule type="expression" dxfId="252" priority="247">
      <formula>IF(OX3="YES",TRUE,IF(OX3="yes",TRUE,IF(OX3="y",TRUE,IF(OX3="Y",TRUE,FALSE))))</formula>
    </cfRule>
  </conditionalFormatting>
  <conditionalFormatting sqref="OS3 OS8 OS21:OS26">
    <cfRule type="expression" dxfId="251" priority="246">
      <formula>IF(OS3="NO",TRUE,IF(OS3="no",TRUE,IF(OS3="n",TRUE,IF(OS3="N",TRUE,FALSE))))</formula>
    </cfRule>
  </conditionalFormatting>
  <conditionalFormatting sqref="OS4">
    <cfRule type="expression" dxfId="250" priority="245">
      <formula>IF(OS4="NO",TRUE,IF(OS4="no",TRUE,IF(OS4="n",TRUE,IF(OS4="N",TRUE,FALSE))))</formula>
    </cfRule>
  </conditionalFormatting>
  <conditionalFormatting sqref="OS3">
    <cfRule type="expression" dxfId="249" priority="244">
      <formula>IF(OS3="YES",TRUE,IF(OS3="yes",TRUE,IF(OS3="y",TRUE,IF(OS3="Y",TRUE,FALSE))))</formula>
    </cfRule>
  </conditionalFormatting>
  <conditionalFormatting sqref="ON3 ON8 ON21:ON26">
    <cfRule type="expression" dxfId="248" priority="243">
      <formula>IF(ON3="NO",TRUE,IF(ON3="no",TRUE,IF(ON3="n",TRUE,IF(ON3="N",TRUE,FALSE))))</formula>
    </cfRule>
  </conditionalFormatting>
  <conditionalFormatting sqref="ON4">
    <cfRule type="expression" dxfId="247" priority="242">
      <formula>IF(ON4="NO",TRUE,IF(ON4="no",TRUE,IF(ON4="n",TRUE,IF(ON4="N",TRUE,FALSE))))</formula>
    </cfRule>
  </conditionalFormatting>
  <conditionalFormatting sqref="ON3">
    <cfRule type="expression" dxfId="246" priority="241">
      <formula>IF(ON3="YES",TRUE,IF(ON3="yes",TRUE,IF(ON3="y",TRUE,IF(ON3="Y",TRUE,FALSE))))</formula>
    </cfRule>
  </conditionalFormatting>
  <conditionalFormatting sqref="OI3 OI8 OI21:OI26">
    <cfRule type="expression" dxfId="245" priority="240">
      <formula>IF(OI3="NO",TRUE,IF(OI3="no",TRUE,IF(OI3="n",TRUE,IF(OI3="N",TRUE,FALSE))))</formula>
    </cfRule>
  </conditionalFormatting>
  <conditionalFormatting sqref="OI4">
    <cfRule type="expression" dxfId="244" priority="239">
      <formula>IF(OI4="NO",TRUE,IF(OI4="no",TRUE,IF(OI4="n",TRUE,IF(OI4="N",TRUE,FALSE))))</formula>
    </cfRule>
  </conditionalFormatting>
  <conditionalFormatting sqref="OI3">
    <cfRule type="expression" dxfId="243" priority="238">
      <formula>IF(OI3="YES",TRUE,IF(OI3="yes",TRUE,IF(OI3="y",TRUE,IF(OI3="Y",TRUE,FALSE))))</formula>
    </cfRule>
  </conditionalFormatting>
  <conditionalFormatting sqref="OD3 OD8 OD21:OD26">
    <cfRule type="expression" dxfId="242" priority="237">
      <formula>IF(OD3="NO",TRUE,IF(OD3="no",TRUE,IF(OD3="n",TRUE,IF(OD3="N",TRUE,FALSE))))</formula>
    </cfRule>
  </conditionalFormatting>
  <conditionalFormatting sqref="OD4">
    <cfRule type="expression" dxfId="241" priority="236">
      <formula>IF(OD4="NO",TRUE,IF(OD4="no",TRUE,IF(OD4="n",TRUE,IF(OD4="N",TRUE,FALSE))))</formula>
    </cfRule>
  </conditionalFormatting>
  <conditionalFormatting sqref="OD3">
    <cfRule type="expression" dxfId="240" priority="235">
      <formula>IF(OD3="YES",TRUE,IF(OD3="yes",TRUE,IF(OD3="y",TRUE,IF(OD3="Y",TRUE,FALSE))))</formula>
    </cfRule>
  </conditionalFormatting>
  <conditionalFormatting sqref="NY3 NY8 NY21:NY26">
    <cfRule type="expression" dxfId="239" priority="234">
      <formula>IF(NY3="NO",TRUE,IF(NY3="no",TRUE,IF(NY3="n",TRUE,IF(NY3="N",TRUE,FALSE))))</formula>
    </cfRule>
  </conditionalFormatting>
  <conditionalFormatting sqref="NY4">
    <cfRule type="expression" dxfId="238" priority="233">
      <formula>IF(NY4="NO",TRUE,IF(NY4="no",TRUE,IF(NY4="n",TRUE,IF(NY4="N",TRUE,FALSE))))</formula>
    </cfRule>
  </conditionalFormatting>
  <conditionalFormatting sqref="NY3">
    <cfRule type="expression" dxfId="237" priority="232">
      <formula>IF(NY3="YES",TRUE,IF(NY3="yes",TRUE,IF(NY3="y",TRUE,IF(NY3="Y",TRUE,FALSE))))</formula>
    </cfRule>
  </conditionalFormatting>
  <conditionalFormatting sqref="NT3 NT8 NT21:NT26">
    <cfRule type="expression" dxfId="236" priority="231">
      <formula>IF(NT3="NO",TRUE,IF(NT3="no",TRUE,IF(NT3="n",TRUE,IF(NT3="N",TRUE,FALSE))))</formula>
    </cfRule>
  </conditionalFormatting>
  <conditionalFormatting sqref="NT4">
    <cfRule type="expression" dxfId="235" priority="230">
      <formula>IF(NT4="NO",TRUE,IF(NT4="no",TRUE,IF(NT4="n",TRUE,IF(NT4="N",TRUE,FALSE))))</formula>
    </cfRule>
  </conditionalFormatting>
  <conditionalFormatting sqref="NT3">
    <cfRule type="expression" dxfId="234" priority="229">
      <formula>IF(NT3="YES",TRUE,IF(NT3="yes",TRUE,IF(NT3="y",TRUE,IF(NT3="Y",TRUE,FALSE))))</formula>
    </cfRule>
  </conditionalFormatting>
  <conditionalFormatting sqref="NO3 NO8 NO21:NO26">
    <cfRule type="expression" dxfId="233" priority="228">
      <formula>IF(NO3="NO",TRUE,IF(NO3="no",TRUE,IF(NO3="n",TRUE,IF(NO3="N",TRUE,FALSE))))</formula>
    </cfRule>
  </conditionalFormatting>
  <conditionalFormatting sqref="NO4">
    <cfRule type="expression" dxfId="232" priority="227">
      <formula>IF(NO4="NO",TRUE,IF(NO4="no",TRUE,IF(NO4="n",TRUE,IF(NO4="N",TRUE,FALSE))))</formula>
    </cfRule>
  </conditionalFormatting>
  <conditionalFormatting sqref="NO3">
    <cfRule type="expression" dxfId="231" priority="226">
      <formula>IF(NO3="YES",TRUE,IF(NO3="yes",TRUE,IF(NO3="y",TRUE,IF(NO3="Y",TRUE,FALSE))))</formula>
    </cfRule>
  </conditionalFormatting>
  <conditionalFormatting sqref="NJ3 NJ8 NJ21:NJ26">
    <cfRule type="expression" dxfId="230" priority="225">
      <formula>IF(NJ3="NO",TRUE,IF(NJ3="no",TRUE,IF(NJ3="n",TRUE,IF(NJ3="N",TRUE,FALSE))))</formula>
    </cfRule>
  </conditionalFormatting>
  <conditionalFormatting sqref="NJ4">
    <cfRule type="expression" dxfId="229" priority="224">
      <formula>IF(NJ4="NO",TRUE,IF(NJ4="no",TRUE,IF(NJ4="n",TRUE,IF(NJ4="N",TRUE,FALSE))))</formula>
    </cfRule>
  </conditionalFormatting>
  <conditionalFormatting sqref="NJ3">
    <cfRule type="expression" dxfId="228" priority="223">
      <formula>IF(NJ3="YES",TRUE,IF(NJ3="yes",TRUE,IF(NJ3="y",TRUE,IF(NJ3="Y",TRUE,FALSE))))</formula>
    </cfRule>
  </conditionalFormatting>
  <conditionalFormatting sqref="NE3 NE8 NE21:NE26">
    <cfRule type="expression" dxfId="227" priority="222">
      <formula>IF(NE3="NO",TRUE,IF(NE3="no",TRUE,IF(NE3="n",TRUE,IF(NE3="N",TRUE,FALSE))))</formula>
    </cfRule>
  </conditionalFormatting>
  <conditionalFormatting sqref="NE4">
    <cfRule type="expression" dxfId="226" priority="221">
      <formula>IF(NE4="NO",TRUE,IF(NE4="no",TRUE,IF(NE4="n",TRUE,IF(NE4="N",TRUE,FALSE))))</formula>
    </cfRule>
  </conditionalFormatting>
  <conditionalFormatting sqref="NE3">
    <cfRule type="expression" dxfId="225" priority="220">
      <formula>IF(NE3="YES",TRUE,IF(NE3="yes",TRUE,IF(NE3="y",TRUE,IF(NE3="Y",TRUE,FALSE))))</formula>
    </cfRule>
  </conditionalFormatting>
  <conditionalFormatting sqref="MZ3 MZ8 MZ21:MZ26">
    <cfRule type="expression" dxfId="224" priority="219">
      <formula>IF(MZ3="NO",TRUE,IF(MZ3="no",TRUE,IF(MZ3="n",TRUE,IF(MZ3="N",TRUE,FALSE))))</formula>
    </cfRule>
  </conditionalFormatting>
  <conditionalFormatting sqref="MZ4">
    <cfRule type="expression" dxfId="223" priority="218">
      <formula>IF(MZ4="NO",TRUE,IF(MZ4="no",TRUE,IF(MZ4="n",TRUE,IF(MZ4="N",TRUE,FALSE))))</formula>
    </cfRule>
  </conditionalFormatting>
  <conditionalFormatting sqref="MZ3">
    <cfRule type="expression" dxfId="222" priority="217">
      <formula>IF(MZ3="YES",TRUE,IF(MZ3="yes",TRUE,IF(MZ3="y",TRUE,IF(MZ3="Y",TRUE,FALSE))))</formula>
    </cfRule>
  </conditionalFormatting>
  <conditionalFormatting sqref="MU3 MU8 MU21:MU26">
    <cfRule type="expression" dxfId="221" priority="216">
      <formula>IF(MU3="NO",TRUE,IF(MU3="no",TRUE,IF(MU3="n",TRUE,IF(MU3="N",TRUE,FALSE))))</formula>
    </cfRule>
  </conditionalFormatting>
  <conditionalFormatting sqref="MU4">
    <cfRule type="expression" dxfId="220" priority="215">
      <formula>IF(MU4="NO",TRUE,IF(MU4="no",TRUE,IF(MU4="n",TRUE,IF(MU4="N",TRUE,FALSE))))</formula>
    </cfRule>
  </conditionalFormatting>
  <conditionalFormatting sqref="MU3">
    <cfRule type="expression" dxfId="219" priority="214">
      <formula>IF(MU3="YES",TRUE,IF(MU3="yes",TRUE,IF(MU3="y",TRUE,IF(MU3="Y",TRUE,FALSE))))</formula>
    </cfRule>
  </conditionalFormatting>
  <conditionalFormatting sqref="MP3 MP8 MP21:MP26">
    <cfRule type="expression" dxfId="218" priority="213">
      <formula>IF(MP3="NO",TRUE,IF(MP3="no",TRUE,IF(MP3="n",TRUE,IF(MP3="N",TRUE,FALSE))))</formula>
    </cfRule>
  </conditionalFormatting>
  <conditionalFormatting sqref="MP4">
    <cfRule type="expression" dxfId="217" priority="212">
      <formula>IF(MP4="NO",TRUE,IF(MP4="no",TRUE,IF(MP4="n",TRUE,IF(MP4="N",TRUE,FALSE))))</formula>
    </cfRule>
  </conditionalFormatting>
  <conditionalFormatting sqref="MP3">
    <cfRule type="expression" dxfId="216" priority="211">
      <formula>IF(MP3="YES",TRUE,IF(MP3="yes",TRUE,IF(MP3="y",TRUE,IF(MP3="Y",TRUE,FALSE))))</formula>
    </cfRule>
  </conditionalFormatting>
  <conditionalFormatting sqref="MK3 MK8 MK21:MK26">
    <cfRule type="expression" dxfId="215" priority="210">
      <formula>IF(MK3="NO",TRUE,IF(MK3="no",TRUE,IF(MK3="n",TRUE,IF(MK3="N",TRUE,FALSE))))</formula>
    </cfRule>
  </conditionalFormatting>
  <conditionalFormatting sqref="MK4">
    <cfRule type="expression" dxfId="214" priority="209">
      <formula>IF(MK4="NO",TRUE,IF(MK4="no",TRUE,IF(MK4="n",TRUE,IF(MK4="N",TRUE,FALSE))))</formula>
    </cfRule>
  </conditionalFormatting>
  <conditionalFormatting sqref="MK3">
    <cfRule type="expression" dxfId="213" priority="208">
      <formula>IF(MK3="YES",TRUE,IF(MK3="yes",TRUE,IF(MK3="y",TRUE,IF(MK3="Y",TRUE,FALSE))))</formula>
    </cfRule>
  </conditionalFormatting>
  <conditionalFormatting sqref="MF3 MF8 MF21:MF26">
    <cfRule type="expression" dxfId="212" priority="207">
      <formula>IF(MF3="NO",TRUE,IF(MF3="no",TRUE,IF(MF3="n",TRUE,IF(MF3="N",TRUE,FALSE))))</formula>
    </cfRule>
  </conditionalFormatting>
  <conditionalFormatting sqref="MF4">
    <cfRule type="expression" dxfId="211" priority="206">
      <formula>IF(MF4="NO",TRUE,IF(MF4="no",TRUE,IF(MF4="n",TRUE,IF(MF4="N",TRUE,FALSE))))</formula>
    </cfRule>
  </conditionalFormatting>
  <conditionalFormatting sqref="MF3">
    <cfRule type="expression" dxfId="210" priority="205">
      <formula>IF(MF3="YES",TRUE,IF(MF3="yes",TRUE,IF(MF3="y",TRUE,IF(MF3="Y",TRUE,FALSE))))</formula>
    </cfRule>
  </conditionalFormatting>
  <conditionalFormatting sqref="MA3 MA8 MA21:MA26">
    <cfRule type="expression" dxfId="209" priority="204">
      <formula>IF(MA3="NO",TRUE,IF(MA3="no",TRUE,IF(MA3="n",TRUE,IF(MA3="N",TRUE,FALSE))))</formula>
    </cfRule>
  </conditionalFormatting>
  <conditionalFormatting sqref="MA4">
    <cfRule type="expression" dxfId="208" priority="203">
      <formula>IF(MA4="NO",TRUE,IF(MA4="no",TRUE,IF(MA4="n",TRUE,IF(MA4="N",TRUE,FALSE))))</formula>
    </cfRule>
  </conditionalFormatting>
  <conditionalFormatting sqref="MA3">
    <cfRule type="expression" dxfId="207" priority="202">
      <formula>IF(MA3="YES",TRUE,IF(MA3="yes",TRUE,IF(MA3="y",TRUE,IF(MA3="Y",TRUE,FALSE))))</formula>
    </cfRule>
  </conditionalFormatting>
  <conditionalFormatting sqref="LV3 LV8 LV21:LV26">
    <cfRule type="expression" dxfId="206" priority="201">
      <formula>IF(LV3="NO",TRUE,IF(LV3="no",TRUE,IF(LV3="n",TRUE,IF(LV3="N",TRUE,FALSE))))</formula>
    </cfRule>
  </conditionalFormatting>
  <conditionalFormatting sqref="LV4">
    <cfRule type="expression" dxfId="205" priority="200">
      <formula>IF(LV4="NO",TRUE,IF(LV4="no",TRUE,IF(LV4="n",TRUE,IF(LV4="N",TRUE,FALSE))))</formula>
    </cfRule>
  </conditionalFormatting>
  <conditionalFormatting sqref="LV3">
    <cfRule type="expression" dxfId="204" priority="199">
      <formula>IF(LV3="YES",TRUE,IF(LV3="yes",TRUE,IF(LV3="y",TRUE,IF(LV3="Y",TRUE,FALSE))))</formula>
    </cfRule>
  </conditionalFormatting>
  <conditionalFormatting sqref="LQ3 LQ8 LQ21:LQ26">
    <cfRule type="expression" dxfId="203" priority="198">
      <formula>IF(LQ3="NO",TRUE,IF(LQ3="no",TRUE,IF(LQ3="n",TRUE,IF(LQ3="N",TRUE,FALSE))))</formula>
    </cfRule>
  </conditionalFormatting>
  <conditionalFormatting sqref="LQ4">
    <cfRule type="expression" dxfId="202" priority="197">
      <formula>IF(LQ4="NO",TRUE,IF(LQ4="no",TRUE,IF(LQ4="n",TRUE,IF(LQ4="N",TRUE,FALSE))))</formula>
    </cfRule>
  </conditionalFormatting>
  <conditionalFormatting sqref="LQ3">
    <cfRule type="expression" dxfId="201" priority="196">
      <formula>IF(LQ3="YES",TRUE,IF(LQ3="yes",TRUE,IF(LQ3="y",TRUE,IF(LQ3="Y",TRUE,FALSE))))</formula>
    </cfRule>
  </conditionalFormatting>
  <conditionalFormatting sqref="LL3 LL8 LL21:LL26">
    <cfRule type="expression" dxfId="200" priority="195">
      <formula>IF(LL3="NO",TRUE,IF(LL3="no",TRUE,IF(LL3="n",TRUE,IF(LL3="N",TRUE,FALSE))))</formula>
    </cfRule>
  </conditionalFormatting>
  <conditionalFormatting sqref="LL4">
    <cfRule type="expression" dxfId="199" priority="194">
      <formula>IF(LL4="NO",TRUE,IF(LL4="no",TRUE,IF(LL4="n",TRUE,IF(LL4="N",TRUE,FALSE))))</formula>
    </cfRule>
  </conditionalFormatting>
  <conditionalFormatting sqref="LL3">
    <cfRule type="expression" dxfId="198" priority="193">
      <formula>IF(LL3="YES",TRUE,IF(LL3="yes",TRUE,IF(LL3="y",TRUE,IF(LL3="Y",TRUE,FALSE))))</formula>
    </cfRule>
  </conditionalFormatting>
  <conditionalFormatting sqref="LG3 LG8 LG21:LG26">
    <cfRule type="expression" dxfId="197" priority="192">
      <formula>IF(LG3="NO",TRUE,IF(LG3="no",TRUE,IF(LG3="n",TRUE,IF(LG3="N",TRUE,FALSE))))</formula>
    </cfRule>
  </conditionalFormatting>
  <conditionalFormatting sqref="LG4">
    <cfRule type="expression" dxfId="196" priority="191">
      <formula>IF(LG4="NO",TRUE,IF(LG4="no",TRUE,IF(LG4="n",TRUE,IF(LG4="N",TRUE,FALSE))))</formula>
    </cfRule>
  </conditionalFormatting>
  <conditionalFormatting sqref="LG3">
    <cfRule type="expression" dxfId="195" priority="190">
      <formula>IF(LG3="YES",TRUE,IF(LG3="yes",TRUE,IF(LG3="y",TRUE,IF(LG3="Y",TRUE,FALSE))))</formula>
    </cfRule>
  </conditionalFormatting>
  <conditionalFormatting sqref="LB3 LB8 LB21:LB26">
    <cfRule type="expression" dxfId="194" priority="189">
      <formula>IF(LB3="NO",TRUE,IF(LB3="no",TRUE,IF(LB3="n",TRUE,IF(LB3="N",TRUE,FALSE))))</formula>
    </cfRule>
  </conditionalFormatting>
  <conditionalFormatting sqref="LB4">
    <cfRule type="expression" dxfId="193" priority="188">
      <formula>IF(LB4="NO",TRUE,IF(LB4="no",TRUE,IF(LB4="n",TRUE,IF(LB4="N",TRUE,FALSE))))</formula>
    </cfRule>
  </conditionalFormatting>
  <conditionalFormatting sqref="LB3">
    <cfRule type="expression" dxfId="192" priority="187">
      <formula>IF(LB3="YES",TRUE,IF(LB3="yes",TRUE,IF(LB3="y",TRUE,IF(LB3="Y",TRUE,FALSE))))</formula>
    </cfRule>
  </conditionalFormatting>
  <conditionalFormatting sqref="KW3 KW8 KW21:KW26">
    <cfRule type="expression" dxfId="191" priority="186">
      <formula>IF(KW3="NO",TRUE,IF(KW3="no",TRUE,IF(KW3="n",TRUE,IF(KW3="N",TRUE,FALSE))))</formula>
    </cfRule>
  </conditionalFormatting>
  <conditionalFormatting sqref="KW4">
    <cfRule type="expression" dxfId="190" priority="185">
      <formula>IF(KW4="NO",TRUE,IF(KW4="no",TRUE,IF(KW4="n",TRUE,IF(KW4="N",TRUE,FALSE))))</formula>
    </cfRule>
  </conditionalFormatting>
  <conditionalFormatting sqref="KW3">
    <cfRule type="expression" dxfId="189" priority="184">
      <formula>IF(KW3="YES",TRUE,IF(KW3="yes",TRUE,IF(KW3="y",TRUE,IF(KW3="Y",TRUE,FALSE))))</formula>
    </cfRule>
  </conditionalFormatting>
  <conditionalFormatting sqref="KR3 KR8 KR21:KR26">
    <cfRule type="expression" dxfId="188" priority="183">
      <formula>IF(KR3="NO",TRUE,IF(KR3="no",TRUE,IF(KR3="n",TRUE,IF(KR3="N",TRUE,FALSE))))</formula>
    </cfRule>
  </conditionalFormatting>
  <conditionalFormatting sqref="KR4">
    <cfRule type="expression" dxfId="187" priority="182">
      <formula>IF(KR4="NO",TRUE,IF(KR4="no",TRUE,IF(KR4="n",TRUE,IF(KR4="N",TRUE,FALSE))))</formula>
    </cfRule>
  </conditionalFormatting>
  <conditionalFormatting sqref="KR3">
    <cfRule type="expression" dxfId="186" priority="181">
      <formula>IF(KR3="YES",TRUE,IF(KR3="yes",TRUE,IF(KR3="y",TRUE,IF(KR3="Y",TRUE,FALSE))))</formula>
    </cfRule>
  </conditionalFormatting>
  <conditionalFormatting sqref="KM3 KM8 KM21:KM26">
    <cfRule type="expression" dxfId="185" priority="180">
      <formula>IF(KM3="NO",TRUE,IF(KM3="no",TRUE,IF(KM3="n",TRUE,IF(KM3="N",TRUE,FALSE))))</formula>
    </cfRule>
  </conditionalFormatting>
  <conditionalFormatting sqref="KM4">
    <cfRule type="expression" dxfId="184" priority="179">
      <formula>IF(KM4="NO",TRUE,IF(KM4="no",TRUE,IF(KM4="n",TRUE,IF(KM4="N",TRUE,FALSE))))</formula>
    </cfRule>
  </conditionalFormatting>
  <conditionalFormatting sqref="KM3">
    <cfRule type="expression" dxfId="183" priority="178">
      <formula>IF(KM3="YES",TRUE,IF(KM3="yes",TRUE,IF(KM3="y",TRUE,IF(KM3="Y",TRUE,FALSE))))</formula>
    </cfRule>
  </conditionalFormatting>
  <conditionalFormatting sqref="KH3 KH8 KH21:KH26">
    <cfRule type="expression" dxfId="182" priority="177">
      <formula>IF(KH3="NO",TRUE,IF(KH3="no",TRUE,IF(KH3="n",TRUE,IF(KH3="N",TRUE,FALSE))))</formula>
    </cfRule>
  </conditionalFormatting>
  <conditionalFormatting sqref="KH4">
    <cfRule type="expression" dxfId="181" priority="176">
      <formula>IF(KH4="NO",TRUE,IF(KH4="no",TRUE,IF(KH4="n",TRUE,IF(KH4="N",TRUE,FALSE))))</formula>
    </cfRule>
  </conditionalFormatting>
  <conditionalFormatting sqref="KH3">
    <cfRule type="expression" dxfId="180" priority="175">
      <formula>IF(KH3="YES",TRUE,IF(KH3="yes",TRUE,IF(KH3="y",TRUE,IF(KH3="Y",TRUE,FALSE))))</formula>
    </cfRule>
  </conditionalFormatting>
  <conditionalFormatting sqref="KC3 KC8 KC21:KC26">
    <cfRule type="expression" dxfId="179" priority="174">
      <formula>IF(KC3="NO",TRUE,IF(KC3="no",TRUE,IF(KC3="n",TRUE,IF(KC3="N",TRUE,FALSE))))</formula>
    </cfRule>
  </conditionalFormatting>
  <conditionalFormatting sqref="KC4">
    <cfRule type="expression" dxfId="178" priority="173">
      <formula>IF(KC4="NO",TRUE,IF(KC4="no",TRUE,IF(KC4="n",TRUE,IF(KC4="N",TRUE,FALSE))))</formula>
    </cfRule>
  </conditionalFormatting>
  <conditionalFormatting sqref="KC3">
    <cfRule type="expression" dxfId="177" priority="172">
      <formula>IF(KC3="YES",TRUE,IF(KC3="yes",TRUE,IF(KC3="y",TRUE,IF(KC3="Y",TRUE,FALSE))))</formula>
    </cfRule>
  </conditionalFormatting>
  <conditionalFormatting sqref="JX3 JX8 JX21:JX26">
    <cfRule type="expression" dxfId="176" priority="171">
      <formula>IF(JX3="NO",TRUE,IF(JX3="no",TRUE,IF(JX3="n",TRUE,IF(JX3="N",TRUE,FALSE))))</formula>
    </cfRule>
  </conditionalFormatting>
  <conditionalFormatting sqref="JX4">
    <cfRule type="expression" dxfId="175" priority="170">
      <formula>IF(JX4="NO",TRUE,IF(JX4="no",TRUE,IF(JX4="n",TRUE,IF(JX4="N",TRUE,FALSE))))</formula>
    </cfRule>
  </conditionalFormatting>
  <conditionalFormatting sqref="JX3">
    <cfRule type="expression" dxfId="174" priority="169">
      <formula>IF(JX3="YES",TRUE,IF(JX3="yes",TRUE,IF(JX3="y",TRUE,IF(JX3="Y",TRUE,FALSE))))</formula>
    </cfRule>
  </conditionalFormatting>
  <conditionalFormatting sqref="JS3 JS8 JS21:JS26">
    <cfRule type="expression" dxfId="173" priority="168">
      <formula>IF(JS3="NO",TRUE,IF(JS3="no",TRUE,IF(JS3="n",TRUE,IF(JS3="N",TRUE,FALSE))))</formula>
    </cfRule>
  </conditionalFormatting>
  <conditionalFormatting sqref="JS4">
    <cfRule type="expression" dxfId="172" priority="167">
      <formula>IF(JS4="NO",TRUE,IF(JS4="no",TRUE,IF(JS4="n",TRUE,IF(JS4="N",TRUE,FALSE))))</formula>
    </cfRule>
  </conditionalFormatting>
  <conditionalFormatting sqref="JS3">
    <cfRule type="expression" dxfId="171" priority="166">
      <formula>IF(JS3="YES",TRUE,IF(JS3="yes",TRUE,IF(JS3="y",TRUE,IF(JS3="Y",TRUE,FALSE))))</formula>
    </cfRule>
  </conditionalFormatting>
  <conditionalFormatting sqref="JN3 JN8 JN21:JN26">
    <cfRule type="expression" dxfId="170" priority="165">
      <formula>IF(JN3="NO",TRUE,IF(JN3="no",TRUE,IF(JN3="n",TRUE,IF(JN3="N",TRUE,FALSE))))</formula>
    </cfRule>
  </conditionalFormatting>
  <conditionalFormatting sqref="JN4">
    <cfRule type="expression" dxfId="169" priority="164">
      <formula>IF(JN4="NO",TRUE,IF(JN4="no",TRUE,IF(JN4="n",TRUE,IF(JN4="N",TRUE,FALSE))))</formula>
    </cfRule>
  </conditionalFormatting>
  <conditionalFormatting sqref="JN3">
    <cfRule type="expression" dxfId="168" priority="163">
      <formula>IF(JN3="YES",TRUE,IF(JN3="yes",TRUE,IF(JN3="y",TRUE,IF(JN3="Y",TRUE,FALSE))))</formula>
    </cfRule>
  </conditionalFormatting>
  <conditionalFormatting sqref="JI3 JI8 JI21:JI26">
    <cfRule type="expression" dxfId="167" priority="162">
      <formula>IF(JI3="NO",TRUE,IF(JI3="no",TRUE,IF(JI3="n",TRUE,IF(JI3="N",TRUE,FALSE))))</formula>
    </cfRule>
  </conditionalFormatting>
  <conditionalFormatting sqref="JI4">
    <cfRule type="expression" dxfId="166" priority="161">
      <formula>IF(JI4="NO",TRUE,IF(JI4="no",TRUE,IF(JI4="n",TRUE,IF(JI4="N",TRUE,FALSE))))</formula>
    </cfRule>
  </conditionalFormatting>
  <conditionalFormatting sqref="JI3">
    <cfRule type="expression" dxfId="165" priority="160">
      <formula>IF(JI3="YES",TRUE,IF(JI3="yes",TRUE,IF(JI3="y",TRUE,IF(JI3="Y",TRUE,FALSE))))</formula>
    </cfRule>
  </conditionalFormatting>
  <conditionalFormatting sqref="JD3 JD8 JD21:JD26">
    <cfRule type="expression" dxfId="164" priority="159">
      <formula>IF(JD3="NO",TRUE,IF(JD3="no",TRUE,IF(JD3="n",TRUE,IF(JD3="N",TRUE,FALSE))))</formula>
    </cfRule>
  </conditionalFormatting>
  <conditionalFormatting sqref="JD4">
    <cfRule type="expression" dxfId="163" priority="158">
      <formula>IF(JD4="NO",TRUE,IF(JD4="no",TRUE,IF(JD4="n",TRUE,IF(JD4="N",TRUE,FALSE))))</formula>
    </cfRule>
  </conditionalFormatting>
  <conditionalFormatting sqref="JD3">
    <cfRule type="expression" dxfId="162" priority="157">
      <formula>IF(JD3="YES",TRUE,IF(JD3="yes",TRUE,IF(JD3="y",TRUE,IF(JD3="Y",TRUE,FALSE))))</formula>
    </cfRule>
  </conditionalFormatting>
  <conditionalFormatting sqref="IY3 IY8 IY21:IY26">
    <cfRule type="expression" dxfId="161" priority="156">
      <formula>IF(IY3="NO",TRUE,IF(IY3="no",TRUE,IF(IY3="n",TRUE,IF(IY3="N",TRUE,FALSE))))</formula>
    </cfRule>
  </conditionalFormatting>
  <conditionalFormatting sqref="IY4">
    <cfRule type="expression" dxfId="160" priority="155">
      <formula>IF(IY4="NO",TRUE,IF(IY4="no",TRUE,IF(IY4="n",TRUE,IF(IY4="N",TRUE,FALSE))))</formula>
    </cfRule>
  </conditionalFormatting>
  <conditionalFormatting sqref="IY3">
    <cfRule type="expression" dxfId="159" priority="154">
      <formula>IF(IY3="YES",TRUE,IF(IY3="yes",TRUE,IF(IY3="y",TRUE,IF(IY3="Y",TRUE,FALSE))))</formula>
    </cfRule>
  </conditionalFormatting>
  <conditionalFormatting sqref="IT3 IT8 IT21:IT26">
    <cfRule type="expression" dxfId="158" priority="153">
      <formula>IF(IT3="NO",TRUE,IF(IT3="no",TRUE,IF(IT3="n",TRUE,IF(IT3="N",TRUE,FALSE))))</formula>
    </cfRule>
  </conditionalFormatting>
  <conditionalFormatting sqref="IT4">
    <cfRule type="expression" dxfId="157" priority="152">
      <formula>IF(IT4="NO",TRUE,IF(IT4="no",TRUE,IF(IT4="n",TRUE,IF(IT4="N",TRUE,FALSE))))</formula>
    </cfRule>
  </conditionalFormatting>
  <conditionalFormatting sqref="IT3">
    <cfRule type="expression" dxfId="156" priority="151">
      <formula>IF(IT3="YES",TRUE,IF(IT3="yes",TRUE,IF(IT3="y",TRUE,IF(IT3="Y",TRUE,FALSE))))</formula>
    </cfRule>
  </conditionalFormatting>
  <conditionalFormatting sqref="IO3 IO8 IO21:IO26">
    <cfRule type="expression" dxfId="155" priority="150">
      <formula>IF(IO3="NO",TRUE,IF(IO3="no",TRUE,IF(IO3="n",TRUE,IF(IO3="N",TRUE,FALSE))))</formula>
    </cfRule>
  </conditionalFormatting>
  <conditionalFormatting sqref="IO4">
    <cfRule type="expression" dxfId="154" priority="149">
      <formula>IF(IO4="NO",TRUE,IF(IO4="no",TRUE,IF(IO4="n",TRUE,IF(IO4="N",TRUE,FALSE))))</formula>
    </cfRule>
  </conditionalFormatting>
  <conditionalFormatting sqref="IO3">
    <cfRule type="expression" dxfId="153" priority="148">
      <formula>IF(IO3="YES",TRUE,IF(IO3="yes",TRUE,IF(IO3="y",TRUE,IF(IO3="Y",TRUE,FALSE))))</formula>
    </cfRule>
  </conditionalFormatting>
  <conditionalFormatting sqref="IJ3 IJ8 IJ21:IJ26">
    <cfRule type="expression" dxfId="152" priority="147">
      <formula>IF(IJ3="NO",TRUE,IF(IJ3="no",TRUE,IF(IJ3="n",TRUE,IF(IJ3="N",TRUE,FALSE))))</formula>
    </cfRule>
  </conditionalFormatting>
  <conditionalFormatting sqref="IJ4">
    <cfRule type="expression" dxfId="151" priority="146">
      <formula>IF(IJ4="NO",TRUE,IF(IJ4="no",TRUE,IF(IJ4="n",TRUE,IF(IJ4="N",TRUE,FALSE))))</formula>
    </cfRule>
  </conditionalFormatting>
  <conditionalFormatting sqref="IJ3">
    <cfRule type="expression" dxfId="150" priority="145">
      <formula>IF(IJ3="YES",TRUE,IF(IJ3="yes",TRUE,IF(IJ3="y",TRUE,IF(IJ3="Y",TRUE,FALSE))))</formula>
    </cfRule>
  </conditionalFormatting>
  <conditionalFormatting sqref="IE3 IE8 IE21:IE26">
    <cfRule type="expression" dxfId="149" priority="144">
      <formula>IF(IE3="NO",TRUE,IF(IE3="no",TRUE,IF(IE3="n",TRUE,IF(IE3="N",TRUE,FALSE))))</formula>
    </cfRule>
  </conditionalFormatting>
  <conditionalFormatting sqref="IE4">
    <cfRule type="expression" dxfId="148" priority="143">
      <formula>IF(IE4="NO",TRUE,IF(IE4="no",TRUE,IF(IE4="n",TRUE,IF(IE4="N",TRUE,FALSE))))</formula>
    </cfRule>
  </conditionalFormatting>
  <conditionalFormatting sqref="IE3">
    <cfRule type="expression" dxfId="147" priority="142">
      <formula>IF(IE3="YES",TRUE,IF(IE3="yes",TRUE,IF(IE3="y",TRUE,IF(IE3="Y",TRUE,FALSE))))</formula>
    </cfRule>
  </conditionalFormatting>
  <conditionalFormatting sqref="HZ3 HZ8 HZ21:HZ26">
    <cfRule type="expression" dxfId="146" priority="141">
      <formula>IF(HZ3="NO",TRUE,IF(HZ3="no",TRUE,IF(HZ3="n",TRUE,IF(HZ3="N",TRUE,FALSE))))</formula>
    </cfRule>
  </conditionalFormatting>
  <conditionalFormatting sqref="HZ4">
    <cfRule type="expression" dxfId="145" priority="140">
      <formula>IF(HZ4="NO",TRUE,IF(HZ4="no",TRUE,IF(HZ4="n",TRUE,IF(HZ4="N",TRUE,FALSE))))</formula>
    </cfRule>
  </conditionalFormatting>
  <conditionalFormatting sqref="HZ3">
    <cfRule type="expression" dxfId="144" priority="139">
      <formula>IF(HZ3="YES",TRUE,IF(HZ3="yes",TRUE,IF(HZ3="y",TRUE,IF(HZ3="Y",TRUE,FALSE))))</formula>
    </cfRule>
  </conditionalFormatting>
  <conditionalFormatting sqref="HU3 HU8 HU21:HU26">
    <cfRule type="expression" dxfId="143" priority="138">
      <formula>IF(HU3="NO",TRUE,IF(HU3="no",TRUE,IF(HU3="n",TRUE,IF(HU3="N",TRUE,FALSE))))</formula>
    </cfRule>
  </conditionalFormatting>
  <conditionalFormatting sqref="HU4">
    <cfRule type="expression" dxfId="142" priority="137">
      <formula>IF(HU4="NO",TRUE,IF(HU4="no",TRUE,IF(HU4="n",TRUE,IF(HU4="N",TRUE,FALSE))))</formula>
    </cfRule>
  </conditionalFormatting>
  <conditionalFormatting sqref="HU3">
    <cfRule type="expression" dxfId="141" priority="136">
      <formula>IF(HU3="YES",TRUE,IF(HU3="yes",TRUE,IF(HU3="y",TRUE,IF(HU3="Y",TRUE,FALSE))))</formula>
    </cfRule>
  </conditionalFormatting>
  <conditionalFormatting sqref="HP3 HP8 HP21:HP26">
    <cfRule type="expression" dxfId="140" priority="135">
      <formula>IF(HP3="NO",TRUE,IF(HP3="no",TRUE,IF(HP3="n",TRUE,IF(HP3="N",TRUE,FALSE))))</formula>
    </cfRule>
  </conditionalFormatting>
  <conditionalFormatting sqref="HP4">
    <cfRule type="expression" dxfId="139" priority="134">
      <formula>IF(HP4="NO",TRUE,IF(HP4="no",TRUE,IF(HP4="n",TRUE,IF(HP4="N",TRUE,FALSE))))</formula>
    </cfRule>
  </conditionalFormatting>
  <conditionalFormatting sqref="HP3">
    <cfRule type="expression" dxfId="138" priority="133">
      <formula>IF(HP3="YES",TRUE,IF(HP3="yes",TRUE,IF(HP3="y",TRUE,IF(HP3="Y",TRUE,FALSE))))</formula>
    </cfRule>
  </conditionalFormatting>
  <conditionalFormatting sqref="HK3 HK8 HK21:HK26">
    <cfRule type="expression" dxfId="137" priority="132">
      <formula>IF(HK3="NO",TRUE,IF(HK3="no",TRUE,IF(HK3="n",TRUE,IF(HK3="N",TRUE,FALSE))))</formula>
    </cfRule>
  </conditionalFormatting>
  <conditionalFormatting sqref="HK4">
    <cfRule type="expression" dxfId="136" priority="131">
      <formula>IF(HK4="NO",TRUE,IF(HK4="no",TRUE,IF(HK4="n",TRUE,IF(HK4="N",TRUE,FALSE))))</formula>
    </cfRule>
  </conditionalFormatting>
  <conditionalFormatting sqref="HK3">
    <cfRule type="expression" dxfId="135" priority="130">
      <formula>IF(HK3="YES",TRUE,IF(HK3="yes",TRUE,IF(HK3="y",TRUE,IF(HK3="Y",TRUE,FALSE))))</formula>
    </cfRule>
  </conditionalFormatting>
  <conditionalFormatting sqref="HF3 HF8 HF21:HF26">
    <cfRule type="expression" dxfId="134" priority="129">
      <formula>IF(HF3="NO",TRUE,IF(HF3="no",TRUE,IF(HF3="n",TRUE,IF(HF3="N",TRUE,FALSE))))</formula>
    </cfRule>
  </conditionalFormatting>
  <conditionalFormatting sqref="HF4">
    <cfRule type="expression" dxfId="133" priority="128">
      <formula>IF(HF4="NO",TRUE,IF(HF4="no",TRUE,IF(HF4="n",TRUE,IF(HF4="N",TRUE,FALSE))))</formula>
    </cfRule>
  </conditionalFormatting>
  <conditionalFormatting sqref="HF3">
    <cfRule type="expression" dxfId="132" priority="127">
      <formula>IF(HF3="YES",TRUE,IF(HF3="yes",TRUE,IF(HF3="y",TRUE,IF(HF3="Y",TRUE,FALSE))))</formula>
    </cfRule>
  </conditionalFormatting>
  <conditionalFormatting sqref="HA3 HA8 HA21:HA26">
    <cfRule type="expression" dxfId="131" priority="126">
      <formula>IF(HA3="NO",TRUE,IF(HA3="no",TRUE,IF(HA3="n",TRUE,IF(HA3="N",TRUE,FALSE))))</formula>
    </cfRule>
  </conditionalFormatting>
  <conditionalFormatting sqref="HA4">
    <cfRule type="expression" dxfId="130" priority="125">
      <formula>IF(HA4="NO",TRUE,IF(HA4="no",TRUE,IF(HA4="n",TRUE,IF(HA4="N",TRUE,FALSE))))</formula>
    </cfRule>
  </conditionalFormatting>
  <conditionalFormatting sqref="HA3">
    <cfRule type="expression" dxfId="129" priority="124">
      <formula>IF(HA3="YES",TRUE,IF(HA3="yes",TRUE,IF(HA3="y",TRUE,IF(HA3="Y",TRUE,FALSE))))</formula>
    </cfRule>
  </conditionalFormatting>
  <conditionalFormatting sqref="GV3 GV8 GV21:GV26">
    <cfRule type="expression" dxfId="128" priority="123">
      <formula>IF(GV3="NO",TRUE,IF(GV3="no",TRUE,IF(GV3="n",TRUE,IF(GV3="N",TRUE,FALSE))))</formula>
    </cfRule>
  </conditionalFormatting>
  <conditionalFormatting sqref="GV4">
    <cfRule type="expression" dxfId="127" priority="122">
      <formula>IF(GV4="NO",TRUE,IF(GV4="no",TRUE,IF(GV4="n",TRUE,IF(GV4="N",TRUE,FALSE))))</formula>
    </cfRule>
  </conditionalFormatting>
  <conditionalFormatting sqref="GV3">
    <cfRule type="expression" dxfId="126" priority="121">
      <formula>IF(GV3="YES",TRUE,IF(GV3="yes",TRUE,IF(GV3="y",TRUE,IF(GV3="Y",TRUE,FALSE))))</formula>
    </cfRule>
  </conditionalFormatting>
  <conditionalFormatting sqref="GQ3 GQ8 GQ21:GQ26">
    <cfRule type="expression" dxfId="125" priority="120">
      <formula>IF(GQ3="NO",TRUE,IF(GQ3="no",TRUE,IF(GQ3="n",TRUE,IF(GQ3="N",TRUE,FALSE))))</formula>
    </cfRule>
  </conditionalFormatting>
  <conditionalFormatting sqref="GQ4">
    <cfRule type="expression" dxfId="124" priority="119">
      <formula>IF(GQ4="NO",TRUE,IF(GQ4="no",TRUE,IF(GQ4="n",TRUE,IF(GQ4="N",TRUE,FALSE))))</formula>
    </cfRule>
  </conditionalFormatting>
  <conditionalFormatting sqref="GQ3">
    <cfRule type="expression" dxfId="123" priority="118">
      <formula>IF(GQ3="YES",TRUE,IF(GQ3="yes",TRUE,IF(GQ3="y",TRUE,IF(GQ3="Y",TRUE,FALSE))))</formula>
    </cfRule>
  </conditionalFormatting>
  <conditionalFormatting sqref="GL3 GL8 GL21:GL26">
    <cfRule type="expression" dxfId="122" priority="117">
      <formula>IF(GL3="NO",TRUE,IF(GL3="no",TRUE,IF(GL3="n",TRUE,IF(GL3="N",TRUE,FALSE))))</formula>
    </cfRule>
  </conditionalFormatting>
  <conditionalFormatting sqref="GL4">
    <cfRule type="expression" dxfId="121" priority="116">
      <formula>IF(GL4="NO",TRUE,IF(GL4="no",TRUE,IF(GL4="n",TRUE,IF(GL4="N",TRUE,FALSE))))</formula>
    </cfRule>
  </conditionalFormatting>
  <conditionalFormatting sqref="GL3">
    <cfRule type="expression" dxfId="120" priority="115">
      <formula>IF(GL3="YES",TRUE,IF(GL3="yes",TRUE,IF(GL3="y",TRUE,IF(GL3="Y",TRUE,FALSE))))</formula>
    </cfRule>
  </conditionalFormatting>
  <conditionalFormatting sqref="GG3 GG8 GG21:GG26">
    <cfRule type="expression" dxfId="119" priority="114">
      <formula>IF(GG3="NO",TRUE,IF(GG3="no",TRUE,IF(GG3="n",TRUE,IF(GG3="N",TRUE,FALSE))))</formula>
    </cfRule>
  </conditionalFormatting>
  <conditionalFormatting sqref="GG4">
    <cfRule type="expression" dxfId="118" priority="113">
      <formula>IF(GG4="NO",TRUE,IF(GG4="no",TRUE,IF(GG4="n",TRUE,IF(GG4="N",TRUE,FALSE))))</formula>
    </cfRule>
  </conditionalFormatting>
  <conditionalFormatting sqref="GG3">
    <cfRule type="expression" dxfId="117" priority="112">
      <formula>IF(GG3="YES",TRUE,IF(GG3="yes",TRUE,IF(GG3="y",TRUE,IF(GG3="Y",TRUE,FALSE))))</formula>
    </cfRule>
  </conditionalFormatting>
  <conditionalFormatting sqref="GB3 GB8 GB21:GB26">
    <cfRule type="expression" dxfId="116" priority="111">
      <formula>IF(GB3="NO",TRUE,IF(GB3="no",TRUE,IF(GB3="n",TRUE,IF(GB3="N",TRUE,FALSE))))</formula>
    </cfRule>
  </conditionalFormatting>
  <conditionalFormatting sqref="GB4">
    <cfRule type="expression" dxfId="115" priority="110">
      <formula>IF(GB4="NO",TRUE,IF(GB4="no",TRUE,IF(GB4="n",TRUE,IF(GB4="N",TRUE,FALSE))))</formula>
    </cfRule>
  </conditionalFormatting>
  <conditionalFormatting sqref="GB3">
    <cfRule type="expression" dxfId="114" priority="109">
      <formula>IF(GB3="YES",TRUE,IF(GB3="yes",TRUE,IF(GB3="y",TRUE,IF(GB3="Y",TRUE,FALSE))))</formula>
    </cfRule>
  </conditionalFormatting>
  <conditionalFormatting sqref="FW3 FW8 FW21:FW26">
    <cfRule type="expression" dxfId="113" priority="108">
      <formula>IF(FW3="NO",TRUE,IF(FW3="no",TRUE,IF(FW3="n",TRUE,IF(FW3="N",TRUE,FALSE))))</formula>
    </cfRule>
  </conditionalFormatting>
  <conditionalFormatting sqref="FW4">
    <cfRule type="expression" dxfId="112" priority="107">
      <formula>IF(FW4="NO",TRUE,IF(FW4="no",TRUE,IF(FW4="n",TRUE,IF(FW4="N",TRUE,FALSE))))</formula>
    </cfRule>
  </conditionalFormatting>
  <conditionalFormatting sqref="FW3">
    <cfRule type="expression" dxfId="111" priority="106">
      <formula>IF(FW3="YES",TRUE,IF(FW3="yes",TRUE,IF(FW3="y",TRUE,IF(FW3="Y",TRUE,FALSE))))</formula>
    </cfRule>
  </conditionalFormatting>
  <conditionalFormatting sqref="FR3 FR8 FR21:FR26">
    <cfRule type="expression" dxfId="110" priority="105">
      <formula>IF(FR3="NO",TRUE,IF(FR3="no",TRUE,IF(FR3="n",TRUE,IF(FR3="N",TRUE,FALSE))))</formula>
    </cfRule>
  </conditionalFormatting>
  <conditionalFormatting sqref="FR4">
    <cfRule type="expression" dxfId="109" priority="104">
      <formula>IF(FR4="NO",TRUE,IF(FR4="no",TRUE,IF(FR4="n",TRUE,IF(FR4="N",TRUE,FALSE))))</formula>
    </cfRule>
  </conditionalFormatting>
  <conditionalFormatting sqref="FR3">
    <cfRule type="expression" dxfId="108" priority="103">
      <formula>IF(FR3="YES",TRUE,IF(FR3="yes",TRUE,IF(FR3="y",TRUE,IF(FR3="Y",TRUE,FALSE))))</formula>
    </cfRule>
  </conditionalFormatting>
  <conditionalFormatting sqref="FM3 FM8 FM21:FM26">
    <cfRule type="expression" dxfId="107" priority="102">
      <formula>IF(FM3="NO",TRUE,IF(FM3="no",TRUE,IF(FM3="n",TRUE,IF(FM3="N",TRUE,FALSE))))</formula>
    </cfRule>
  </conditionalFormatting>
  <conditionalFormatting sqref="FM4">
    <cfRule type="expression" dxfId="106" priority="101">
      <formula>IF(FM4="NO",TRUE,IF(FM4="no",TRUE,IF(FM4="n",TRUE,IF(FM4="N",TRUE,FALSE))))</formula>
    </cfRule>
  </conditionalFormatting>
  <conditionalFormatting sqref="FM3">
    <cfRule type="expression" dxfId="105" priority="100">
      <formula>IF(FM3="YES",TRUE,IF(FM3="yes",TRUE,IF(FM3="y",TRUE,IF(FM3="Y",TRUE,FALSE))))</formula>
    </cfRule>
  </conditionalFormatting>
  <conditionalFormatting sqref="FH3 FH8 FH21:FH26">
    <cfRule type="expression" dxfId="104" priority="99">
      <formula>IF(FH3="NO",TRUE,IF(FH3="no",TRUE,IF(FH3="n",TRUE,IF(FH3="N",TRUE,FALSE))))</formula>
    </cfRule>
  </conditionalFormatting>
  <conditionalFormatting sqref="FH4">
    <cfRule type="expression" dxfId="103" priority="98">
      <formula>IF(FH4="NO",TRUE,IF(FH4="no",TRUE,IF(FH4="n",TRUE,IF(FH4="N",TRUE,FALSE))))</formula>
    </cfRule>
  </conditionalFormatting>
  <conditionalFormatting sqref="FH3">
    <cfRule type="expression" dxfId="102" priority="97">
      <formula>IF(FH3="YES",TRUE,IF(FH3="yes",TRUE,IF(FH3="y",TRUE,IF(FH3="Y",TRUE,FALSE))))</formula>
    </cfRule>
  </conditionalFormatting>
  <conditionalFormatting sqref="FC3 FC8 FC21:FC26">
    <cfRule type="expression" dxfId="101" priority="96">
      <formula>IF(FC3="NO",TRUE,IF(FC3="no",TRUE,IF(FC3="n",TRUE,IF(FC3="N",TRUE,FALSE))))</formula>
    </cfRule>
  </conditionalFormatting>
  <conditionalFormatting sqref="FC4">
    <cfRule type="expression" dxfId="100" priority="95">
      <formula>IF(FC4="NO",TRUE,IF(FC4="no",TRUE,IF(FC4="n",TRUE,IF(FC4="N",TRUE,FALSE))))</formula>
    </cfRule>
  </conditionalFormatting>
  <conditionalFormatting sqref="FC3">
    <cfRule type="expression" dxfId="99" priority="94">
      <formula>IF(FC3="YES",TRUE,IF(FC3="yes",TRUE,IF(FC3="y",TRUE,IF(FC3="Y",TRUE,FALSE))))</formula>
    </cfRule>
  </conditionalFormatting>
  <conditionalFormatting sqref="EX3 EX8 EX21:EX26">
    <cfRule type="expression" dxfId="98" priority="93">
      <formula>IF(EX3="NO",TRUE,IF(EX3="no",TRUE,IF(EX3="n",TRUE,IF(EX3="N",TRUE,FALSE))))</formula>
    </cfRule>
  </conditionalFormatting>
  <conditionalFormatting sqref="EX4">
    <cfRule type="expression" dxfId="97" priority="92">
      <formula>IF(EX4="NO",TRUE,IF(EX4="no",TRUE,IF(EX4="n",TRUE,IF(EX4="N",TRUE,FALSE))))</formula>
    </cfRule>
  </conditionalFormatting>
  <conditionalFormatting sqref="EX3">
    <cfRule type="expression" dxfId="96" priority="91">
      <formula>IF(EX3="YES",TRUE,IF(EX3="yes",TRUE,IF(EX3="y",TRUE,IF(EX3="Y",TRUE,FALSE))))</formula>
    </cfRule>
  </conditionalFormatting>
  <conditionalFormatting sqref="ES3 ES8 ES21:ES26">
    <cfRule type="expression" dxfId="95" priority="90">
      <formula>IF(ES3="NO",TRUE,IF(ES3="no",TRUE,IF(ES3="n",TRUE,IF(ES3="N",TRUE,FALSE))))</formula>
    </cfRule>
  </conditionalFormatting>
  <conditionalFormatting sqref="ES4">
    <cfRule type="expression" dxfId="94" priority="89">
      <formula>IF(ES4="NO",TRUE,IF(ES4="no",TRUE,IF(ES4="n",TRUE,IF(ES4="N",TRUE,FALSE))))</formula>
    </cfRule>
  </conditionalFormatting>
  <conditionalFormatting sqref="ES3">
    <cfRule type="expression" dxfId="93" priority="88">
      <formula>IF(ES3="YES",TRUE,IF(ES3="yes",TRUE,IF(ES3="y",TRUE,IF(ES3="Y",TRUE,FALSE))))</formula>
    </cfRule>
  </conditionalFormatting>
  <conditionalFormatting sqref="EN3 EN8 EN21:EN26">
    <cfRule type="expression" dxfId="92" priority="87">
      <formula>IF(EN3="NO",TRUE,IF(EN3="no",TRUE,IF(EN3="n",TRUE,IF(EN3="N",TRUE,FALSE))))</formula>
    </cfRule>
  </conditionalFormatting>
  <conditionalFormatting sqref="EN4">
    <cfRule type="expression" dxfId="91" priority="86">
      <formula>IF(EN4="NO",TRUE,IF(EN4="no",TRUE,IF(EN4="n",TRUE,IF(EN4="N",TRUE,FALSE))))</formula>
    </cfRule>
  </conditionalFormatting>
  <conditionalFormatting sqref="EN3">
    <cfRule type="expression" dxfId="90" priority="85">
      <formula>IF(EN3="YES",TRUE,IF(EN3="yes",TRUE,IF(EN3="y",TRUE,IF(EN3="Y",TRUE,FALSE))))</formula>
    </cfRule>
  </conditionalFormatting>
  <conditionalFormatting sqref="EI3 EI8 EI21:EI26">
    <cfRule type="expression" dxfId="89" priority="84">
      <formula>IF(EI3="NO",TRUE,IF(EI3="no",TRUE,IF(EI3="n",TRUE,IF(EI3="N",TRUE,FALSE))))</formula>
    </cfRule>
  </conditionalFormatting>
  <conditionalFormatting sqref="EI4">
    <cfRule type="expression" dxfId="88" priority="83">
      <formula>IF(EI4="NO",TRUE,IF(EI4="no",TRUE,IF(EI4="n",TRUE,IF(EI4="N",TRUE,FALSE))))</formula>
    </cfRule>
  </conditionalFormatting>
  <conditionalFormatting sqref="EI3">
    <cfRule type="expression" dxfId="87" priority="82">
      <formula>IF(EI3="YES",TRUE,IF(EI3="yes",TRUE,IF(EI3="y",TRUE,IF(EI3="Y",TRUE,FALSE))))</formula>
    </cfRule>
  </conditionalFormatting>
  <conditionalFormatting sqref="ED3 ED8 ED21:ED26">
    <cfRule type="expression" dxfId="86" priority="81">
      <formula>IF(ED3="NO",TRUE,IF(ED3="no",TRUE,IF(ED3="n",TRUE,IF(ED3="N",TRUE,FALSE))))</formula>
    </cfRule>
  </conditionalFormatting>
  <conditionalFormatting sqref="ED4">
    <cfRule type="expression" dxfId="85" priority="80">
      <formula>IF(ED4="NO",TRUE,IF(ED4="no",TRUE,IF(ED4="n",TRUE,IF(ED4="N",TRUE,FALSE))))</formula>
    </cfRule>
  </conditionalFormatting>
  <conditionalFormatting sqref="ED3">
    <cfRule type="expression" dxfId="84" priority="79">
      <formula>IF(ED3="YES",TRUE,IF(ED3="yes",TRUE,IF(ED3="y",TRUE,IF(ED3="Y",TRUE,FALSE))))</formula>
    </cfRule>
  </conditionalFormatting>
  <conditionalFormatting sqref="DY3 DY8 DY21:DY26">
    <cfRule type="expression" dxfId="83" priority="78">
      <formula>IF(DY3="NO",TRUE,IF(DY3="no",TRUE,IF(DY3="n",TRUE,IF(DY3="N",TRUE,FALSE))))</formula>
    </cfRule>
  </conditionalFormatting>
  <conditionalFormatting sqref="DY4">
    <cfRule type="expression" dxfId="82" priority="77">
      <formula>IF(DY4="NO",TRUE,IF(DY4="no",TRUE,IF(DY4="n",TRUE,IF(DY4="N",TRUE,FALSE))))</formula>
    </cfRule>
  </conditionalFormatting>
  <conditionalFormatting sqref="DY3">
    <cfRule type="expression" dxfId="81" priority="76">
      <formula>IF(DY3="YES",TRUE,IF(DY3="yes",TRUE,IF(DY3="y",TRUE,IF(DY3="Y",TRUE,FALSE))))</formula>
    </cfRule>
  </conditionalFormatting>
  <conditionalFormatting sqref="DT3 DT8 DT21:DT26">
    <cfRule type="expression" dxfId="80" priority="75">
      <formula>IF(DT3="NO",TRUE,IF(DT3="no",TRUE,IF(DT3="n",TRUE,IF(DT3="N",TRUE,FALSE))))</formula>
    </cfRule>
  </conditionalFormatting>
  <conditionalFormatting sqref="DT4">
    <cfRule type="expression" dxfId="79" priority="74">
      <formula>IF(DT4="NO",TRUE,IF(DT4="no",TRUE,IF(DT4="n",TRUE,IF(DT4="N",TRUE,FALSE))))</formula>
    </cfRule>
  </conditionalFormatting>
  <conditionalFormatting sqref="DT3">
    <cfRule type="expression" dxfId="78" priority="73">
      <formula>IF(DT3="YES",TRUE,IF(DT3="yes",TRUE,IF(DT3="y",TRUE,IF(DT3="Y",TRUE,FALSE))))</formula>
    </cfRule>
  </conditionalFormatting>
  <conditionalFormatting sqref="DO3 DO8 DO21:DO26">
    <cfRule type="expression" dxfId="77" priority="72">
      <formula>IF(DO3="NO",TRUE,IF(DO3="no",TRUE,IF(DO3="n",TRUE,IF(DO3="N",TRUE,FALSE))))</formula>
    </cfRule>
  </conditionalFormatting>
  <conditionalFormatting sqref="DO4">
    <cfRule type="expression" dxfId="76" priority="71">
      <formula>IF(DO4="NO",TRUE,IF(DO4="no",TRUE,IF(DO4="n",TRUE,IF(DO4="N",TRUE,FALSE))))</formula>
    </cfRule>
  </conditionalFormatting>
  <conditionalFormatting sqref="DO3">
    <cfRule type="expression" dxfId="75" priority="70">
      <formula>IF(DO3="YES",TRUE,IF(DO3="yes",TRUE,IF(DO3="y",TRUE,IF(DO3="Y",TRUE,FALSE))))</formula>
    </cfRule>
  </conditionalFormatting>
  <conditionalFormatting sqref="DJ3 DJ8 DJ21:DJ26">
    <cfRule type="expression" dxfId="74" priority="69">
      <formula>IF(DJ3="NO",TRUE,IF(DJ3="no",TRUE,IF(DJ3="n",TRUE,IF(DJ3="N",TRUE,FALSE))))</formula>
    </cfRule>
  </conditionalFormatting>
  <conditionalFormatting sqref="DJ4">
    <cfRule type="expression" dxfId="73" priority="68">
      <formula>IF(DJ4="NO",TRUE,IF(DJ4="no",TRUE,IF(DJ4="n",TRUE,IF(DJ4="N",TRUE,FALSE))))</formula>
    </cfRule>
  </conditionalFormatting>
  <conditionalFormatting sqref="DJ3">
    <cfRule type="expression" dxfId="72" priority="67">
      <formula>IF(DJ3="YES",TRUE,IF(DJ3="yes",TRUE,IF(DJ3="y",TRUE,IF(DJ3="Y",TRUE,FALSE))))</formula>
    </cfRule>
  </conditionalFormatting>
  <conditionalFormatting sqref="DE3 DE8 DE21:DE26">
    <cfRule type="expression" dxfId="71" priority="66">
      <formula>IF(DE3="NO",TRUE,IF(DE3="no",TRUE,IF(DE3="n",TRUE,IF(DE3="N",TRUE,FALSE))))</formula>
    </cfRule>
  </conditionalFormatting>
  <conditionalFormatting sqref="DE4">
    <cfRule type="expression" dxfId="70" priority="65">
      <formula>IF(DE4="NO",TRUE,IF(DE4="no",TRUE,IF(DE4="n",TRUE,IF(DE4="N",TRUE,FALSE))))</formula>
    </cfRule>
  </conditionalFormatting>
  <conditionalFormatting sqref="DE3">
    <cfRule type="expression" dxfId="69" priority="64">
      <formula>IF(DE3="YES",TRUE,IF(DE3="yes",TRUE,IF(DE3="y",TRUE,IF(DE3="Y",TRUE,FALSE))))</formula>
    </cfRule>
  </conditionalFormatting>
  <conditionalFormatting sqref="CZ3 CZ8 CZ21:CZ26">
    <cfRule type="expression" dxfId="68" priority="63">
      <formula>IF(CZ3="NO",TRUE,IF(CZ3="no",TRUE,IF(CZ3="n",TRUE,IF(CZ3="N",TRUE,FALSE))))</formula>
    </cfRule>
  </conditionalFormatting>
  <conditionalFormatting sqref="CZ4">
    <cfRule type="expression" dxfId="67" priority="62">
      <formula>IF(CZ4="NO",TRUE,IF(CZ4="no",TRUE,IF(CZ4="n",TRUE,IF(CZ4="N",TRUE,FALSE))))</formula>
    </cfRule>
  </conditionalFormatting>
  <conditionalFormatting sqref="CZ3">
    <cfRule type="expression" dxfId="66" priority="61">
      <formula>IF(CZ3="YES",TRUE,IF(CZ3="yes",TRUE,IF(CZ3="y",TRUE,IF(CZ3="Y",TRUE,FALSE))))</formula>
    </cfRule>
  </conditionalFormatting>
  <conditionalFormatting sqref="CU3 CU8 CU21:CU26">
    <cfRule type="expression" dxfId="65" priority="60">
      <formula>IF(CU3="NO",TRUE,IF(CU3="no",TRUE,IF(CU3="n",TRUE,IF(CU3="N",TRUE,FALSE))))</formula>
    </cfRule>
  </conditionalFormatting>
  <conditionalFormatting sqref="CU4">
    <cfRule type="expression" dxfId="64" priority="59">
      <formula>IF(CU4="NO",TRUE,IF(CU4="no",TRUE,IF(CU4="n",TRUE,IF(CU4="N",TRUE,FALSE))))</formula>
    </cfRule>
  </conditionalFormatting>
  <conditionalFormatting sqref="CU3">
    <cfRule type="expression" dxfId="63" priority="58">
      <formula>IF(CU3="YES",TRUE,IF(CU3="yes",TRUE,IF(CU3="y",TRUE,IF(CU3="Y",TRUE,FALSE))))</formula>
    </cfRule>
  </conditionalFormatting>
  <conditionalFormatting sqref="CP3 CP8 CP21:CP26">
    <cfRule type="expression" dxfId="62" priority="57">
      <formula>IF(CP3="NO",TRUE,IF(CP3="no",TRUE,IF(CP3="n",TRUE,IF(CP3="N",TRUE,FALSE))))</formula>
    </cfRule>
  </conditionalFormatting>
  <conditionalFormatting sqref="CP4">
    <cfRule type="expression" dxfId="61" priority="56">
      <formula>IF(CP4="NO",TRUE,IF(CP4="no",TRUE,IF(CP4="n",TRUE,IF(CP4="N",TRUE,FALSE))))</formula>
    </cfRule>
  </conditionalFormatting>
  <conditionalFormatting sqref="CP3">
    <cfRule type="expression" dxfId="60" priority="55">
      <formula>IF(CP3="YES",TRUE,IF(CP3="yes",TRUE,IF(CP3="y",TRUE,IF(CP3="Y",TRUE,FALSE))))</formula>
    </cfRule>
  </conditionalFormatting>
  <conditionalFormatting sqref="CK3 CK8 CK21:CK26">
    <cfRule type="expression" dxfId="59" priority="54">
      <formula>IF(CK3="NO",TRUE,IF(CK3="no",TRUE,IF(CK3="n",TRUE,IF(CK3="N",TRUE,FALSE))))</formula>
    </cfRule>
  </conditionalFormatting>
  <conditionalFormatting sqref="CK4">
    <cfRule type="expression" dxfId="58" priority="53">
      <formula>IF(CK4="NO",TRUE,IF(CK4="no",TRUE,IF(CK4="n",TRUE,IF(CK4="N",TRUE,FALSE))))</formula>
    </cfRule>
  </conditionalFormatting>
  <conditionalFormatting sqref="CK3">
    <cfRule type="expression" dxfId="57" priority="52">
      <formula>IF(CK3="YES",TRUE,IF(CK3="yes",TRUE,IF(CK3="y",TRUE,IF(CK3="Y",TRUE,FALSE))))</formula>
    </cfRule>
  </conditionalFormatting>
  <conditionalFormatting sqref="CF3 CF8 CF21:CF26">
    <cfRule type="expression" dxfId="56" priority="51">
      <formula>IF(CF3="NO",TRUE,IF(CF3="no",TRUE,IF(CF3="n",TRUE,IF(CF3="N",TRUE,FALSE))))</formula>
    </cfRule>
  </conditionalFormatting>
  <conditionalFormatting sqref="CF4">
    <cfRule type="expression" dxfId="55" priority="50">
      <formula>IF(CF4="NO",TRUE,IF(CF4="no",TRUE,IF(CF4="n",TRUE,IF(CF4="N",TRUE,FALSE))))</formula>
    </cfRule>
  </conditionalFormatting>
  <conditionalFormatting sqref="CF3">
    <cfRule type="expression" dxfId="54" priority="49">
      <formula>IF(CF3="YES",TRUE,IF(CF3="yes",TRUE,IF(CF3="y",TRUE,IF(CF3="Y",TRUE,FALSE))))</formula>
    </cfRule>
  </conditionalFormatting>
  <conditionalFormatting sqref="CA3 CA8 CA21:CA26">
    <cfRule type="expression" dxfId="53" priority="48">
      <formula>IF(CA3="NO",TRUE,IF(CA3="no",TRUE,IF(CA3="n",TRUE,IF(CA3="N",TRUE,FALSE))))</formula>
    </cfRule>
  </conditionalFormatting>
  <conditionalFormatting sqref="CA4">
    <cfRule type="expression" dxfId="52" priority="47">
      <formula>IF(CA4="NO",TRUE,IF(CA4="no",TRUE,IF(CA4="n",TRUE,IF(CA4="N",TRUE,FALSE))))</formula>
    </cfRule>
  </conditionalFormatting>
  <conditionalFormatting sqref="CA3">
    <cfRule type="expression" dxfId="51" priority="46">
      <formula>IF(CA3="YES",TRUE,IF(CA3="yes",TRUE,IF(CA3="y",TRUE,IF(CA3="Y",TRUE,FALSE))))</formula>
    </cfRule>
  </conditionalFormatting>
  <conditionalFormatting sqref="BV3 BV8 BV21:BV26">
    <cfRule type="expression" dxfId="50" priority="45">
      <formula>IF(BV3="NO",TRUE,IF(BV3="no",TRUE,IF(BV3="n",TRUE,IF(BV3="N",TRUE,FALSE))))</formula>
    </cfRule>
  </conditionalFormatting>
  <conditionalFormatting sqref="BV4">
    <cfRule type="expression" dxfId="49" priority="44">
      <formula>IF(BV4="NO",TRUE,IF(BV4="no",TRUE,IF(BV4="n",TRUE,IF(BV4="N",TRUE,FALSE))))</formula>
    </cfRule>
  </conditionalFormatting>
  <conditionalFormatting sqref="BV3">
    <cfRule type="expression" dxfId="48" priority="43">
      <formula>IF(BV3="YES",TRUE,IF(BV3="yes",TRUE,IF(BV3="y",TRUE,IF(BV3="Y",TRUE,FALSE))))</formula>
    </cfRule>
  </conditionalFormatting>
  <conditionalFormatting sqref="BQ3 BQ8 BQ21:BQ26">
    <cfRule type="expression" dxfId="47" priority="42">
      <formula>IF(BQ3="NO",TRUE,IF(BQ3="no",TRUE,IF(BQ3="n",TRUE,IF(BQ3="N",TRUE,FALSE))))</formula>
    </cfRule>
  </conditionalFormatting>
  <conditionalFormatting sqref="BQ4">
    <cfRule type="expression" dxfId="46" priority="41">
      <formula>IF(BQ4="NO",TRUE,IF(BQ4="no",TRUE,IF(BQ4="n",TRUE,IF(BQ4="N",TRUE,FALSE))))</formula>
    </cfRule>
  </conditionalFormatting>
  <conditionalFormatting sqref="BQ3">
    <cfRule type="expression" dxfId="45" priority="40">
      <formula>IF(BQ3="YES",TRUE,IF(BQ3="yes",TRUE,IF(BQ3="y",TRUE,IF(BQ3="Y",TRUE,FALSE))))</formula>
    </cfRule>
  </conditionalFormatting>
  <conditionalFormatting sqref="BL3 BL8 BL21:BL26">
    <cfRule type="expression" dxfId="44" priority="39">
      <formula>IF(BL3="NO",TRUE,IF(BL3="no",TRUE,IF(BL3="n",TRUE,IF(BL3="N",TRUE,FALSE))))</formula>
    </cfRule>
  </conditionalFormatting>
  <conditionalFormatting sqref="BL4">
    <cfRule type="expression" dxfId="43" priority="38">
      <formula>IF(BL4="NO",TRUE,IF(BL4="no",TRUE,IF(BL4="n",TRUE,IF(BL4="N",TRUE,FALSE))))</formula>
    </cfRule>
  </conditionalFormatting>
  <conditionalFormatting sqref="BL3">
    <cfRule type="expression" dxfId="42" priority="37">
      <formula>IF(BL3="YES",TRUE,IF(BL3="yes",TRUE,IF(BL3="y",TRUE,IF(BL3="Y",TRUE,FALSE))))</formula>
    </cfRule>
  </conditionalFormatting>
  <conditionalFormatting sqref="BG3 BG8 BG21:BG26">
    <cfRule type="expression" dxfId="41" priority="36">
      <formula>IF(BG3="NO",TRUE,IF(BG3="no",TRUE,IF(BG3="n",TRUE,IF(BG3="N",TRUE,FALSE))))</formula>
    </cfRule>
  </conditionalFormatting>
  <conditionalFormatting sqref="BG4">
    <cfRule type="expression" dxfId="40" priority="35">
      <formula>IF(BG4="NO",TRUE,IF(BG4="no",TRUE,IF(BG4="n",TRUE,IF(BG4="N",TRUE,FALSE))))</formula>
    </cfRule>
  </conditionalFormatting>
  <conditionalFormatting sqref="BG3">
    <cfRule type="expression" dxfId="39" priority="34">
      <formula>IF(BG3="YES",TRUE,IF(BG3="yes",TRUE,IF(BG3="y",TRUE,IF(BG3="Y",TRUE,FALSE))))</formula>
    </cfRule>
  </conditionalFormatting>
  <conditionalFormatting sqref="BB3 BB8 BB21:BB26">
    <cfRule type="expression" dxfId="38" priority="33">
      <formula>IF(BB3="NO",TRUE,IF(BB3="no",TRUE,IF(BB3="n",TRUE,IF(BB3="N",TRUE,FALSE))))</formula>
    </cfRule>
  </conditionalFormatting>
  <conditionalFormatting sqref="BB4">
    <cfRule type="expression" dxfId="37" priority="32">
      <formula>IF(BB4="NO",TRUE,IF(BB4="no",TRUE,IF(BB4="n",TRUE,IF(BB4="N",TRUE,FALSE))))</formula>
    </cfRule>
  </conditionalFormatting>
  <conditionalFormatting sqref="BB3">
    <cfRule type="expression" dxfId="36" priority="31">
      <formula>IF(BB3="YES",TRUE,IF(BB3="yes",TRUE,IF(BB3="y",TRUE,IF(BB3="Y",TRUE,FALSE))))</formula>
    </cfRule>
  </conditionalFormatting>
  <conditionalFormatting sqref="AW3 AW8 AW21:AW26">
    <cfRule type="expression" dxfId="35" priority="30">
      <formula>IF(AW3="NO",TRUE,IF(AW3="no",TRUE,IF(AW3="n",TRUE,IF(AW3="N",TRUE,FALSE))))</formula>
    </cfRule>
  </conditionalFormatting>
  <conditionalFormatting sqref="AW4">
    <cfRule type="expression" dxfId="34" priority="29">
      <formula>IF(AW4="NO",TRUE,IF(AW4="no",TRUE,IF(AW4="n",TRUE,IF(AW4="N",TRUE,FALSE))))</formula>
    </cfRule>
  </conditionalFormatting>
  <conditionalFormatting sqref="AW3">
    <cfRule type="expression" dxfId="33" priority="28">
      <formula>IF(AW3="YES",TRUE,IF(AW3="yes",TRUE,IF(AW3="y",TRUE,IF(AW3="Y",TRUE,FALSE))))</formula>
    </cfRule>
  </conditionalFormatting>
  <conditionalFormatting sqref="AR3 AR8 AR21:AR26">
    <cfRule type="expression" dxfId="32" priority="27">
      <formula>IF(AR3="NO",TRUE,IF(AR3="no",TRUE,IF(AR3="n",TRUE,IF(AR3="N",TRUE,FALSE))))</formula>
    </cfRule>
  </conditionalFormatting>
  <conditionalFormatting sqref="AR4">
    <cfRule type="expression" dxfId="31" priority="26">
      <formula>IF(AR4="NO",TRUE,IF(AR4="no",TRUE,IF(AR4="n",TRUE,IF(AR4="N",TRUE,FALSE))))</formula>
    </cfRule>
  </conditionalFormatting>
  <conditionalFormatting sqref="AR3">
    <cfRule type="expression" dxfId="30" priority="25">
      <formula>IF(AR3="YES",TRUE,IF(AR3="yes",TRUE,IF(AR3="y",TRUE,IF(AR3="Y",TRUE,FALSE))))</formula>
    </cfRule>
  </conditionalFormatting>
  <conditionalFormatting sqref="AM3 AM8 AM21:AM26">
    <cfRule type="expression" dxfId="29" priority="24">
      <formula>IF(AM3="NO",TRUE,IF(AM3="no",TRUE,IF(AM3="n",TRUE,IF(AM3="N",TRUE,FALSE))))</formula>
    </cfRule>
  </conditionalFormatting>
  <conditionalFormatting sqref="AM4">
    <cfRule type="expression" dxfId="28" priority="23">
      <formula>IF(AM4="NO",TRUE,IF(AM4="no",TRUE,IF(AM4="n",TRUE,IF(AM4="N",TRUE,FALSE))))</formula>
    </cfRule>
  </conditionalFormatting>
  <conditionalFormatting sqref="AM3">
    <cfRule type="expression" dxfId="27" priority="22">
      <formula>IF(AM3="YES",TRUE,IF(AM3="yes",TRUE,IF(AM3="y",TRUE,IF(AM3="Y",TRUE,FALSE))))</formula>
    </cfRule>
  </conditionalFormatting>
  <conditionalFormatting sqref="AH3 AH8 AH21:AH26">
    <cfRule type="expression" dxfId="26" priority="21">
      <formula>IF(AH3="NO",TRUE,IF(AH3="no",TRUE,IF(AH3="n",TRUE,IF(AH3="N",TRUE,FALSE))))</formula>
    </cfRule>
  </conditionalFormatting>
  <conditionalFormatting sqref="AH4">
    <cfRule type="expression" dxfId="25" priority="20">
      <formula>IF(AH4="NO",TRUE,IF(AH4="no",TRUE,IF(AH4="n",TRUE,IF(AH4="N",TRUE,FALSE))))</formula>
    </cfRule>
  </conditionalFormatting>
  <conditionalFormatting sqref="AH3">
    <cfRule type="expression" dxfId="24" priority="19">
      <formula>IF(AH3="YES",TRUE,IF(AH3="yes",TRUE,IF(AH3="y",TRUE,IF(AH3="Y",TRUE,FALSE))))</formula>
    </cfRule>
  </conditionalFormatting>
  <conditionalFormatting sqref="AC3 AC8 AC21:AC26">
    <cfRule type="expression" dxfId="23" priority="18">
      <formula>IF(AC3="NO",TRUE,IF(AC3="no",TRUE,IF(AC3="n",TRUE,IF(AC3="N",TRUE,FALSE))))</formula>
    </cfRule>
  </conditionalFormatting>
  <conditionalFormatting sqref="AC4">
    <cfRule type="expression" dxfId="22" priority="17">
      <formula>IF(AC4="NO",TRUE,IF(AC4="no",TRUE,IF(AC4="n",TRUE,IF(AC4="N",TRUE,FALSE))))</formula>
    </cfRule>
  </conditionalFormatting>
  <conditionalFormatting sqref="AC3">
    <cfRule type="expression" dxfId="21" priority="16">
      <formula>IF(AC3="YES",TRUE,IF(AC3="yes",TRUE,IF(AC3="y",TRUE,IF(AC3="Y",TRUE,FALSE))))</formula>
    </cfRule>
  </conditionalFormatting>
  <conditionalFormatting sqref="X3 X8 X21:X26">
    <cfRule type="expression" dxfId="20" priority="15">
      <formula>IF(X3="NO",TRUE,IF(X3="no",TRUE,IF(X3="n",TRUE,IF(X3="N",TRUE,FALSE))))</formula>
    </cfRule>
  </conditionalFormatting>
  <conditionalFormatting sqref="X4">
    <cfRule type="expression" dxfId="19" priority="14">
      <formula>IF(X4="NO",TRUE,IF(X4="no",TRUE,IF(X4="n",TRUE,IF(X4="N",TRUE,FALSE))))</formula>
    </cfRule>
  </conditionalFormatting>
  <conditionalFormatting sqref="X3">
    <cfRule type="expression" dxfId="18" priority="13">
      <formula>IF(X3="YES",TRUE,IF(X3="yes",TRUE,IF(X3="y",TRUE,IF(X3="Y",TRUE,FALSE))))</formula>
    </cfRule>
  </conditionalFormatting>
  <conditionalFormatting sqref="S3 S8 S21:S26">
    <cfRule type="expression" dxfId="17" priority="12">
      <formula>IF(S3="NO",TRUE,IF(S3="no",TRUE,IF(S3="n",TRUE,IF(S3="N",TRUE,FALSE))))</formula>
    </cfRule>
  </conditionalFormatting>
  <conditionalFormatting sqref="S4">
    <cfRule type="expression" dxfId="16" priority="11">
      <formula>IF(S4="NO",TRUE,IF(S4="no",TRUE,IF(S4="n",TRUE,IF(S4="N",TRUE,FALSE))))</formula>
    </cfRule>
  </conditionalFormatting>
  <conditionalFormatting sqref="S3">
    <cfRule type="expression" dxfId="15" priority="10">
      <formula>IF(S3="YES",TRUE,IF(S3="yes",TRUE,IF(S3="y",TRUE,IF(S3="Y",TRUE,FALSE))))</formula>
    </cfRule>
  </conditionalFormatting>
  <conditionalFormatting sqref="N3 N8 N21:N26">
    <cfRule type="expression" dxfId="14" priority="9">
      <formula>IF(N3="NO",TRUE,IF(N3="no",TRUE,IF(N3="n",TRUE,IF(N3="N",TRUE,FALSE))))</formula>
    </cfRule>
  </conditionalFormatting>
  <conditionalFormatting sqref="N4">
    <cfRule type="expression" dxfId="13" priority="8">
      <formula>IF(N4="NO",TRUE,IF(N4="no",TRUE,IF(N4="n",TRUE,IF(N4="N",TRUE,FALSE))))</formula>
    </cfRule>
  </conditionalFormatting>
  <conditionalFormatting sqref="N3">
    <cfRule type="expression" dxfId="12" priority="7">
      <formula>IF(N3="YES",TRUE,IF(N3="yes",TRUE,IF(N3="y",TRUE,IF(N3="Y",TRUE,FALSE))))</formula>
    </cfRule>
  </conditionalFormatting>
  <conditionalFormatting sqref="I3 I8 I21:I26">
    <cfRule type="expression" dxfId="11" priority="6">
      <formula>IF(I3="NO",TRUE,IF(I3="no",TRUE,IF(I3="n",TRUE,IF(I3="N",TRUE,FALSE))))</formula>
    </cfRule>
  </conditionalFormatting>
  <conditionalFormatting sqref="I4">
    <cfRule type="expression" dxfId="10" priority="5">
      <formula>IF(I4="NO",TRUE,IF(I4="no",TRUE,IF(I4="n",TRUE,IF(I4="N",TRUE,FALSE))))</formula>
    </cfRule>
  </conditionalFormatting>
  <conditionalFormatting sqref="I3">
    <cfRule type="expression" dxfId="9" priority="4">
      <formula>IF(I3="YES",TRUE,IF(I3="yes",TRUE,IF(I3="y",TRUE,IF(I3="Y",TRUE,FALSE))))</formula>
    </cfRule>
  </conditionalFormatting>
  <conditionalFormatting sqref="D3 D8 D21:D26">
    <cfRule type="expression" dxfId="2" priority="3">
      <formula>IF(D3="NO",TRUE,IF(D3="no",TRUE,IF(D3="n",TRUE,IF(D3="N",TRUE,FALSE))))</formula>
    </cfRule>
  </conditionalFormatting>
  <conditionalFormatting sqref="D4">
    <cfRule type="expression" dxfId="1" priority="2">
      <formula>IF(D4="NO",TRUE,IF(D4="no",TRUE,IF(D4="n",TRUE,IF(D4="N",TRUE,FALSE))))</formula>
    </cfRule>
  </conditionalFormatting>
  <conditionalFormatting sqref="D3">
    <cfRule type="expression" dxfId="0" priority="1">
      <formula>IF(D3="YES",TRUE,IF(D3="yes",TRUE,IF(D3="y",TRUE,IF(D3="Y",TRUE,FALSE))))</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P130"/>
  <sheetViews>
    <sheetView workbookViewId="0">
      <selection activeCell="C116" sqref="C116:E116"/>
    </sheetView>
  </sheetViews>
  <sheetFormatPr defaultRowHeight="13.8" x14ac:dyDescent="0.25"/>
  <sheetData>
    <row r="1" spans="1:5" ht="14.25" customHeight="1" x14ac:dyDescent="0.25">
      <c r="A1" s="261" t="s">
        <v>33</v>
      </c>
      <c r="B1" s="263">
        <v>44245</v>
      </c>
      <c r="C1" s="263"/>
      <c r="D1" s="265">
        <v>44245.264711111115</v>
      </c>
      <c r="E1" s="138"/>
    </row>
    <row r="2" spans="1:5" ht="15" customHeight="1" thickBot="1" x14ac:dyDescent="0.3">
      <c r="A2" s="262"/>
      <c r="B2" s="264"/>
      <c r="C2" s="264"/>
      <c r="D2" s="266"/>
      <c r="E2" s="84"/>
    </row>
    <row r="3" spans="1:5" ht="16.2" thickBot="1" x14ac:dyDescent="0.3">
      <c r="A3" s="58" t="s">
        <v>0</v>
      </c>
      <c r="B3" s="59"/>
      <c r="C3" s="60"/>
      <c r="D3" s="213" t="s">
        <v>31</v>
      </c>
      <c r="E3" s="214"/>
    </row>
    <row r="4" spans="1:5" ht="16.2" thickBot="1" x14ac:dyDescent="0.35">
      <c r="A4" s="61" t="s">
        <v>56</v>
      </c>
      <c r="B4" s="62"/>
      <c r="C4" s="62"/>
      <c r="D4" s="233">
        <v>131974</v>
      </c>
      <c r="E4" s="234"/>
    </row>
    <row r="5" spans="1:5" ht="15.6" thickBot="1" x14ac:dyDescent="0.3">
      <c r="A5" s="63" t="s">
        <v>54</v>
      </c>
      <c r="B5" s="62"/>
      <c r="C5" s="62"/>
      <c r="D5" s="237">
        <v>125350</v>
      </c>
      <c r="E5" s="238"/>
    </row>
    <row r="6" spans="1:5" ht="15.6" thickBot="1" x14ac:dyDescent="0.3">
      <c r="A6" s="63" t="s">
        <v>55</v>
      </c>
      <c r="B6" s="62"/>
      <c r="C6" s="62"/>
      <c r="D6" s="237">
        <v>6624</v>
      </c>
      <c r="E6" s="238"/>
    </row>
    <row r="7" spans="1:5" ht="16.2" thickBot="1" x14ac:dyDescent="0.35">
      <c r="A7" s="61" t="s">
        <v>38</v>
      </c>
      <c r="B7" s="62"/>
      <c r="C7" s="62"/>
      <c r="D7" s="235">
        <v>944.4</v>
      </c>
      <c r="E7" s="236"/>
    </row>
    <row r="8" spans="1:5" ht="16.2" thickBot="1" x14ac:dyDescent="0.35">
      <c r="A8" s="61" t="s">
        <v>43</v>
      </c>
      <c r="B8" s="62"/>
      <c r="C8" s="62"/>
      <c r="D8" s="233">
        <v>57908.5</v>
      </c>
      <c r="E8" s="234"/>
    </row>
    <row r="9" spans="1:5" x14ac:dyDescent="0.25">
      <c r="A9" s="267" t="s">
        <v>2</v>
      </c>
      <c r="B9" s="268"/>
      <c r="C9" s="269"/>
      <c r="D9" s="231">
        <v>57908.5</v>
      </c>
      <c r="E9" s="232"/>
    </row>
    <row r="10" spans="1:5" x14ac:dyDescent="0.25">
      <c r="A10" s="252" t="s">
        <v>4</v>
      </c>
      <c r="B10" s="253"/>
      <c r="C10" s="228"/>
      <c r="D10" s="229"/>
      <c r="E10" s="230"/>
    </row>
    <row r="11" spans="1:5" x14ac:dyDescent="0.25">
      <c r="A11" s="217" t="s">
        <v>98</v>
      </c>
      <c r="B11" s="218"/>
      <c r="C11" s="222">
        <v>8909</v>
      </c>
      <c r="D11" s="223"/>
      <c r="E11" s="224"/>
    </row>
    <row r="12" spans="1:5" x14ac:dyDescent="0.25">
      <c r="A12" s="217" t="s">
        <v>99</v>
      </c>
      <c r="B12" s="218"/>
      <c r="C12" s="222">
        <v>44545</v>
      </c>
      <c r="D12" s="223"/>
      <c r="E12" s="224"/>
    </row>
    <row r="13" spans="1:5" x14ac:dyDescent="0.25">
      <c r="A13" s="217" t="s">
        <v>41</v>
      </c>
      <c r="B13" s="218"/>
      <c r="C13" s="222">
        <v>0</v>
      </c>
      <c r="D13" s="223"/>
      <c r="E13" s="224"/>
    </row>
    <row r="14" spans="1:5" ht="14.4" thickBot="1" x14ac:dyDescent="0.3">
      <c r="A14" s="215" t="s">
        <v>101</v>
      </c>
      <c r="B14" s="216"/>
      <c r="C14" s="225">
        <v>4454.5</v>
      </c>
      <c r="D14" s="226"/>
      <c r="E14" s="227"/>
    </row>
    <row r="15" spans="1:5" x14ac:dyDescent="0.25">
      <c r="A15" s="267" t="s">
        <v>5</v>
      </c>
      <c r="B15" s="268"/>
      <c r="C15" s="269"/>
      <c r="D15" s="239">
        <v>0</v>
      </c>
      <c r="E15" s="240"/>
    </row>
    <row r="16" spans="1:5" x14ac:dyDescent="0.25">
      <c r="A16" s="252" t="s">
        <v>4</v>
      </c>
      <c r="B16" s="253"/>
      <c r="C16" s="228"/>
      <c r="D16" s="229"/>
      <c r="E16" s="230"/>
    </row>
    <row r="17" spans="1:5" x14ac:dyDescent="0.25">
      <c r="A17" s="217" t="s">
        <v>98</v>
      </c>
      <c r="B17" s="218"/>
      <c r="C17" s="222">
        <v>0</v>
      </c>
      <c r="D17" s="223"/>
      <c r="E17" s="224"/>
    </row>
    <row r="18" spans="1:5" x14ac:dyDescent="0.25">
      <c r="A18" s="217" t="s">
        <v>99</v>
      </c>
      <c r="B18" s="218"/>
      <c r="C18" s="222">
        <v>0</v>
      </c>
      <c r="D18" s="223"/>
      <c r="E18" s="224"/>
    </row>
    <row r="19" spans="1:5" x14ac:dyDescent="0.25">
      <c r="A19" s="217" t="s">
        <v>41</v>
      </c>
      <c r="B19" s="218"/>
      <c r="C19" s="219">
        <v>0</v>
      </c>
      <c r="D19" s="220"/>
      <c r="E19" s="221"/>
    </row>
    <row r="20" spans="1:5" ht="14.4" thickBot="1" x14ac:dyDescent="0.3">
      <c r="A20" s="215" t="s">
        <v>101</v>
      </c>
      <c r="B20" s="216"/>
      <c r="C20" s="225">
        <v>0</v>
      </c>
      <c r="D20" s="226"/>
      <c r="E20" s="227"/>
    </row>
    <row r="21" spans="1:5" ht="15.6" x14ac:dyDescent="0.3">
      <c r="A21" s="133" t="s">
        <v>285</v>
      </c>
      <c r="B21" s="65"/>
      <c r="C21" s="66"/>
      <c r="D21" s="256" t="s">
        <v>31</v>
      </c>
      <c r="E21" s="257"/>
    </row>
    <row r="22" spans="1:5" ht="15.6" x14ac:dyDescent="0.3">
      <c r="A22" s="67" t="s">
        <v>89</v>
      </c>
      <c r="B22" s="68"/>
      <c r="C22" s="69"/>
      <c r="D22" s="250" t="s">
        <v>52</v>
      </c>
      <c r="E22" s="251"/>
    </row>
    <row r="23" spans="1:5" ht="15.6" x14ac:dyDescent="0.3">
      <c r="A23" s="67" t="s">
        <v>88</v>
      </c>
      <c r="B23" s="68"/>
      <c r="C23" s="69"/>
      <c r="D23" s="250" t="s">
        <v>31</v>
      </c>
      <c r="E23" s="251"/>
    </row>
    <row r="24" spans="1:5" ht="15.6" x14ac:dyDescent="0.3">
      <c r="A24" s="67" t="s">
        <v>289</v>
      </c>
      <c r="B24" s="68"/>
      <c r="C24" s="69"/>
      <c r="D24" s="254">
        <v>2</v>
      </c>
      <c r="E24" s="255"/>
    </row>
    <row r="25" spans="1:5" ht="15.6" x14ac:dyDescent="0.3">
      <c r="A25" s="258" t="s">
        <v>288</v>
      </c>
      <c r="B25" s="259"/>
      <c r="C25" s="260"/>
      <c r="D25" s="250" t="s">
        <v>31</v>
      </c>
      <c r="E25" s="251"/>
    </row>
    <row r="26" spans="1:5" ht="15.6" x14ac:dyDescent="0.3">
      <c r="A26" s="67" t="s">
        <v>290</v>
      </c>
      <c r="B26" s="68"/>
      <c r="C26" s="69"/>
      <c r="D26" s="250" t="s">
        <v>238</v>
      </c>
      <c r="E26" s="251"/>
    </row>
    <row r="27" spans="1:5" ht="15.6" x14ac:dyDescent="0.3">
      <c r="A27" s="247" t="s">
        <v>73</v>
      </c>
      <c r="B27" s="248"/>
      <c r="C27" s="248"/>
      <c r="D27" s="248"/>
      <c r="E27" s="249"/>
    </row>
    <row r="28" spans="1:5" ht="49.5" customHeight="1" x14ac:dyDescent="0.25">
      <c r="A28" s="241" t="s">
        <v>479</v>
      </c>
      <c r="B28" s="242"/>
      <c r="C28" s="242"/>
      <c r="D28" s="242"/>
      <c r="E28" s="243"/>
    </row>
    <row r="29" spans="1:5" ht="49.5" customHeight="1" thickBot="1" x14ac:dyDescent="0.3">
      <c r="A29" s="244"/>
      <c r="B29" s="245"/>
      <c r="C29" s="245"/>
      <c r="D29" s="245"/>
      <c r="E29" s="246"/>
    </row>
    <row r="100" spans="1:250" ht="14.4" thickBot="1" x14ac:dyDescent="0.3"/>
    <row r="101" spans="1:250" ht="14.25" customHeight="1" x14ac:dyDescent="0.25">
      <c r="A101" s="261" t="str">
        <f>IF('Report History'!LI1=0,"",IFERROR('Report History'!LI1,""))</f>
        <v>Date:</v>
      </c>
      <c r="B101" s="263">
        <f>IF('Report History'!LJ1=0,"",IFERROR('Report History'!LJ1,""))</f>
        <v>44245</v>
      </c>
      <c r="C101" s="263" t="str">
        <f>IF('Report History'!LK1=0,"",IFERROR('Report History'!LK1,""))</f>
        <v/>
      </c>
      <c r="D101" s="265">
        <f>IF('Report History'!LL1=0,"",IFERROR('Report History'!LL1,""))</f>
        <v>44245.264711111115</v>
      </c>
      <c r="E101" s="139" t="str">
        <f>IF('Report History'!LM1=0,"",IFERROR('Report History'!LM1,""))</f>
        <v/>
      </c>
      <c r="F101" s="261" t="str">
        <f>IF('Report History'!LN1=0,"",IFERROR('Report History'!LN1,""))</f>
        <v>Date:</v>
      </c>
      <c r="G101" s="263">
        <f>IF('Report History'!LO1=0,"",IFERROR('Report History'!LO1,""))</f>
        <v>44244</v>
      </c>
      <c r="H101" s="263" t="str">
        <f>IF('Report History'!LP1=0,"",IFERROR('Report History'!LP1,""))</f>
        <v/>
      </c>
      <c r="I101" s="265">
        <f>IF('Report History'!LQ1=0,"",IFERROR('Report History'!LQ1,""))</f>
        <v>44244.194258680553</v>
      </c>
      <c r="J101" s="139" t="str">
        <f>IF('Report History'!LR1=0,"",IFERROR('Report History'!LR1,""))</f>
        <v/>
      </c>
      <c r="K101" s="261" t="str">
        <f>IF('Report History'!LS1=0,"",IFERROR('Report History'!LS1,""))</f>
        <v>Date:</v>
      </c>
      <c r="L101" s="263">
        <f>IF('Report History'!LT1=0,"",IFERROR('Report History'!LT1,""))</f>
        <v>44243</v>
      </c>
      <c r="M101" s="263" t="str">
        <f>IF('Report History'!LU1=0,"",IFERROR('Report History'!LU1,""))</f>
        <v/>
      </c>
      <c r="N101" s="265">
        <f>IF('Report History'!LV1=0,"",IFERROR('Report History'!LV1,""))</f>
        <v>44243.257997337962</v>
      </c>
      <c r="O101" s="139" t="str">
        <f>IF('Report History'!LW1=0,"",IFERROR('Report History'!LW1,""))</f>
        <v/>
      </c>
      <c r="P101" s="261" t="str">
        <f>IF('Report History'!LX1=0,"",IFERROR('Report History'!LX1,""))</f>
        <v>Date:</v>
      </c>
      <c r="Q101" s="263">
        <f>IF('Report History'!LY1=0,"",IFERROR('Report History'!LY1,""))</f>
        <v>44242</v>
      </c>
      <c r="R101" s="263" t="str">
        <f>IF('Report History'!LZ1=0,"",IFERROR('Report History'!LZ1,""))</f>
        <v/>
      </c>
      <c r="S101" s="265">
        <f>IF('Report History'!MA1=0,"",IFERROR('Report History'!MA1,""))</f>
        <v>44242.252646759262</v>
      </c>
      <c r="T101" s="139" t="str">
        <f>IF('Report History'!MB1=0,"",IFERROR('Report History'!MB1,""))</f>
        <v/>
      </c>
      <c r="U101" s="261" t="str">
        <f>IF('Report History'!MC1=0,"",IFERROR('Report History'!MC1,""))</f>
        <v>Date:</v>
      </c>
      <c r="V101" s="263">
        <f>IF('Report History'!MD1=0,"",IFERROR('Report History'!MD1,""))</f>
        <v>44241</v>
      </c>
      <c r="W101" s="263" t="str">
        <f>IF('Report History'!ME1=0,"",IFERROR('Report History'!ME1,""))</f>
        <v/>
      </c>
      <c r="X101" s="265">
        <f>IF('Report History'!MF1=0,"",IFERROR('Report History'!MF1,""))</f>
        <v>44241.260749189816</v>
      </c>
      <c r="Y101" s="139" t="str">
        <f>IF('Report History'!MG1=0,"",IFERROR('Report History'!MG1,""))</f>
        <v/>
      </c>
      <c r="Z101" s="261" t="str">
        <f>IF('Report History'!MH1=0,"",IFERROR('Report History'!MH1,""))</f>
        <v>Date:</v>
      </c>
      <c r="AA101" s="263">
        <f>IF('Report History'!MI1=0,"",IFERROR('Report History'!MI1,""))</f>
        <v>44240</v>
      </c>
      <c r="AB101" s="263" t="str">
        <f>IF('Report History'!MJ1=0,"",IFERROR('Report History'!MJ1,""))</f>
        <v/>
      </c>
      <c r="AC101" s="265">
        <f>IF('Report History'!MK1=0,"",IFERROR('Report History'!MK1,""))</f>
        <v>44240.223503587964</v>
      </c>
      <c r="AD101" s="139" t="str">
        <f>IF('Report History'!ML1=0,"",IFERROR('Report History'!ML1,""))</f>
        <v/>
      </c>
      <c r="AE101" s="261" t="str">
        <f>IF('Report History'!MM1=0,"",IFERROR('Report History'!MM1,""))</f>
        <v>Date:</v>
      </c>
      <c r="AF101" s="263">
        <f>IF('Report History'!MN1=0,"",IFERROR('Report History'!MN1,""))</f>
        <v>44239</v>
      </c>
      <c r="AG101" s="263" t="str">
        <f>IF('Report History'!MO1=0,"",IFERROR('Report History'!MO1,""))</f>
        <v/>
      </c>
      <c r="AH101" s="265">
        <f>IF('Report History'!MP1=0,"",IFERROR('Report History'!MP1,""))</f>
        <v>44239.233599074076</v>
      </c>
      <c r="AI101" s="139" t="str">
        <f>IF('Report History'!MQ1=0,"",IFERROR('Report History'!MQ1,""))</f>
        <v/>
      </c>
      <c r="AJ101" s="261" t="str">
        <f>IF('Report History'!MR1=0,"",IFERROR('Report History'!MR1,""))</f>
        <v>Date:</v>
      </c>
      <c r="AK101" s="263">
        <f>IF('Report History'!MS1=0,"",IFERROR('Report History'!MS1,""))</f>
        <v>44238</v>
      </c>
      <c r="AL101" s="263" t="str">
        <f>IF('Report History'!MT1=0,"",IFERROR('Report History'!MT1,""))</f>
        <v/>
      </c>
      <c r="AM101" s="265">
        <f>IF('Report History'!MU1=0,"",IFERROR('Report History'!MU1,""))</f>
        <v>44238.275876967593</v>
      </c>
      <c r="AN101" s="139" t="str">
        <f>IF('Report History'!MV1=0,"",IFERROR('Report History'!MV1,""))</f>
        <v/>
      </c>
      <c r="AO101" s="261" t="str">
        <f>IF('Report History'!MW1=0,"",IFERROR('Report History'!MW1,""))</f>
        <v>Date:</v>
      </c>
      <c r="AP101" s="263">
        <f>IF('Report History'!MX1=0,"",IFERROR('Report History'!MX1,""))</f>
        <v>44238</v>
      </c>
      <c r="AQ101" s="263" t="str">
        <f>IF('Report History'!MY1=0,"",IFERROR('Report History'!MY1,""))</f>
        <v/>
      </c>
      <c r="AR101" s="265">
        <f>IF('Report History'!MZ1=0,"",IFERROR('Report History'!MZ1,""))</f>
        <v>44238.260628935182</v>
      </c>
      <c r="AS101" s="139" t="str">
        <f>IF('Report History'!NA1=0,"",IFERROR('Report History'!NA1,""))</f>
        <v/>
      </c>
      <c r="AT101" s="261" t="str">
        <f>IF('Report History'!NB1=0,"",IFERROR('Report History'!NB1,""))</f>
        <v>Date:</v>
      </c>
      <c r="AU101" s="263">
        <f>IF('Report History'!NC1=0,"",IFERROR('Report History'!NC1,""))</f>
        <v>44237</v>
      </c>
      <c r="AV101" s="263" t="str">
        <f>IF('Report History'!ND1=0,"",IFERROR('Report History'!ND1,""))</f>
        <v/>
      </c>
      <c r="AW101" s="265">
        <f>IF('Report History'!NE1=0,"",IFERROR('Report History'!NE1,""))</f>
        <v>44237.208882638886</v>
      </c>
      <c r="AX101" s="139" t="str">
        <f>IF('Report History'!NF1=0,"",IFERROR('Report History'!NF1,""))</f>
        <v/>
      </c>
      <c r="AY101" s="261" t="str">
        <f>IF('Report History'!NG1=0,"",IFERROR('Report History'!NG1,""))</f>
        <v>Date:</v>
      </c>
      <c r="AZ101" s="263">
        <f>IF('Report History'!NH1=0,"",IFERROR('Report History'!NH1,""))</f>
        <v>44236</v>
      </c>
      <c r="BA101" s="263" t="str">
        <f>IF('Report History'!NI1=0,"",IFERROR('Report History'!NI1,""))</f>
        <v/>
      </c>
      <c r="BB101" s="265">
        <f>IF('Report History'!NJ1=0,"",IFERROR('Report History'!NJ1,""))</f>
        <v>44236.222404050925</v>
      </c>
      <c r="BC101" s="139" t="str">
        <f>IF('Report History'!NK1=0,"",IFERROR('Report History'!NK1,""))</f>
        <v/>
      </c>
      <c r="BD101" s="261" t="str">
        <f>IF('Report History'!NL1=0,"",IFERROR('Report History'!NL1,""))</f>
        <v>Date:</v>
      </c>
      <c r="BE101" s="263">
        <f>IF('Report History'!NM1=0,"",IFERROR('Report History'!NM1,""))</f>
        <v>44235</v>
      </c>
      <c r="BF101" s="263" t="str">
        <f>IF('Report History'!NN1=0,"",IFERROR('Report History'!NN1,""))</f>
        <v/>
      </c>
      <c r="BG101" s="265">
        <f>IF('Report History'!NO1=0,"",IFERROR('Report History'!NO1,""))</f>
        <v>44235.258846064811</v>
      </c>
      <c r="BH101" s="139" t="str">
        <f>IF('Report History'!NP1=0,"",IFERROR('Report History'!NP1,""))</f>
        <v/>
      </c>
      <c r="BI101" s="261" t="str">
        <f>IF('Report History'!NQ1=0,"",IFERROR('Report History'!NQ1,""))</f>
        <v>Date:</v>
      </c>
      <c r="BJ101" s="263">
        <f>IF('Report History'!NR1=0,"",IFERROR('Report History'!NR1,""))</f>
        <v>44234</v>
      </c>
      <c r="BK101" s="263" t="str">
        <f>IF('Report History'!NS1=0,"",IFERROR('Report History'!NS1,""))</f>
        <v/>
      </c>
      <c r="BL101" s="265">
        <f>IF('Report History'!NT1=0,"",IFERROR('Report History'!NT1,""))</f>
        <v>44234.246980208336</v>
      </c>
      <c r="BM101" s="139" t="str">
        <f>IF('Report History'!NU1=0,"",IFERROR('Report History'!NU1,""))</f>
        <v/>
      </c>
      <c r="BN101" s="261" t="str">
        <f>IF('Report History'!NV1=0,"",IFERROR('Report History'!NV1,""))</f>
        <v>Date:</v>
      </c>
      <c r="BO101" s="263">
        <f>IF('Report History'!NW1=0,"",IFERROR('Report History'!NW1,""))</f>
        <v>44233</v>
      </c>
      <c r="BP101" s="263" t="str">
        <f>IF('Report History'!NX1=0,"",IFERROR('Report History'!NX1,""))</f>
        <v/>
      </c>
      <c r="BQ101" s="265">
        <f>IF('Report History'!NY1=0,"",IFERROR('Report History'!NY1,""))</f>
        <v>44233.261965277779</v>
      </c>
      <c r="BR101" s="139" t="str">
        <f>IF('Report History'!NZ1=0,"",IFERROR('Report History'!NZ1,""))</f>
        <v/>
      </c>
      <c r="BS101" s="261" t="str">
        <f>IF('Report History'!OA1=0,"",IFERROR('Report History'!OA1,""))</f>
        <v>Date:</v>
      </c>
      <c r="BT101" s="263">
        <f>IF('Report History'!OB1=0,"",IFERROR('Report History'!OB1,""))</f>
        <v>44232</v>
      </c>
      <c r="BU101" s="263" t="str">
        <f>IF('Report History'!OC1=0,"",IFERROR('Report History'!OC1,""))</f>
        <v/>
      </c>
      <c r="BV101" s="265">
        <f>IF('Report History'!OD1=0,"",IFERROR('Report History'!OD1,""))</f>
        <v>44232.267253703707</v>
      </c>
      <c r="BW101" s="139" t="str">
        <f>IF('Report History'!OE1=0,"",IFERROR('Report History'!OE1,""))</f>
        <v/>
      </c>
      <c r="BX101" s="261" t="str">
        <f>IF('Report History'!OF1=0,"",IFERROR('Report History'!OF1,""))</f>
        <v>Date:</v>
      </c>
      <c r="BY101" s="263">
        <f>IF('Report History'!OG1=0,"",IFERROR('Report History'!OG1,""))</f>
        <v>44232</v>
      </c>
      <c r="BZ101" s="263" t="str">
        <f>IF('Report History'!OH1=0,"",IFERROR('Report History'!OH1,""))</f>
        <v/>
      </c>
      <c r="CA101" s="265">
        <f>IF('Report History'!OI1=0,"",IFERROR('Report History'!OI1,""))</f>
        <v>44232.253617476854</v>
      </c>
      <c r="CB101" s="139" t="str">
        <f>IF('Report History'!OJ1=0,"",IFERROR('Report History'!OJ1,""))</f>
        <v/>
      </c>
      <c r="CC101" s="261" t="str">
        <f>IF('Report History'!OK1=0,"",IFERROR('Report History'!OK1,""))</f>
        <v>Date:</v>
      </c>
      <c r="CD101" s="263">
        <f>IF('Report History'!OL1=0,"",IFERROR('Report History'!OL1,""))</f>
        <v>44231</v>
      </c>
      <c r="CE101" s="263" t="str">
        <f>IF('Report History'!OM1=0,"",IFERROR('Report History'!OM1,""))</f>
        <v/>
      </c>
      <c r="CF101" s="265">
        <f>IF('Report History'!ON1=0,"",IFERROR('Report History'!ON1,""))</f>
        <v>44231.256181828707</v>
      </c>
      <c r="CG101" s="139" t="str">
        <f>IF('Report History'!OO1=0,"",IFERROR('Report History'!OO1,""))</f>
        <v/>
      </c>
      <c r="CH101" s="261" t="str">
        <f>IF('Report History'!OP1=0,"",IFERROR('Report History'!OP1,""))</f>
        <v>Date:</v>
      </c>
      <c r="CI101" s="263">
        <f>IF('Report History'!OQ1=0,"",IFERROR('Report History'!OQ1,""))</f>
        <v>44230</v>
      </c>
      <c r="CJ101" s="263" t="str">
        <f>IF('Report History'!OR1=0,"",IFERROR('Report History'!OR1,""))</f>
        <v/>
      </c>
      <c r="CK101" s="265">
        <f>IF('Report History'!OS1=0,"",IFERROR('Report History'!OS1,""))</f>
        <v>44230.265900694445</v>
      </c>
      <c r="CL101" s="139" t="str">
        <f>IF('Report History'!OT1=0,"",IFERROR('Report History'!OT1,""))</f>
        <v/>
      </c>
      <c r="CM101" s="261" t="str">
        <f>IF('Report History'!OU1=0,"",IFERROR('Report History'!OU1,""))</f>
        <v>Date:</v>
      </c>
      <c r="CN101" s="263">
        <f>IF('Report History'!OV1=0,"",IFERROR('Report History'!OV1,""))</f>
        <v>44229</v>
      </c>
      <c r="CO101" s="263" t="str">
        <f>IF('Report History'!OW1=0,"",IFERROR('Report History'!OW1,""))</f>
        <v/>
      </c>
      <c r="CP101" s="265">
        <f>IF('Report History'!OX1=0,"",IFERROR('Report History'!OX1,""))</f>
        <v>44229.242296064818</v>
      </c>
      <c r="CQ101" s="139" t="str">
        <f>IF('Report History'!OY1=0,"",IFERROR('Report History'!OY1,""))</f>
        <v/>
      </c>
      <c r="CR101" s="261" t="str">
        <f>IF('Report History'!OZ1=0,"",IFERROR('Report History'!OZ1,""))</f>
        <v>Date:</v>
      </c>
      <c r="CS101" s="263">
        <f>IF('Report History'!PA1=0,"",IFERROR('Report History'!PA1,""))</f>
        <v>44228</v>
      </c>
      <c r="CT101" s="263" t="str">
        <f>IF('Report History'!PB1=0,"",IFERROR('Report History'!PB1,""))</f>
        <v/>
      </c>
      <c r="CU101" s="265">
        <f>IF('Report History'!PC1=0,"",IFERROR('Report History'!PC1,""))</f>
        <v>44228.237473726855</v>
      </c>
      <c r="CV101" s="139" t="str">
        <f>IF('Report History'!PD1=0,"",IFERROR('Report History'!PD1,""))</f>
        <v/>
      </c>
      <c r="CW101" s="261" t="str">
        <f>IF('Report History'!PE1=0,"",IFERROR('Report History'!PE1,""))</f>
        <v>Date:</v>
      </c>
      <c r="CX101" s="263">
        <f>IF('Report History'!PF1=0,"",IFERROR('Report History'!PF1,""))</f>
        <v>44227</v>
      </c>
      <c r="CY101" s="263" t="str">
        <f>IF('Report History'!PG1=0,"",IFERROR('Report History'!PG1,""))</f>
        <v/>
      </c>
      <c r="CZ101" s="265">
        <f>IF('Report History'!PH1=0,"",IFERROR('Report History'!PH1,""))</f>
        <v>44227.243875694447</v>
      </c>
      <c r="DA101" s="139" t="str">
        <f>IF('Report History'!PI1=0,"",IFERROR('Report History'!PI1,""))</f>
        <v/>
      </c>
      <c r="DB101" s="261" t="str">
        <f>IF('Report History'!PJ1=0,"",IFERROR('Report History'!PJ1,""))</f>
        <v>Date:</v>
      </c>
      <c r="DC101" s="263">
        <f>IF('Report History'!PK1=0,"",IFERROR('Report History'!PK1,""))</f>
        <v>44226</v>
      </c>
      <c r="DD101" s="263" t="str">
        <f>IF('Report History'!PL1=0,"",IFERROR('Report History'!PL1,""))</f>
        <v/>
      </c>
      <c r="DE101" s="265">
        <f>IF('Report History'!PM1=0,"",IFERROR('Report History'!PM1,""))</f>
        <v>44226.253497569443</v>
      </c>
      <c r="DF101" s="139" t="str">
        <f>IF('Report History'!PN1=0,"",IFERROR('Report History'!PN1,""))</f>
        <v/>
      </c>
      <c r="DG101" s="261" t="str">
        <f>IF('Report History'!PO1=0,"",IFERROR('Report History'!PO1,""))</f>
        <v>Date:</v>
      </c>
      <c r="DH101" s="263">
        <f>IF('Report History'!PP1=0,"",IFERROR('Report History'!PP1,""))</f>
        <v>44225</v>
      </c>
      <c r="DI101" s="263" t="str">
        <f>IF('Report History'!PQ1=0,"",IFERROR('Report History'!PQ1,""))</f>
        <v/>
      </c>
      <c r="DJ101" s="265">
        <f>IF('Report History'!PR1=0,"",IFERROR('Report History'!PR1,""))</f>
        <v>44225.252853819446</v>
      </c>
      <c r="DK101" s="139" t="str">
        <f>IF('Report History'!PS1=0,"",IFERROR('Report History'!PS1,""))</f>
        <v/>
      </c>
      <c r="DL101" s="261" t="str">
        <f>IF('Report History'!PT1=0,"",IFERROR('Report History'!PT1,""))</f>
        <v>Date:</v>
      </c>
      <c r="DM101" s="263">
        <f>IF('Report History'!PU1=0,"",IFERROR('Report History'!PU1,""))</f>
        <v>44224</v>
      </c>
      <c r="DN101" s="263" t="str">
        <f>IF('Report History'!PV1=0,"",IFERROR('Report History'!PV1,""))</f>
        <v/>
      </c>
      <c r="DO101" s="265">
        <f>IF('Report History'!PW1=0,"",IFERROR('Report History'!PW1,""))</f>
        <v>44224.267278240739</v>
      </c>
      <c r="DP101" s="139" t="str">
        <f>IF('Report History'!PX1=0,"",IFERROR('Report History'!PX1,""))</f>
        <v/>
      </c>
      <c r="DQ101" s="261" t="str">
        <f>IF('Report History'!PY1=0,"",IFERROR('Report History'!PY1,""))</f>
        <v>Date:</v>
      </c>
      <c r="DR101" s="263">
        <f>IF('Report History'!PZ1=0,"",IFERROR('Report History'!PZ1,""))</f>
        <v>44223</v>
      </c>
      <c r="DS101" s="263" t="str">
        <f>IF('Report History'!QA1=0,"",IFERROR('Report History'!QA1,""))</f>
        <v/>
      </c>
      <c r="DT101" s="265">
        <f>IF('Report History'!QB1=0,"",IFERROR('Report History'!QB1,""))</f>
        <v>44223.277345254632</v>
      </c>
      <c r="DU101" s="139" t="str">
        <f>IF('Report History'!QC1=0,"",IFERROR('Report History'!QC1,""))</f>
        <v/>
      </c>
      <c r="DV101" s="261" t="str">
        <f>IF('Report History'!QD1=0,"",IFERROR('Report History'!QD1,""))</f>
        <v>Date:</v>
      </c>
      <c r="DW101" s="263">
        <f>IF('Report History'!QE1=0,"",IFERROR('Report History'!QE1,""))</f>
        <v>44222</v>
      </c>
      <c r="DX101" s="263" t="str">
        <f>IF('Report History'!QF1=0,"",IFERROR('Report History'!QF1,""))</f>
        <v/>
      </c>
      <c r="DY101" s="265">
        <f>IF('Report History'!QG1=0,"",IFERROR('Report History'!QG1,""))</f>
        <v>44222.232467708331</v>
      </c>
      <c r="DZ101" s="139" t="str">
        <f>IF('Report History'!QH1=0,"",IFERROR('Report History'!QH1,""))</f>
        <v/>
      </c>
      <c r="EA101" s="261" t="str">
        <f>IF('Report History'!QI1=0,"",IFERROR('Report History'!QI1,""))</f>
        <v>Date:</v>
      </c>
      <c r="EB101" s="263">
        <f>IF('Report History'!QJ1=0,"",IFERROR('Report History'!QJ1,""))</f>
        <v>44221</v>
      </c>
      <c r="EC101" s="263" t="str">
        <f>IF('Report History'!QK1=0,"",IFERROR('Report History'!QK1,""))</f>
        <v/>
      </c>
      <c r="ED101" s="265">
        <f>IF('Report History'!QL1=0,"",IFERROR('Report History'!QL1,""))</f>
        <v>44221.243922453701</v>
      </c>
      <c r="EE101" s="139" t="str">
        <f>IF('Report History'!QM1=0,"",IFERROR('Report History'!QM1,""))</f>
        <v/>
      </c>
      <c r="EF101" s="261" t="str">
        <f>IF('Report History'!QN1=0,"",IFERROR('Report History'!QN1,""))</f>
        <v>Date:</v>
      </c>
      <c r="EG101" s="263">
        <f>IF('Report History'!QO1=0,"",IFERROR('Report History'!QO1,""))</f>
        <v>44221</v>
      </c>
      <c r="EH101" s="263" t="str">
        <f>IF('Report History'!QP1=0,"",IFERROR('Report History'!QP1,""))</f>
        <v/>
      </c>
      <c r="EI101" s="265">
        <f>IF('Report History'!QQ1=0,"",IFERROR('Report History'!QQ1,""))</f>
        <v>44221.238617939816</v>
      </c>
      <c r="EJ101" s="139" t="str">
        <f>IF('Report History'!QR1=0,"",IFERROR('Report History'!QR1,""))</f>
        <v/>
      </c>
      <c r="EK101" s="261" t="str">
        <f>IF('Report History'!QS1=0,"",IFERROR('Report History'!QS1,""))</f>
        <v>Date:</v>
      </c>
      <c r="EL101" s="263">
        <f>IF('Report History'!QT1=0,"",IFERROR('Report History'!QT1,""))</f>
        <v>44220</v>
      </c>
      <c r="EM101" s="263" t="str">
        <f>IF('Report History'!QU1=0,"",IFERROR('Report History'!QU1,""))</f>
        <v/>
      </c>
      <c r="EN101" s="265">
        <f>IF('Report History'!QV1=0,"",IFERROR('Report History'!QV1,""))</f>
        <v>44220.229181944444</v>
      </c>
      <c r="EO101" s="139" t="str">
        <f>IF('Report History'!QW1=0,"",IFERROR('Report History'!QW1,""))</f>
        <v/>
      </c>
      <c r="EP101" s="261" t="str">
        <f>IF('Report History'!QX1=0,"",IFERROR('Report History'!QX1,""))</f>
        <v>Date:</v>
      </c>
      <c r="EQ101" s="263">
        <f>IF('Report History'!QY1=0,"",IFERROR('Report History'!QY1,""))</f>
        <v>44219</v>
      </c>
      <c r="ER101" s="263" t="str">
        <f>IF('Report History'!QZ1=0,"",IFERROR('Report History'!QZ1,""))</f>
        <v/>
      </c>
      <c r="ES101" s="265">
        <f>IF('Report History'!RA1=0,"",IFERROR('Report History'!RA1,""))</f>
        <v>44219.284497685185</v>
      </c>
      <c r="ET101" s="139" t="str">
        <f>IF('Report History'!RB1=0,"",IFERROR('Report History'!RB1,""))</f>
        <v/>
      </c>
      <c r="EU101" s="261" t="str">
        <f>IF('Report History'!RC1=0,"",IFERROR('Report History'!RC1,""))</f>
        <v>Date:</v>
      </c>
      <c r="EV101" s="263">
        <f>IF('Report History'!RD1=0,"",IFERROR('Report History'!RD1,""))</f>
        <v>44218</v>
      </c>
      <c r="EW101" s="263" t="str">
        <f>IF('Report History'!RE1=0,"",IFERROR('Report History'!RE1,""))</f>
        <v/>
      </c>
      <c r="EX101" s="265">
        <f>IF('Report History'!RF1=0,"",IFERROR('Report History'!RF1,""))</f>
        <v>44218.277437152778</v>
      </c>
      <c r="EY101" s="139" t="str">
        <f>IF('Report History'!RG1=0,"",IFERROR('Report History'!RG1,""))</f>
        <v/>
      </c>
      <c r="EZ101" s="261" t="str">
        <f>IF('Report History'!RH1=0,"",IFERROR('Report History'!RH1,""))</f>
        <v>Date:</v>
      </c>
      <c r="FA101" s="263">
        <f>IF('Report History'!RI1=0,"",IFERROR('Report History'!RI1,""))</f>
        <v>44217</v>
      </c>
      <c r="FB101" s="263" t="str">
        <f>IF('Report History'!RJ1=0,"",IFERROR('Report History'!RJ1,""))</f>
        <v/>
      </c>
      <c r="FC101" s="265">
        <f>IF('Report History'!RK1=0,"",IFERROR('Report History'!RK1,""))</f>
        <v>44217.25578796296</v>
      </c>
      <c r="FD101" s="139" t="str">
        <f>IF('Report History'!RL1=0,"",IFERROR('Report History'!RL1,""))</f>
        <v/>
      </c>
      <c r="FE101" s="261" t="str">
        <f>IF('Report History'!RM1=0,"",IFERROR('Report History'!RM1,""))</f>
        <v>Date:</v>
      </c>
      <c r="FF101" s="263">
        <f>IF('Report History'!RN1=0,"",IFERROR('Report History'!RN1,""))</f>
        <v>44216</v>
      </c>
      <c r="FG101" s="263" t="str">
        <f>IF('Report History'!RO1=0,"",IFERROR('Report History'!RO1,""))</f>
        <v/>
      </c>
      <c r="FH101" s="265">
        <f>IF('Report History'!RP1=0,"",IFERROR('Report History'!RP1,""))</f>
        <v>44216.265094212962</v>
      </c>
      <c r="FI101" s="139" t="str">
        <f>IF('Report History'!RQ1=0,"",IFERROR('Report History'!RQ1,""))</f>
        <v/>
      </c>
      <c r="FJ101" s="261" t="str">
        <f>IF('Report History'!RR1=0,"",IFERROR('Report History'!RR1,""))</f>
        <v>Date:</v>
      </c>
      <c r="FK101" s="263">
        <f>IF('Report History'!RS1=0,"",IFERROR('Report History'!RS1,""))</f>
        <v>44215</v>
      </c>
      <c r="FL101" s="263" t="str">
        <f>IF('Report History'!RT1=0,"",IFERROR('Report History'!RT1,""))</f>
        <v/>
      </c>
      <c r="FM101" s="265">
        <f>IF('Report History'!RU1=0,"",IFERROR('Report History'!RU1,""))</f>
        <v>44215.28392037037</v>
      </c>
      <c r="FN101" s="139" t="str">
        <f>IF('Report History'!RV1=0,"",IFERROR('Report History'!RV1,""))</f>
        <v/>
      </c>
      <c r="FO101" s="261" t="str">
        <f>IF('Report History'!RW1=0,"",IFERROR('Report History'!RW1,""))</f>
        <v>Date:</v>
      </c>
      <c r="FP101" s="263">
        <f>IF('Report History'!RX1=0,"",IFERROR('Report History'!RX1,""))</f>
        <v>44215</v>
      </c>
      <c r="FQ101" s="263" t="str">
        <f>IF('Report History'!RY1=0,"",IFERROR('Report History'!RY1,""))</f>
        <v/>
      </c>
      <c r="FR101" s="265">
        <f>IF('Report History'!RZ1=0,"",IFERROR('Report History'!RZ1,""))</f>
        <v>44215.250812384256</v>
      </c>
      <c r="FS101" s="139" t="str">
        <f>IF('Report History'!SA1=0,"",IFERROR('Report History'!SA1,""))</f>
        <v/>
      </c>
      <c r="FT101" s="261" t="str">
        <f>IF('Report History'!SB1=0,"",IFERROR('Report History'!SB1,""))</f>
        <v>Date:</v>
      </c>
      <c r="FU101" s="263">
        <f>IF('Report History'!SC1=0,"",IFERROR('Report History'!SC1,""))</f>
        <v>44214</v>
      </c>
      <c r="FV101" s="263" t="str">
        <f>IF('Report History'!SD1=0,"",IFERROR('Report History'!SD1,""))</f>
        <v/>
      </c>
      <c r="FW101" s="265">
        <f>IF('Report History'!SE1=0,"",IFERROR('Report History'!SE1,""))</f>
        <v>44214.262341435184</v>
      </c>
      <c r="FX101" s="139" t="str">
        <f>IF('Report History'!SF1=0,"",IFERROR('Report History'!SF1,""))</f>
        <v/>
      </c>
      <c r="FY101" s="261" t="str">
        <f>IF('Report History'!SG1=0,"",IFERROR('Report History'!SG1,""))</f>
        <v>Date:</v>
      </c>
      <c r="FZ101" s="263">
        <f>IF('Report History'!SH1=0,"",IFERROR('Report History'!SH1,""))</f>
        <v>44213</v>
      </c>
      <c r="GA101" s="263" t="str">
        <f>IF('Report History'!SI1=0,"",IFERROR('Report History'!SI1,""))</f>
        <v/>
      </c>
      <c r="GB101" s="265">
        <f>IF('Report History'!SJ1=0,"",IFERROR('Report History'!SJ1,""))</f>
        <v>44213.248328472226</v>
      </c>
      <c r="GC101" s="139" t="str">
        <f>IF('Report History'!SK1=0,"",IFERROR('Report History'!SK1,""))</f>
        <v/>
      </c>
      <c r="GD101" s="261" t="str">
        <f>IF('Report History'!SL1=0,"",IFERROR('Report History'!SL1,""))</f>
        <v>Date:</v>
      </c>
      <c r="GE101" s="263">
        <f>IF('Report History'!SM1=0,"",IFERROR('Report History'!SM1,""))</f>
        <v>44212</v>
      </c>
      <c r="GF101" s="263" t="str">
        <f>IF('Report History'!SN1=0,"",IFERROR('Report History'!SN1,""))</f>
        <v/>
      </c>
      <c r="GG101" s="265">
        <f>IF('Report History'!SO1=0,"",IFERROR('Report History'!SO1,""))</f>
        <v>44212.268676736108</v>
      </c>
      <c r="GH101" s="139" t="str">
        <f>IF('Report History'!SP1=0,"",IFERROR('Report History'!SP1,""))</f>
        <v/>
      </c>
      <c r="GI101" s="261" t="str">
        <f>IF('Report History'!SQ1=0,"",IFERROR('Report History'!SQ1,""))</f>
        <v>Date:</v>
      </c>
      <c r="GJ101" s="263">
        <f>IF('Report History'!SR1=0,"",IFERROR('Report History'!SR1,""))</f>
        <v>44211</v>
      </c>
      <c r="GK101" s="263" t="str">
        <f>IF('Report History'!SS1=0,"",IFERROR('Report History'!SS1,""))</f>
        <v/>
      </c>
      <c r="GL101" s="265">
        <f>IF('Report History'!ST1=0,"",IFERROR('Report History'!ST1,""))</f>
        <v>44211.271274305553</v>
      </c>
      <c r="GM101" s="139" t="str">
        <f>IF('Report History'!SU1=0,"",IFERROR('Report History'!SU1,""))</f>
        <v/>
      </c>
      <c r="GN101" s="261" t="str">
        <f>IF('Report History'!SV1=0,"",IFERROR('Report History'!SV1,""))</f>
        <v>Date:</v>
      </c>
      <c r="GO101" s="263">
        <f>IF('Report History'!SW1=0,"",IFERROR('Report History'!SW1,""))</f>
        <v>44210</v>
      </c>
      <c r="GP101" s="263" t="str">
        <f>IF('Report History'!SX1=0,"",IFERROR('Report History'!SX1,""))</f>
        <v/>
      </c>
      <c r="GQ101" s="265">
        <f>IF('Report History'!SY1=0,"",IFERROR('Report History'!SY1,""))</f>
        <v>44210.215538773147</v>
      </c>
      <c r="GR101" s="139" t="str">
        <f>IF('Report History'!SZ1=0,"",IFERROR('Report History'!SZ1,""))</f>
        <v/>
      </c>
      <c r="GS101" s="261" t="str">
        <f>IF('Report History'!TA1=0,"",IFERROR('Report History'!TA1,""))</f>
        <v>Date:</v>
      </c>
      <c r="GT101" s="263">
        <f>IF('Report History'!TB1=0,"",IFERROR('Report History'!TB1,""))</f>
        <v>44209</v>
      </c>
      <c r="GU101" s="263" t="str">
        <f>IF('Report History'!TC1=0,"",IFERROR('Report History'!TC1,""))</f>
        <v/>
      </c>
      <c r="GV101" s="265">
        <f>IF('Report History'!TD1=0,"",IFERROR('Report History'!TD1,""))</f>
        <v>44209.205269560189</v>
      </c>
      <c r="GW101" s="139" t="str">
        <f>IF('Report History'!TE1=0,"",IFERROR('Report History'!TE1,""))</f>
        <v/>
      </c>
      <c r="GX101" s="261" t="str">
        <f>IF('Report History'!TF1=0,"",IFERROR('Report History'!TF1,""))</f>
        <v>Date:</v>
      </c>
      <c r="GY101" s="263">
        <f>IF('Report History'!TG1=0,"",IFERROR('Report History'!TG1,""))</f>
        <v>44208</v>
      </c>
      <c r="GZ101" s="263" t="str">
        <f>IF('Report History'!TH1=0,"",IFERROR('Report History'!TH1,""))</f>
        <v/>
      </c>
      <c r="HA101" s="265">
        <f>IF('Report History'!TI1=0,"",IFERROR('Report History'!TI1,""))</f>
        <v>44208.21551898148</v>
      </c>
      <c r="HB101" s="139" t="str">
        <f>IF('Report History'!TJ1=0,"",IFERROR('Report History'!TJ1,""))</f>
        <v/>
      </c>
      <c r="HC101" s="261" t="str">
        <f>IF('Report History'!TK1=0,"",IFERROR('Report History'!TK1,""))</f>
        <v>Date:</v>
      </c>
      <c r="HD101" s="263">
        <f>IF('Report History'!TL1=0,"",IFERROR('Report History'!TL1,""))</f>
        <v>44207</v>
      </c>
      <c r="HE101" s="263" t="str">
        <f>IF('Report History'!TM1=0,"",IFERROR('Report History'!TM1,""))</f>
        <v/>
      </c>
      <c r="HF101" s="265">
        <f>IF('Report History'!TN1=0,"",IFERROR('Report History'!TN1,""))</f>
        <v>44207.284428819446</v>
      </c>
      <c r="HG101" s="139" t="str">
        <f>IF('Report History'!TO1=0,"",IFERROR('Report History'!TO1,""))</f>
        <v/>
      </c>
      <c r="HH101" s="261" t="str">
        <f>IF('Report History'!TP1=0,"",IFERROR('Report History'!TP1,""))</f>
        <v>Date:</v>
      </c>
      <c r="HI101" s="263">
        <f>IF('Report History'!TQ1=0,"",IFERROR('Report History'!TQ1,""))</f>
        <v>44206</v>
      </c>
      <c r="HJ101" s="263" t="str">
        <f>IF('Report History'!TR1=0,"",IFERROR('Report History'!TR1,""))</f>
        <v/>
      </c>
      <c r="HK101" s="265">
        <f>IF('Report History'!TS1=0,"",IFERROR('Report History'!TS1,""))</f>
        <v>44206.283778240744</v>
      </c>
      <c r="HL101" s="139" t="str">
        <f>IF('Report History'!TT1=0,"",IFERROR('Report History'!TT1,""))</f>
        <v/>
      </c>
      <c r="HM101" s="261" t="str">
        <f>IF('Report History'!TU1=0,"",IFERROR('Report History'!TU1,""))</f>
        <v>Date:</v>
      </c>
      <c r="HN101" s="263">
        <f>IF('Report History'!TV1=0,"",IFERROR('Report History'!TV1,""))</f>
        <v>44205</v>
      </c>
      <c r="HO101" s="263" t="str">
        <f>IF('Report History'!TW1=0,"",IFERROR('Report History'!TW1,""))</f>
        <v/>
      </c>
      <c r="HP101" s="265">
        <f>IF('Report History'!TX1=0,"",IFERROR('Report History'!TX1,""))</f>
        <v>44205.26277789352</v>
      </c>
      <c r="HQ101" s="139" t="str">
        <f>IF('Report History'!TY1=0,"",IFERROR('Report History'!TY1,""))</f>
        <v/>
      </c>
      <c r="HR101" s="261" t="str">
        <f>IF('Report History'!TZ1=0,"",IFERROR('Report History'!TZ1,""))</f>
        <v>Date:</v>
      </c>
      <c r="HS101" s="263">
        <f>IF('Report History'!UA1=0,"",IFERROR('Report History'!UA1,""))</f>
        <v>44204</v>
      </c>
      <c r="HT101" s="263" t="str">
        <f>IF('Report History'!UB1=0,"",IFERROR('Report History'!UB1,""))</f>
        <v/>
      </c>
      <c r="HU101" s="265">
        <f>IF('Report History'!UC1=0,"",IFERROR('Report History'!UC1,""))</f>
        <v>44204.283361921298</v>
      </c>
      <c r="HV101" s="139" t="str">
        <f>IF('Report History'!UD1=0,"",IFERROR('Report History'!UD1,""))</f>
        <v/>
      </c>
      <c r="HW101" s="261" t="str">
        <f>IF('Report History'!UE1=0,"",IFERROR('Report History'!UE1,""))</f>
        <v>Date:</v>
      </c>
      <c r="HX101" s="263">
        <f>IF('Report History'!UF1=0,"",IFERROR('Report History'!UF1,""))</f>
        <v>44203</v>
      </c>
      <c r="HY101" s="263" t="str">
        <f>IF('Report History'!UG1=0,"",IFERROR('Report History'!UG1,""))</f>
        <v/>
      </c>
      <c r="HZ101" s="265">
        <f>IF('Report History'!UH1=0,"",IFERROR('Report History'!UH1,""))</f>
        <v>44203.293798379629</v>
      </c>
      <c r="IA101" s="139" t="str">
        <f>IF('Report History'!UI1=0,"",IFERROR('Report History'!UI1,""))</f>
        <v/>
      </c>
      <c r="IB101" s="261" t="str">
        <f>IF('Report History'!UJ1=0,"",IFERROR('Report History'!UJ1,""))</f>
        <v>Date:</v>
      </c>
      <c r="IC101" s="263">
        <f>IF('Report History'!UK1=0,"",IFERROR('Report History'!UK1,""))</f>
        <v>44202</v>
      </c>
      <c r="ID101" s="263" t="str">
        <f>IF('Report History'!UL1=0,"",IFERROR('Report History'!UL1,""))</f>
        <v/>
      </c>
      <c r="IE101" s="265">
        <f>IF('Report History'!UM1=0,"",IFERROR('Report History'!UM1,""))</f>
        <v>44202.251058680558</v>
      </c>
      <c r="IF101" s="139" t="str">
        <f>IF('Report History'!UN1=0,"",IFERROR('Report History'!UN1,""))</f>
        <v/>
      </c>
      <c r="IG101" s="261" t="str">
        <f>IF('Report History'!UO1=0,"",IFERROR('Report History'!UO1,""))</f>
        <v>Date:</v>
      </c>
      <c r="IH101" s="263">
        <f>IF('Report History'!UP1=0,"",IFERROR('Report History'!UP1,""))</f>
        <v>44201</v>
      </c>
      <c r="II101" s="263" t="str">
        <f>IF('Report History'!UQ1=0,"",IFERROR('Report History'!UQ1,""))</f>
        <v/>
      </c>
      <c r="IJ101" s="265">
        <f>IF('Report History'!UR1=0,"",IFERROR('Report History'!UR1,""))</f>
        <v>44201.220316435189</v>
      </c>
      <c r="IK101" s="139" t="str">
        <f>IF('Report History'!US1=0,"",IFERROR('Report History'!US1,""))</f>
        <v/>
      </c>
      <c r="IL101" s="261" t="str">
        <f>IF('Report History'!UT1=0,"",IFERROR('Report History'!UT1,""))</f>
        <v>Date:</v>
      </c>
      <c r="IM101" s="263">
        <f>IF('Report History'!UU1=0,"",IFERROR('Report History'!UU1,""))</f>
        <v>44200</v>
      </c>
      <c r="IN101" s="263" t="str">
        <f>IF('Report History'!UV1=0,"",IFERROR('Report History'!UV1,""))</f>
        <v/>
      </c>
      <c r="IO101" s="265">
        <f>IF('Report History'!UW1=0,"",IFERROR('Report History'!UW1,""))</f>
        <v>44200.272603356483</v>
      </c>
      <c r="IP101" s="139" t="str">
        <f>IF('Report History'!UX1=0,"",IFERROR('Report History'!UX1,""))</f>
        <v/>
      </c>
    </row>
    <row r="102" spans="1:250" ht="15" customHeight="1" thickBot="1" x14ac:dyDescent="0.3">
      <c r="A102" s="262" t="str">
        <f>IF('Report History'!LI2=0,"",IFERROR('Report History'!LI2,""))</f>
        <v/>
      </c>
      <c r="B102" s="264" t="str">
        <f>IF('Report History'!LJ2=0,"",IFERROR('Report History'!LJ2,""))</f>
        <v/>
      </c>
      <c r="C102" s="264" t="str">
        <f>IF('Report History'!LK2=0,"",IFERROR('Report History'!LK2,""))</f>
        <v/>
      </c>
      <c r="D102" s="266" t="str">
        <f>IF('Report History'!LL2=0,"",IFERROR('Report History'!LL2,""))</f>
        <v/>
      </c>
      <c r="E102" s="140" t="str">
        <f>IF('Report History'!LM2=0,"",IFERROR('Report History'!LM2,""))</f>
        <v/>
      </c>
      <c r="F102" s="262" t="str">
        <f>IF('Report History'!LN2=0,"",IFERROR('Report History'!LN2,""))</f>
        <v/>
      </c>
      <c r="G102" s="264" t="str">
        <f>IF('Report History'!LO2=0,"",IFERROR('Report History'!LO2,""))</f>
        <v/>
      </c>
      <c r="H102" s="264" t="str">
        <f>IF('Report History'!LP2=0,"",IFERROR('Report History'!LP2,""))</f>
        <v/>
      </c>
      <c r="I102" s="266" t="str">
        <f>IF('Report History'!LQ2=0,"",IFERROR('Report History'!LQ2,""))</f>
        <v/>
      </c>
      <c r="J102" s="140" t="str">
        <f>IF('Report History'!LR2=0,"",IFERROR('Report History'!LR2,""))</f>
        <v/>
      </c>
      <c r="K102" s="262" t="str">
        <f>IF('Report History'!LS2=0,"",IFERROR('Report History'!LS2,""))</f>
        <v/>
      </c>
      <c r="L102" s="264" t="str">
        <f>IF('Report History'!LT2=0,"",IFERROR('Report History'!LT2,""))</f>
        <v/>
      </c>
      <c r="M102" s="264" t="str">
        <f>IF('Report History'!LU2=0,"",IFERROR('Report History'!LU2,""))</f>
        <v/>
      </c>
      <c r="N102" s="266" t="str">
        <f>IF('Report History'!LV2=0,"",IFERROR('Report History'!LV2,""))</f>
        <v/>
      </c>
      <c r="O102" s="140" t="str">
        <f>IF('Report History'!LW2=0,"",IFERROR('Report History'!LW2,""))</f>
        <v/>
      </c>
      <c r="P102" s="262" t="str">
        <f>IF('Report History'!LX2=0,"",IFERROR('Report History'!LX2,""))</f>
        <v/>
      </c>
      <c r="Q102" s="264" t="str">
        <f>IF('Report History'!LY2=0,"",IFERROR('Report History'!LY2,""))</f>
        <v/>
      </c>
      <c r="R102" s="264" t="str">
        <f>IF('Report History'!LZ2=0,"",IFERROR('Report History'!LZ2,""))</f>
        <v/>
      </c>
      <c r="S102" s="266" t="str">
        <f>IF('Report History'!MA2=0,"",IFERROR('Report History'!MA2,""))</f>
        <v/>
      </c>
      <c r="T102" s="140" t="str">
        <f>IF('Report History'!MB2=0,"",IFERROR('Report History'!MB2,""))</f>
        <v/>
      </c>
      <c r="U102" s="262" t="str">
        <f>IF('Report History'!MC2=0,"",IFERROR('Report History'!MC2,""))</f>
        <v/>
      </c>
      <c r="V102" s="264" t="str">
        <f>IF('Report History'!MD2=0,"",IFERROR('Report History'!MD2,""))</f>
        <v/>
      </c>
      <c r="W102" s="264" t="str">
        <f>IF('Report History'!ME2=0,"",IFERROR('Report History'!ME2,""))</f>
        <v/>
      </c>
      <c r="X102" s="266" t="str">
        <f>IF('Report History'!MF2=0,"",IFERROR('Report History'!MF2,""))</f>
        <v/>
      </c>
      <c r="Y102" s="140" t="str">
        <f>IF('Report History'!MG2=0,"",IFERROR('Report History'!MG2,""))</f>
        <v/>
      </c>
      <c r="Z102" s="262" t="str">
        <f>IF('Report History'!MH2=0,"",IFERROR('Report History'!MH2,""))</f>
        <v/>
      </c>
      <c r="AA102" s="264" t="str">
        <f>IF('Report History'!MI2=0,"",IFERROR('Report History'!MI2,""))</f>
        <v/>
      </c>
      <c r="AB102" s="264" t="str">
        <f>IF('Report History'!MJ2=0,"",IFERROR('Report History'!MJ2,""))</f>
        <v/>
      </c>
      <c r="AC102" s="266" t="str">
        <f>IF('Report History'!MK2=0,"",IFERROR('Report History'!MK2,""))</f>
        <v/>
      </c>
      <c r="AD102" s="140" t="str">
        <f>IF('Report History'!ML2=0,"",IFERROR('Report History'!ML2,""))</f>
        <v/>
      </c>
      <c r="AE102" s="262" t="str">
        <f>IF('Report History'!MM2=0,"",IFERROR('Report History'!MM2,""))</f>
        <v/>
      </c>
      <c r="AF102" s="264" t="str">
        <f>IF('Report History'!MN2=0,"",IFERROR('Report History'!MN2,""))</f>
        <v/>
      </c>
      <c r="AG102" s="264" t="str">
        <f>IF('Report History'!MO2=0,"",IFERROR('Report History'!MO2,""))</f>
        <v/>
      </c>
      <c r="AH102" s="266" t="str">
        <f>IF('Report History'!MP2=0,"",IFERROR('Report History'!MP2,""))</f>
        <v/>
      </c>
      <c r="AI102" s="140" t="str">
        <f>IF('Report History'!MQ2=0,"",IFERROR('Report History'!MQ2,""))</f>
        <v/>
      </c>
      <c r="AJ102" s="262" t="str">
        <f>IF('Report History'!MR2=0,"",IFERROR('Report History'!MR2,""))</f>
        <v/>
      </c>
      <c r="AK102" s="264" t="str">
        <f>IF('Report History'!MS2=0,"",IFERROR('Report History'!MS2,""))</f>
        <v/>
      </c>
      <c r="AL102" s="264" t="str">
        <f>IF('Report History'!MT2=0,"",IFERROR('Report History'!MT2,""))</f>
        <v/>
      </c>
      <c r="AM102" s="266" t="str">
        <f>IF('Report History'!MU2=0,"",IFERROR('Report History'!MU2,""))</f>
        <v/>
      </c>
      <c r="AN102" s="140" t="str">
        <f>IF('Report History'!MV2=0,"",IFERROR('Report History'!MV2,""))</f>
        <v/>
      </c>
      <c r="AO102" s="262" t="str">
        <f>IF('Report History'!MW2=0,"",IFERROR('Report History'!MW2,""))</f>
        <v/>
      </c>
      <c r="AP102" s="264" t="str">
        <f>IF('Report History'!MX2=0,"",IFERROR('Report History'!MX2,""))</f>
        <v/>
      </c>
      <c r="AQ102" s="264" t="str">
        <f>IF('Report History'!MY2=0,"",IFERROR('Report History'!MY2,""))</f>
        <v/>
      </c>
      <c r="AR102" s="266" t="str">
        <f>IF('Report History'!MZ2=0,"",IFERROR('Report History'!MZ2,""))</f>
        <v/>
      </c>
      <c r="AS102" s="140" t="str">
        <f>IF('Report History'!NA2=0,"",IFERROR('Report History'!NA2,""))</f>
        <v/>
      </c>
      <c r="AT102" s="262" t="str">
        <f>IF('Report History'!NB2=0,"",IFERROR('Report History'!NB2,""))</f>
        <v/>
      </c>
      <c r="AU102" s="264" t="str">
        <f>IF('Report History'!NC2=0,"",IFERROR('Report History'!NC2,""))</f>
        <v/>
      </c>
      <c r="AV102" s="264" t="str">
        <f>IF('Report History'!ND2=0,"",IFERROR('Report History'!ND2,""))</f>
        <v/>
      </c>
      <c r="AW102" s="266" t="str">
        <f>IF('Report History'!NE2=0,"",IFERROR('Report History'!NE2,""))</f>
        <v/>
      </c>
      <c r="AX102" s="140" t="str">
        <f>IF('Report History'!NF2=0,"",IFERROR('Report History'!NF2,""))</f>
        <v/>
      </c>
      <c r="AY102" s="262" t="str">
        <f>IF('Report History'!NG2=0,"",IFERROR('Report History'!NG2,""))</f>
        <v/>
      </c>
      <c r="AZ102" s="264" t="str">
        <f>IF('Report History'!NH2=0,"",IFERROR('Report History'!NH2,""))</f>
        <v/>
      </c>
      <c r="BA102" s="264" t="str">
        <f>IF('Report History'!NI2=0,"",IFERROR('Report History'!NI2,""))</f>
        <v/>
      </c>
      <c r="BB102" s="266" t="str">
        <f>IF('Report History'!NJ2=0,"",IFERROR('Report History'!NJ2,""))</f>
        <v/>
      </c>
      <c r="BC102" s="140" t="str">
        <f>IF('Report History'!NK2=0,"",IFERROR('Report History'!NK2,""))</f>
        <v/>
      </c>
      <c r="BD102" s="262" t="str">
        <f>IF('Report History'!NL2=0,"",IFERROR('Report History'!NL2,""))</f>
        <v/>
      </c>
      <c r="BE102" s="264" t="str">
        <f>IF('Report History'!NM2=0,"",IFERROR('Report History'!NM2,""))</f>
        <v/>
      </c>
      <c r="BF102" s="264" t="str">
        <f>IF('Report History'!NN2=0,"",IFERROR('Report History'!NN2,""))</f>
        <v/>
      </c>
      <c r="BG102" s="266" t="str">
        <f>IF('Report History'!NO2=0,"",IFERROR('Report History'!NO2,""))</f>
        <v/>
      </c>
      <c r="BH102" s="140" t="str">
        <f>IF('Report History'!NP2=0,"",IFERROR('Report History'!NP2,""))</f>
        <v/>
      </c>
      <c r="BI102" s="262" t="str">
        <f>IF('Report History'!NQ2=0,"",IFERROR('Report History'!NQ2,""))</f>
        <v/>
      </c>
      <c r="BJ102" s="264" t="str">
        <f>IF('Report History'!NR2=0,"",IFERROR('Report History'!NR2,""))</f>
        <v/>
      </c>
      <c r="BK102" s="264" t="str">
        <f>IF('Report History'!NS2=0,"",IFERROR('Report History'!NS2,""))</f>
        <v/>
      </c>
      <c r="BL102" s="266" t="str">
        <f>IF('Report History'!NT2=0,"",IFERROR('Report History'!NT2,""))</f>
        <v/>
      </c>
      <c r="BM102" s="140" t="str">
        <f>IF('Report History'!NU2=0,"",IFERROR('Report History'!NU2,""))</f>
        <v/>
      </c>
      <c r="BN102" s="262" t="str">
        <f>IF('Report History'!NV2=0,"",IFERROR('Report History'!NV2,""))</f>
        <v/>
      </c>
      <c r="BO102" s="264" t="str">
        <f>IF('Report History'!NW2=0,"",IFERROR('Report History'!NW2,""))</f>
        <v/>
      </c>
      <c r="BP102" s="264" t="str">
        <f>IF('Report History'!NX2=0,"",IFERROR('Report History'!NX2,""))</f>
        <v/>
      </c>
      <c r="BQ102" s="266" t="str">
        <f>IF('Report History'!NY2=0,"",IFERROR('Report History'!NY2,""))</f>
        <v/>
      </c>
      <c r="BR102" s="140" t="str">
        <f>IF('Report History'!NZ2=0,"",IFERROR('Report History'!NZ2,""))</f>
        <v/>
      </c>
      <c r="BS102" s="262" t="str">
        <f>IF('Report History'!OA2=0,"",IFERROR('Report History'!OA2,""))</f>
        <v/>
      </c>
      <c r="BT102" s="264" t="str">
        <f>IF('Report History'!OB2=0,"",IFERROR('Report History'!OB2,""))</f>
        <v/>
      </c>
      <c r="BU102" s="264" t="str">
        <f>IF('Report History'!OC2=0,"",IFERROR('Report History'!OC2,""))</f>
        <v/>
      </c>
      <c r="BV102" s="266" t="str">
        <f>IF('Report History'!OD2=0,"",IFERROR('Report History'!OD2,""))</f>
        <v/>
      </c>
      <c r="BW102" s="140" t="str">
        <f>IF('Report History'!OE2=0,"",IFERROR('Report History'!OE2,""))</f>
        <v/>
      </c>
      <c r="BX102" s="262" t="str">
        <f>IF('Report History'!OF2=0,"",IFERROR('Report History'!OF2,""))</f>
        <v/>
      </c>
      <c r="BY102" s="264" t="str">
        <f>IF('Report History'!OG2=0,"",IFERROR('Report History'!OG2,""))</f>
        <v/>
      </c>
      <c r="BZ102" s="264" t="str">
        <f>IF('Report History'!OH2=0,"",IFERROR('Report History'!OH2,""))</f>
        <v/>
      </c>
      <c r="CA102" s="266" t="str">
        <f>IF('Report History'!OI2=0,"",IFERROR('Report History'!OI2,""))</f>
        <v/>
      </c>
      <c r="CB102" s="140" t="str">
        <f>IF('Report History'!OJ2=0,"",IFERROR('Report History'!OJ2,""))</f>
        <v/>
      </c>
      <c r="CC102" s="262" t="str">
        <f>IF('Report History'!OK2=0,"",IFERROR('Report History'!OK2,""))</f>
        <v/>
      </c>
      <c r="CD102" s="264" t="str">
        <f>IF('Report History'!OL2=0,"",IFERROR('Report History'!OL2,""))</f>
        <v/>
      </c>
      <c r="CE102" s="264" t="str">
        <f>IF('Report History'!OM2=0,"",IFERROR('Report History'!OM2,""))</f>
        <v/>
      </c>
      <c r="CF102" s="266" t="str">
        <f>IF('Report History'!ON2=0,"",IFERROR('Report History'!ON2,""))</f>
        <v/>
      </c>
      <c r="CG102" s="140" t="str">
        <f>IF('Report History'!OO2=0,"",IFERROR('Report History'!OO2,""))</f>
        <v/>
      </c>
      <c r="CH102" s="262" t="str">
        <f>IF('Report History'!OP2=0,"",IFERROR('Report History'!OP2,""))</f>
        <v/>
      </c>
      <c r="CI102" s="264" t="str">
        <f>IF('Report History'!OQ2=0,"",IFERROR('Report History'!OQ2,""))</f>
        <v/>
      </c>
      <c r="CJ102" s="264" t="str">
        <f>IF('Report History'!OR2=0,"",IFERROR('Report History'!OR2,""))</f>
        <v/>
      </c>
      <c r="CK102" s="266" t="str">
        <f>IF('Report History'!OS2=0,"",IFERROR('Report History'!OS2,""))</f>
        <v/>
      </c>
      <c r="CL102" s="140" t="str">
        <f>IF('Report History'!OT2=0,"",IFERROR('Report History'!OT2,""))</f>
        <v/>
      </c>
      <c r="CM102" s="262" t="str">
        <f>IF('Report History'!OU2=0,"",IFERROR('Report History'!OU2,""))</f>
        <v/>
      </c>
      <c r="CN102" s="264" t="str">
        <f>IF('Report History'!OV2=0,"",IFERROR('Report History'!OV2,""))</f>
        <v/>
      </c>
      <c r="CO102" s="264" t="str">
        <f>IF('Report History'!OW2=0,"",IFERROR('Report History'!OW2,""))</f>
        <v/>
      </c>
      <c r="CP102" s="266" t="str">
        <f>IF('Report History'!OX2=0,"",IFERROR('Report History'!OX2,""))</f>
        <v/>
      </c>
      <c r="CQ102" s="140" t="str">
        <f>IF('Report History'!OY2=0,"",IFERROR('Report History'!OY2,""))</f>
        <v/>
      </c>
      <c r="CR102" s="262" t="str">
        <f>IF('Report History'!OZ2=0,"",IFERROR('Report History'!OZ2,""))</f>
        <v/>
      </c>
      <c r="CS102" s="264" t="str">
        <f>IF('Report History'!PA2=0,"",IFERROR('Report History'!PA2,""))</f>
        <v/>
      </c>
      <c r="CT102" s="264" t="str">
        <f>IF('Report History'!PB2=0,"",IFERROR('Report History'!PB2,""))</f>
        <v/>
      </c>
      <c r="CU102" s="266" t="str">
        <f>IF('Report History'!PC2=0,"",IFERROR('Report History'!PC2,""))</f>
        <v/>
      </c>
      <c r="CV102" s="140" t="str">
        <f>IF('Report History'!PD2=0,"",IFERROR('Report History'!PD2,""))</f>
        <v/>
      </c>
      <c r="CW102" s="262" t="str">
        <f>IF('Report History'!PE2=0,"",IFERROR('Report History'!PE2,""))</f>
        <v/>
      </c>
      <c r="CX102" s="264" t="str">
        <f>IF('Report History'!PF2=0,"",IFERROR('Report History'!PF2,""))</f>
        <v/>
      </c>
      <c r="CY102" s="264" t="str">
        <f>IF('Report History'!PG2=0,"",IFERROR('Report History'!PG2,""))</f>
        <v/>
      </c>
      <c r="CZ102" s="266" t="str">
        <f>IF('Report History'!PH2=0,"",IFERROR('Report History'!PH2,""))</f>
        <v/>
      </c>
      <c r="DA102" s="140" t="str">
        <f>IF('Report History'!PI2=0,"",IFERROR('Report History'!PI2,""))</f>
        <v/>
      </c>
      <c r="DB102" s="262" t="str">
        <f>IF('Report History'!PJ2=0,"",IFERROR('Report History'!PJ2,""))</f>
        <v/>
      </c>
      <c r="DC102" s="264" t="str">
        <f>IF('Report History'!PK2=0,"",IFERROR('Report History'!PK2,""))</f>
        <v/>
      </c>
      <c r="DD102" s="264" t="str">
        <f>IF('Report History'!PL2=0,"",IFERROR('Report History'!PL2,""))</f>
        <v/>
      </c>
      <c r="DE102" s="266" t="str">
        <f>IF('Report History'!PM2=0,"",IFERROR('Report History'!PM2,""))</f>
        <v/>
      </c>
      <c r="DF102" s="140" t="str">
        <f>IF('Report History'!PN2=0,"",IFERROR('Report History'!PN2,""))</f>
        <v/>
      </c>
      <c r="DG102" s="262" t="str">
        <f>IF('Report History'!PO2=0,"",IFERROR('Report History'!PO2,""))</f>
        <v/>
      </c>
      <c r="DH102" s="264" t="str">
        <f>IF('Report History'!PP2=0,"",IFERROR('Report History'!PP2,""))</f>
        <v/>
      </c>
      <c r="DI102" s="264" t="str">
        <f>IF('Report History'!PQ2=0,"",IFERROR('Report History'!PQ2,""))</f>
        <v/>
      </c>
      <c r="DJ102" s="266" t="str">
        <f>IF('Report History'!PR2=0,"",IFERROR('Report History'!PR2,""))</f>
        <v/>
      </c>
      <c r="DK102" s="140" t="str">
        <f>IF('Report History'!PS2=0,"",IFERROR('Report History'!PS2,""))</f>
        <v/>
      </c>
      <c r="DL102" s="262" t="str">
        <f>IF('Report History'!PT2=0,"",IFERROR('Report History'!PT2,""))</f>
        <v/>
      </c>
      <c r="DM102" s="264" t="str">
        <f>IF('Report History'!PU2=0,"",IFERROR('Report History'!PU2,""))</f>
        <v/>
      </c>
      <c r="DN102" s="264" t="str">
        <f>IF('Report History'!PV2=0,"",IFERROR('Report History'!PV2,""))</f>
        <v/>
      </c>
      <c r="DO102" s="266" t="str">
        <f>IF('Report History'!PW2=0,"",IFERROR('Report History'!PW2,""))</f>
        <v/>
      </c>
      <c r="DP102" s="140" t="str">
        <f>IF('Report History'!PX2=0,"",IFERROR('Report History'!PX2,""))</f>
        <v/>
      </c>
      <c r="DQ102" s="262" t="str">
        <f>IF('Report History'!PY2=0,"",IFERROR('Report History'!PY2,""))</f>
        <v/>
      </c>
      <c r="DR102" s="264" t="str">
        <f>IF('Report History'!PZ2=0,"",IFERROR('Report History'!PZ2,""))</f>
        <v/>
      </c>
      <c r="DS102" s="264" t="str">
        <f>IF('Report History'!QA2=0,"",IFERROR('Report History'!QA2,""))</f>
        <v/>
      </c>
      <c r="DT102" s="266" t="str">
        <f>IF('Report History'!QB2=0,"",IFERROR('Report History'!QB2,""))</f>
        <v/>
      </c>
      <c r="DU102" s="140" t="str">
        <f>IF('Report History'!QC2=0,"",IFERROR('Report History'!QC2,""))</f>
        <v/>
      </c>
      <c r="DV102" s="262" t="str">
        <f>IF('Report History'!QD2=0,"",IFERROR('Report History'!QD2,""))</f>
        <v/>
      </c>
      <c r="DW102" s="264" t="str">
        <f>IF('Report History'!QE2=0,"",IFERROR('Report History'!QE2,""))</f>
        <v/>
      </c>
      <c r="DX102" s="264" t="str">
        <f>IF('Report History'!QF2=0,"",IFERROR('Report History'!QF2,""))</f>
        <v/>
      </c>
      <c r="DY102" s="266" t="str">
        <f>IF('Report History'!QG2=0,"",IFERROR('Report History'!QG2,""))</f>
        <v/>
      </c>
      <c r="DZ102" s="140" t="str">
        <f>IF('Report History'!QH2=0,"",IFERROR('Report History'!QH2,""))</f>
        <v/>
      </c>
      <c r="EA102" s="262" t="str">
        <f>IF('Report History'!QI2=0,"",IFERROR('Report History'!QI2,""))</f>
        <v/>
      </c>
      <c r="EB102" s="264" t="str">
        <f>IF('Report History'!QJ2=0,"",IFERROR('Report History'!QJ2,""))</f>
        <v/>
      </c>
      <c r="EC102" s="264" t="str">
        <f>IF('Report History'!QK2=0,"",IFERROR('Report History'!QK2,""))</f>
        <v/>
      </c>
      <c r="ED102" s="266" t="str">
        <f>IF('Report History'!QL2=0,"",IFERROR('Report History'!QL2,""))</f>
        <v/>
      </c>
      <c r="EE102" s="140" t="str">
        <f>IF('Report History'!QM2=0,"",IFERROR('Report History'!QM2,""))</f>
        <v/>
      </c>
      <c r="EF102" s="262" t="str">
        <f>IF('Report History'!QN2=0,"",IFERROR('Report History'!QN2,""))</f>
        <v/>
      </c>
      <c r="EG102" s="264" t="str">
        <f>IF('Report History'!QO2=0,"",IFERROR('Report History'!QO2,""))</f>
        <v/>
      </c>
      <c r="EH102" s="264" t="str">
        <f>IF('Report History'!QP2=0,"",IFERROR('Report History'!QP2,""))</f>
        <v/>
      </c>
      <c r="EI102" s="266" t="str">
        <f>IF('Report History'!QQ2=0,"",IFERROR('Report History'!QQ2,""))</f>
        <v/>
      </c>
      <c r="EJ102" s="140" t="str">
        <f>IF('Report History'!QR2=0,"",IFERROR('Report History'!QR2,""))</f>
        <v/>
      </c>
      <c r="EK102" s="262" t="str">
        <f>IF('Report History'!QS2=0,"",IFERROR('Report History'!QS2,""))</f>
        <v/>
      </c>
      <c r="EL102" s="264" t="str">
        <f>IF('Report History'!QT2=0,"",IFERROR('Report History'!QT2,""))</f>
        <v/>
      </c>
      <c r="EM102" s="264" t="str">
        <f>IF('Report History'!QU2=0,"",IFERROR('Report History'!QU2,""))</f>
        <v/>
      </c>
      <c r="EN102" s="266" t="str">
        <f>IF('Report History'!QV2=0,"",IFERROR('Report History'!QV2,""))</f>
        <v/>
      </c>
      <c r="EO102" s="140" t="str">
        <f>IF('Report History'!QW2=0,"",IFERROR('Report History'!QW2,""))</f>
        <v/>
      </c>
      <c r="EP102" s="262" t="str">
        <f>IF('Report History'!QX2=0,"",IFERROR('Report History'!QX2,""))</f>
        <v/>
      </c>
      <c r="EQ102" s="264" t="str">
        <f>IF('Report History'!QY2=0,"",IFERROR('Report History'!QY2,""))</f>
        <v/>
      </c>
      <c r="ER102" s="264" t="str">
        <f>IF('Report History'!QZ2=0,"",IFERROR('Report History'!QZ2,""))</f>
        <v/>
      </c>
      <c r="ES102" s="266" t="str">
        <f>IF('Report History'!RA2=0,"",IFERROR('Report History'!RA2,""))</f>
        <v/>
      </c>
      <c r="ET102" s="140" t="str">
        <f>IF('Report History'!RB2=0,"",IFERROR('Report History'!RB2,""))</f>
        <v/>
      </c>
      <c r="EU102" s="262" t="str">
        <f>IF('Report History'!RC2=0,"",IFERROR('Report History'!RC2,""))</f>
        <v/>
      </c>
      <c r="EV102" s="264" t="str">
        <f>IF('Report History'!RD2=0,"",IFERROR('Report History'!RD2,""))</f>
        <v/>
      </c>
      <c r="EW102" s="264" t="str">
        <f>IF('Report History'!RE2=0,"",IFERROR('Report History'!RE2,""))</f>
        <v/>
      </c>
      <c r="EX102" s="266" t="str">
        <f>IF('Report History'!RF2=0,"",IFERROR('Report History'!RF2,""))</f>
        <v/>
      </c>
      <c r="EY102" s="140" t="str">
        <f>IF('Report History'!RG2=0,"",IFERROR('Report History'!RG2,""))</f>
        <v/>
      </c>
      <c r="EZ102" s="262" t="str">
        <f>IF('Report History'!RH2=0,"",IFERROR('Report History'!RH2,""))</f>
        <v/>
      </c>
      <c r="FA102" s="264" t="str">
        <f>IF('Report History'!RI2=0,"",IFERROR('Report History'!RI2,""))</f>
        <v/>
      </c>
      <c r="FB102" s="264" t="str">
        <f>IF('Report History'!RJ2=0,"",IFERROR('Report History'!RJ2,""))</f>
        <v/>
      </c>
      <c r="FC102" s="266" t="str">
        <f>IF('Report History'!RK2=0,"",IFERROR('Report History'!RK2,""))</f>
        <v/>
      </c>
      <c r="FD102" s="140" t="str">
        <f>IF('Report History'!RL2=0,"",IFERROR('Report History'!RL2,""))</f>
        <v/>
      </c>
      <c r="FE102" s="262" t="str">
        <f>IF('Report History'!RM2=0,"",IFERROR('Report History'!RM2,""))</f>
        <v/>
      </c>
      <c r="FF102" s="264" t="str">
        <f>IF('Report History'!RN2=0,"",IFERROR('Report History'!RN2,""))</f>
        <v/>
      </c>
      <c r="FG102" s="264" t="str">
        <f>IF('Report History'!RO2=0,"",IFERROR('Report History'!RO2,""))</f>
        <v/>
      </c>
      <c r="FH102" s="266" t="str">
        <f>IF('Report History'!RP2=0,"",IFERROR('Report History'!RP2,""))</f>
        <v/>
      </c>
      <c r="FI102" s="140" t="str">
        <f>IF('Report History'!RQ2=0,"",IFERROR('Report History'!RQ2,""))</f>
        <v/>
      </c>
      <c r="FJ102" s="262" t="str">
        <f>IF('Report History'!RR2=0,"",IFERROR('Report History'!RR2,""))</f>
        <v/>
      </c>
      <c r="FK102" s="264" t="str">
        <f>IF('Report History'!RS2=0,"",IFERROR('Report History'!RS2,""))</f>
        <v/>
      </c>
      <c r="FL102" s="264" t="str">
        <f>IF('Report History'!RT2=0,"",IFERROR('Report History'!RT2,""))</f>
        <v/>
      </c>
      <c r="FM102" s="266" t="str">
        <f>IF('Report History'!RU2=0,"",IFERROR('Report History'!RU2,""))</f>
        <v/>
      </c>
      <c r="FN102" s="140" t="str">
        <f>IF('Report History'!RV2=0,"",IFERROR('Report History'!RV2,""))</f>
        <v/>
      </c>
      <c r="FO102" s="262" t="str">
        <f>IF('Report History'!RW2=0,"",IFERROR('Report History'!RW2,""))</f>
        <v/>
      </c>
      <c r="FP102" s="264" t="str">
        <f>IF('Report History'!RX2=0,"",IFERROR('Report History'!RX2,""))</f>
        <v/>
      </c>
      <c r="FQ102" s="264" t="str">
        <f>IF('Report History'!RY2=0,"",IFERROR('Report History'!RY2,""))</f>
        <v/>
      </c>
      <c r="FR102" s="266" t="str">
        <f>IF('Report History'!RZ2=0,"",IFERROR('Report History'!RZ2,""))</f>
        <v/>
      </c>
      <c r="FS102" s="140" t="str">
        <f>IF('Report History'!SA2=0,"",IFERROR('Report History'!SA2,""))</f>
        <v/>
      </c>
      <c r="FT102" s="262" t="str">
        <f>IF('Report History'!SB2=0,"",IFERROR('Report History'!SB2,""))</f>
        <v/>
      </c>
      <c r="FU102" s="264" t="str">
        <f>IF('Report History'!SC2=0,"",IFERROR('Report History'!SC2,""))</f>
        <v/>
      </c>
      <c r="FV102" s="264" t="str">
        <f>IF('Report History'!SD2=0,"",IFERROR('Report History'!SD2,""))</f>
        <v/>
      </c>
      <c r="FW102" s="266" t="str">
        <f>IF('Report History'!SE2=0,"",IFERROR('Report History'!SE2,""))</f>
        <v/>
      </c>
      <c r="FX102" s="140" t="str">
        <f>IF('Report History'!SF2=0,"",IFERROR('Report History'!SF2,""))</f>
        <v/>
      </c>
      <c r="FY102" s="262" t="str">
        <f>IF('Report History'!SG2=0,"",IFERROR('Report History'!SG2,""))</f>
        <v/>
      </c>
      <c r="FZ102" s="264" t="str">
        <f>IF('Report History'!SH2=0,"",IFERROR('Report History'!SH2,""))</f>
        <v/>
      </c>
      <c r="GA102" s="264" t="str">
        <f>IF('Report History'!SI2=0,"",IFERROR('Report History'!SI2,""))</f>
        <v/>
      </c>
      <c r="GB102" s="266" t="str">
        <f>IF('Report History'!SJ2=0,"",IFERROR('Report History'!SJ2,""))</f>
        <v/>
      </c>
      <c r="GC102" s="140" t="str">
        <f>IF('Report History'!SK2=0,"",IFERROR('Report History'!SK2,""))</f>
        <v/>
      </c>
      <c r="GD102" s="262" t="str">
        <f>IF('Report History'!SL2=0,"",IFERROR('Report History'!SL2,""))</f>
        <v/>
      </c>
      <c r="GE102" s="264" t="str">
        <f>IF('Report History'!SM2=0,"",IFERROR('Report History'!SM2,""))</f>
        <v/>
      </c>
      <c r="GF102" s="264" t="str">
        <f>IF('Report History'!SN2=0,"",IFERROR('Report History'!SN2,""))</f>
        <v/>
      </c>
      <c r="GG102" s="266" t="str">
        <f>IF('Report History'!SO2=0,"",IFERROR('Report History'!SO2,""))</f>
        <v/>
      </c>
      <c r="GH102" s="140" t="str">
        <f>IF('Report History'!SP2=0,"",IFERROR('Report History'!SP2,""))</f>
        <v/>
      </c>
      <c r="GI102" s="262" t="str">
        <f>IF('Report History'!SQ2=0,"",IFERROR('Report History'!SQ2,""))</f>
        <v/>
      </c>
      <c r="GJ102" s="264" t="str">
        <f>IF('Report History'!SR2=0,"",IFERROR('Report History'!SR2,""))</f>
        <v/>
      </c>
      <c r="GK102" s="264" t="str">
        <f>IF('Report History'!SS2=0,"",IFERROR('Report History'!SS2,""))</f>
        <v/>
      </c>
      <c r="GL102" s="266" t="str">
        <f>IF('Report History'!ST2=0,"",IFERROR('Report History'!ST2,""))</f>
        <v/>
      </c>
      <c r="GM102" s="140" t="str">
        <f>IF('Report History'!SU2=0,"",IFERROR('Report History'!SU2,""))</f>
        <v/>
      </c>
      <c r="GN102" s="262" t="str">
        <f>IF('Report History'!SV2=0,"",IFERROR('Report History'!SV2,""))</f>
        <v/>
      </c>
      <c r="GO102" s="264" t="str">
        <f>IF('Report History'!SW2=0,"",IFERROR('Report History'!SW2,""))</f>
        <v/>
      </c>
      <c r="GP102" s="264" t="str">
        <f>IF('Report History'!SX2=0,"",IFERROR('Report History'!SX2,""))</f>
        <v/>
      </c>
      <c r="GQ102" s="266" t="str">
        <f>IF('Report History'!SY2=0,"",IFERROR('Report History'!SY2,""))</f>
        <v/>
      </c>
      <c r="GR102" s="140" t="str">
        <f>IF('Report History'!SZ2=0,"",IFERROR('Report History'!SZ2,""))</f>
        <v/>
      </c>
      <c r="GS102" s="262" t="str">
        <f>IF('Report History'!TA2=0,"",IFERROR('Report History'!TA2,""))</f>
        <v/>
      </c>
      <c r="GT102" s="264" t="str">
        <f>IF('Report History'!TB2=0,"",IFERROR('Report History'!TB2,""))</f>
        <v/>
      </c>
      <c r="GU102" s="264" t="str">
        <f>IF('Report History'!TC2=0,"",IFERROR('Report History'!TC2,""))</f>
        <v/>
      </c>
      <c r="GV102" s="266" t="str">
        <f>IF('Report History'!TD2=0,"",IFERROR('Report History'!TD2,""))</f>
        <v/>
      </c>
      <c r="GW102" s="140" t="str">
        <f>IF('Report History'!TE2=0,"",IFERROR('Report History'!TE2,""))</f>
        <v/>
      </c>
      <c r="GX102" s="262" t="str">
        <f>IF('Report History'!TF2=0,"",IFERROR('Report History'!TF2,""))</f>
        <v/>
      </c>
      <c r="GY102" s="264" t="str">
        <f>IF('Report History'!TG2=0,"",IFERROR('Report History'!TG2,""))</f>
        <v/>
      </c>
      <c r="GZ102" s="264" t="str">
        <f>IF('Report History'!TH2=0,"",IFERROR('Report History'!TH2,""))</f>
        <v/>
      </c>
      <c r="HA102" s="266" t="str">
        <f>IF('Report History'!TI2=0,"",IFERROR('Report History'!TI2,""))</f>
        <v/>
      </c>
      <c r="HB102" s="140" t="str">
        <f>IF('Report History'!TJ2=0,"",IFERROR('Report History'!TJ2,""))</f>
        <v/>
      </c>
      <c r="HC102" s="262" t="str">
        <f>IF('Report History'!TK2=0,"",IFERROR('Report History'!TK2,""))</f>
        <v/>
      </c>
      <c r="HD102" s="264" t="str">
        <f>IF('Report History'!TL2=0,"",IFERROR('Report History'!TL2,""))</f>
        <v/>
      </c>
      <c r="HE102" s="264" t="str">
        <f>IF('Report History'!TM2=0,"",IFERROR('Report History'!TM2,""))</f>
        <v/>
      </c>
      <c r="HF102" s="266" t="str">
        <f>IF('Report History'!TN2=0,"",IFERROR('Report History'!TN2,""))</f>
        <v/>
      </c>
      <c r="HG102" s="140" t="str">
        <f>IF('Report History'!TO2=0,"",IFERROR('Report History'!TO2,""))</f>
        <v/>
      </c>
      <c r="HH102" s="262" t="str">
        <f>IF('Report History'!TP2=0,"",IFERROR('Report History'!TP2,""))</f>
        <v/>
      </c>
      <c r="HI102" s="264" t="str">
        <f>IF('Report History'!TQ2=0,"",IFERROR('Report History'!TQ2,""))</f>
        <v/>
      </c>
      <c r="HJ102" s="264" t="str">
        <f>IF('Report History'!TR2=0,"",IFERROR('Report History'!TR2,""))</f>
        <v/>
      </c>
      <c r="HK102" s="266" t="str">
        <f>IF('Report History'!TS2=0,"",IFERROR('Report History'!TS2,""))</f>
        <v/>
      </c>
      <c r="HL102" s="140" t="str">
        <f>IF('Report History'!TT2=0,"",IFERROR('Report History'!TT2,""))</f>
        <v/>
      </c>
      <c r="HM102" s="262" t="str">
        <f>IF('Report History'!TU2=0,"",IFERROR('Report History'!TU2,""))</f>
        <v/>
      </c>
      <c r="HN102" s="264" t="str">
        <f>IF('Report History'!TV2=0,"",IFERROR('Report History'!TV2,""))</f>
        <v/>
      </c>
      <c r="HO102" s="264" t="str">
        <f>IF('Report History'!TW2=0,"",IFERROR('Report History'!TW2,""))</f>
        <v/>
      </c>
      <c r="HP102" s="266" t="str">
        <f>IF('Report History'!TX2=0,"",IFERROR('Report History'!TX2,""))</f>
        <v/>
      </c>
      <c r="HQ102" s="140" t="str">
        <f>IF('Report History'!TY2=0,"",IFERROR('Report History'!TY2,""))</f>
        <v/>
      </c>
      <c r="HR102" s="262" t="str">
        <f>IF('Report History'!TZ2=0,"",IFERROR('Report History'!TZ2,""))</f>
        <v/>
      </c>
      <c r="HS102" s="264" t="str">
        <f>IF('Report History'!UA2=0,"",IFERROR('Report History'!UA2,""))</f>
        <v/>
      </c>
      <c r="HT102" s="264" t="str">
        <f>IF('Report History'!UB2=0,"",IFERROR('Report History'!UB2,""))</f>
        <v/>
      </c>
      <c r="HU102" s="266" t="str">
        <f>IF('Report History'!UC2=0,"",IFERROR('Report History'!UC2,""))</f>
        <v/>
      </c>
      <c r="HV102" s="140" t="str">
        <f>IF('Report History'!UD2=0,"",IFERROR('Report History'!UD2,""))</f>
        <v/>
      </c>
      <c r="HW102" s="262" t="str">
        <f>IF('Report History'!UE2=0,"",IFERROR('Report History'!UE2,""))</f>
        <v/>
      </c>
      <c r="HX102" s="264" t="str">
        <f>IF('Report History'!UF2=0,"",IFERROR('Report History'!UF2,""))</f>
        <v/>
      </c>
      <c r="HY102" s="264" t="str">
        <f>IF('Report History'!UG2=0,"",IFERROR('Report History'!UG2,""))</f>
        <v/>
      </c>
      <c r="HZ102" s="266" t="str">
        <f>IF('Report History'!UH2=0,"",IFERROR('Report History'!UH2,""))</f>
        <v/>
      </c>
      <c r="IA102" s="140" t="str">
        <f>IF('Report History'!UI2=0,"",IFERROR('Report History'!UI2,""))</f>
        <v/>
      </c>
      <c r="IB102" s="262" t="str">
        <f>IF('Report History'!UJ2=0,"",IFERROR('Report History'!UJ2,""))</f>
        <v/>
      </c>
      <c r="IC102" s="264" t="str">
        <f>IF('Report History'!UK2=0,"",IFERROR('Report History'!UK2,""))</f>
        <v/>
      </c>
      <c r="ID102" s="264" t="str">
        <f>IF('Report History'!UL2=0,"",IFERROR('Report History'!UL2,""))</f>
        <v/>
      </c>
      <c r="IE102" s="266" t="str">
        <f>IF('Report History'!UM2=0,"",IFERROR('Report History'!UM2,""))</f>
        <v/>
      </c>
      <c r="IF102" s="140" t="str">
        <f>IF('Report History'!UN2=0,"",IFERROR('Report History'!UN2,""))</f>
        <v/>
      </c>
      <c r="IG102" s="262" t="str">
        <f>IF('Report History'!UO2=0,"",IFERROR('Report History'!UO2,""))</f>
        <v/>
      </c>
      <c r="IH102" s="264" t="str">
        <f>IF('Report History'!UP2=0,"",IFERROR('Report History'!UP2,""))</f>
        <v/>
      </c>
      <c r="II102" s="264" t="str">
        <f>IF('Report History'!UQ2=0,"",IFERROR('Report History'!UQ2,""))</f>
        <v/>
      </c>
      <c r="IJ102" s="266" t="str">
        <f>IF('Report History'!UR2=0,"",IFERROR('Report History'!UR2,""))</f>
        <v/>
      </c>
      <c r="IK102" s="140" t="str">
        <f>IF('Report History'!US2=0,"",IFERROR('Report History'!US2,""))</f>
        <v/>
      </c>
      <c r="IL102" s="262" t="str">
        <f>IF('Report History'!UT2=0,"",IFERROR('Report History'!UT2,""))</f>
        <v/>
      </c>
      <c r="IM102" s="264" t="str">
        <f>IF('Report History'!UU2=0,"",IFERROR('Report History'!UU2,""))</f>
        <v/>
      </c>
      <c r="IN102" s="264" t="str">
        <f>IF('Report History'!UV2=0,"",IFERROR('Report History'!UV2,""))</f>
        <v/>
      </c>
      <c r="IO102" s="266" t="str">
        <f>IF('Report History'!UW2=0,"",IFERROR('Report History'!UW2,""))</f>
        <v/>
      </c>
      <c r="IP102" s="140" t="str">
        <f>IF('Report History'!UX2=0,"",IFERROR('Report History'!UX2,""))</f>
        <v/>
      </c>
    </row>
    <row r="103" spans="1:250" ht="16.2" thickBot="1" x14ac:dyDescent="0.3">
      <c r="A103" s="58" t="str">
        <f>IF('Report History'!LI3=0,"",IFERROR('Report History'!LI3,""))</f>
        <v>Were Trips on Time</v>
      </c>
      <c r="B103" s="144"/>
      <c r="C103" s="145"/>
      <c r="D103" s="213" t="str">
        <f>IF('Report History'!LL3=0,"",IFERROR('Report History'!LL3,""))</f>
        <v>YES</v>
      </c>
      <c r="E103" s="214" t="str">
        <f>IF('Report History'!LM3=0,"",IFERROR('Report History'!LM3,""))</f>
        <v/>
      </c>
      <c r="F103" s="58" t="str">
        <f>IF('Report History'!LN3=0,"",IFERROR('Report History'!LN3,""))</f>
        <v>Were Trips on Time</v>
      </c>
      <c r="G103" s="144"/>
      <c r="H103" s="145"/>
      <c r="I103" s="213" t="str">
        <f>IF('Report History'!LQ3=0,"",IFERROR('Report History'!LQ3,""))</f>
        <v>YES</v>
      </c>
      <c r="J103" s="214" t="str">
        <f>IF('Report History'!LR3=0,"",IFERROR('Report History'!LR3,""))</f>
        <v/>
      </c>
      <c r="K103" s="58" t="str">
        <f>IF('Report History'!LS3=0,"",IFERROR('Report History'!LS3,""))</f>
        <v>Were Trips on Time</v>
      </c>
      <c r="L103" s="144"/>
      <c r="M103" s="145"/>
      <c r="N103" s="213" t="str">
        <f>IF('Report History'!LV3=0,"",IFERROR('Report History'!LV3,""))</f>
        <v>YES</v>
      </c>
      <c r="O103" s="214" t="str">
        <f>IF('Report History'!LW3=0,"",IFERROR('Report History'!LW3,""))</f>
        <v/>
      </c>
      <c r="P103" s="58" t="str">
        <f>IF('Report History'!LX3=0,"",IFERROR('Report History'!LX3,""))</f>
        <v>Were Trips on Time</v>
      </c>
      <c r="Q103" s="144"/>
      <c r="R103" s="145"/>
      <c r="S103" s="213" t="str">
        <f>IF('Report History'!MA3=0,"",IFERROR('Report History'!MA3,""))</f>
        <v>YES</v>
      </c>
      <c r="T103" s="214" t="str">
        <f>IF('Report History'!MB3=0,"",IFERROR('Report History'!MB3,""))</f>
        <v/>
      </c>
      <c r="U103" s="58" t="str">
        <f>IF('Report History'!MC3=0,"",IFERROR('Report History'!MC3,""))</f>
        <v>Were Trips on Time</v>
      </c>
      <c r="V103" s="144"/>
      <c r="W103" s="145"/>
      <c r="X103" s="213" t="str">
        <f>IF('Report History'!MF3=0,"",IFERROR('Report History'!MF3,""))</f>
        <v>YES</v>
      </c>
      <c r="Y103" s="214" t="str">
        <f>IF('Report History'!MG3=0,"",IFERROR('Report History'!MG3,""))</f>
        <v/>
      </c>
      <c r="Z103" s="58" t="str">
        <f>IF('Report History'!MH3=0,"",IFERROR('Report History'!MH3,""))</f>
        <v>Were Trips on Time</v>
      </c>
      <c r="AA103" s="144"/>
      <c r="AB103" s="145"/>
      <c r="AC103" s="213" t="str">
        <f>IF('Report History'!MK3=0,"",IFERROR('Report History'!MK3,""))</f>
        <v>NO</v>
      </c>
      <c r="AD103" s="214" t="str">
        <f>IF('Report History'!ML3=0,"",IFERROR('Report History'!ML3,""))</f>
        <v/>
      </c>
      <c r="AE103" s="58" t="str">
        <f>IF('Report History'!MM3=0,"",IFERROR('Report History'!MM3,""))</f>
        <v>Were Trips on Time</v>
      </c>
      <c r="AF103" s="144"/>
      <c r="AG103" s="145"/>
      <c r="AH103" s="213" t="str">
        <f>IF('Report History'!MP3=0,"",IFERROR('Report History'!MP3,""))</f>
        <v>NO</v>
      </c>
      <c r="AI103" s="214" t="str">
        <f>IF('Report History'!MQ3=0,"",IFERROR('Report History'!MQ3,""))</f>
        <v/>
      </c>
      <c r="AJ103" s="58" t="str">
        <f>IF('Report History'!MR3=0,"",IFERROR('Report History'!MR3,""))</f>
        <v>Were Trips on Time</v>
      </c>
      <c r="AK103" s="144"/>
      <c r="AL103" s="145"/>
      <c r="AM103" s="213" t="str">
        <f>IF('Report History'!MU3=0,"",IFERROR('Report History'!MU3,""))</f>
        <v>NO</v>
      </c>
      <c r="AN103" s="214" t="str">
        <f>IF('Report History'!MV3=0,"",IFERROR('Report History'!MV3,""))</f>
        <v/>
      </c>
      <c r="AO103" s="58" t="str">
        <f>IF('Report History'!MW3=0,"",IFERROR('Report History'!MW3,""))</f>
        <v>Were Trips on Time</v>
      </c>
      <c r="AP103" s="144"/>
      <c r="AQ103" s="145"/>
      <c r="AR103" s="213" t="str">
        <f>IF('Report History'!MZ3=0,"",IFERROR('Report History'!MZ3,""))</f>
        <v>NO</v>
      </c>
      <c r="AS103" s="214" t="str">
        <f>IF('Report History'!NA3=0,"",IFERROR('Report History'!NA3,""))</f>
        <v/>
      </c>
      <c r="AT103" s="58" t="str">
        <f>IF('Report History'!NB3=0,"",IFERROR('Report History'!NB3,""))</f>
        <v>Were Trips on Time</v>
      </c>
      <c r="AU103" s="144"/>
      <c r="AV103" s="145"/>
      <c r="AW103" s="213" t="str">
        <f>IF('Report History'!NE3=0,"",IFERROR('Report History'!NE3,""))</f>
        <v>YES</v>
      </c>
      <c r="AX103" s="214" t="str">
        <f>IF('Report History'!NF3=0,"",IFERROR('Report History'!NF3,""))</f>
        <v/>
      </c>
      <c r="AY103" s="58" t="str">
        <f>IF('Report History'!NG3=0,"",IFERROR('Report History'!NG3,""))</f>
        <v>Were Trips on Time</v>
      </c>
      <c r="AZ103" s="144"/>
      <c r="BA103" s="145"/>
      <c r="BB103" s="213" t="str">
        <f>IF('Report History'!NJ3=0,"",IFERROR('Report History'!NJ3,""))</f>
        <v>YES</v>
      </c>
      <c r="BC103" s="214" t="str">
        <f>IF('Report History'!NK3=0,"",IFERROR('Report History'!NK3,""))</f>
        <v/>
      </c>
      <c r="BD103" s="58" t="str">
        <f>IF('Report History'!NL3=0,"",IFERROR('Report History'!NL3,""))</f>
        <v>Were Trips on Time</v>
      </c>
      <c r="BE103" s="144"/>
      <c r="BF103" s="145"/>
      <c r="BG103" s="213" t="str">
        <f>IF('Report History'!NO3=0,"",IFERROR('Report History'!NO3,""))</f>
        <v>YES</v>
      </c>
      <c r="BH103" s="214" t="str">
        <f>IF('Report History'!NP3=0,"",IFERROR('Report History'!NP3,""))</f>
        <v/>
      </c>
      <c r="BI103" s="58" t="str">
        <f>IF('Report History'!NQ3=0,"",IFERROR('Report History'!NQ3,""))</f>
        <v>Were Trips on Time</v>
      </c>
      <c r="BJ103" s="144"/>
      <c r="BK103" s="145"/>
      <c r="BL103" s="213" t="str">
        <f>IF('Report History'!NT3=0,"",IFERROR('Report History'!NT3,""))</f>
        <v>YES</v>
      </c>
      <c r="BM103" s="214" t="str">
        <f>IF('Report History'!NU3=0,"",IFERROR('Report History'!NU3,""))</f>
        <v/>
      </c>
      <c r="BN103" s="58" t="str">
        <f>IF('Report History'!NV3=0,"",IFERROR('Report History'!NV3,""))</f>
        <v>Were Trips on Time</v>
      </c>
      <c r="BO103" s="144"/>
      <c r="BP103" s="145"/>
      <c r="BQ103" s="213" t="str">
        <f>IF('Report History'!NY3=0,"",IFERROR('Report History'!NY3,""))</f>
        <v>YES</v>
      </c>
      <c r="BR103" s="214" t="str">
        <f>IF('Report History'!NZ3=0,"",IFERROR('Report History'!NZ3,""))</f>
        <v/>
      </c>
      <c r="BS103" s="58" t="str">
        <f>IF('Report History'!OA3=0,"",IFERROR('Report History'!OA3,""))</f>
        <v>Were Trips on Time</v>
      </c>
      <c r="BT103" s="144"/>
      <c r="BU103" s="145"/>
      <c r="BV103" s="213" t="str">
        <f>IF('Report History'!OD3=0,"",IFERROR('Report History'!OD3,""))</f>
        <v>NO</v>
      </c>
      <c r="BW103" s="214" t="str">
        <f>IF('Report History'!OE3=0,"",IFERROR('Report History'!OE3,""))</f>
        <v/>
      </c>
      <c r="BX103" s="58" t="str">
        <f>IF('Report History'!OF3=0,"",IFERROR('Report History'!OF3,""))</f>
        <v>Were Trips on Time</v>
      </c>
      <c r="BY103" s="144"/>
      <c r="BZ103" s="145"/>
      <c r="CA103" s="213" t="str">
        <f>IF('Report History'!OI3=0,"",IFERROR('Report History'!OI3,""))</f>
        <v>YES</v>
      </c>
      <c r="CB103" s="214" t="str">
        <f>IF('Report History'!OJ3=0,"",IFERROR('Report History'!OJ3,""))</f>
        <v/>
      </c>
      <c r="CC103" s="58" t="str">
        <f>IF('Report History'!OK3=0,"",IFERROR('Report History'!OK3,""))</f>
        <v>Were Trips on Time</v>
      </c>
      <c r="CD103" s="144"/>
      <c r="CE103" s="145"/>
      <c r="CF103" s="213" t="str">
        <f>IF('Report History'!ON3=0,"",IFERROR('Report History'!ON3,""))</f>
        <v>YES</v>
      </c>
      <c r="CG103" s="214" t="str">
        <f>IF('Report History'!OO3=0,"",IFERROR('Report History'!OO3,""))</f>
        <v/>
      </c>
      <c r="CH103" s="58" t="str">
        <f>IF('Report History'!OP3=0,"",IFERROR('Report History'!OP3,""))</f>
        <v>Were Trips on Time</v>
      </c>
      <c r="CI103" s="144"/>
      <c r="CJ103" s="145"/>
      <c r="CK103" s="213" t="str">
        <f>IF('Report History'!OS3=0,"",IFERROR('Report History'!OS3,""))</f>
        <v>YES</v>
      </c>
      <c r="CL103" s="214" t="str">
        <f>IF('Report History'!OT3=0,"",IFERROR('Report History'!OT3,""))</f>
        <v/>
      </c>
      <c r="CM103" s="58" t="str">
        <f>IF('Report History'!OU3=0,"",IFERROR('Report History'!OU3,""))</f>
        <v>Were Trips on Time</v>
      </c>
      <c r="CN103" s="144"/>
      <c r="CO103" s="145"/>
      <c r="CP103" s="213" t="str">
        <f>IF('Report History'!OX3=0,"",IFERROR('Report History'!OX3,""))</f>
        <v>YES</v>
      </c>
      <c r="CQ103" s="214" t="str">
        <f>IF('Report History'!OY3=0,"",IFERROR('Report History'!OY3,""))</f>
        <v/>
      </c>
      <c r="CR103" s="58" t="str">
        <f>IF('Report History'!OZ3=0,"",IFERROR('Report History'!OZ3,""))</f>
        <v>Were Trips on Time</v>
      </c>
      <c r="CS103" s="144"/>
      <c r="CT103" s="145"/>
      <c r="CU103" s="213" t="str">
        <f>IF('Report History'!PC3=0,"",IFERROR('Report History'!PC3,""))</f>
        <v>YES</v>
      </c>
      <c r="CV103" s="214" t="str">
        <f>IF('Report History'!PD3=0,"",IFERROR('Report History'!PD3,""))</f>
        <v/>
      </c>
      <c r="CW103" s="58" t="str">
        <f>IF('Report History'!PE3=0,"",IFERROR('Report History'!PE3,""))</f>
        <v>Were Trips on Time</v>
      </c>
      <c r="CX103" s="144"/>
      <c r="CY103" s="145"/>
      <c r="CZ103" s="213" t="str">
        <f>IF('Report History'!PH3=0,"",IFERROR('Report History'!PH3,""))</f>
        <v>YES</v>
      </c>
      <c r="DA103" s="214" t="str">
        <f>IF('Report History'!PI3=0,"",IFERROR('Report History'!PI3,""))</f>
        <v/>
      </c>
      <c r="DB103" s="58" t="str">
        <f>IF('Report History'!PJ3=0,"",IFERROR('Report History'!PJ3,""))</f>
        <v>Were Trips on Time</v>
      </c>
      <c r="DC103" s="144"/>
      <c r="DD103" s="145"/>
      <c r="DE103" s="213" t="str">
        <f>IF('Report History'!PM3=0,"",IFERROR('Report History'!PM3,""))</f>
        <v>YES</v>
      </c>
      <c r="DF103" s="214" t="str">
        <f>IF('Report History'!PN3=0,"",IFERROR('Report History'!PN3,""))</f>
        <v/>
      </c>
      <c r="DG103" s="58" t="str">
        <f>IF('Report History'!PO3=0,"",IFERROR('Report History'!PO3,""))</f>
        <v>Were Trips on Time</v>
      </c>
      <c r="DH103" s="144"/>
      <c r="DI103" s="145"/>
      <c r="DJ103" s="213" t="str">
        <f>IF('Report History'!PR3=0,"",IFERROR('Report History'!PR3,""))</f>
        <v>YES</v>
      </c>
      <c r="DK103" s="214" t="str">
        <f>IF('Report History'!PS3=0,"",IFERROR('Report History'!PS3,""))</f>
        <v/>
      </c>
      <c r="DL103" s="58" t="str">
        <f>IF('Report History'!PT3=0,"",IFERROR('Report History'!PT3,""))</f>
        <v>Were Trips on Time</v>
      </c>
      <c r="DM103" s="144"/>
      <c r="DN103" s="145"/>
      <c r="DO103" s="213" t="str">
        <f>IF('Report History'!PW3=0,"",IFERROR('Report History'!PW3,""))</f>
        <v>YES</v>
      </c>
      <c r="DP103" s="214" t="str">
        <f>IF('Report History'!PX3=0,"",IFERROR('Report History'!PX3,""))</f>
        <v/>
      </c>
      <c r="DQ103" s="58" t="str">
        <f>IF('Report History'!PY3=0,"",IFERROR('Report History'!PY3,""))</f>
        <v>Were Trips on Time</v>
      </c>
      <c r="DR103" s="144"/>
      <c r="DS103" s="145"/>
      <c r="DT103" s="213" t="str">
        <f>IF('Report History'!QB3=0,"",IFERROR('Report History'!QB3,""))</f>
        <v>YES</v>
      </c>
      <c r="DU103" s="214" t="str">
        <f>IF('Report History'!QC3=0,"",IFERROR('Report History'!QC3,""))</f>
        <v/>
      </c>
      <c r="DV103" s="58" t="str">
        <f>IF('Report History'!QD3=0,"",IFERROR('Report History'!QD3,""))</f>
        <v>Were Trips on Time</v>
      </c>
      <c r="DW103" s="144"/>
      <c r="DX103" s="145"/>
      <c r="DY103" s="213" t="str">
        <f>IF('Report History'!QG3=0,"",IFERROR('Report History'!QG3,""))</f>
        <v>YES</v>
      </c>
      <c r="DZ103" s="214" t="str">
        <f>IF('Report History'!QH3=0,"",IFERROR('Report History'!QH3,""))</f>
        <v/>
      </c>
      <c r="EA103" s="58" t="str">
        <f>IF('Report History'!QI3=0,"",IFERROR('Report History'!QI3,""))</f>
        <v>Were Trips on Time</v>
      </c>
      <c r="EB103" s="144"/>
      <c r="EC103" s="145"/>
      <c r="ED103" s="213" t="str">
        <f>IF('Report History'!QL3=0,"",IFERROR('Report History'!QL3,""))</f>
        <v>YES</v>
      </c>
      <c r="EE103" s="214" t="str">
        <f>IF('Report History'!QM3=0,"",IFERROR('Report History'!QM3,""))</f>
        <v/>
      </c>
      <c r="EF103" s="58" t="str">
        <f>IF('Report History'!QN3=0,"",IFERROR('Report History'!QN3,""))</f>
        <v>Were Trips on Time</v>
      </c>
      <c r="EG103" s="144"/>
      <c r="EH103" s="145"/>
      <c r="EI103" s="213" t="str">
        <f>IF('Report History'!QQ3=0,"",IFERROR('Report History'!QQ3,""))</f>
        <v>YES</v>
      </c>
      <c r="EJ103" s="214" t="str">
        <f>IF('Report History'!QR3=0,"",IFERROR('Report History'!QR3,""))</f>
        <v/>
      </c>
      <c r="EK103" s="58" t="str">
        <f>IF('Report History'!QS3=0,"",IFERROR('Report History'!QS3,""))</f>
        <v>Were Trips on Time</v>
      </c>
      <c r="EL103" s="144"/>
      <c r="EM103" s="145"/>
      <c r="EN103" s="213" t="str">
        <f>IF('Report History'!QV3=0,"",IFERROR('Report History'!QV3,""))</f>
        <v>YES</v>
      </c>
      <c r="EO103" s="214" t="str">
        <f>IF('Report History'!QW3=0,"",IFERROR('Report History'!QW3,""))</f>
        <v/>
      </c>
      <c r="EP103" s="58" t="str">
        <f>IF('Report History'!QX3=0,"",IFERROR('Report History'!QX3,""))</f>
        <v>Were Trips on Time</v>
      </c>
      <c r="EQ103" s="144"/>
      <c r="ER103" s="145"/>
      <c r="ES103" s="213" t="str">
        <f>IF('Report History'!RA3=0,"",IFERROR('Report History'!RA3,""))</f>
        <v>YES</v>
      </c>
      <c r="ET103" s="214" t="str">
        <f>IF('Report History'!RB3=0,"",IFERROR('Report History'!RB3,""))</f>
        <v/>
      </c>
      <c r="EU103" s="58" t="str">
        <f>IF('Report History'!RC3=0,"",IFERROR('Report History'!RC3,""))</f>
        <v>Were Trips on Time</v>
      </c>
      <c r="EV103" s="144"/>
      <c r="EW103" s="145"/>
      <c r="EX103" s="213" t="str">
        <f>IF('Report History'!RF3=0,"",IFERROR('Report History'!RF3,""))</f>
        <v>YES</v>
      </c>
      <c r="EY103" s="214" t="str">
        <f>IF('Report History'!RG3=0,"",IFERROR('Report History'!RG3,""))</f>
        <v/>
      </c>
      <c r="EZ103" s="58" t="str">
        <f>IF('Report History'!RH3=0,"",IFERROR('Report History'!RH3,""))</f>
        <v>Were Trips on Time</v>
      </c>
      <c r="FA103" s="144"/>
      <c r="FB103" s="145"/>
      <c r="FC103" s="213" t="str">
        <f>IF('Report History'!RK3=0,"",IFERROR('Report History'!RK3,""))</f>
        <v>NO</v>
      </c>
      <c r="FD103" s="214" t="str">
        <f>IF('Report History'!RL3=0,"",IFERROR('Report History'!RL3,""))</f>
        <v/>
      </c>
      <c r="FE103" s="58" t="str">
        <f>IF('Report History'!RM3=0,"",IFERROR('Report History'!RM3,""))</f>
        <v>Were Trips on Time</v>
      </c>
      <c r="FF103" s="144"/>
      <c r="FG103" s="145"/>
      <c r="FH103" s="213" t="str">
        <f>IF('Report History'!RP3=0,"",IFERROR('Report History'!RP3,""))</f>
        <v>YES</v>
      </c>
      <c r="FI103" s="214" t="str">
        <f>IF('Report History'!RQ3=0,"",IFERROR('Report History'!RQ3,""))</f>
        <v/>
      </c>
      <c r="FJ103" s="58" t="str">
        <f>IF('Report History'!RR3=0,"",IFERROR('Report History'!RR3,""))</f>
        <v>Were Trips on Time</v>
      </c>
      <c r="FK103" s="144"/>
      <c r="FL103" s="145"/>
      <c r="FM103" s="213" t="str">
        <f>IF('Report History'!RU3=0,"",IFERROR('Report History'!RU3,""))</f>
        <v>YES</v>
      </c>
      <c r="FN103" s="214" t="str">
        <f>IF('Report History'!RV3=0,"",IFERROR('Report History'!RV3,""))</f>
        <v/>
      </c>
      <c r="FO103" s="58" t="str">
        <f>IF('Report History'!RW3=0,"",IFERROR('Report History'!RW3,""))</f>
        <v>Were Trips on Time</v>
      </c>
      <c r="FP103" s="144"/>
      <c r="FQ103" s="145"/>
      <c r="FR103" s="213" t="str">
        <f>IF('Report History'!RZ3=0,"",IFERROR('Report History'!RZ3,""))</f>
        <v>YES</v>
      </c>
      <c r="FS103" s="214" t="str">
        <f>IF('Report History'!SA3=0,"",IFERROR('Report History'!SA3,""))</f>
        <v/>
      </c>
      <c r="FT103" s="58" t="str">
        <f>IF('Report History'!SB3=0,"",IFERROR('Report History'!SB3,""))</f>
        <v>Were Trips on Time</v>
      </c>
      <c r="FU103" s="144"/>
      <c r="FV103" s="145"/>
      <c r="FW103" s="213" t="str">
        <f>IF('Report History'!SE3=0,"",IFERROR('Report History'!SE3,""))</f>
        <v>YES</v>
      </c>
      <c r="FX103" s="214" t="str">
        <f>IF('Report History'!SF3=0,"",IFERROR('Report History'!SF3,""))</f>
        <v/>
      </c>
      <c r="FY103" s="58" t="str">
        <f>IF('Report History'!SG3=0,"",IFERROR('Report History'!SG3,""))</f>
        <v>Were Trips on Time</v>
      </c>
      <c r="FZ103" s="144"/>
      <c r="GA103" s="145"/>
      <c r="GB103" s="213" t="str">
        <f>IF('Report History'!SJ3=0,"",IFERROR('Report History'!SJ3,""))</f>
        <v>YES</v>
      </c>
      <c r="GC103" s="214" t="str">
        <f>IF('Report History'!SK3=0,"",IFERROR('Report History'!SK3,""))</f>
        <v/>
      </c>
      <c r="GD103" s="58" t="str">
        <f>IF('Report History'!SL3=0,"",IFERROR('Report History'!SL3,""))</f>
        <v>Were Trips on Time</v>
      </c>
      <c r="GE103" s="144"/>
      <c r="GF103" s="145"/>
      <c r="GG103" s="213" t="str">
        <f>IF('Report History'!SO3=0,"",IFERROR('Report History'!SO3,""))</f>
        <v>NO</v>
      </c>
      <c r="GH103" s="214" t="str">
        <f>IF('Report History'!SP3=0,"",IFERROR('Report History'!SP3,""))</f>
        <v/>
      </c>
      <c r="GI103" s="58" t="str">
        <f>IF('Report History'!SQ3=0,"",IFERROR('Report History'!SQ3,""))</f>
        <v>Were Trips on Time</v>
      </c>
      <c r="GJ103" s="144"/>
      <c r="GK103" s="145"/>
      <c r="GL103" s="213" t="str">
        <f>IF('Report History'!ST3=0,"",IFERROR('Report History'!ST3,""))</f>
        <v>NO</v>
      </c>
      <c r="GM103" s="214" t="str">
        <f>IF('Report History'!SU3=0,"",IFERROR('Report History'!SU3,""))</f>
        <v/>
      </c>
      <c r="GN103" s="58" t="str">
        <f>IF('Report History'!SV3=0,"",IFERROR('Report History'!SV3,""))</f>
        <v>Were Trips on Time</v>
      </c>
      <c r="GO103" s="144"/>
      <c r="GP103" s="145"/>
      <c r="GQ103" s="213" t="str">
        <f>IF('Report History'!SY3=0,"",IFERROR('Report History'!SY3,""))</f>
        <v>YES</v>
      </c>
      <c r="GR103" s="214" t="str">
        <f>IF('Report History'!SZ3=0,"",IFERROR('Report History'!SZ3,""))</f>
        <v/>
      </c>
      <c r="GS103" s="58" t="str">
        <f>IF('Report History'!TA3=0,"",IFERROR('Report History'!TA3,""))</f>
        <v>Were Trips on Time</v>
      </c>
      <c r="GT103" s="144"/>
      <c r="GU103" s="145"/>
      <c r="GV103" s="213" t="str">
        <f>IF('Report History'!TD3=0,"",IFERROR('Report History'!TD3,""))</f>
        <v>YES</v>
      </c>
      <c r="GW103" s="214" t="str">
        <f>IF('Report History'!TE3=0,"",IFERROR('Report History'!TE3,""))</f>
        <v/>
      </c>
      <c r="GX103" s="58" t="str">
        <f>IF('Report History'!TF3=0,"",IFERROR('Report History'!TF3,""))</f>
        <v>Were Trips on Time</v>
      </c>
      <c r="GY103" s="144"/>
      <c r="GZ103" s="145"/>
      <c r="HA103" s="213" t="str">
        <f>IF('Report History'!TI3=0,"",IFERROR('Report History'!TI3,""))</f>
        <v>YES</v>
      </c>
      <c r="HB103" s="214" t="str">
        <f>IF('Report History'!TJ3=0,"",IFERROR('Report History'!TJ3,""))</f>
        <v/>
      </c>
      <c r="HC103" s="58" t="str">
        <f>IF('Report History'!TK3=0,"",IFERROR('Report History'!TK3,""))</f>
        <v>Were Trips on Time</v>
      </c>
      <c r="HD103" s="144"/>
      <c r="HE103" s="145"/>
      <c r="HF103" s="213" t="str">
        <f>IF('Report History'!TN3=0,"",IFERROR('Report History'!TN3,""))</f>
        <v>YES</v>
      </c>
      <c r="HG103" s="214" t="str">
        <f>IF('Report History'!TO3=0,"",IFERROR('Report History'!TO3,""))</f>
        <v/>
      </c>
      <c r="HH103" s="58" t="str">
        <f>IF('Report History'!TP3=0,"",IFERROR('Report History'!TP3,""))</f>
        <v>Were Trips on Time</v>
      </c>
      <c r="HI103" s="144"/>
      <c r="HJ103" s="145"/>
      <c r="HK103" s="213" t="str">
        <f>IF('Report History'!TS3=0,"",IFERROR('Report History'!TS3,""))</f>
        <v>YES</v>
      </c>
      <c r="HL103" s="214" t="str">
        <f>IF('Report History'!TT3=0,"",IFERROR('Report History'!TT3,""))</f>
        <v/>
      </c>
      <c r="HM103" s="58" t="str">
        <f>IF('Report History'!TU3=0,"",IFERROR('Report History'!TU3,""))</f>
        <v>Were Trips on Time</v>
      </c>
      <c r="HN103" s="144"/>
      <c r="HO103" s="145"/>
      <c r="HP103" s="213" t="str">
        <f>IF('Report History'!TX3=0,"",IFERROR('Report History'!TX3,""))</f>
        <v>YES</v>
      </c>
      <c r="HQ103" s="214" t="str">
        <f>IF('Report History'!TY3=0,"",IFERROR('Report History'!TY3,""))</f>
        <v/>
      </c>
      <c r="HR103" s="58" t="str">
        <f>IF('Report History'!TZ3=0,"",IFERROR('Report History'!TZ3,""))</f>
        <v>Were Trips on Time</v>
      </c>
      <c r="HS103" s="144"/>
      <c r="HT103" s="145"/>
      <c r="HU103" s="213" t="str">
        <f>IF('Report History'!UC3=0,"",IFERROR('Report History'!UC3,""))</f>
        <v>NO</v>
      </c>
      <c r="HV103" s="214" t="str">
        <f>IF('Report History'!UD3=0,"",IFERROR('Report History'!UD3,""))</f>
        <v/>
      </c>
      <c r="HW103" s="58" t="str">
        <f>IF('Report History'!UE3=0,"",IFERROR('Report History'!UE3,""))</f>
        <v>Were Trips on Time</v>
      </c>
      <c r="HX103" s="144"/>
      <c r="HY103" s="145"/>
      <c r="HZ103" s="213" t="str">
        <f>IF('Report History'!UH3=0,"",IFERROR('Report History'!UH3,""))</f>
        <v>YES</v>
      </c>
      <c r="IA103" s="214" t="str">
        <f>IF('Report History'!UI3=0,"",IFERROR('Report History'!UI3,""))</f>
        <v/>
      </c>
      <c r="IB103" s="58" t="str">
        <f>IF('Report History'!UJ3=0,"",IFERROR('Report History'!UJ3,""))</f>
        <v>Were Trips on Time</v>
      </c>
      <c r="IC103" s="144"/>
      <c r="ID103" s="145"/>
      <c r="IE103" s="213" t="str">
        <f>IF('Report History'!UM3=0,"",IFERROR('Report History'!UM3,""))</f>
        <v>YES</v>
      </c>
      <c r="IF103" s="214" t="str">
        <f>IF('Report History'!UN3=0,"",IFERROR('Report History'!UN3,""))</f>
        <v/>
      </c>
      <c r="IG103" s="58" t="str">
        <f>IF('Report History'!UO3=0,"",IFERROR('Report History'!UO3,""))</f>
        <v>Were Trips on Time</v>
      </c>
      <c r="IH103" s="144"/>
      <c r="II103" s="145"/>
      <c r="IJ103" s="213" t="str">
        <f>IF('Report History'!UR3=0,"",IFERROR('Report History'!UR3,""))</f>
        <v>YES</v>
      </c>
      <c r="IK103" s="214" t="str">
        <f>IF('Report History'!US3=0,"",IFERROR('Report History'!US3,""))</f>
        <v/>
      </c>
      <c r="IL103" s="58" t="str">
        <f>IF('Report History'!UT3=0,"",IFERROR('Report History'!UT3,""))</f>
        <v>Were Trips on Time</v>
      </c>
      <c r="IM103" s="144"/>
      <c r="IN103" s="145"/>
      <c r="IO103" s="213" t="str">
        <f>IF('Report History'!UW3=0,"",IFERROR('Report History'!UW3,""))</f>
        <v>YES</v>
      </c>
      <c r="IP103" s="214" t="str">
        <f>IF('Report History'!UX3=0,"",IFERROR('Report History'!UX3,""))</f>
        <v/>
      </c>
    </row>
    <row r="104" spans="1:250" ht="16.2" thickBot="1" x14ac:dyDescent="0.35">
      <c r="A104" s="141" t="str">
        <f>IF('Report History'!LI4=0,"",IFERROR('Report History'!LI4,""))</f>
        <v>Total F/C Vol on hand</v>
      </c>
      <c r="B104" s="142"/>
      <c r="C104" s="143"/>
      <c r="D104" s="233">
        <f>IF('Report History'!LL4=0,"",IFERROR('Report History'!LL4,""))</f>
        <v>131974</v>
      </c>
      <c r="E104" s="234" t="str">
        <f>IF('Report History'!LM4=0,"",IFERROR('Report History'!LM4,""))</f>
        <v/>
      </c>
      <c r="F104" s="141" t="str">
        <f>IF('Report History'!LN4=0,"",IFERROR('Report History'!LN4,""))</f>
        <v>Total F/C Vol on hand</v>
      </c>
      <c r="G104" s="142"/>
      <c r="H104" s="143"/>
      <c r="I104" s="233">
        <f>IF('Report History'!LQ4=0,"",IFERROR('Report History'!LQ4,""))</f>
        <v>53466</v>
      </c>
      <c r="J104" s="234" t="str">
        <f>IF('Report History'!LR4=0,"",IFERROR('Report History'!LR4,""))</f>
        <v/>
      </c>
      <c r="K104" s="141" t="str">
        <f>IF('Report History'!LS4=0,"",IFERROR('Report History'!LS4,""))</f>
        <v>Total F/C Vol on hand</v>
      </c>
      <c r="L104" s="142"/>
      <c r="M104" s="143"/>
      <c r="N104" s="233">
        <f>IF('Report History'!LV4=0,"",IFERROR('Report History'!LV4,""))</f>
        <v>56708</v>
      </c>
      <c r="O104" s="234" t="str">
        <f>IF('Report History'!LW4=0,"",IFERROR('Report History'!LW4,""))</f>
        <v/>
      </c>
      <c r="P104" s="141" t="str">
        <f>IF('Report History'!LX4=0,"",IFERROR('Report History'!LX4,""))</f>
        <v>Total F/C Vol on hand</v>
      </c>
      <c r="Q104" s="142"/>
      <c r="R104" s="143"/>
      <c r="S104" s="233">
        <f>IF('Report History'!MA4=0,"",IFERROR('Report History'!MA4,""))</f>
        <v>44774</v>
      </c>
      <c r="T104" s="234" t="str">
        <f>IF('Report History'!MB4=0,"",IFERROR('Report History'!MB4,""))</f>
        <v/>
      </c>
      <c r="U104" s="141" t="str">
        <f>IF('Report History'!MC4=0,"",IFERROR('Report History'!MC4,""))</f>
        <v>Total F/C Vol on hand</v>
      </c>
      <c r="V104" s="142"/>
      <c r="W104" s="143"/>
      <c r="X104" s="233">
        <f>IF('Report History'!MF4=0,"",IFERROR('Report History'!MF4,""))</f>
        <v>54640</v>
      </c>
      <c r="Y104" s="234" t="str">
        <f>IF('Report History'!MG4=0,"",IFERROR('Report History'!MG4,""))</f>
        <v/>
      </c>
      <c r="Z104" s="141" t="str">
        <f>IF('Report History'!MH4=0,"",IFERROR('Report History'!MH4,""))</f>
        <v>Total F/C Vol on hand</v>
      </c>
      <c r="AA104" s="142"/>
      <c r="AB104" s="143"/>
      <c r="AC104" s="233">
        <f>IF('Report History'!MK4=0,"",IFERROR('Report History'!MK4,""))</f>
        <v>94858</v>
      </c>
      <c r="AD104" s="234" t="str">
        <f>IF('Report History'!ML4=0,"",IFERROR('Report History'!ML4,""))</f>
        <v/>
      </c>
      <c r="AE104" s="141" t="str">
        <f>IF('Report History'!MM4=0,"",IFERROR('Report History'!MM4,""))</f>
        <v>Total F/C Vol on hand</v>
      </c>
      <c r="AF104" s="142"/>
      <c r="AG104" s="143"/>
      <c r="AH104" s="233">
        <f>IF('Report History'!MP4=0,"",IFERROR('Report History'!MP4,""))</f>
        <v>151566</v>
      </c>
      <c r="AI104" s="234" t="str">
        <f>IF('Report History'!MQ4=0,"",IFERROR('Report History'!MQ4,""))</f>
        <v/>
      </c>
      <c r="AJ104" s="141" t="str">
        <f>IF('Report History'!MR4=0,"",IFERROR('Report History'!MR4,""))</f>
        <v>Total F/C Vol on hand</v>
      </c>
      <c r="AK104" s="142"/>
      <c r="AL104" s="143"/>
      <c r="AM104" s="233">
        <f>IF('Report History'!MU4=0,"",IFERROR('Report History'!MU4,""))</f>
        <v>91616</v>
      </c>
      <c r="AN104" s="234" t="str">
        <f>IF('Report History'!MV4=0,"",IFERROR('Report History'!MV4,""))</f>
        <v/>
      </c>
      <c r="AO104" s="141" t="str">
        <f>IF('Report History'!MW4=0,"",IFERROR('Report History'!MW4,""))</f>
        <v>Total F/C Vol on hand</v>
      </c>
      <c r="AP104" s="142"/>
      <c r="AQ104" s="143"/>
      <c r="AR104" s="233">
        <f>IF('Report History'!MZ4=0,"",IFERROR('Report History'!MZ4,""))</f>
        <v>91616</v>
      </c>
      <c r="AS104" s="234" t="str">
        <f>IF('Report History'!NA4=0,"",IFERROR('Report History'!NA4,""))</f>
        <v/>
      </c>
      <c r="AT104" s="141" t="str">
        <f>IF('Report History'!NB4=0,"",IFERROR('Report History'!NB4,""))</f>
        <v>Total F/C Vol on hand</v>
      </c>
      <c r="AU104" s="142"/>
      <c r="AV104" s="143"/>
      <c r="AW104" s="233">
        <f>IF('Report History'!NE4=0,"",IFERROR('Report History'!NE4,""))</f>
        <v>113416</v>
      </c>
      <c r="AX104" s="234" t="str">
        <f>IF('Report History'!NF4=0,"",IFERROR('Report History'!NF4,""))</f>
        <v/>
      </c>
      <c r="AY104" s="141" t="str">
        <f>IF('Report History'!NG4=0,"",IFERROR('Report History'!NG4,""))</f>
        <v>Total F/C Vol on hand</v>
      </c>
      <c r="AZ104" s="142"/>
      <c r="BA104" s="143"/>
      <c r="BB104" s="233">
        <f>IF('Report History'!NJ4=0,"",IFERROR('Report History'!NJ4,""))</f>
        <v>80716</v>
      </c>
      <c r="BC104" s="234" t="str">
        <f>IF('Report History'!NK4=0,"",IFERROR('Report History'!NK4,""))</f>
        <v/>
      </c>
      <c r="BD104" s="141" t="str">
        <f>IF('Report History'!NL4=0,"",IFERROR('Report History'!NL4,""))</f>
        <v>Total F/C Vol on hand</v>
      </c>
      <c r="BE104" s="142"/>
      <c r="BF104" s="143"/>
      <c r="BG104" s="233">
        <f>IF('Report History'!NO4=0,"",IFERROR('Report History'!NO4,""))</f>
        <v>91616</v>
      </c>
      <c r="BH104" s="234" t="str">
        <f>IF('Report History'!NP4=0,"",IFERROR('Report History'!NP4,""))</f>
        <v/>
      </c>
      <c r="BI104" s="141" t="str">
        <f>IF('Report History'!NQ4=0,"",IFERROR('Report History'!NQ4,""))</f>
        <v>Total F/C Vol on hand</v>
      </c>
      <c r="BJ104" s="142"/>
      <c r="BK104" s="143"/>
      <c r="BL104" s="233">
        <f>IF('Report History'!NT4=0,"",IFERROR('Report History'!NT4,""))</f>
        <v>49190</v>
      </c>
      <c r="BM104" s="234" t="str">
        <f>IF('Report History'!NU4=0,"",IFERROR('Report History'!NU4,""))</f>
        <v/>
      </c>
      <c r="BN104" s="141" t="str">
        <f>IF('Report History'!NV4=0,"",IFERROR('Report History'!NV4,""))</f>
        <v>Total F/C Vol on hand</v>
      </c>
      <c r="BO104" s="142"/>
      <c r="BP104" s="143"/>
      <c r="BQ104" s="233">
        <f>IF('Report History'!NY4=0,"",IFERROR('Report History'!NY4,""))</f>
        <v>181024</v>
      </c>
      <c r="BR104" s="234" t="str">
        <f>IF('Report History'!NZ4=0,"",IFERROR('Report History'!NZ4,""))</f>
        <v/>
      </c>
      <c r="BS104" s="141" t="str">
        <f>IF('Report History'!OA4=0,"",IFERROR('Report History'!OA4,""))</f>
        <v>Total F/C Vol on hand</v>
      </c>
      <c r="BT104" s="142"/>
      <c r="BU104" s="143"/>
      <c r="BV104" s="233">
        <f>IF('Report History'!OD4=0,"",IFERROR('Report History'!OD4,""))</f>
        <v>145082</v>
      </c>
      <c r="BW104" s="234" t="str">
        <f>IF('Report History'!OE4=0,"",IFERROR('Report History'!OE4,""))</f>
        <v/>
      </c>
      <c r="BX104" s="141" t="str">
        <f>IF('Report History'!OF4=0,"",IFERROR('Report History'!OF4,""))</f>
        <v>Total F/C Vol on hand</v>
      </c>
      <c r="BY104" s="142"/>
      <c r="BZ104" s="143"/>
      <c r="CA104" s="233">
        <f>IF('Report History'!OI4=0,"",IFERROR('Report History'!OI4,""))</f>
        <v>136250</v>
      </c>
      <c r="CB104" s="234" t="str">
        <f>IF('Report History'!OJ4=0,"",IFERROR('Report History'!OJ4,""))</f>
        <v/>
      </c>
      <c r="CC104" s="141" t="str">
        <f>IF('Report History'!OK4=0,"",IFERROR('Report History'!OK4,""))</f>
        <v>Total F/C Vol on hand</v>
      </c>
      <c r="CD104" s="142"/>
      <c r="CE104" s="143"/>
      <c r="CF104" s="233">
        <f>IF('Report History'!ON4=0,"",IFERROR('Report History'!ON4,""))</f>
        <v>157016</v>
      </c>
      <c r="CG104" s="234" t="str">
        <f>IF('Report History'!OO4=0,"",IFERROR('Report History'!OO4,""))</f>
        <v/>
      </c>
      <c r="CH104" s="141" t="str">
        <f>IF('Report History'!OP4=0,"",IFERROR('Report History'!OP4,""))</f>
        <v>Total F/C Vol on hand</v>
      </c>
      <c r="CI104" s="142"/>
      <c r="CJ104" s="143"/>
      <c r="CK104" s="233">
        <f>IF('Report History'!OS4=0,"",IFERROR('Report History'!OS4,""))</f>
        <v>102516</v>
      </c>
      <c r="CL104" s="234" t="str">
        <f>IF('Report History'!OT4=0,"",IFERROR('Report History'!OT4,""))</f>
        <v/>
      </c>
      <c r="CM104" s="141" t="str">
        <f>IF('Report History'!OU4=0,"",IFERROR('Report History'!OU4,""))</f>
        <v>Total F/C Vol on hand</v>
      </c>
      <c r="CN104" s="142"/>
      <c r="CO104" s="143"/>
      <c r="CP104" s="233">
        <f>IF('Report History'!OX4=0,"",IFERROR('Report History'!OX4,""))</f>
        <v>69816</v>
      </c>
      <c r="CQ104" s="234" t="str">
        <f>IF('Report History'!OY4=0,"",IFERROR('Report History'!OY4,""))</f>
        <v/>
      </c>
      <c r="CR104" s="141" t="str">
        <f>IF('Report History'!OZ4=0,"",IFERROR('Report History'!OZ4,""))</f>
        <v>Total F/C Vol on hand</v>
      </c>
      <c r="CS104" s="142"/>
      <c r="CT104" s="143"/>
      <c r="CU104" s="233">
        <f>IF('Report History'!PC4=0,"",IFERROR('Report History'!PC4,""))</f>
        <v>113416</v>
      </c>
      <c r="CV104" s="234" t="str">
        <f>IF('Report History'!PD4=0,"",IFERROR('Report History'!PD4,""))</f>
        <v/>
      </c>
      <c r="CW104" s="141" t="str">
        <f>IF('Report History'!PE4=0,"",IFERROR('Report History'!PE4,""))</f>
        <v>Total F/C Vol on hand</v>
      </c>
      <c r="CX104" s="142"/>
      <c r="CY104" s="143"/>
      <c r="CZ104" s="233">
        <f>IF('Report History'!PH4=0,"",IFERROR('Report History'!PH4,""))</f>
        <v>52432</v>
      </c>
      <c r="DA104" s="234" t="str">
        <f>IF('Report History'!PI4=0,"",IFERROR('Report History'!PI4,""))</f>
        <v/>
      </c>
      <c r="DB104" s="141" t="str">
        <f>IF('Report History'!PJ4=0,"",IFERROR('Report History'!PJ4,""))</f>
        <v>Total F/C Vol on hand</v>
      </c>
      <c r="DC104" s="142"/>
      <c r="DD104" s="143"/>
      <c r="DE104" s="233">
        <f>IF('Report History'!PM4=0,"",IFERROR('Report History'!PM4,""))</f>
        <v>136266</v>
      </c>
      <c r="DF104" s="234" t="str">
        <f>IF('Report History'!PN4=0,"",IFERROR('Report History'!PN4,""))</f>
        <v/>
      </c>
      <c r="DG104" s="141" t="str">
        <f>IF('Report History'!PO4=0,"",IFERROR('Report History'!PO4,""))</f>
        <v>Total F/C Vol on hand</v>
      </c>
      <c r="DH104" s="142"/>
      <c r="DI104" s="143"/>
      <c r="DJ104" s="233">
        <f>IF('Report History'!PR4=0,"",IFERROR('Report History'!PR4,""))</f>
        <v>138458</v>
      </c>
      <c r="DK104" s="234" t="str">
        <f>IF('Report History'!PS4=0,"",IFERROR('Report History'!PS4,""))</f>
        <v/>
      </c>
      <c r="DL104" s="141" t="str">
        <f>IF('Report History'!PT4=0,"",IFERROR('Report History'!PT4,""))</f>
        <v>Total F/C Vol on hand</v>
      </c>
      <c r="DM104" s="142"/>
      <c r="DN104" s="143"/>
      <c r="DO104" s="233">
        <f>IF('Report History'!PW4=0,"",IFERROR('Report History'!PW4,""))</f>
        <v>140666</v>
      </c>
      <c r="DP104" s="234" t="str">
        <f>IF('Report History'!PX4=0,"",IFERROR('Report History'!PX4,""))</f>
        <v/>
      </c>
      <c r="DQ104" s="141" t="str">
        <f>IF('Report History'!PY4=0,"",IFERROR('Report History'!PY4,""))</f>
        <v>Total F/C Vol on hand</v>
      </c>
      <c r="DR104" s="142"/>
      <c r="DS104" s="143"/>
      <c r="DT104" s="233">
        <f>IF('Report History'!QB4=0,"",IFERROR('Report History'!QB4,""))</f>
        <v>104724</v>
      </c>
      <c r="DU104" s="234" t="str">
        <f>IF('Report History'!QC4=0,"",IFERROR('Report History'!QC4,""))</f>
        <v/>
      </c>
      <c r="DV104" s="141" t="str">
        <f>IF('Report History'!QD4=0,"",IFERROR('Report History'!QD4,""))</f>
        <v>Total F/C Vol on hand</v>
      </c>
      <c r="DW104" s="142"/>
      <c r="DX104" s="143"/>
      <c r="DY104" s="233">
        <f>IF('Report History'!QG4=0,"",IFERROR('Report History'!QG4,""))</f>
        <v>82924</v>
      </c>
      <c r="DZ104" s="234" t="str">
        <f>IF('Report History'!QH4=0,"",IFERROR('Report History'!QH4,""))</f>
        <v/>
      </c>
      <c r="EA104" s="141" t="str">
        <f>IF('Report History'!QI4=0,"",IFERROR('Report History'!QI4,""))</f>
        <v>Total F/C Vol on hand</v>
      </c>
      <c r="EB104" s="142"/>
      <c r="EC104" s="143"/>
      <c r="ED104" s="233">
        <f>IF('Report History'!QL4=0,"",IFERROR('Report History'!QL4,""))</f>
        <v>114520</v>
      </c>
      <c r="EE104" s="234" t="str">
        <f>IF('Report History'!QM4=0,"",IFERROR('Report History'!QM4,""))</f>
        <v/>
      </c>
      <c r="EF104" s="141" t="str">
        <f>IF('Report History'!QN4=0,"",IFERROR('Report History'!QN4,""))</f>
        <v>Total F/C Vol on hand</v>
      </c>
      <c r="EG104" s="142"/>
      <c r="EH104" s="143"/>
      <c r="EI104" s="233">
        <f>IF('Report History'!QQ4=0,"",IFERROR('Report History'!QQ4,""))</f>
        <v>5520</v>
      </c>
      <c r="EJ104" s="234" t="str">
        <f>IF('Report History'!QR4=0,"",IFERROR('Report History'!QR4,""))</f>
        <v/>
      </c>
      <c r="EK104" s="141" t="str">
        <f>IF('Report History'!QS4=0,"",IFERROR('Report History'!QS4,""))</f>
        <v>Total F/C Vol on hand</v>
      </c>
      <c r="EL104" s="142"/>
      <c r="EM104" s="143"/>
      <c r="EN104" s="233">
        <f>IF('Report History'!QV4=0,"",IFERROR('Report History'!QV4,""))</f>
        <v>65540</v>
      </c>
      <c r="EO104" s="234" t="str">
        <f>IF('Report History'!QW4=0,"",IFERROR('Report History'!QW4,""))</f>
        <v/>
      </c>
      <c r="EP104" s="141" t="str">
        <f>IF('Report History'!QX4=0,"",IFERROR('Report History'!QX4,""))</f>
        <v>Total F/C Vol on hand</v>
      </c>
      <c r="EQ104" s="142"/>
      <c r="ER104" s="143"/>
      <c r="ES104" s="233">
        <f>IF('Report History'!RA4=0,"",IFERROR('Report History'!RA4,""))</f>
        <v>111208</v>
      </c>
      <c r="ET104" s="234" t="str">
        <f>IF('Report History'!RB4=0,"",IFERROR('Report History'!RB4,""))</f>
        <v/>
      </c>
      <c r="EU104" s="141" t="str">
        <f>IF('Report History'!RC4=0,"",IFERROR('Report History'!RC4,""))</f>
        <v>Total F/C Vol on hand</v>
      </c>
      <c r="EV104" s="142"/>
      <c r="EW104" s="143"/>
      <c r="EX104" s="233">
        <f>IF('Report History'!RF4=0,"",IFERROR('Report History'!RF4,""))</f>
        <v>151566</v>
      </c>
      <c r="EY104" s="234" t="str">
        <f>IF('Report History'!RG4=0,"",IFERROR('Report History'!RG4,""))</f>
        <v/>
      </c>
      <c r="EZ104" s="141" t="str">
        <f>IF('Report History'!RH4=0,"",IFERROR('Report History'!RH4,""))</f>
        <v>Total F/C Vol on hand</v>
      </c>
      <c r="FA104" s="142"/>
      <c r="FB104" s="143"/>
      <c r="FC104" s="233">
        <f>IF('Report History'!RK4=0,"",IFERROR('Report History'!RK4,""))</f>
        <v>135216</v>
      </c>
      <c r="FD104" s="234" t="str">
        <f>IF('Report History'!RL4=0,"",IFERROR('Report History'!RL4,""))</f>
        <v/>
      </c>
      <c r="FE104" s="141" t="str">
        <f>IF('Report History'!RM4=0,"",IFERROR('Report History'!RM4,""))</f>
        <v>Total F/C Vol on hand</v>
      </c>
      <c r="FF104" s="142"/>
      <c r="FG104" s="143"/>
      <c r="FH104" s="233">
        <f>IF('Report History'!RP4=0,"",IFERROR('Report History'!RP4,""))</f>
        <v>104724</v>
      </c>
      <c r="FI104" s="234" t="str">
        <f>IF('Report History'!RQ4=0,"",IFERROR('Report History'!RQ4,""))</f>
        <v/>
      </c>
      <c r="FJ104" s="141" t="str">
        <f>IF('Report History'!RR4=0,"",IFERROR('Report History'!RR4,""))</f>
        <v>Total F/C Vol on hand</v>
      </c>
      <c r="FK104" s="142"/>
      <c r="FL104" s="143"/>
      <c r="FM104" s="233">
        <f>IF('Report History'!RU4=0,"",IFERROR('Report History'!RU4,""))</f>
        <v>80716</v>
      </c>
      <c r="FN104" s="234" t="str">
        <f>IF('Report History'!RV4=0,"",IFERROR('Report History'!RV4,""))</f>
        <v/>
      </c>
      <c r="FO104" s="141" t="str">
        <f>IF('Report History'!RW4=0,"",IFERROR('Report History'!RW4,""))</f>
        <v>Total F/C Vol on hand</v>
      </c>
      <c r="FP104" s="142"/>
      <c r="FQ104" s="143"/>
      <c r="FR104" s="233">
        <f>IF('Report History'!RZ4=0,"",IFERROR('Report History'!RZ4,""))</f>
        <v>76300</v>
      </c>
      <c r="FS104" s="234" t="str">
        <f>IF('Report History'!SA4=0,"",IFERROR('Report History'!SA4,""))</f>
        <v/>
      </c>
      <c r="FT104" s="141" t="str">
        <f>IF('Report History'!SB4=0,"",IFERROR('Report History'!SB4,""))</f>
        <v>Total F/C Vol on hand</v>
      </c>
      <c r="FU104" s="142"/>
      <c r="FV104" s="143"/>
      <c r="FW104" s="233">
        <f>IF('Report History'!SE4=0,"",IFERROR('Report History'!SE4,""))</f>
        <v>36669</v>
      </c>
      <c r="FX104" s="234" t="str">
        <f>IF('Report History'!SF4=0,"",IFERROR('Report History'!SF4,""))</f>
        <v/>
      </c>
      <c r="FY104" s="141" t="str">
        <f>IF('Report History'!SG4=0,"",IFERROR('Report History'!SG4,""))</f>
        <v>Total F/C Vol on hand</v>
      </c>
      <c r="FZ104" s="142"/>
      <c r="GA104" s="143"/>
      <c r="GB104" s="233">
        <f>IF('Report History'!SJ4=0,"",IFERROR('Report History'!SJ4,""))</f>
        <v>87340</v>
      </c>
      <c r="GC104" s="234" t="str">
        <f>IF('Report History'!SK4=0,"",IFERROR('Report History'!SK4,""))</f>
        <v/>
      </c>
      <c r="GD104" s="141" t="str">
        <f>IF('Report History'!SL4=0,"",IFERROR('Report History'!SL4,""))</f>
        <v>Total F/C Vol on hand</v>
      </c>
      <c r="GE104" s="142"/>
      <c r="GF104" s="143"/>
      <c r="GG104" s="233">
        <f>IF('Report History'!SO4=0,"",IFERROR('Report History'!SO4,""))</f>
        <v>146116</v>
      </c>
      <c r="GH104" s="234" t="str">
        <f>IF('Report History'!SP4=0,"",IFERROR('Report History'!SP4,""))</f>
        <v/>
      </c>
      <c r="GI104" s="141" t="str">
        <f>IF('Report History'!SQ4=0,"",IFERROR('Report History'!SQ4,""))</f>
        <v>Total F/C Vol on hand</v>
      </c>
      <c r="GJ104" s="142"/>
      <c r="GK104" s="143"/>
      <c r="GL104" s="233">
        <f>IF('Report History'!ST4=0,"",IFERROR('Report History'!ST4,""))</f>
        <v>154808</v>
      </c>
      <c r="GM104" s="234" t="str">
        <f>IF('Report History'!SU4=0,"",IFERROR('Report History'!SU4,""))</f>
        <v/>
      </c>
      <c r="GN104" s="141" t="str">
        <f>IF('Report History'!SV4=0,"",IFERROR('Report History'!SV4,""))</f>
        <v>Total F/C Vol on hand</v>
      </c>
      <c r="GO104" s="142"/>
      <c r="GP104" s="143"/>
      <c r="GQ104" s="233">
        <f>IF('Report History'!SY4=0,"",IFERROR('Report History'!SY4,""))</f>
        <v>153774</v>
      </c>
      <c r="GR104" s="234" t="str">
        <f>IF('Report History'!SZ4=0,"",IFERROR('Report History'!SZ4,""))</f>
        <v/>
      </c>
      <c r="GS104" s="141" t="str">
        <f>IF('Report History'!TA4=0,"",IFERROR('Report History'!TA4,""))</f>
        <v>Total F/C Vol on hand</v>
      </c>
      <c r="GT104" s="142"/>
      <c r="GU104" s="143"/>
      <c r="GV104" s="233">
        <f>IF('Report History'!TD4=0,"",IFERROR('Report History'!TD4,""))</f>
        <v>98170</v>
      </c>
      <c r="GW104" s="234" t="str">
        <f>IF('Report History'!TE4=0,"",IFERROR('Report History'!TE4,""))</f>
        <v/>
      </c>
      <c r="GX104" s="141" t="str">
        <f>IF('Report History'!TF4=0,"",IFERROR('Report History'!TF4,""))</f>
        <v>Total F/C Vol on hand</v>
      </c>
      <c r="GY104" s="142"/>
      <c r="GZ104" s="143"/>
      <c r="HA104" s="233">
        <f>IF('Report History'!TI4=0,"",IFERROR('Report History'!TI4,""))</f>
        <v>90512</v>
      </c>
      <c r="HB104" s="234" t="str">
        <f>IF('Report History'!TJ4=0,"",IFERROR('Report History'!TJ4,""))</f>
        <v/>
      </c>
      <c r="HC104" s="141" t="str">
        <f>IF('Report History'!TK4=0,"",IFERROR('Report History'!TK4,""))</f>
        <v>Total F/C Vol on hand</v>
      </c>
      <c r="HD104" s="142"/>
      <c r="HE104" s="143"/>
      <c r="HF104" s="233">
        <f>IF('Report History'!TN4=0,"",IFERROR('Report History'!TN4,""))</f>
        <v>107966</v>
      </c>
      <c r="HG104" s="234" t="str">
        <f>IF('Report History'!TO4=0,"",IFERROR('Report History'!TO4,""))</f>
        <v/>
      </c>
      <c r="HH104" s="141" t="str">
        <f>IF('Report History'!TP4=0,"",IFERROR('Report History'!TP4,""))</f>
        <v>Total F/C Vol on hand</v>
      </c>
      <c r="HI104" s="142"/>
      <c r="HJ104" s="143"/>
      <c r="HK104" s="233">
        <f>IF('Report History'!TS4=0,"",IFERROR('Report History'!TS4,""))</f>
        <v>71060</v>
      </c>
      <c r="HL104" s="234" t="str">
        <f>IF('Report History'!TT4=0,"",IFERROR('Report History'!TT4,""))</f>
        <v/>
      </c>
      <c r="HM104" s="141" t="str">
        <f>IF('Report History'!TU4=0,"",IFERROR('Report History'!TU4,""))</f>
        <v>Total F/C Vol on hand</v>
      </c>
      <c r="HN104" s="142"/>
      <c r="HO104" s="143"/>
      <c r="HP104" s="233">
        <f>IF('Report History'!TX4=0,"",IFERROR('Report History'!TX4,""))</f>
        <v>130940</v>
      </c>
      <c r="HQ104" s="234" t="str">
        <f>IF('Report History'!TY4=0,"",IFERROR('Report History'!TY4,""))</f>
        <v/>
      </c>
      <c r="HR104" s="141" t="str">
        <f>IF('Report History'!TZ4=0,"",IFERROR('Report History'!TZ4,""))</f>
        <v>Total F/C Vol on hand</v>
      </c>
      <c r="HS104" s="142"/>
      <c r="HT104" s="143"/>
      <c r="HU104" s="233">
        <f>IF('Report History'!UC4=0,"",IFERROR('Report History'!UC4,""))</f>
        <v>154808</v>
      </c>
      <c r="HV104" s="234" t="str">
        <f>IF('Report History'!UD4=0,"",IFERROR('Report History'!UD4,""))</f>
        <v/>
      </c>
      <c r="HW104" s="141" t="str">
        <f>IF('Report History'!UE4=0,"",IFERROR('Report History'!UE4,""))</f>
        <v>Total F/C Vol on hand</v>
      </c>
      <c r="HX104" s="142"/>
      <c r="HY104" s="143"/>
      <c r="HZ104" s="233">
        <f>IF('Report History'!UH4=0,"",IFERROR('Report History'!UH4,""))</f>
        <v>195718</v>
      </c>
      <c r="IA104" s="234" t="str">
        <f>IF('Report History'!UI4=0,"",IFERROR('Report History'!UI4,""))</f>
        <v/>
      </c>
      <c r="IB104" s="141" t="str">
        <f>IF('Report History'!UJ4=0,"",IFERROR('Report History'!UJ4,""))</f>
        <v>Total F/C Vol on hand</v>
      </c>
      <c r="IC104" s="142"/>
      <c r="ID104" s="143"/>
      <c r="IE104" s="233">
        <f>IF('Report History'!UM4=0,"",IFERROR('Report History'!UM4,""))</f>
        <v>135216</v>
      </c>
      <c r="IF104" s="234" t="str">
        <f>IF('Report History'!UN4=0,"",IFERROR('Report History'!UN4,""))</f>
        <v/>
      </c>
      <c r="IG104" s="141" t="str">
        <f>IF('Report History'!UO4=0,"",IFERROR('Report History'!UO4,""))</f>
        <v>Total F/C Vol on hand</v>
      </c>
      <c r="IH104" s="142"/>
      <c r="II104" s="143"/>
      <c r="IJ104" s="233">
        <f>IF('Report History'!UR4=0,"",IFERROR('Report History'!UR4,""))</f>
        <v>76440</v>
      </c>
      <c r="IK104" s="234" t="str">
        <f>IF('Report History'!US4=0,"",IFERROR('Report History'!US4,""))</f>
        <v/>
      </c>
      <c r="IL104" s="141" t="str">
        <f>IF('Report History'!UT4=0,"",IFERROR('Report History'!UT4,""))</f>
        <v>Total F/C Vol on hand</v>
      </c>
      <c r="IM104" s="142"/>
      <c r="IN104" s="143"/>
      <c r="IO104" s="233">
        <f>IF('Report History'!UW4=0,"",IFERROR('Report History'!UW4,""))</f>
        <v>60020</v>
      </c>
      <c r="IP104" s="234" t="str">
        <f>IF('Report History'!UX4=0,"",IFERROR('Report History'!UX4,""))</f>
        <v/>
      </c>
    </row>
    <row r="105" spans="1:250" ht="15.6" thickBot="1" x14ac:dyDescent="0.3">
      <c r="A105" s="63" t="str">
        <f>IF('Report History'!LI5=0,"",IFERROR('Report History'!LI5,""))</f>
        <v xml:space="preserve">     F/C Letters on hand</v>
      </c>
      <c r="B105" s="62"/>
      <c r="C105" s="62"/>
      <c r="D105" s="237">
        <f>IF('Report History'!LL5=0,"",IFERROR('Report History'!LL5,""))</f>
        <v>125350</v>
      </c>
      <c r="E105" s="238" t="str">
        <f>IF('Report History'!LM5=0,"",IFERROR('Report History'!LM5,""))</f>
        <v/>
      </c>
      <c r="F105" s="63" t="str">
        <f>IF('Report History'!LN5=0,"",IFERROR('Report History'!LN5,""))</f>
        <v xml:space="preserve">     F/C Letters on hand</v>
      </c>
      <c r="G105" s="62"/>
      <c r="H105" s="62"/>
      <c r="I105" s="237">
        <f>IF('Report History'!LQ5=0,"",IFERROR('Report History'!LQ5,""))</f>
        <v>49050</v>
      </c>
      <c r="J105" s="238" t="str">
        <f>IF('Report History'!LR5=0,"",IFERROR('Report History'!LR5,""))</f>
        <v/>
      </c>
      <c r="K105" s="63" t="str">
        <f>IF('Report History'!LS5=0,"",IFERROR('Report History'!LS5,""))</f>
        <v xml:space="preserve">     F/C Letters on hand</v>
      </c>
      <c r="L105" s="62"/>
      <c r="M105" s="62"/>
      <c r="N105" s="237">
        <f>IF('Report History'!LV5=0,"",IFERROR('Report History'!LV5,""))</f>
        <v>54500</v>
      </c>
      <c r="O105" s="238" t="str">
        <f>IF('Report History'!LW5=0,"",IFERROR('Report History'!LW5,""))</f>
        <v/>
      </c>
      <c r="P105" s="63" t="str">
        <f>IF('Report History'!LX5=0,"",IFERROR('Report History'!LX5,""))</f>
        <v xml:space="preserve">     F/C Letters on hand</v>
      </c>
      <c r="Q105" s="62"/>
      <c r="R105" s="62"/>
      <c r="S105" s="237">
        <f>IF('Report History'!MA5=0,"",IFERROR('Report History'!MA5,""))</f>
        <v>38150</v>
      </c>
      <c r="T105" s="238" t="str">
        <f>IF('Report History'!MB5=0,"",IFERROR('Report History'!MB5,""))</f>
        <v/>
      </c>
      <c r="U105" s="63" t="str">
        <f>IF('Report History'!MC5=0,"",IFERROR('Report History'!MC5,""))</f>
        <v xml:space="preserve">     F/C Letters on hand</v>
      </c>
      <c r="V105" s="62"/>
      <c r="W105" s="62"/>
      <c r="X105" s="237">
        <f>IF('Report History'!MF5=0,"",IFERROR('Report History'!MF5,""))</f>
        <v>43600</v>
      </c>
      <c r="Y105" s="238" t="str">
        <f>IF('Report History'!MG5=0,"",IFERROR('Report History'!MG5,""))</f>
        <v/>
      </c>
      <c r="Z105" s="63" t="str">
        <f>IF('Report History'!MH5=0,"",IFERROR('Report History'!MH5,""))</f>
        <v xml:space="preserve">     F/C Letters on hand</v>
      </c>
      <c r="AA105" s="62"/>
      <c r="AB105" s="62"/>
      <c r="AC105" s="237">
        <f>IF('Report History'!MK5=0,"",IFERROR('Report History'!MK5,""))</f>
        <v>92650</v>
      </c>
      <c r="AD105" s="238" t="str">
        <f>IF('Report History'!ML5=0,"",IFERROR('Report History'!ML5,""))</f>
        <v/>
      </c>
      <c r="AE105" s="63" t="str">
        <f>IF('Report History'!MM5=0,"",IFERROR('Report History'!MM5,""))</f>
        <v xml:space="preserve">     F/C Letters on hand</v>
      </c>
      <c r="AF105" s="62"/>
      <c r="AG105" s="62"/>
      <c r="AH105" s="237">
        <f>IF('Report History'!MP5=0,"",IFERROR('Report History'!MP5,""))</f>
        <v>147150</v>
      </c>
      <c r="AI105" s="238" t="str">
        <f>IF('Report History'!MQ5=0,"",IFERROR('Report History'!MQ5,""))</f>
        <v/>
      </c>
      <c r="AJ105" s="63" t="str">
        <f>IF('Report History'!MR5=0,"",IFERROR('Report History'!MR5,""))</f>
        <v xml:space="preserve">     F/C Letters on hand</v>
      </c>
      <c r="AK105" s="62"/>
      <c r="AL105" s="62"/>
      <c r="AM105" s="237">
        <f>IF('Report History'!MU5=0,"",IFERROR('Report History'!MU5,""))</f>
        <v>87200</v>
      </c>
      <c r="AN105" s="238" t="str">
        <f>IF('Report History'!MV5=0,"",IFERROR('Report History'!MV5,""))</f>
        <v/>
      </c>
      <c r="AO105" s="63" t="str">
        <f>IF('Report History'!MW5=0,"",IFERROR('Report History'!MW5,""))</f>
        <v xml:space="preserve">     F/C Letters on hand</v>
      </c>
      <c r="AP105" s="62"/>
      <c r="AQ105" s="62"/>
      <c r="AR105" s="237">
        <f>IF('Report History'!MZ5=0,"",IFERROR('Report History'!MZ5,""))</f>
        <v>87200</v>
      </c>
      <c r="AS105" s="238" t="str">
        <f>IF('Report History'!NA5=0,"",IFERROR('Report History'!NA5,""))</f>
        <v/>
      </c>
      <c r="AT105" s="63" t="str">
        <f>IF('Report History'!NB5=0,"",IFERROR('Report History'!NB5,""))</f>
        <v xml:space="preserve">     F/C Letters on hand</v>
      </c>
      <c r="AU105" s="62"/>
      <c r="AV105" s="62"/>
      <c r="AW105" s="237">
        <f>IF('Report History'!NE5=0,"",IFERROR('Report History'!NE5,""))</f>
        <v>109000</v>
      </c>
      <c r="AX105" s="238" t="str">
        <f>IF('Report History'!NF5=0,"",IFERROR('Report History'!NF5,""))</f>
        <v/>
      </c>
      <c r="AY105" s="63" t="str">
        <f>IF('Report History'!NG5=0,"",IFERROR('Report History'!NG5,""))</f>
        <v xml:space="preserve">     F/C Letters on hand</v>
      </c>
      <c r="AZ105" s="62"/>
      <c r="BA105" s="62"/>
      <c r="BB105" s="237">
        <f>IF('Report History'!NJ5=0,"",IFERROR('Report History'!NJ5,""))</f>
        <v>76300</v>
      </c>
      <c r="BC105" s="238" t="str">
        <f>IF('Report History'!NK5=0,"",IFERROR('Report History'!NK5,""))</f>
        <v/>
      </c>
      <c r="BD105" s="63" t="str">
        <f>IF('Report History'!NL5=0,"",IFERROR('Report History'!NL5,""))</f>
        <v xml:space="preserve">     F/C Letters on hand</v>
      </c>
      <c r="BE105" s="62"/>
      <c r="BF105" s="62"/>
      <c r="BG105" s="237">
        <f>IF('Report History'!NO5=0,"",IFERROR('Report History'!NO5,""))</f>
        <v>87200</v>
      </c>
      <c r="BH105" s="238" t="str">
        <f>IF('Report History'!NP5=0,"",IFERROR('Report History'!NP5,""))</f>
        <v/>
      </c>
      <c r="BI105" s="63" t="str">
        <f>IF('Report History'!NQ5=0,"",IFERROR('Report History'!NQ5,""))</f>
        <v xml:space="preserve">     F/C Letters on hand</v>
      </c>
      <c r="BJ105" s="62"/>
      <c r="BK105" s="62"/>
      <c r="BL105" s="237">
        <f>IF('Report History'!NT5=0,"",IFERROR('Report History'!NT5,""))</f>
        <v>38150</v>
      </c>
      <c r="BM105" s="238" t="str">
        <f>IF('Report History'!NU5=0,"",IFERROR('Report History'!NU5,""))</f>
        <v/>
      </c>
      <c r="BN105" s="63" t="str">
        <f>IF('Report History'!NV5=0,"",IFERROR('Report History'!NV5,""))</f>
        <v xml:space="preserve">     F/C Letters on hand</v>
      </c>
      <c r="BO105" s="62"/>
      <c r="BP105" s="62"/>
      <c r="BQ105" s="237">
        <f>IF('Report History'!NY5=0,"",IFERROR('Report History'!NY5,""))</f>
        <v>174400</v>
      </c>
      <c r="BR105" s="238" t="str">
        <f>IF('Report History'!NZ5=0,"",IFERROR('Report History'!NZ5,""))</f>
        <v/>
      </c>
      <c r="BS105" s="63" t="str">
        <f>IF('Report History'!OA5=0,"",IFERROR('Report History'!OA5,""))</f>
        <v xml:space="preserve">     F/C Letters on hand</v>
      </c>
      <c r="BT105" s="62"/>
      <c r="BU105" s="62"/>
      <c r="BV105" s="237">
        <f>IF('Report History'!OD5=0,"",IFERROR('Report History'!OD5,""))</f>
        <v>136250</v>
      </c>
      <c r="BW105" s="238" t="str">
        <f>IF('Report History'!OE5=0,"",IFERROR('Report History'!OE5,""))</f>
        <v/>
      </c>
      <c r="BX105" s="63" t="str">
        <f>IF('Report History'!OF5=0,"",IFERROR('Report History'!OF5,""))</f>
        <v xml:space="preserve">     F/C Letters on hand</v>
      </c>
      <c r="BY105" s="62"/>
      <c r="BZ105" s="62"/>
      <c r="CA105" s="237">
        <f>IF('Report History'!OI5=0,"",IFERROR('Report History'!OI5,""))</f>
        <v>136250</v>
      </c>
      <c r="CB105" s="238" t="str">
        <f>IF('Report History'!OJ5=0,"",IFERROR('Report History'!OJ5,""))</f>
        <v/>
      </c>
      <c r="CC105" s="63" t="str">
        <f>IF('Report History'!OK5=0,"",IFERROR('Report History'!OK5,""))</f>
        <v xml:space="preserve">     F/C Letters on hand</v>
      </c>
      <c r="CD105" s="62"/>
      <c r="CE105" s="62"/>
      <c r="CF105" s="237">
        <f>IF('Report History'!ON5=0,"",IFERROR('Report History'!ON5,""))</f>
        <v>152600</v>
      </c>
      <c r="CG105" s="238" t="str">
        <f>IF('Report History'!OO5=0,"",IFERROR('Report History'!OO5,""))</f>
        <v/>
      </c>
      <c r="CH105" s="63" t="str">
        <f>IF('Report History'!OP5=0,"",IFERROR('Report History'!OP5,""))</f>
        <v xml:space="preserve">     F/C Letters on hand</v>
      </c>
      <c r="CI105" s="62"/>
      <c r="CJ105" s="62"/>
      <c r="CK105" s="237">
        <f>IF('Report History'!OS5=0,"",IFERROR('Report History'!OS5,""))</f>
        <v>98100</v>
      </c>
      <c r="CL105" s="238" t="str">
        <f>IF('Report History'!OT5=0,"",IFERROR('Report History'!OT5,""))</f>
        <v/>
      </c>
      <c r="CM105" s="63" t="str">
        <f>IF('Report History'!OU5=0,"",IFERROR('Report History'!OU5,""))</f>
        <v xml:space="preserve">     F/C Letters on hand</v>
      </c>
      <c r="CN105" s="62"/>
      <c r="CO105" s="62"/>
      <c r="CP105" s="237">
        <f>IF('Report History'!OX5=0,"",IFERROR('Report History'!OX5,""))</f>
        <v>65400</v>
      </c>
      <c r="CQ105" s="238" t="str">
        <f>IF('Report History'!OY5=0,"",IFERROR('Report History'!OY5,""))</f>
        <v/>
      </c>
      <c r="CR105" s="63" t="str">
        <f>IF('Report History'!OZ5=0,"",IFERROR('Report History'!OZ5,""))</f>
        <v xml:space="preserve">     F/C Letters on hand</v>
      </c>
      <c r="CS105" s="62"/>
      <c r="CT105" s="62"/>
      <c r="CU105" s="237">
        <f>IF('Report History'!PC5=0,"",IFERROR('Report History'!PC5,""))</f>
        <v>109000</v>
      </c>
      <c r="CV105" s="238" t="str">
        <f>IF('Report History'!PD5=0,"",IFERROR('Report History'!PD5,""))</f>
        <v/>
      </c>
      <c r="CW105" s="63" t="str">
        <f>IF('Report History'!PE5=0,"",IFERROR('Report History'!PE5,""))</f>
        <v xml:space="preserve">     F/C Letters on hand</v>
      </c>
      <c r="CX105" s="62"/>
      <c r="CY105" s="62"/>
      <c r="CZ105" s="237">
        <f>IF('Report History'!PH5=0,"",IFERROR('Report History'!PH5,""))</f>
        <v>43600</v>
      </c>
      <c r="DA105" s="238" t="str">
        <f>IF('Report History'!PI5=0,"",IFERROR('Report History'!PI5,""))</f>
        <v/>
      </c>
      <c r="DB105" s="63" t="str">
        <f>IF('Report History'!PJ5=0,"",IFERROR('Report History'!PJ5,""))</f>
        <v xml:space="preserve">     F/C Letters on hand</v>
      </c>
      <c r="DC105" s="62"/>
      <c r="DD105" s="62"/>
      <c r="DE105" s="237">
        <f>IF('Report History'!PM5=0,"",IFERROR('Report History'!PM5,""))</f>
        <v>130800</v>
      </c>
      <c r="DF105" s="238" t="str">
        <f>IF('Report History'!PN5=0,"",IFERROR('Report History'!PN5,""))</f>
        <v/>
      </c>
      <c r="DG105" s="63" t="str">
        <f>IF('Report History'!PO5=0,"",IFERROR('Report History'!PO5,""))</f>
        <v xml:space="preserve">     F/C Letters on hand</v>
      </c>
      <c r="DH105" s="62"/>
      <c r="DI105" s="62"/>
      <c r="DJ105" s="237">
        <f>IF('Report History'!PR5=0,"",IFERROR('Report History'!PR5,""))</f>
        <v>136250</v>
      </c>
      <c r="DK105" s="238" t="str">
        <f>IF('Report History'!PS5=0,"",IFERROR('Report History'!PS5,""))</f>
        <v/>
      </c>
      <c r="DL105" s="63" t="str">
        <f>IF('Report History'!PT5=0,"",IFERROR('Report History'!PT5,""))</f>
        <v xml:space="preserve">     F/C Letters on hand</v>
      </c>
      <c r="DM105" s="62"/>
      <c r="DN105" s="62"/>
      <c r="DO105" s="237">
        <f>IF('Report History'!PW5=0,"",IFERROR('Report History'!PW5,""))</f>
        <v>136250</v>
      </c>
      <c r="DP105" s="238" t="str">
        <f>IF('Report History'!PX5=0,"",IFERROR('Report History'!PX5,""))</f>
        <v/>
      </c>
      <c r="DQ105" s="63" t="str">
        <f>IF('Report History'!PY5=0,"",IFERROR('Report History'!PY5,""))</f>
        <v xml:space="preserve">     F/C Letters on hand</v>
      </c>
      <c r="DR105" s="62"/>
      <c r="DS105" s="62"/>
      <c r="DT105" s="237">
        <f>IF('Report History'!QB5=0,"",IFERROR('Report History'!QB5,""))</f>
        <v>98100</v>
      </c>
      <c r="DU105" s="238" t="str">
        <f>IF('Report History'!QC5=0,"",IFERROR('Report History'!QC5,""))</f>
        <v/>
      </c>
      <c r="DV105" s="63" t="str">
        <f>IF('Report History'!QD5=0,"",IFERROR('Report History'!QD5,""))</f>
        <v xml:space="preserve">     F/C Letters on hand</v>
      </c>
      <c r="DW105" s="62"/>
      <c r="DX105" s="62"/>
      <c r="DY105" s="237">
        <f>IF('Report History'!QG5=0,"",IFERROR('Report History'!QG5,""))</f>
        <v>76300</v>
      </c>
      <c r="DZ105" s="238" t="str">
        <f>IF('Report History'!QH5=0,"",IFERROR('Report History'!QH5,""))</f>
        <v/>
      </c>
      <c r="EA105" s="63" t="str">
        <f>IF('Report History'!QI5=0,"",IFERROR('Report History'!QI5,""))</f>
        <v xml:space="preserve">     F/C Letters on hand</v>
      </c>
      <c r="EB105" s="62"/>
      <c r="EC105" s="62"/>
      <c r="ED105" s="237">
        <f>IF('Report History'!QL5=0,"",IFERROR('Report History'!QL5,""))</f>
        <v>109000</v>
      </c>
      <c r="EE105" s="238" t="str">
        <f>IF('Report History'!QM5=0,"",IFERROR('Report History'!QM5,""))</f>
        <v/>
      </c>
      <c r="EF105" s="63" t="str">
        <f>IF('Report History'!QN5=0,"",IFERROR('Report History'!QN5,""))</f>
        <v xml:space="preserve">     F/C Letters on hand</v>
      </c>
      <c r="EG105" s="62"/>
      <c r="EH105" s="62"/>
      <c r="EI105" s="237" t="str">
        <f>IF('Report History'!QQ5=0,"",IFERROR('Report History'!QQ5,""))</f>
        <v/>
      </c>
      <c r="EJ105" s="238" t="str">
        <f>IF('Report History'!QR5=0,"",IFERROR('Report History'!QR5,""))</f>
        <v/>
      </c>
      <c r="EK105" s="63" t="str">
        <f>IF('Report History'!QS5=0,"",IFERROR('Report History'!QS5,""))</f>
        <v xml:space="preserve">     F/C Letters on hand</v>
      </c>
      <c r="EL105" s="62"/>
      <c r="EM105" s="62"/>
      <c r="EN105" s="237">
        <f>IF('Report History'!QV5=0,"",IFERROR('Report History'!QV5,""))</f>
        <v>54500</v>
      </c>
      <c r="EO105" s="238" t="str">
        <f>IF('Report History'!QW5=0,"",IFERROR('Report History'!QW5,""))</f>
        <v/>
      </c>
      <c r="EP105" s="63" t="str">
        <f>IF('Report History'!QX5=0,"",IFERROR('Report History'!QX5,""))</f>
        <v xml:space="preserve">     F/C Letters on hand</v>
      </c>
      <c r="EQ105" s="62"/>
      <c r="ER105" s="62"/>
      <c r="ES105" s="237">
        <f>IF('Report History'!RA5=0,"",IFERROR('Report History'!RA5,""))</f>
        <v>109000</v>
      </c>
      <c r="ET105" s="238" t="str">
        <f>IF('Report History'!RB5=0,"",IFERROR('Report History'!RB5,""))</f>
        <v/>
      </c>
      <c r="EU105" s="63" t="str">
        <f>IF('Report History'!RC5=0,"",IFERROR('Report History'!RC5,""))</f>
        <v xml:space="preserve">     F/C Letters on hand</v>
      </c>
      <c r="EV105" s="62"/>
      <c r="EW105" s="62"/>
      <c r="EX105" s="237">
        <f>IF('Report History'!RF5=0,"",IFERROR('Report History'!RF5,""))</f>
        <v>147150</v>
      </c>
      <c r="EY105" s="238" t="str">
        <f>IF('Report History'!RG5=0,"",IFERROR('Report History'!RG5,""))</f>
        <v/>
      </c>
      <c r="EZ105" s="63" t="str">
        <f>IF('Report History'!RH5=0,"",IFERROR('Report History'!RH5,""))</f>
        <v xml:space="preserve">     F/C Letters on hand</v>
      </c>
      <c r="FA105" s="62"/>
      <c r="FB105" s="62"/>
      <c r="FC105" s="237">
        <f>IF('Report History'!RK5=0,"",IFERROR('Report History'!RK5,""))</f>
        <v>130800</v>
      </c>
      <c r="FD105" s="238" t="str">
        <f>IF('Report History'!RL5=0,"",IFERROR('Report History'!RL5,""))</f>
        <v/>
      </c>
      <c r="FE105" s="63" t="str">
        <f>IF('Report History'!RM5=0,"",IFERROR('Report History'!RM5,""))</f>
        <v xml:space="preserve">     F/C Letters on hand</v>
      </c>
      <c r="FF105" s="62"/>
      <c r="FG105" s="62"/>
      <c r="FH105" s="237">
        <f>IF('Report History'!RP5=0,"",IFERROR('Report History'!RP5,""))</f>
        <v>98100</v>
      </c>
      <c r="FI105" s="238" t="str">
        <f>IF('Report History'!RQ5=0,"",IFERROR('Report History'!RQ5,""))</f>
        <v/>
      </c>
      <c r="FJ105" s="63" t="str">
        <f>IF('Report History'!RR5=0,"",IFERROR('Report History'!RR5,""))</f>
        <v xml:space="preserve">     F/C Letters on hand</v>
      </c>
      <c r="FK105" s="62"/>
      <c r="FL105" s="62"/>
      <c r="FM105" s="237">
        <f>IF('Report History'!RU5=0,"",IFERROR('Report History'!RU5,""))</f>
        <v>76300</v>
      </c>
      <c r="FN105" s="238" t="str">
        <f>IF('Report History'!RV5=0,"",IFERROR('Report History'!RV5,""))</f>
        <v/>
      </c>
      <c r="FO105" s="63" t="str">
        <f>IF('Report History'!RW5=0,"",IFERROR('Report History'!RW5,""))</f>
        <v xml:space="preserve">     F/C Letters on hand</v>
      </c>
      <c r="FP105" s="62"/>
      <c r="FQ105" s="62"/>
      <c r="FR105" s="237">
        <f>IF('Report History'!RZ5=0,"",IFERROR('Report History'!RZ5,""))</f>
        <v>76300</v>
      </c>
      <c r="FS105" s="238" t="str">
        <f>IF('Report History'!SA5=0,"",IFERROR('Report History'!SA5,""))</f>
        <v/>
      </c>
      <c r="FT105" s="63" t="str">
        <f>IF('Report History'!SB5=0,"",IFERROR('Report History'!SB5,""))</f>
        <v xml:space="preserve">     F/C Letters on hand</v>
      </c>
      <c r="FU105" s="62"/>
      <c r="FV105" s="62"/>
      <c r="FW105" s="237">
        <f>IF('Report History'!SE5=0,"",IFERROR('Report History'!SE5,""))</f>
        <v>24525</v>
      </c>
      <c r="FX105" s="238" t="str">
        <f>IF('Report History'!SF5=0,"",IFERROR('Report History'!SF5,""))</f>
        <v/>
      </c>
      <c r="FY105" s="63" t="str">
        <f>IF('Report History'!SG5=0,"",IFERROR('Report History'!SG5,""))</f>
        <v xml:space="preserve">     F/C Letters on hand</v>
      </c>
      <c r="FZ105" s="62"/>
      <c r="GA105" s="62"/>
      <c r="GB105" s="237">
        <f>IF('Report History'!SJ5=0,"",IFERROR('Report History'!SJ5,""))</f>
        <v>76300</v>
      </c>
      <c r="GC105" s="238" t="str">
        <f>IF('Report History'!SK5=0,"",IFERROR('Report History'!SK5,""))</f>
        <v/>
      </c>
      <c r="GD105" s="63" t="str">
        <f>IF('Report History'!SL5=0,"",IFERROR('Report History'!SL5,""))</f>
        <v xml:space="preserve">     F/C Letters on hand</v>
      </c>
      <c r="GE105" s="62"/>
      <c r="GF105" s="62"/>
      <c r="GG105" s="237">
        <f>IF('Report History'!SO5=0,"",IFERROR('Report History'!SO5,""))</f>
        <v>141700</v>
      </c>
      <c r="GH105" s="238" t="str">
        <f>IF('Report History'!SP5=0,"",IFERROR('Report History'!SP5,""))</f>
        <v/>
      </c>
      <c r="GI105" s="63" t="str">
        <f>IF('Report History'!SQ5=0,"",IFERROR('Report History'!SQ5,""))</f>
        <v xml:space="preserve">     F/C Letters on hand</v>
      </c>
      <c r="GJ105" s="62"/>
      <c r="GK105" s="62"/>
      <c r="GL105" s="237">
        <f>IF('Report History'!ST5=0,"",IFERROR('Report History'!ST5,""))</f>
        <v>152600</v>
      </c>
      <c r="GM105" s="238" t="str">
        <f>IF('Report History'!SU5=0,"",IFERROR('Report History'!SU5,""))</f>
        <v/>
      </c>
      <c r="GN105" s="63" t="str">
        <f>IF('Report History'!SV5=0,"",IFERROR('Report History'!SV5,""))</f>
        <v xml:space="preserve">     F/C Letters on hand</v>
      </c>
      <c r="GO105" s="62"/>
      <c r="GP105" s="62"/>
      <c r="GQ105" s="237">
        <f>IF('Report History'!SY5=0,"",IFERROR('Report History'!SY5,""))</f>
        <v>147150</v>
      </c>
      <c r="GR105" s="238" t="str">
        <f>IF('Report History'!SZ5=0,"",IFERROR('Report History'!SZ5,""))</f>
        <v/>
      </c>
      <c r="GS105" s="63" t="str">
        <f>IF('Report History'!TA5=0,"",IFERROR('Report History'!TA5,""))</f>
        <v xml:space="preserve">     F/C Letters on hand</v>
      </c>
      <c r="GT105" s="62"/>
      <c r="GU105" s="62"/>
      <c r="GV105" s="237">
        <f>IF('Report History'!TD5=0,"",IFERROR('Report History'!TD5,""))</f>
        <v>92650</v>
      </c>
      <c r="GW105" s="238" t="str">
        <f>IF('Report History'!TE5=0,"",IFERROR('Report History'!TE5,""))</f>
        <v/>
      </c>
      <c r="GX105" s="63" t="str">
        <f>IF('Report History'!TF5=0,"",IFERROR('Report History'!TF5,""))</f>
        <v xml:space="preserve">     F/C Letters on hand</v>
      </c>
      <c r="GY105" s="62"/>
      <c r="GZ105" s="62"/>
      <c r="HA105" s="237">
        <f>IF('Report History'!TI5=0,"",IFERROR('Report History'!TI5,""))</f>
        <v>87200</v>
      </c>
      <c r="HB105" s="238" t="str">
        <f>IF('Report History'!TJ5=0,"",IFERROR('Report History'!TJ5,""))</f>
        <v/>
      </c>
      <c r="HC105" s="63" t="str">
        <f>IF('Report History'!TK5=0,"",IFERROR('Report History'!TK5,""))</f>
        <v xml:space="preserve">     F/C Letters on hand</v>
      </c>
      <c r="HD105" s="62"/>
      <c r="HE105" s="62"/>
      <c r="HF105" s="237">
        <f>IF('Report History'!TN5=0,"",IFERROR('Report History'!TN5,""))</f>
        <v>103550</v>
      </c>
      <c r="HG105" s="238" t="str">
        <f>IF('Report History'!TO5=0,"",IFERROR('Report History'!TO5,""))</f>
        <v/>
      </c>
      <c r="HH105" s="63" t="str">
        <f>IF('Report History'!TP5=0,"",IFERROR('Report History'!TP5,""))</f>
        <v xml:space="preserve">     F/C Letters on hand</v>
      </c>
      <c r="HI105" s="62"/>
      <c r="HJ105" s="62"/>
      <c r="HK105" s="237">
        <f>IF('Report History'!TS5=0,"",IFERROR('Report History'!TS5,""))</f>
        <v>54500</v>
      </c>
      <c r="HL105" s="238" t="str">
        <f>IF('Report History'!TT5=0,"",IFERROR('Report History'!TT5,""))</f>
        <v/>
      </c>
      <c r="HM105" s="63" t="str">
        <f>IF('Report History'!TU5=0,"",IFERROR('Report History'!TU5,""))</f>
        <v xml:space="preserve">     F/C Letters on hand</v>
      </c>
      <c r="HN105" s="62"/>
      <c r="HO105" s="62"/>
      <c r="HP105" s="237">
        <f>IF('Report History'!TX5=0,"",IFERROR('Report History'!TX5,""))</f>
        <v>119900</v>
      </c>
      <c r="HQ105" s="238" t="str">
        <f>IF('Report History'!TY5=0,"",IFERROR('Report History'!TY5,""))</f>
        <v/>
      </c>
      <c r="HR105" s="63" t="str">
        <f>IF('Report History'!TZ5=0,"",IFERROR('Report History'!TZ5,""))</f>
        <v xml:space="preserve">     F/C Letters on hand</v>
      </c>
      <c r="HS105" s="62"/>
      <c r="HT105" s="62"/>
      <c r="HU105" s="237">
        <f>IF('Report History'!UC5=0,"",IFERROR('Report History'!UC5,""))</f>
        <v>152600</v>
      </c>
      <c r="HV105" s="238" t="str">
        <f>IF('Report History'!UD5=0,"",IFERROR('Report History'!UD5,""))</f>
        <v/>
      </c>
      <c r="HW105" s="63" t="str">
        <f>IF('Report History'!UE5=0,"",IFERROR('Report History'!UE5,""))</f>
        <v xml:space="preserve">     F/C Letters on hand</v>
      </c>
      <c r="HX105" s="62"/>
      <c r="HY105" s="62"/>
      <c r="HZ105" s="237">
        <f>IF('Report History'!UH5=0,"",IFERROR('Report History'!UH5,""))</f>
        <v>190750</v>
      </c>
      <c r="IA105" s="238" t="str">
        <f>IF('Report History'!UI5=0,"",IFERROR('Report History'!UI5,""))</f>
        <v/>
      </c>
      <c r="IB105" s="63" t="str">
        <f>IF('Report History'!UJ5=0,"",IFERROR('Report History'!UJ5,""))</f>
        <v xml:space="preserve">     F/C Letters on hand</v>
      </c>
      <c r="IC105" s="62"/>
      <c r="ID105" s="62"/>
      <c r="IE105" s="237">
        <f>IF('Report History'!UM5=0,"",IFERROR('Report History'!UM5,""))</f>
        <v>130800</v>
      </c>
      <c r="IF105" s="238" t="str">
        <f>IF('Report History'!UN5=0,"",IFERROR('Report History'!UN5,""))</f>
        <v/>
      </c>
      <c r="IG105" s="63" t="str">
        <f>IF('Report History'!UO5=0,"",IFERROR('Report History'!UO5,""))</f>
        <v xml:space="preserve">     F/C Letters on hand</v>
      </c>
      <c r="IH105" s="62"/>
      <c r="II105" s="62"/>
      <c r="IJ105" s="237">
        <f>IF('Report History'!UR5=0,"",IFERROR('Report History'!UR5,""))</f>
        <v>65400</v>
      </c>
      <c r="IK105" s="238" t="str">
        <f>IF('Report History'!US5=0,"",IFERROR('Report History'!US5,""))</f>
        <v/>
      </c>
      <c r="IL105" s="63" t="str">
        <f>IF('Report History'!UT5=0,"",IFERROR('Report History'!UT5,""))</f>
        <v xml:space="preserve">     F/C Letters on hand</v>
      </c>
      <c r="IM105" s="62"/>
      <c r="IN105" s="62"/>
      <c r="IO105" s="237">
        <f>IF('Report History'!UW5=0,"",IFERROR('Report History'!UW5,""))</f>
        <v>54500</v>
      </c>
      <c r="IP105" s="238" t="str">
        <f>IF('Report History'!UX5=0,"",IFERROR('Report History'!UX5,""))</f>
        <v/>
      </c>
    </row>
    <row r="106" spans="1:250" ht="15.6" thickBot="1" x14ac:dyDescent="0.3">
      <c r="A106" s="63" t="str">
        <f>IF('Report History'!LI6=0,"",IFERROR('Report History'!LI6,""))</f>
        <v xml:space="preserve">     F/C Flats on hand</v>
      </c>
      <c r="B106" s="62"/>
      <c r="C106" s="62"/>
      <c r="D106" s="237">
        <f>IF('Report History'!LL6=0,"",IFERROR('Report History'!LL6,""))</f>
        <v>6624</v>
      </c>
      <c r="E106" s="238" t="str">
        <f>IF('Report History'!LM6=0,"",IFERROR('Report History'!LM6,""))</f>
        <v/>
      </c>
      <c r="F106" s="63" t="str">
        <f>IF('Report History'!LN6=0,"",IFERROR('Report History'!LN6,""))</f>
        <v xml:space="preserve">     F/C Flats on hand</v>
      </c>
      <c r="G106" s="62"/>
      <c r="H106" s="62"/>
      <c r="I106" s="237">
        <f>IF('Report History'!LQ6=0,"",IFERROR('Report History'!LQ6,""))</f>
        <v>4416</v>
      </c>
      <c r="J106" s="238" t="str">
        <f>IF('Report History'!LR6=0,"",IFERROR('Report History'!LR6,""))</f>
        <v/>
      </c>
      <c r="K106" s="63" t="str">
        <f>IF('Report History'!LS6=0,"",IFERROR('Report History'!LS6,""))</f>
        <v xml:space="preserve">     F/C Flats on hand</v>
      </c>
      <c r="L106" s="62"/>
      <c r="M106" s="62"/>
      <c r="N106" s="237">
        <f>IF('Report History'!LV6=0,"",IFERROR('Report History'!LV6,""))</f>
        <v>2208</v>
      </c>
      <c r="O106" s="238" t="str">
        <f>IF('Report History'!LW6=0,"",IFERROR('Report History'!LW6,""))</f>
        <v/>
      </c>
      <c r="P106" s="63" t="str">
        <f>IF('Report History'!LX6=0,"",IFERROR('Report History'!LX6,""))</f>
        <v xml:space="preserve">     F/C Flats on hand</v>
      </c>
      <c r="Q106" s="62"/>
      <c r="R106" s="62"/>
      <c r="S106" s="237">
        <f>IF('Report History'!MA6=0,"",IFERROR('Report History'!MA6,""))</f>
        <v>6624</v>
      </c>
      <c r="T106" s="238" t="str">
        <f>IF('Report History'!MB6=0,"",IFERROR('Report History'!MB6,""))</f>
        <v/>
      </c>
      <c r="U106" s="63" t="str">
        <f>IF('Report History'!MC6=0,"",IFERROR('Report History'!MC6,""))</f>
        <v xml:space="preserve">     F/C Flats on hand</v>
      </c>
      <c r="V106" s="62"/>
      <c r="W106" s="62"/>
      <c r="X106" s="237">
        <f>IF('Report History'!MF6=0,"",IFERROR('Report History'!MF6,""))</f>
        <v>11040</v>
      </c>
      <c r="Y106" s="238" t="str">
        <f>IF('Report History'!MG6=0,"",IFERROR('Report History'!MG6,""))</f>
        <v/>
      </c>
      <c r="Z106" s="63" t="str">
        <f>IF('Report History'!MH6=0,"",IFERROR('Report History'!MH6,""))</f>
        <v xml:space="preserve">     F/C Flats on hand</v>
      </c>
      <c r="AA106" s="62"/>
      <c r="AB106" s="62"/>
      <c r="AC106" s="237">
        <f>IF('Report History'!MK6=0,"",IFERROR('Report History'!MK6,""))</f>
        <v>2208</v>
      </c>
      <c r="AD106" s="238" t="str">
        <f>IF('Report History'!ML6=0,"",IFERROR('Report History'!ML6,""))</f>
        <v/>
      </c>
      <c r="AE106" s="63" t="str">
        <f>IF('Report History'!MM6=0,"",IFERROR('Report History'!MM6,""))</f>
        <v xml:space="preserve">     F/C Flats on hand</v>
      </c>
      <c r="AF106" s="62"/>
      <c r="AG106" s="62"/>
      <c r="AH106" s="237">
        <f>IF('Report History'!MP6=0,"",IFERROR('Report History'!MP6,""))</f>
        <v>4416</v>
      </c>
      <c r="AI106" s="238" t="str">
        <f>IF('Report History'!MQ6=0,"",IFERROR('Report History'!MQ6,""))</f>
        <v/>
      </c>
      <c r="AJ106" s="63" t="str">
        <f>IF('Report History'!MR6=0,"",IFERROR('Report History'!MR6,""))</f>
        <v xml:space="preserve">     F/C Flats on hand</v>
      </c>
      <c r="AK106" s="62"/>
      <c r="AL106" s="62"/>
      <c r="AM106" s="237">
        <f>IF('Report History'!MU6=0,"",IFERROR('Report History'!MU6,""))</f>
        <v>4416</v>
      </c>
      <c r="AN106" s="238" t="str">
        <f>IF('Report History'!MV6=0,"",IFERROR('Report History'!MV6,""))</f>
        <v/>
      </c>
      <c r="AO106" s="63" t="str">
        <f>IF('Report History'!MW6=0,"",IFERROR('Report History'!MW6,""))</f>
        <v xml:space="preserve">     F/C Flats on hand</v>
      </c>
      <c r="AP106" s="62"/>
      <c r="AQ106" s="62"/>
      <c r="AR106" s="237">
        <f>IF('Report History'!MZ6=0,"",IFERROR('Report History'!MZ6,""))</f>
        <v>4416</v>
      </c>
      <c r="AS106" s="238" t="str">
        <f>IF('Report History'!NA6=0,"",IFERROR('Report History'!NA6,""))</f>
        <v/>
      </c>
      <c r="AT106" s="63" t="str">
        <f>IF('Report History'!NB6=0,"",IFERROR('Report History'!NB6,""))</f>
        <v xml:space="preserve">     F/C Flats on hand</v>
      </c>
      <c r="AU106" s="62"/>
      <c r="AV106" s="62"/>
      <c r="AW106" s="237">
        <f>IF('Report History'!NE6=0,"",IFERROR('Report History'!NE6,""))</f>
        <v>4416</v>
      </c>
      <c r="AX106" s="238" t="str">
        <f>IF('Report History'!NF6=0,"",IFERROR('Report History'!NF6,""))</f>
        <v/>
      </c>
      <c r="AY106" s="63" t="str">
        <f>IF('Report History'!NG6=0,"",IFERROR('Report History'!NG6,""))</f>
        <v xml:space="preserve">     F/C Flats on hand</v>
      </c>
      <c r="AZ106" s="62"/>
      <c r="BA106" s="62"/>
      <c r="BB106" s="237">
        <f>IF('Report History'!NJ6=0,"",IFERROR('Report History'!NJ6,""))</f>
        <v>4416</v>
      </c>
      <c r="BC106" s="238" t="str">
        <f>IF('Report History'!NK6=0,"",IFERROR('Report History'!NK6,""))</f>
        <v/>
      </c>
      <c r="BD106" s="63" t="str">
        <f>IF('Report History'!NL6=0,"",IFERROR('Report History'!NL6,""))</f>
        <v xml:space="preserve">     F/C Flats on hand</v>
      </c>
      <c r="BE106" s="62"/>
      <c r="BF106" s="62"/>
      <c r="BG106" s="237">
        <f>IF('Report History'!NO6=0,"",IFERROR('Report History'!NO6,""))</f>
        <v>4416</v>
      </c>
      <c r="BH106" s="238" t="str">
        <f>IF('Report History'!NP6=0,"",IFERROR('Report History'!NP6,""))</f>
        <v/>
      </c>
      <c r="BI106" s="63" t="str">
        <f>IF('Report History'!NQ6=0,"",IFERROR('Report History'!NQ6,""))</f>
        <v xml:space="preserve">     F/C Flats on hand</v>
      </c>
      <c r="BJ106" s="62"/>
      <c r="BK106" s="62"/>
      <c r="BL106" s="237">
        <f>IF('Report History'!NT6=0,"",IFERROR('Report History'!NT6,""))</f>
        <v>11040</v>
      </c>
      <c r="BM106" s="238" t="str">
        <f>IF('Report History'!NU6=0,"",IFERROR('Report History'!NU6,""))</f>
        <v/>
      </c>
      <c r="BN106" s="63" t="str">
        <f>IF('Report History'!NV6=0,"",IFERROR('Report History'!NV6,""))</f>
        <v xml:space="preserve">     F/C Flats on hand</v>
      </c>
      <c r="BO106" s="62"/>
      <c r="BP106" s="62"/>
      <c r="BQ106" s="237">
        <f>IF('Report History'!NY6=0,"",IFERROR('Report History'!NY6,""))</f>
        <v>6624</v>
      </c>
      <c r="BR106" s="238" t="str">
        <f>IF('Report History'!NZ6=0,"",IFERROR('Report History'!NZ6,""))</f>
        <v/>
      </c>
      <c r="BS106" s="63" t="str">
        <f>IF('Report History'!OA6=0,"",IFERROR('Report History'!OA6,""))</f>
        <v xml:space="preserve">     F/C Flats on hand</v>
      </c>
      <c r="BT106" s="62"/>
      <c r="BU106" s="62"/>
      <c r="BV106" s="237">
        <f>IF('Report History'!OD6=0,"",IFERROR('Report History'!OD6,""))</f>
        <v>8832</v>
      </c>
      <c r="BW106" s="238" t="str">
        <f>IF('Report History'!OE6=0,"",IFERROR('Report History'!OE6,""))</f>
        <v/>
      </c>
      <c r="BX106" s="63" t="str">
        <f>IF('Report History'!OF6=0,"",IFERROR('Report History'!OF6,""))</f>
        <v xml:space="preserve">     F/C Flats on hand</v>
      </c>
      <c r="BY106" s="62"/>
      <c r="BZ106" s="62"/>
      <c r="CA106" s="237" t="str">
        <f>IF('Report History'!OI6=0,"",IFERROR('Report History'!OI6,""))</f>
        <v/>
      </c>
      <c r="CB106" s="238" t="str">
        <f>IF('Report History'!OJ6=0,"",IFERROR('Report History'!OJ6,""))</f>
        <v/>
      </c>
      <c r="CC106" s="63" t="str">
        <f>IF('Report History'!OK6=0,"",IFERROR('Report History'!OK6,""))</f>
        <v xml:space="preserve">     F/C Flats on hand</v>
      </c>
      <c r="CD106" s="62"/>
      <c r="CE106" s="62"/>
      <c r="CF106" s="237">
        <f>IF('Report History'!ON6=0,"",IFERROR('Report History'!ON6,""))</f>
        <v>4416</v>
      </c>
      <c r="CG106" s="238" t="str">
        <f>IF('Report History'!OO6=0,"",IFERROR('Report History'!OO6,""))</f>
        <v/>
      </c>
      <c r="CH106" s="63" t="str">
        <f>IF('Report History'!OP6=0,"",IFERROR('Report History'!OP6,""))</f>
        <v xml:space="preserve">     F/C Flats on hand</v>
      </c>
      <c r="CI106" s="62"/>
      <c r="CJ106" s="62"/>
      <c r="CK106" s="237">
        <f>IF('Report History'!OS6=0,"",IFERROR('Report History'!OS6,""))</f>
        <v>4416</v>
      </c>
      <c r="CL106" s="238" t="str">
        <f>IF('Report History'!OT6=0,"",IFERROR('Report History'!OT6,""))</f>
        <v/>
      </c>
      <c r="CM106" s="63" t="str">
        <f>IF('Report History'!OU6=0,"",IFERROR('Report History'!OU6,""))</f>
        <v xml:space="preserve">     F/C Flats on hand</v>
      </c>
      <c r="CN106" s="62"/>
      <c r="CO106" s="62"/>
      <c r="CP106" s="237">
        <f>IF('Report History'!OX6=0,"",IFERROR('Report History'!OX6,""))</f>
        <v>4416</v>
      </c>
      <c r="CQ106" s="238" t="str">
        <f>IF('Report History'!OY6=0,"",IFERROR('Report History'!OY6,""))</f>
        <v/>
      </c>
      <c r="CR106" s="63" t="str">
        <f>IF('Report History'!OZ6=0,"",IFERROR('Report History'!OZ6,""))</f>
        <v xml:space="preserve">     F/C Flats on hand</v>
      </c>
      <c r="CS106" s="62"/>
      <c r="CT106" s="62"/>
      <c r="CU106" s="237">
        <f>IF('Report History'!PC6=0,"",IFERROR('Report History'!PC6,""))</f>
        <v>4416</v>
      </c>
      <c r="CV106" s="238" t="str">
        <f>IF('Report History'!PD6=0,"",IFERROR('Report History'!PD6,""))</f>
        <v/>
      </c>
      <c r="CW106" s="63" t="str">
        <f>IF('Report History'!PE6=0,"",IFERROR('Report History'!PE6,""))</f>
        <v xml:space="preserve">     F/C Flats on hand</v>
      </c>
      <c r="CX106" s="62"/>
      <c r="CY106" s="62"/>
      <c r="CZ106" s="237">
        <f>IF('Report History'!PH6=0,"",IFERROR('Report History'!PH6,""))</f>
        <v>8832</v>
      </c>
      <c r="DA106" s="238" t="str">
        <f>IF('Report History'!PI6=0,"",IFERROR('Report History'!PI6,""))</f>
        <v/>
      </c>
      <c r="DB106" s="63" t="str">
        <f>IF('Report History'!PJ6=0,"",IFERROR('Report History'!PJ6,""))</f>
        <v xml:space="preserve">     F/C Flats on hand</v>
      </c>
      <c r="DC106" s="62"/>
      <c r="DD106" s="62"/>
      <c r="DE106" s="237">
        <f>IF('Report History'!PM6=0,"",IFERROR('Report History'!PM6,""))</f>
        <v>5466</v>
      </c>
      <c r="DF106" s="238" t="str">
        <f>IF('Report History'!PN6=0,"",IFERROR('Report History'!PN6,""))</f>
        <v/>
      </c>
      <c r="DG106" s="63" t="str">
        <f>IF('Report History'!PO6=0,"",IFERROR('Report History'!PO6,""))</f>
        <v xml:space="preserve">     F/C Flats on hand</v>
      </c>
      <c r="DH106" s="62"/>
      <c r="DI106" s="62"/>
      <c r="DJ106" s="237">
        <f>IF('Report History'!PR6=0,"",IFERROR('Report History'!PR6,""))</f>
        <v>2208</v>
      </c>
      <c r="DK106" s="238" t="str">
        <f>IF('Report History'!PS6=0,"",IFERROR('Report History'!PS6,""))</f>
        <v/>
      </c>
      <c r="DL106" s="63" t="str">
        <f>IF('Report History'!PT6=0,"",IFERROR('Report History'!PT6,""))</f>
        <v xml:space="preserve">     F/C Flats on hand</v>
      </c>
      <c r="DM106" s="62"/>
      <c r="DN106" s="62"/>
      <c r="DO106" s="237">
        <f>IF('Report History'!PW6=0,"",IFERROR('Report History'!PW6,""))</f>
        <v>4416</v>
      </c>
      <c r="DP106" s="238" t="str">
        <f>IF('Report History'!PX6=0,"",IFERROR('Report History'!PX6,""))</f>
        <v/>
      </c>
      <c r="DQ106" s="63" t="str">
        <f>IF('Report History'!PY6=0,"",IFERROR('Report History'!PY6,""))</f>
        <v xml:space="preserve">     F/C Flats on hand</v>
      </c>
      <c r="DR106" s="62"/>
      <c r="DS106" s="62"/>
      <c r="DT106" s="237">
        <f>IF('Report History'!QB6=0,"",IFERROR('Report History'!QB6,""))</f>
        <v>6624</v>
      </c>
      <c r="DU106" s="238" t="str">
        <f>IF('Report History'!QC6=0,"",IFERROR('Report History'!QC6,""))</f>
        <v/>
      </c>
      <c r="DV106" s="63" t="str">
        <f>IF('Report History'!QD6=0,"",IFERROR('Report History'!QD6,""))</f>
        <v xml:space="preserve">     F/C Flats on hand</v>
      </c>
      <c r="DW106" s="62"/>
      <c r="DX106" s="62"/>
      <c r="DY106" s="237">
        <f>IF('Report History'!QG6=0,"",IFERROR('Report History'!QG6,""))</f>
        <v>6624</v>
      </c>
      <c r="DZ106" s="238" t="str">
        <f>IF('Report History'!QH6=0,"",IFERROR('Report History'!QH6,""))</f>
        <v/>
      </c>
      <c r="EA106" s="63" t="str">
        <f>IF('Report History'!QI6=0,"",IFERROR('Report History'!QI6,""))</f>
        <v xml:space="preserve">     F/C Flats on hand</v>
      </c>
      <c r="EB106" s="62"/>
      <c r="EC106" s="62"/>
      <c r="ED106" s="237">
        <f>IF('Report History'!QL6=0,"",IFERROR('Report History'!QL6,""))</f>
        <v>5520</v>
      </c>
      <c r="EE106" s="238" t="str">
        <f>IF('Report History'!QM6=0,"",IFERROR('Report History'!QM6,""))</f>
        <v/>
      </c>
      <c r="EF106" s="63" t="str">
        <f>IF('Report History'!QN6=0,"",IFERROR('Report History'!QN6,""))</f>
        <v xml:space="preserve">     F/C Flats on hand</v>
      </c>
      <c r="EG106" s="62"/>
      <c r="EH106" s="62"/>
      <c r="EI106" s="237">
        <f>IF('Report History'!QQ6=0,"",IFERROR('Report History'!QQ6,""))</f>
        <v>5520</v>
      </c>
      <c r="EJ106" s="238" t="str">
        <f>IF('Report History'!QR6=0,"",IFERROR('Report History'!QR6,""))</f>
        <v/>
      </c>
      <c r="EK106" s="63" t="str">
        <f>IF('Report History'!QS6=0,"",IFERROR('Report History'!QS6,""))</f>
        <v xml:space="preserve">     F/C Flats on hand</v>
      </c>
      <c r="EL106" s="62"/>
      <c r="EM106" s="62"/>
      <c r="EN106" s="237">
        <f>IF('Report History'!QV6=0,"",IFERROR('Report History'!QV6,""))</f>
        <v>11040</v>
      </c>
      <c r="EO106" s="238" t="str">
        <f>IF('Report History'!QW6=0,"",IFERROR('Report History'!QW6,""))</f>
        <v/>
      </c>
      <c r="EP106" s="63" t="str">
        <f>IF('Report History'!QX6=0,"",IFERROR('Report History'!QX6,""))</f>
        <v xml:space="preserve">     F/C Flats on hand</v>
      </c>
      <c r="EQ106" s="62"/>
      <c r="ER106" s="62"/>
      <c r="ES106" s="237">
        <f>IF('Report History'!RA6=0,"",IFERROR('Report History'!RA6,""))</f>
        <v>2208</v>
      </c>
      <c r="ET106" s="238" t="str">
        <f>IF('Report History'!RB6=0,"",IFERROR('Report History'!RB6,""))</f>
        <v/>
      </c>
      <c r="EU106" s="63" t="str">
        <f>IF('Report History'!RC6=0,"",IFERROR('Report History'!RC6,""))</f>
        <v xml:space="preserve">     F/C Flats on hand</v>
      </c>
      <c r="EV106" s="62"/>
      <c r="EW106" s="62"/>
      <c r="EX106" s="237">
        <f>IF('Report History'!RF6=0,"",IFERROR('Report History'!RF6,""))</f>
        <v>4416</v>
      </c>
      <c r="EY106" s="238" t="str">
        <f>IF('Report History'!RG6=0,"",IFERROR('Report History'!RG6,""))</f>
        <v/>
      </c>
      <c r="EZ106" s="63" t="str">
        <f>IF('Report History'!RH6=0,"",IFERROR('Report History'!RH6,""))</f>
        <v xml:space="preserve">     F/C Flats on hand</v>
      </c>
      <c r="FA106" s="62"/>
      <c r="FB106" s="62"/>
      <c r="FC106" s="237">
        <f>IF('Report History'!RK6=0,"",IFERROR('Report History'!RK6,""))</f>
        <v>4416</v>
      </c>
      <c r="FD106" s="238" t="str">
        <f>IF('Report History'!RL6=0,"",IFERROR('Report History'!RL6,""))</f>
        <v/>
      </c>
      <c r="FE106" s="63" t="str">
        <f>IF('Report History'!RM6=0,"",IFERROR('Report History'!RM6,""))</f>
        <v xml:space="preserve">     F/C Flats on hand</v>
      </c>
      <c r="FF106" s="62"/>
      <c r="FG106" s="62"/>
      <c r="FH106" s="237">
        <f>IF('Report History'!RP6=0,"",IFERROR('Report History'!RP6,""))</f>
        <v>6624</v>
      </c>
      <c r="FI106" s="238" t="str">
        <f>IF('Report History'!RQ6=0,"",IFERROR('Report History'!RQ6,""))</f>
        <v/>
      </c>
      <c r="FJ106" s="63" t="str">
        <f>IF('Report History'!RR6=0,"",IFERROR('Report History'!RR6,""))</f>
        <v xml:space="preserve">     F/C Flats on hand</v>
      </c>
      <c r="FK106" s="62"/>
      <c r="FL106" s="62"/>
      <c r="FM106" s="237">
        <f>IF('Report History'!RU6=0,"",IFERROR('Report History'!RU6,""))</f>
        <v>4416</v>
      </c>
      <c r="FN106" s="238" t="str">
        <f>IF('Report History'!RV6=0,"",IFERROR('Report History'!RV6,""))</f>
        <v/>
      </c>
      <c r="FO106" s="63" t="str">
        <f>IF('Report History'!RW6=0,"",IFERROR('Report History'!RW6,""))</f>
        <v xml:space="preserve">     F/C Flats on hand</v>
      </c>
      <c r="FP106" s="62"/>
      <c r="FQ106" s="62"/>
      <c r="FR106" s="237" t="str">
        <f>IF('Report History'!RZ6=0,"",IFERROR('Report History'!RZ6,""))</f>
        <v/>
      </c>
      <c r="FS106" s="238" t="str">
        <f>IF('Report History'!SA6=0,"",IFERROR('Report History'!SA6,""))</f>
        <v/>
      </c>
      <c r="FT106" s="63" t="str">
        <f>IF('Report History'!SB6=0,"",IFERROR('Report History'!SB6,""))</f>
        <v xml:space="preserve">     F/C Flats on hand</v>
      </c>
      <c r="FU106" s="62"/>
      <c r="FV106" s="62"/>
      <c r="FW106" s="237">
        <f>IF('Report History'!SE6=0,"",IFERROR('Report History'!SE6,""))</f>
        <v>12144</v>
      </c>
      <c r="FX106" s="238" t="str">
        <f>IF('Report History'!SF6=0,"",IFERROR('Report History'!SF6,""))</f>
        <v/>
      </c>
      <c r="FY106" s="63" t="str">
        <f>IF('Report History'!SG6=0,"",IFERROR('Report History'!SG6,""))</f>
        <v xml:space="preserve">     F/C Flats on hand</v>
      </c>
      <c r="FZ106" s="62"/>
      <c r="GA106" s="62"/>
      <c r="GB106" s="237">
        <f>IF('Report History'!SJ6=0,"",IFERROR('Report History'!SJ6,""))</f>
        <v>11040</v>
      </c>
      <c r="GC106" s="238" t="str">
        <f>IF('Report History'!SK6=0,"",IFERROR('Report History'!SK6,""))</f>
        <v/>
      </c>
      <c r="GD106" s="63" t="str">
        <f>IF('Report History'!SL6=0,"",IFERROR('Report History'!SL6,""))</f>
        <v xml:space="preserve">     F/C Flats on hand</v>
      </c>
      <c r="GE106" s="62"/>
      <c r="GF106" s="62"/>
      <c r="GG106" s="237">
        <f>IF('Report History'!SO6=0,"",IFERROR('Report History'!SO6,""))</f>
        <v>4416</v>
      </c>
      <c r="GH106" s="238" t="str">
        <f>IF('Report History'!SP6=0,"",IFERROR('Report History'!SP6,""))</f>
        <v/>
      </c>
      <c r="GI106" s="63" t="str">
        <f>IF('Report History'!SQ6=0,"",IFERROR('Report History'!SQ6,""))</f>
        <v xml:space="preserve">     F/C Flats on hand</v>
      </c>
      <c r="GJ106" s="62"/>
      <c r="GK106" s="62"/>
      <c r="GL106" s="237">
        <f>IF('Report History'!ST6=0,"",IFERROR('Report History'!ST6,""))</f>
        <v>2208</v>
      </c>
      <c r="GM106" s="238" t="str">
        <f>IF('Report History'!SU6=0,"",IFERROR('Report History'!SU6,""))</f>
        <v/>
      </c>
      <c r="GN106" s="63" t="str">
        <f>IF('Report History'!SV6=0,"",IFERROR('Report History'!SV6,""))</f>
        <v xml:space="preserve">     F/C Flats on hand</v>
      </c>
      <c r="GO106" s="62"/>
      <c r="GP106" s="62"/>
      <c r="GQ106" s="237">
        <f>IF('Report History'!SY6=0,"",IFERROR('Report History'!SY6,""))</f>
        <v>6624</v>
      </c>
      <c r="GR106" s="238" t="str">
        <f>IF('Report History'!SZ6=0,"",IFERROR('Report History'!SZ6,""))</f>
        <v/>
      </c>
      <c r="GS106" s="63" t="str">
        <f>IF('Report History'!TA6=0,"",IFERROR('Report History'!TA6,""))</f>
        <v xml:space="preserve">     F/C Flats on hand</v>
      </c>
      <c r="GT106" s="62"/>
      <c r="GU106" s="62"/>
      <c r="GV106" s="237">
        <f>IF('Report History'!TD6=0,"",IFERROR('Report History'!TD6,""))</f>
        <v>5520</v>
      </c>
      <c r="GW106" s="238" t="str">
        <f>IF('Report History'!TE6=0,"",IFERROR('Report History'!TE6,""))</f>
        <v/>
      </c>
      <c r="GX106" s="63" t="str">
        <f>IF('Report History'!TF6=0,"",IFERROR('Report History'!TF6,""))</f>
        <v xml:space="preserve">     F/C Flats on hand</v>
      </c>
      <c r="GY106" s="62"/>
      <c r="GZ106" s="62"/>
      <c r="HA106" s="237">
        <f>IF('Report History'!TI6=0,"",IFERROR('Report History'!TI6,""))</f>
        <v>3312</v>
      </c>
      <c r="HB106" s="238" t="str">
        <f>IF('Report History'!TJ6=0,"",IFERROR('Report History'!TJ6,""))</f>
        <v/>
      </c>
      <c r="HC106" s="63" t="str">
        <f>IF('Report History'!TK6=0,"",IFERROR('Report History'!TK6,""))</f>
        <v xml:space="preserve">     F/C Flats on hand</v>
      </c>
      <c r="HD106" s="62"/>
      <c r="HE106" s="62"/>
      <c r="HF106" s="237">
        <f>IF('Report History'!TN6=0,"",IFERROR('Report History'!TN6,""))</f>
        <v>4416</v>
      </c>
      <c r="HG106" s="238" t="str">
        <f>IF('Report History'!TO6=0,"",IFERROR('Report History'!TO6,""))</f>
        <v/>
      </c>
      <c r="HH106" s="63" t="str">
        <f>IF('Report History'!TP6=0,"",IFERROR('Report History'!TP6,""))</f>
        <v xml:space="preserve">     F/C Flats on hand</v>
      </c>
      <c r="HI106" s="62"/>
      <c r="HJ106" s="62"/>
      <c r="HK106" s="237">
        <f>IF('Report History'!TS6=0,"",IFERROR('Report History'!TS6,""))</f>
        <v>16560</v>
      </c>
      <c r="HL106" s="238" t="str">
        <f>IF('Report History'!TT6=0,"",IFERROR('Report History'!TT6,""))</f>
        <v/>
      </c>
      <c r="HM106" s="63" t="str">
        <f>IF('Report History'!TU6=0,"",IFERROR('Report History'!TU6,""))</f>
        <v xml:space="preserve">     F/C Flats on hand</v>
      </c>
      <c r="HN106" s="62"/>
      <c r="HO106" s="62"/>
      <c r="HP106" s="237">
        <f>IF('Report History'!TX6=0,"",IFERROR('Report History'!TX6,""))</f>
        <v>11040</v>
      </c>
      <c r="HQ106" s="238" t="str">
        <f>IF('Report History'!TY6=0,"",IFERROR('Report History'!TY6,""))</f>
        <v/>
      </c>
      <c r="HR106" s="63" t="str">
        <f>IF('Report History'!TZ6=0,"",IFERROR('Report History'!TZ6,""))</f>
        <v xml:space="preserve">     F/C Flats on hand</v>
      </c>
      <c r="HS106" s="62"/>
      <c r="HT106" s="62"/>
      <c r="HU106" s="237">
        <f>IF('Report History'!UC6=0,"",IFERROR('Report History'!UC6,""))</f>
        <v>2208</v>
      </c>
      <c r="HV106" s="238" t="str">
        <f>IF('Report History'!UD6=0,"",IFERROR('Report History'!UD6,""))</f>
        <v/>
      </c>
      <c r="HW106" s="63" t="str">
        <f>IF('Report History'!UE6=0,"",IFERROR('Report History'!UE6,""))</f>
        <v xml:space="preserve">     F/C Flats on hand</v>
      </c>
      <c r="HX106" s="62"/>
      <c r="HY106" s="62"/>
      <c r="HZ106" s="237">
        <f>IF('Report History'!UH6=0,"",IFERROR('Report History'!UH6,""))</f>
        <v>4968</v>
      </c>
      <c r="IA106" s="238" t="str">
        <f>IF('Report History'!UI6=0,"",IFERROR('Report History'!UI6,""))</f>
        <v/>
      </c>
      <c r="IB106" s="63" t="str">
        <f>IF('Report History'!UJ6=0,"",IFERROR('Report History'!UJ6,""))</f>
        <v xml:space="preserve">     F/C Flats on hand</v>
      </c>
      <c r="IC106" s="62"/>
      <c r="ID106" s="62"/>
      <c r="IE106" s="237">
        <f>IF('Report History'!UM6=0,"",IFERROR('Report History'!UM6,""))</f>
        <v>4416</v>
      </c>
      <c r="IF106" s="238" t="str">
        <f>IF('Report History'!UN6=0,"",IFERROR('Report History'!UN6,""))</f>
        <v/>
      </c>
      <c r="IG106" s="63" t="str">
        <f>IF('Report History'!UO6=0,"",IFERROR('Report History'!UO6,""))</f>
        <v xml:space="preserve">     F/C Flats on hand</v>
      </c>
      <c r="IH106" s="62"/>
      <c r="II106" s="62"/>
      <c r="IJ106" s="237">
        <f>IF('Report History'!UR6=0,"",IFERROR('Report History'!UR6,""))</f>
        <v>11040</v>
      </c>
      <c r="IK106" s="238" t="str">
        <f>IF('Report History'!US6=0,"",IFERROR('Report History'!US6,""))</f>
        <v/>
      </c>
      <c r="IL106" s="63" t="str">
        <f>IF('Report History'!UT6=0,"",IFERROR('Report History'!UT6,""))</f>
        <v xml:space="preserve">     F/C Flats on hand</v>
      </c>
      <c r="IM106" s="62"/>
      <c r="IN106" s="62"/>
      <c r="IO106" s="237">
        <f>IF('Report History'!UW6=0,"",IFERROR('Report History'!UW6,""))</f>
        <v>5520</v>
      </c>
      <c r="IP106" s="238" t="str">
        <f>IF('Report History'!UX6=0,"",IFERROR('Report History'!UX6,""))</f>
        <v/>
      </c>
    </row>
    <row r="107" spans="1:250" ht="16.2" thickBot="1" x14ac:dyDescent="0.35">
      <c r="A107" s="61" t="str">
        <f>IF('Report History'!LI7=0,"",IFERROR('Report History'!LI7,""))</f>
        <v>Per Vol on hand</v>
      </c>
      <c r="B107" s="62"/>
      <c r="C107" s="62"/>
      <c r="D107" s="235">
        <f>IF('Report History'!LL7=0,"",IFERROR('Report History'!LL7,""))</f>
        <v>944.4</v>
      </c>
      <c r="E107" s="236" t="str">
        <f>IF('Report History'!LM7=0,"",IFERROR('Report History'!LM7,""))</f>
        <v/>
      </c>
      <c r="F107" s="61" t="str">
        <f>IF('Report History'!LN7=0,"",IFERROR('Report History'!LN7,""))</f>
        <v>Per Vol on hand</v>
      </c>
      <c r="G107" s="62"/>
      <c r="H107" s="62"/>
      <c r="I107" s="235" t="str">
        <f>IF('Report History'!LQ7=0,"",IFERROR('Report History'!LQ7,""))</f>
        <v/>
      </c>
      <c r="J107" s="236" t="str">
        <f>IF('Report History'!LR7=0,"",IFERROR('Report History'!LR7,""))</f>
        <v/>
      </c>
      <c r="K107" s="61" t="str">
        <f>IF('Report History'!LS7=0,"",IFERROR('Report History'!LS7,""))</f>
        <v>Per Vol on hand</v>
      </c>
      <c r="L107" s="62"/>
      <c r="M107" s="62"/>
      <c r="N107" s="235">
        <f>IF('Report History'!LV7=0,"",IFERROR('Report History'!LV7,""))</f>
        <v>6416</v>
      </c>
      <c r="O107" s="236" t="str">
        <f>IF('Report History'!LW7=0,"",IFERROR('Report History'!LW7,""))</f>
        <v/>
      </c>
      <c r="P107" s="61" t="str">
        <f>IF('Report History'!LX7=0,"",IFERROR('Report History'!LX7,""))</f>
        <v>Per Vol on hand</v>
      </c>
      <c r="Q107" s="62"/>
      <c r="R107" s="62"/>
      <c r="S107" s="235">
        <f>IF('Report History'!MA7=0,"",IFERROR('Report History'!MA7,""))</f>
        <v>8539</v>
      </c>
      <c r="T107" s="236" t="str">
        <f>IF('Report History'!MB7=0,"",IFERROR('Report History'!MB7,""))</f>
        <v/>
      </c>
      <c r="U107" s="61" t="str">
        <f>IF('Report History'!MC7=0,"",IFERROR('Report History'!MC7,""))</f>
        <v>Per Vol on hand</v>
      </c>
      <c r="V107" s="62"/>
      <c r="W107" s="62"/>
      <c r="X107" s="235">
        <f>IF('Report History'!MF7=0,"",IFERROR('Report History'!MF7,""))</f>
        <v>41671</v>
      </c>
      <c r="Y107" s="236" t="str">
        <f>IF('Report History'!MG7=0,"",IFERROR('Report History'!MG7,""))</f>
        <v/>
      </c>
      <c r="Z107" s="61" t="str">
        <f>IF('Report History'!MH7=0,"",IFERROR('Report History'!MH7,""))</f>
        <v>Per Vol on hand</v>
      </c>
      <c r="AA107" s="62"/>
      <c r="AB107" s="62"/>
      <c r="AC107" s="235">
        <f>IF('Report History'!MK7=0,"",IFERROR('Report History'!MK7,""))</f>
        <v>8066</v>
      </c>
      <c r="AD107" s="236" t="str">
        <f>IF('Report History'!ML7=0,"",IFERROR('Report History'!ML7,""))</f>
        <v/>
      </c>
      <c r="AE107" s="61" t="str">
        <f>IF('Report History'!MM7=0,"",IFERROR('Report History'!MM7,""))</f>
        <v>Per Vol on hand</v>
      </c>
      <c r="AF107" s="62"/>
      <c r="AG107" s="62"/>
      <c r="AH107" s="235">
        <f>IF('Report History'!MP7=0,"",IFERROR('Report History'!MP7,""))</f>
        <v>5106.5</v>
      </c>
      <c r="AI107" s="236" t="str">
        <f>IF('Report History'!MQ7=0,"",IFERROR('Report History'!MQ7,""))</f>
        <v/>
      </c>
      <c r="AJ107" s="61" t="str">
        <f>IF('Report History'!MR7=0,"",IFERROR('Report History'!MR7,""))</f>
        <v>Per Vol on hand</v>
      </c>
      <c r="AK107" s="62"/>
      <c r="AL107" s="62"/>
      <c r="AM107" s="235">
        <f>IF('Report History'!MU7=0,"",IFERROR('Report History'!MU7,""))</f>
        <v>12018</v>
      </c>
      <c r="AN107" s="236" t="str">
        <f>IF('Report History'!MV7=0,"",IFERROR('Report History'!MV7,""))</f>
        <v/>
      </c>
      <c r="AO107" s="61" t="str">
        <f>IF('Report History'!MW7=0,"",IFERROR('Report History'!MW7,""))</f>
        <v>Per Vol on hand</v>
      </c>
      <c r="AP107" s="62"/>
      <c r="AQ107" s="62"/>
      <c r="AR107" s="235">
        <f>IF('Report History'!MZ7=0,"",IFERROR('Report History'!MZ7,""))</f>
        <v>12018</v>
      </c>
      <c r="AS107" s="236" t="str">
        <f>IF('Report History'!NA7=0,"",IFERROR('Report History'!NA7,""))</f>
        <v/>
      </c>
      <c r="AT107" s="61" t="str">
        <f>IF('Report History'!NB7=0,"",IFERROR('Report History'!NB7,""))</f>
        <v>Per Vol on hand</v>
      </c>
      <c r="AU107" s="62"/>
      <c r="AV107" s="62"/>
      <c r="AW107" s="235">
        <f>IF('Report History'!NE7=0,"",IFERROR('Report History'!NE7,""))</f>
        <v>7181</v>
      </c>
      <c r="AX107" s="236" t="str">
        <f>IF('Report History'!NF7=0,"",IFERROR('Report History'!NF7,""))</f>
        <v/>
      </c>
      <c r="AY107" s="61" t="str">
        <f>IF('Report History'!NG7=0,"",IFERROR('Report History'!NG7,""))</f>
        <v>Per Vol on hand</v>
      </c>
      <c r="AZ107" s="62"/>
      <c r="BA107" s="62"/>
      <c r="BB107" s="235">
        <f>IF('Report History'!NJ7=0,"",IFERROR('Report History'!NJ7,""))</f>
        <v>1008.25</v>
      </c>
      <c r="BC107" s="236" t="str">
        <f>IF('Report History'!NK7=0,"",IFERROR('Report History'!NK7,""))</f>
        <v/>
      </c>
      <c r="BD107" s="61" t="str">
        <f>IF('Report History'!NL7=0,"",IFERROR('Report History'!NL7,""))</f>
        <v>Per Vol on hand</v>
      </c>
      <c r="BE107" s="62"/>
      <c r="BF107" s="62"/>
      <c r="BG107" s="235">
        <f>IF('Report History'!NO7=0,"",IFERROR('Report History'!NO7,""))</f>
        <v>6049.5</v>
      </c>
      <c r="BH107" s="236" t="str">
        <f>IF('Report History'!NP7=0,"",IFERROR('Report History'!NP7,""))</f>
        <v/>
      </c>
      <c r="BI107" s="61" t="str">
        <f>IF('Report History'!NQ7=0,"",IFERROR('Report History'!NQ7,""))</f>
        <v>Per Vol on hand</v>
      </c>
      <c r="BJ107" s="62"/>
      <c r="BK107" s="62"/>
      <c r="BL107" s="235">
        <f>IF('Report History'!NT7=0,"",IFERROR('Report History'!NT7,""))</f>
        <v>2510.25</v>
      </c>
      <c r="BM107" s="236" t="str">
        <f>IF('Report History'!NU7=0,"",IFERROR('Report History'!NU7,""))</f>
        <v/>
      </c>
      <c r="BN107" s="61" t="str">
        <f>IF('Report History'!NV7=0,"",IFERROR('Report History'!NV7,""))</f>
        <v>Per Vol on hand</v>
      </c>
      <c r="BO107" s="62"/>
      <c r="BP107" s="62"/>
      <c r="BQ107" s="235" t="str">
        <f>IF('Report History'!NY7=0,"",IFERROR('Report History'!NY7,""))</f>
        <v/>
      </c>
      <c r="BR107" s="236" t="str">
        <f>IF('Report History'!NZ7=0,"",IFERROR('Report History'!NZ7,""))</f>
        <v/>
      </c>
      <c r="BS107" s="61" t="str">
        <f>IF('Report History'!OA7=0,"",IFERROR('Report History'!OA7,""))</f>
        <v>Per Vol on hand</v>
      </c>
      <c r="BT107" s="62"/>
      <c r="BU107" s="62"/>
      <c r="BV107" s="235">
        <f>IF('Report History'!OD7=0,"",IFERROR('Report History'!OD7,""))</f>
        <v>24037</v>
      </c>
      <c r="BW107" s="236" t="str">
        <f>IF('Report History'!OE7=0,"",IFERROR('Report History'!OE7,""))</f>
        <v/>
      </c>
      <c r="BX107" s="61" t="str">
        <f>IF('Report History'!OF7=0,"",IFERROR('Report History'!OF7,""))</f>
        <v>Per Vol on hand</v>
      </c>
      <c r="BY107" s="62"/>
      <c r="BZ107" s="62"/>
      <c r="CA107" s="235">
        <f>IF('Report History'!OI7=0,"",IFERROR('Report History'!OI7,""))</f>
        <v>6008</v>
      </c>
      <c r="CB107" s="236" t="str">
        <f>IF('Report History'!OJ7=0,"",IFERROR('Report History'!OJ7,""))</f>
        <v/>
      </c>
      <c r="CC107" s="61" t="str">
        <f>IF('Report History'!OK7=0,"",IFERROR('Report History'!OK7,""))</f>
        <v>Per Vol on hand</v>
      </c>
      <c r="CD107" s="62"/>
      <c r="CE107" s="62"/>
      <c r="CF107" s="235">
        <f>IF('Report History'!ON7=0,"",IFERROR('Report History'!ON7,""))</f>
        <v>6010</v>
      </c>
      <c r="CG107" s="236" t="str">
        <f>IF('Report History'!OO7=0,"",IFERROR('Report History'!OO7,""))</f>
        <v/>
      </c>
      <c r="CH107" s="61" t="str">
        <f>IF('Report History'!OP7=0,"",IFERROR('Report History'!OP7,""))</f>
        <v>Per Vol on hand</v>
      </c>
      <c r="CI107" s="62"/>
      <c r="CJ107" s="62"/>
      <c r="CK107" s="235">
        <f>IF('Report History'!OS7=0,"",IFERROR('Report History'!OS7,""))</f>
        <v>2016.5</v>
      </c>
      <c r="CL107" s="236" t="str">
        <f>IF('Report History'!OT7=0,"",IFERROR('Report History'!OT7,""))</f>
        <v/>
      </c>
      <c r="CM107" s="61" t="str">
        <f>IF('Report History'!OU7=0,"",IFERROR('Report History'!OU7,""))</f>
        <v>Per Vol on hand</v>
      </c>
      <c r="CN107" s="62"/>
      <c r="CO107" s="62"/>
      <c r="CP107" s="235">
        <f>IF('Report History'!OX7=0,"",IFERROR('Report History'!OX7,""))</f>
        <v>4033</v>
      </c>
      <c r="CQ107" s="236" t="str">
        <f>IF('Report History'!OY7=0,"",IFERROR('Report History'!OY7,""))</f>
        <v/>
      </c>
      <c r="CR107" s="61" t="str">
        <f>IF('Report History'!OZ7=0,"",IFERROR('Report History'!OZ7,""))</f>
        <v>Per Vol on hand</v>
      </c>
      <c r="CS107" s="62"/>
      <c r="CT107" s="62"/>
      <c r="CU107" s="235">
        <f>IF('Report History'!PC7=0,"",IFERROR('Report History'!PC7,""))</f>
        <v>2016.5</v>
      </c>
      <c r="CV107" s="236" t="str">
        <f>IF('Report History'!PD7=0,"",IFERROR('Report History'!PD7,""))</f>
        <v/>
      </c>
      <c r="CW107" s="61" t="str">
        <f>IF('Report History'!PE7=0,"",IFERROR('Report History'!PE7,""))</f>
        <v>Per Vol on hand</v>
      </c>
      <c r="CX107" s="62"/>
      <c r="CY107" s="62"/>
      <c r="CZ107" s="235">
        <f>IF('Report History'!PH7=0,"",IFERROR('Report History'!PH7,""))</f>
        <v>16881</v>
      </c>
      <c r="DA107" s="236" t="str">
        <f>IF('Report History'!PI7=0,"",IFERROR('Report History'!PI7,""))</f>
        <v/>
      </c>
      <c r="DB107" s="61" t="str">
        <f>IF('Report History'!PJ7=0,"",IFERROR('Report History'!PJ7,""))</f>
        <v>Per Vol on hand</v>
      </c>
      <c r="DC107" s="62"/>
      <c r="DD107" s="62"/>
      <c r="DE107" s="235" t="str">
        <f>IF('Report History'!PM7=0,"",IFERROR('Report History'!PM7,""))</f>
        <v/>
      </c>
      <c r="DF107" s="236" t="str">
        <f>IF('Report History'!PN7=0,"",IFERROR('Report History'!PN7,""))</f>
        <v/>
      </c>
      <c r="DG107" s="61" t="str">
        <f>IF('Report History'!PO7=0,"",IFERROR('Report History'!PO7,""))</f>
        <v>Per Vol on hand</v>
      </c>
      <c r="DH107" s="62"/>
      <c r="DI107" s="62"/>
      <c r="DJ107" s="235">
        <f>IF('Report History'!PR7=0,"",IFERROR('Report History'!PR7,""))</f>
        <v>3090</v>
      </c>
      <c r="DK107" s="236" t="str">
        <f>IF('Report History'!PS7=0,"",IFERROR('Report History'!PS7,""))</f>
        <v/>
      </c>
      <c r="DL107" s="61" t="str">
        <f>IF('Report History'!PT7=0,"",IFERROR('Report History'!PT7,""))</f>
        <v>Per Vol on hand</v>
      </c>
      <c r="DM107" s="62"/>
      <c r="DN107" s="62"/>
      <c r="DO107" s="235">
        <f>IF('Report History'!PW7=0,"",IFERROR('Report History'!PW7,""))</f>
        <v>7715</v>
      </c>
      <c r="DP107" s="236" t="str">
        <f>IF('Report History'!PX7=0,"",IFERROR('Report History'!PX7,""))</f>
        <v/>
      </c>
      <c r="DQ107" s="61" t="str">
        <f>IF('Report History'!PY7=0,"",IFERROR('Report History'!PY7,""))</f>
        <v>Per Vol on hand</v>
      </c>
      <c r="DR107" s="62"/>
      <c r="DS107" s="62"/>
      <c r="DT107" s="235">
        <f>IF('Report History'!QB7=0,"",IFERROR('Report History'!QB7,""))</f>
        <v>787</v>
      </c>
      <c r="DU107" s="236" t="str">
        <f>IF('Report History'!QC7=0,"",IFERROR('Report History'!QC7,""))</f>
        <v/>
      </c>
      <c r="DV107" s="61" t="str">
        <f>IF('Report History'!QD7=0,"",IFERROR('Report History'!QD7,""))</f>
        <v>Per Vol on hand</v>
      </c>
      <c r="DW107" s="62"/>
      <c r="DX107" s="62"/>
      <c r="DY107" s="235">
        <f>IF('Report History'!QG7=0,"",IFERROR('Report History'!QG7,""))</f>
        <v>1574</v>
      </c>
      <c r="DZ107" s="236" t="str">
        <f>IF('Report History'!QH7=0,"",IFERROR('Report History'!QH7,""))</f>
        <v/>
      </c>
      <c r="EA107" s="61" t="str">
        <f>IF('Report History'!QI7=0,"",IFERROR('Report History'!QI7,""))</f>
        <v>Per Vol on hand</v>
      </c>
      <c r="EB107" s="62"/>
      <c r="EC107" s="62"/>
      <c r="ED107" s="235">
        <f>IF('Report History'!QL7=0,"",IFERROR('Report History'!QL7,""))</f>
        <v>5224.5</v>
      </c>
      <c r="EE107" s="236" t="str">
        <f>IF('Report History'!QM7=0,"",IFERROR('Report History'!QM7,""))</f>
        <v/>
      </c>
      <c r="EF107" s="61" t="str">
        <f>IF('Report History'!QN7=0,"",IFERROR('Report History'!QN7,""))</f>
        <v>Per Vol on hand</v>
      </c>
      <c r="EG107" s="62"/>
      <c r="EH107" s="62"/>
      <c r="EI107" s="235">
        <f>IF('Report History'!QQ7=0,"",IFERROR('Report History'!QQ7,""))</f>
        <v>5224.5</v>
      </c>
      <c r="EJ107" s="236" t="str">
        <f>IF('Report History'!QR7=0,"",IFERROR('Report History'!QR7,""))</f>
        <v/>
      </c>
      <c r="EK107" s="61" t="str">
        <f>IF('Report History'!QS7=0,"",IFERROR('Report History'!QS7,""))</f>
        <v>Per Vol on hand</v>
      </c>
      <c r="EL107" s="62"/>
      <c r="EM107" s="62"/>
      <c r="EN107" s="235">
        <f>IF('Report History'!QV7=0,"",IFERROR('Report History'!QV7,""))</f>
        <v>16091.5</v>
      </c>
      <c r="EO107" s="236" t="str">
        <f>IF('Report History'!QW7=0,"",IFERROR('Report History'!QW7,""))</f>
        <v/>
      </c>
      <c r="EP107" s="61" t="str">
        <f>IF('Report History'!QX7=0,"",IFERROR('Report History'!QX7,""))</f>
        <v>Per Vol on hand</v>
      </c>
      <c r="EQ107" s="62"/>
      <c r="ER107" s="62"/>
      <c r="ES107" s="235">
        <f>IF('Report History'!RA7=0,"",IFERROR('Report History'!RA7,""))</f>
        <v>30046</v>
      </c>
      <c r="ET107" s="236" t="str">
        <f>IF('Report History'!RB7=0,"",IFERROR('Report History'!RB7,""))</f>
        <v/>
      </c>
      <c r="EU107" s="61" t="str">
        <f>IF('Report History'!RC7=0,"",IFERROR('Report History'!RC7,""))</f>
        <v>Per Vol on hand</v>
      </c>
      <c r="EV107" s="62"/>
      <c r="EW107" s="62"/>
      <c r="EX107" s="235">
        <f>IF('Report History'!RF7=0,"",IFERROR('Report History'!RF7,""))</f>
        <v>6009</v>
      </c>
      <c r="EY107" s="236" t="str">
        <f>IF('Report History'!RG7=0,"",IFERROR('Report History'!RG7,""))</f>
        <v/>
      </c>
      <c r="EZ107" s="61" t="str">
        <f>IF('Report History'!RH7=0,"",IFERROR('Report History'!RH7,""))</f>
        <v>Per Vol on hand</v>
      </c>
      <c r="FA107" s="62"/>
      <c r="FB107" s="62"/>
      <c r="FC107" s="235">
        <f>IF('Report History'!RK7=0,"",IFERROR('Report History'!RK7,""))</f>
        <v>10517</v>
      </c>
      <c r="FD107" s="236" t="str">
        <f>IF('Report History'!RL7=0,"",IFERROR('Report History'!RL7,""))</f>
        <v/>
      </c>
      <c r="FE107" s="61" t="str">
        <f>IF('Report History'!RM7=0,"",IFERROR('Report History'!RM7,""))</f>
        <v>Per Vol on hand</v>
      </c>
      <c r="FF107" s="62"/>
      <c r="FG107" s="62"/>
      <c r="FH107" s="235">
        <f>IF('Report History'!RP7=0,"",IFERROR('Report History'!RP7,""))</f>
        <v>4033</v>
      </c>
      <c r="FI107" s="236" t="str">
        <f>IF('Report History'!RQ7=0,"",IFERROR('Report History'!RQ7,""))</f>
        <v/>
      </c>
      <c r="FJ107" s="61" t="str">
        <f>IF('Report History'!RR7=0,"",IFERROR('Report History'!RR7,""))</f>
        <v>Per Vol on hand</v>
      </c>
      <c r="FK107" s="62"/>
      <c r="FL107" s="62"/>
      <c r="FM107" s="235">
        <f>IF('Report History'!RU7=0,"",IFERROR('Report History'!RU7,""))</f>
        <v>8066</v>
      </c>
      <c r="FN107" s="236" t="str">
        <f>IF('Report History'!RV7=0,"",IFERROR('Report History'!RV7,""))</f>
        <v/>
      </c>
      <c r="FO107" s="61" t="str">
        <f>IF('Report History'!RW7=0,"",IFERROR('Report History'!RW7,""))</f>
        <v>Per Vol on hand</v>
      </c>
      <c r="FP107" s="62"/>
      <c r="FQ107" s="62"/>
      <c r="FR107" s="235">
        <f>IF('Report History'!RZ7=0,"",IFERROR('Report History'!RZ7,""))</f>
        <v>8066</v>
      </c>
      <c r="FS107" s="236" t="str">
        <f>IF('Report History'!SA7=0,"",IFERROR('Report History'!SA7,""))</f>
        <v/>
      </c>
      <c r="FT107" s="61" t="str">
        <f>IF('Report History'!SB7=0,"",IFERROR('Report History'!SB7,""))</f>
        <v>Per Vol on hand</v>
      </c>
      <c r="FU107" s="62"/>
      <c r="FV107" s="62"/>
      <c r="FW107" s="235">
        <f>IF('Report History'!SE7=0,"",IFERROR('Report History'!SE7,""))</f>
        <v>59882.5</v>
      </c>
      <c r="FX107" s="236" t="str">
        <f>IF('Report History'!SF7=0,"",IFERROR('Report History'!SF7,""))</f>
        <v/>
      </c>
      <c r="FY107" s="61" t="str">
        <f>IF('Report History'!SG7=0,"",IFERROR('Report History'!SG7,""))</f>
        <v>Per Vol on hand</v>
      </c>
      <c r="FZ107" s="62"/>
      <c r="GA107" s="62"/>
      <c r="GB107" s="235">
        <f>IF('Report History'!SJ7=0,"",IFERROR('Report History'!SJ7,""))</f>
        <v>39251.5</v>
      </c>
      <c r="GC107" s="236" t="str">
        <f>IF('Report History'!SK7=0,"",IFERROR('Report History'!SK7,""))</f>
        <v/>
      </c>
      <c r="GD107" s="61" t="str">
        <f>IF('Report History'!SL7=0,"",IFERROR('Report History'!SL7,""))</f>
        <v>Per Vol on hand</v>
      </c>
      <c r="GE107" s="62"/>
      <c r="GF107" s="62"/>
      <c r="GG107" s="235">
        <f>IF('Report History'!SO7=0,"",IFERROR('Report History'!SO7,""))</f>
        <v>26093</v>
      </c>
      <c r="GH107" s="236" t="str">
        <f>IF('Report History'!SP7=0,"",IFERROR('Report History'!SP7,""))</f>
        <v/>
      </c>
      <c r="GI107" s="61" t="str">
        <f>IF('Report History'!SQ7=0,"",IFERROR('Report History'!SQ7,""))</f>
        <v>Per Vol on hand</v>
      </c>
      <c r="GJ107" s="62"/>
      <c r="GK107" s="62"/>
      <c r="GL107" s="235">
        <f>IF('Report History'!ST7=0,"",IFERROR('Report History'!ST7,""))</f>
        <v>13086.5</v>
      </c>
      <c r="GM107" s="236" t="str">
        <f>IF('Report History'!SU7=0,"",IFERROR('Report History'!SU7,""))</f>
        <v/>
      </c>
      <c r="GN107" s="61" t="str">
        <f>IF('Report History'!SV7=0,"",IFERROR('Report History'!SV7,""))</f>
        <v>Per Vol on hand</v>
      </c>
      <c r="GO107" s="62"/>
      <c r="GP107" s="62"/>
      <c r="GQ107" s="235">
        <f>IF('Report History'!SY7=0,"",IFERROR('Report History'!SY7,""))</f>
        <v>47270</v>
      </c>
      <c r="GR107" s="236" t="str">
        <f>IF('Report History'!SZ7=0,"",IFERROR('Report History'!SZ7,""))</f>
        <v/>
      </c>
      <c r="GS107" s="61" t="str">
        <f>IF('Report History'!TA7=0,"",IFERROR('Report History'!TA7,""))</f>
        <v>Per Vol on hand</v>
      </c>
      <c r="GT107" s="62"/>
      <c r="GU107" s="62"/>
      <c r="GV107" s="235">
        <f>IF('Report History'!TD7=0,"",IFERROR('Report History'!TD7,""))</f>
        <v>1574</v>
      </c>
      <c r="GW107" s="236" t="str">
        <f>IF('Report History'!TE7=0,"",IFERROR('Report History'!TE7,""))</f>
        <v/>
      </c>
      <c r="GX107" s="61" t="str">
        <f>IF('Report History'!TF7=0,"",IFERROR('Report History'!TF7,""))</f>
        <v>Per Vol on hand</v>
      </c>
      <c r="GY107" s="62"/>
      <c r="GZ107" s="62"/>
      <c r="HA107" s="235">
        <f>IF('Report History'!TI7=0,"",IFERROR('Report History'!TI7,""))</f>
        <v>11214</v>
      </c>
      <c r="HB107" s="236" t="str">
        <f>IF('Report History'!TJ7=0,"",IFERROR('Report History'!TJ7,""))</f>
        <v/>
      </c>
      <c r="HC107" s="61" t="str">
        <f>IF('Report History'!TK7=0,"",IFERROR('Report History'!TK7,""))</f>
        <v>Per Vol on hand</v>
      </c>
      <c r="HD107" s="62"/>
      <c r="HE107" s="62"/>
      <c r="HF107" s="235">
        <f>IF('Report History'!TN7=0,"",IFERROR('Report History'!TN7,""))</f>
        <v>23404.5</v>
      </c>
      <c r="HG107" s="236" t="str">
        <f>IF('Report History'!TO7=0,"",IFERROR('Report History'!TO7,""))</f>
        <v/>
      </c>
      <c r="HH107" s="61" t="str">
        <f>IF('Report History'!TP7=0,"",IFERROR('Report History'!TP7,""))</f>
        <v>Per Vol on hand</v>
      </c>
      <c r="HI107" s="62"/>
      <c r="HJ107" s="62"/>
      <c r="HK107" s="235">
        <f>IF('Report History'!TS7=0,"",IFERROR('Report History'!TS7,""))</f>
        <v>20127</v>
      </c>
      <c r="HL107" s="236" t="str">
        <f>IF('Report History'!TT7=0,"",IFERROR('Report History'!TT7,""))</f>
        <v/>
      </c>
      <c r="HM107" s="61" t="str">
        <f>IF('Report History'!TU7=0,"",IFERROR('Report History'!TU7,""))</f>
        <v>Per Vol on hand</v>
      </c>
      <c r="HN107" s="62"/>
      <c r="HO107" s="62"/>
      <c r="HP107" s="235">
        <f>IF('Report History'!TX7=0,"",IFERROR('Report History'!TX7,""))</f>
        <v>13047</v>
      </c>
      <c r="HQ107" s="236" t="str">
        <f>IF('Report History'!TY7=0,"",IFERROR('Report History'!TY7,""))</f>
        <v/>
      </c>
      <c r="HR107" s="61" t="str">
        <f>IF('Report History'!TZ7=0,"",IFERROR('Report History'!TZ7,""))</f>
        <v>Per Vol on hand</v>
      </c>
      <c r="HS107" s="62"/>
      <c r="HT107" s="62"/>
      <c r="HU107" s="235">
        <f>IF('Report History'!UC7=0,"",IFERROR('Report History'!UC7,""))</f>
        <v>11071</v>
      </c>
      <c r="HV107" s="236" t="str">
        <f>IF('Report History'!UD7=0,"",IFERROR('Report History'!UD7,""))</f>
        <v/>
      </c>
      <c r="HW107" s="61" t="str">
        <f>IF('Report History'!UE7=0,"",IFERROR('Report History'!UE7,""))</f>
        <v>Per Vol on hand</v>
      </c>
      <c r="HX107" s="62"/>
      <c r="HY107" s="62"/>
      <c r="HZ107" s="235">
        <f>IF('Report History'!UH7=0,"",IFERROR('Report History'!UH7,""))</f>
        <v>7038</v>
      </c>
      <c r="IA107" s="236" t="str">
        <f>IF('Report History'!UI7=0,"",IFERROR('Report History'!UI7,""))</f>
        <v/>
      </c>
      <c r="IB107" s="61" t="str">
        <f>IF('Report History'!UJ7=0,"",IFERROR('Report History'!UJ7,""))</f>
        <v>Per Vol on hand</v>
      </c>
      <c r="IC107" s="62"/>
      <c r="ID107" s="62"/>
      <c r="IE107" s="235">
        <f>IF('Report History'!UM7=0,"",IFERROR('Report History'!UM7,""))</f>
        <v>6049.5</v>
      </c>
      <c r="IF107" s="236" t="str">
        <f>IF('Report History'!UN7=0,"",IFERROR('Report History'!UN7,""))</f>
        <v/>
      </c>
      <c r="IG107" s="61" t="str">
        <f>IF('Report History'!UO7=0,"",IFERROR('Report History'!UO7,""))</f>
        <v>Per Vol on hand</v>
      </c>
      <c r="IH107" s="62"/>
      <c r="II107" s="62"/>
      <c r="IJ107" s="235">
        <f>IF('Report History'!UR7=0,"",IFERROR('Report History'!UR7,""))</f>
        <v>5164.5</v>
      </c>
      <c r="IK107" s="236" t="str">
        <f>IF('Report History'!US7=0,"",IFERROR('Report History'!US7,""))</f>
        <v/>
      </c>
      <c r="IL107" s="61" t="str">
        <f>IF('Report History'!UT7=0,"",IFERROR('Report History'!UT7,""))</f>
        <v>Per Vol on hand</v>
      </c>
      <c r="IM107" s="62"/>
      <c r="IN107" s="62"/>
      <c r="IO107" s="235">
        <f>IF('Report History'!UW7=0,"",IFERROR('Report History'!UW7,""))</f>
        <v>8066</v>
      </c>
      <c r="IP107" s="236" t="str">
        <f>IF('Report History'!UX7=0,"",IFERROR('Report History'!UX7,""))</f>
        <v/>
      </c>
    </row>
    <row r="108" spans="1:250" ht="16.2" thickBot="1" x14ac:dyDescent="0.35">
      <c r="A108" s="61" t="str">
        <f>IF('Report History'!LI8=0,"",IFERROR('Report History'!LI8,""))</f>
        <v>Std Vol on hand</v>
      </c>
      <c r="B108" s="62"/>
      <c r="C108" s="62"/>
      <c r="D108" s="233">
        <f>IF('Report History'!LL8=0,"",IFERROR('Report History'!LL8,""))</f>
        <v>57908.5</v>
      </c>
      <c r="E108" s="234" t="str">
        <f>IF('Report History'!LM8=0,"",IFERROR('Report History'!LM8,""))</f>
        <v/>
      </c>
      <c r="F108" s="61" t="str">
        <f>IF('Report History'!LN8=0,"",IFERROR('Report History'!LN8,""))</f>
        <v>Std Vol on hand</v>
      </c>
      <c r="G108" s="62"/>
      <c r="H108" s="62"/>
      <c r="I108" s="233">
        <f>IF('Report History'!LQ8=0,"",IFERROR('Report History'!LQ8,""))</f>
        <v>78802.5</v>
      </c>
      <c r="J108" s="234" t="str">
        <f>IF('Report History'!LR8=0,"",IFERROR('Report History'!LR8,""))</f>
        <v/>
      </c>
      <c r="K108" s="61" t="str">
        <f>IF('Report History'!LS8=0,"",IFERROR('Report History'!LS8,""))</f>
        <v>Std Vol on hand</v>
      </c>
      <c r="L108" s="62"/>
      <c r="M108" s="62"/>
      <c r="N108" s="233">
        <f>IF('Report History'!LV8=0,"",IFERROR('Report History'!LV8,""))</f>
        <v>69038.5</v>
      </c>
      <c r="O108" s="234" t="str">
        <f>IF('Report History'!LW8=0,"",IFERROR('Report History'!LW8,""))</f>
        <v/>
      </c>
      <c r="P108" s="61" t="str">
        <f>IF('Report History'!LX8=0,"",IFERROR('Report History'!LX8,""))</f>
        <v>Std Vol on hand</v>
      </c>
      <c r="Q108" s="62"/>
      <c r="R108" s="62"/>
      <c r="S108" s="233">
        <f>IF('Report History'!MA8=0,"",IFERROR('Report History'!MA8,""))</f>
        <v>55890</v>
      </c>
      <c r="T108" s="234" t="str">
        <f>IF('Report History'!MB8=0,"",IFERROR('Report History'!MB8,""))</f>
        <v/>
      </c>
      <c r="U108" s="61" t="str">
        <f>IF('Report History'!MC8=0,"",IFERROR('Report History'!MC8,""))</f>
        <v>Std Vol on hand</v>
      </c>
      <c r="V108" s="62"/>
      <c r="W108" s="62"/>
      <c r="X108" s="233">
        <f>IF('Report History'!MF8=0,"",IFERROR('Report History'!MF8,""))</f>
        <v>43433.5</v>
      </c>
      <c r="Y108" s="234" t="str">
        <f>IF('Report History'!MG8=0,"",IFERROR('Report History'!MG8,""))</f>
        <v/>
      </c>
      <c r="Z108" s="61" t="str">
        <f>IF('Report History'!MH8=0,"",IFERROR('Report History'!MH8,""))</f>
        <v>Std Vol on hand</v>
      </c>
      <c r="AA108" s="62"/>
      <c r="AB108" s="62"/>
      <c r="AC108" s="233">
        <f>IF('Report History'!MK8=0,"",IFERROR('Report History'!MK8,""))</f>
        <v>90750.5</v>
      </c>
      <c r="AD108" s="234" t="str">
        <f>IF('Report History'!ML8=0,"",IFERROR('Report History'!ML8,""))</f>
        <v/>
      </c>
      <c r="AE108" s="61" t="str">
        <f>IF('Report History'!MM8=0,"",IFERROR('Report History'!MM8,""))</f>
        <v>Std Vol on hand</v>
      </c>
      <c r="AF108" s="62"/>
      <c r="AG108" s="62"/>
      <c r="AH108" s="233">
        <f>IF('Report History'!MP8=0,"",IFERROR('Report History'!MP8,""))</f>
        <v>133739</v>
      </c>
      <c r="AI108" s="234" t="str">
        <f>IF('Report History'!MQ8=0,"",IFERROR('Report History'!MQ8,""))</f>
        <v/>
      </c>
      <c r="AJ108" s="61" t="str">
        <f>IF('Report History'!MR8=0,"",IFERROR('Report History'!MR8,""))</f>
        <v>Std Vol on hand</v>
      </c>
      <c r="AK108" s="62"/>
      <c r="AL108" s="62"/>
      <c r="AM108" s="233">
        <f>IF('Report History'!MU8=0,"",IFERROR('Report History'!MU8,""))</f>
        <v>44545</v>
      </c>
      <c r="AN108" s="234" t="str">
        <f>IF('Report History'!MV8=0,"",IFERROR('Report History'!MV8,""))</f>
        <v/>
      </c>
      <c r="AO108" s="61" t="str">
        <f>IF('Report History'!MW8=0,"",IFERROR('Report History'!MW8,""))</f>
        <v>Std Vol on hand</v>
      </c>
      <c r="AP108" s="62"/>
      <c r="AQ108" s="62"/>
      <c r="AR108" s="233">
        <f>IF('Report History'!MZ8=0,"",IFERROR('Report History'!MZ8,""))</f>
        <v>44545</v>
      </c>
      <c r="AS108" s="234" t="str">
        <f>IF('Report History'!NA8=0,"",IFERROR('Report History'!NA8,""))</f>
        <v/>
      </c>
      <c r="AT108" s="61" t="str">
        <f>IF('Report History'!NB8=0,"",IFERROR('Report History'!NB8,""))</f>
        <v>Std Vol on hand</v>
      </c>
      <c r="AU108" s="62"/>
      <c r="AV108" s="62"/>
      <c r="AW108" s="233">
        <f>IF('Report History'!NE8=0,"",IFERROR('Report History'!NE8,""))</f>
        <v>22305</v>
      </c>
      <c r="AX108" s="234" t="str">
        <f>IF('Report History'!NF8=0,"",IFERROR('Report History'!NF8,""))</f>
        <v/>
      </c>
      <c r="AY108" s="61" t="str">
        <f>IF('Report History'!NG8=0,"",IFERROR('Report History'!NG8,""))</f>
        <v>Std Vol on hand</v>
      </c>
      <c r="AZ108" s="62"/>
      <c r="BA108" s="62"/>
      <c r="BB108" s="233">
        <f>IF('Report History'!NJ8=0,"",IFERROR('Report History'!NJ8,""))</f>
        <v>30770.5</v>
      </c>
      <c r="BC108" s="234" t="str">
        <f>IF('Report History'!NK8=0,"",IFERROR('Report History'!NK8,""))</f>
        <v/>
      </c>
      <c r="BD108" s="61" t="str">
        <f>IF('Report History'!NL8=0,"",IFERROR('Report History'!NL8,""))</f>
        <v>Std Vol on hand</v>
      </c>
      <c r="BE108" s="62"/>
      <c r="BF108" s="62"/>
      <c r="BG108" s="233">
        <f>IF('Report History'!NO8=0,"",IFERROR('Report History'!NO8,""))</f>
        <v>123035</v>
      </c>
      <c r="BH108" s="234" t="str">
        <f>IF('Report History'!NP8=0,"",IFERROR('Report History'!NP8,""))</f>
        <v/>
      </c>
      <c r="BI108" s="61" t="str">
        <f>IF('Report History'!NQ8=0,"",IFERROR('Report History'!NQ8,""))</f>
        <v>Std Vol on hand</v>
      </c>
      <c r="BJ108" s="62"/>
      <c r="BK108" s="62"/>
      <c r="BL108" s="233">
        <f>IF('Report History'!NT8=0,"",IFERROR('Report History'!NT8,""))</f>
        <v>107451.5</v>
      </c>
      <c r="BM108" s="234" t="str">
        <f>IF('Report History'!NU8=0,"",IFERROR('Report History'!NU8,""))</f>
        <v/>
      </c>
      <c r="BN108" s="61" t="str">
        <f>IF('Report History'!NV8=0,"",IFERROR('Report History'!NV8,""))</f>
        <v>Std Vol on hand</v>
      </c>
      <c r="BO108" s="62"/>
      <c r="BP108" s="62"/>
      <c r="BQ108" s="233">
        <f>IF('Report History'!NY8=0,"",IFERROR('Report History'!NY8,""))</f>
        <v>77532.25</v>
      </c>
      <c r="BR108" s="234" t="str">
        <f>IF('Report History'!NZ8=0,"",IFERROR('Report History'!NZ8,""))</f>
        <v/>
      </c>
      <c r="BS108" s="61" t="str">
        <f>IF('Report History'!OA8=0,"",IFERROR('Report History'!OA8,""))</f>
        <v>Std Vol on hand</v>
      </c>
      <c r="BT108" s="62"/>
      <c r="BU108" s="62"/>
      <c r="BV108" s="233">
        <f>IF('Report History'!OD8=0,"",IFERROR('Report History'!OD8,""))</f>
        <v>68092.45</v>
      </c>
      <c r="BW108" s="234" t="str">
        <f>IF('Report History'!OE8=0,"",IFERROR('Report History'!OE8,""))</f>
        <v/>
      </c>
      <c r="BX108" s="61" t="str">
        <f>IF('Report History'!OF8=0,"",IFERROR('Report History'!OF8,""))</f>
        <v>Std Vol on hand</v>
      </c>
      <c r="BY108" s="62"/>
      <c r="BZ108" s="62"/>
      <c r="CA108" s="233">
        <f>IF('Report History'!OI8=0,"",IFERROR('Report History'!OI8,""))</f>
        <v>68092.45</v>
      </c>
      <c r="CB108" s="234" t="str">
        <f>IF('Report History'!OJ8=0,"",IFERROR('Report History'!OJ8,""))</f>
        <v/>
      </c>
      <c r="CC108" s="61" t="str">
        <f>IF('Report History'!OK8=0,"",IFERROR('Report History'!OK8,""))</f>
        <v>Std Vol on hand</v>
      </c>
      <c r="CD108" s="62"/>
      <c r="CE108" s="62"/>
      <c r="CF108" s="233">
        <f>IF('Report History'!ON8=0,"",IFERROR('Report History'!ON8,""))</f>
        <v>35636</v>
      </c>
      <c r="CG108" s="234" t="str">
        <f>IF('Report History'!OO8=0,"",IFERROR('Report History'!OO8,""))</f>
        <v/>
      </c>
      <c r="CH108" s="61" t="str">
        <f>IF('Report History'!OP8=0,"",IFERROR('Report History'!OP8,""))</f>
        <v>Std Vol on hand</v>
      </c>
      <c r="CI108" s="62"/>
      <c r="CJ108" s="62"/>
      <c r="CK108" s="233">
        <f>IF('Report History'!OS8=0,"",IFERROR('Report History'!OS8,""))</f>
        <v>26727</v>
      </c>
      <c r="CL108" s="234" t="str">
        <f>IF('Report History'!OT8=0,"",IFERROR('Report History'!OT8,""))</f>
        <v/>
      </c>
      <c r="CM108" s="61" t="str">
        <f>IF('Report History'!OU8=0,"",IFERROR('Report History'!OU8,""))</f>
        <v>Std Vol on hand</v>
      </c>
      <c r="CN108" s="62"/>
      <c r="CO108" s="62"/>
      <c r="CP108" s="233">
        <f>IF('Report History'!OX8=0,"",IFERROR('Report History'!OX8,""))</f>
        <v>47693</v>
      </c>
      <c r="CQ108" s="234" t="str">
        <f>IF('Report History'!OY8=0,"",IFERROR('Report History'!OY8,""))</f>
        <v/>
      </c>
      <c r="CR108" s="61" t="str">
        <f>IF('Report History'!OZ8=0,"",IFERROR('Report History'!OZ8,""))</f>
        <v>Std Vol on hand</v>
      </c>
      <c r="CS108" s="62"/>
      <c r="CT108" s="62"/>
      <c r="CU108" s="233">
        <f>IF('Report History'!PC8=0,"",IFERROR('Report History'!PC8,""))</f>
        <v>84800</v>
      </c>
      <c r="CV108" s="234" t="str">
        <f>IF('Report History'!PD8=0,"",IFERROR('Report History'!PD8,""))</f>
        <v/>
      </c>
      <c r="CW108" s="61" t="str">
        <f>IF('Report History'!PE8=0,"",IFERROR('Report History'!PE8,""))</f>
        <v>Std Vol on hand</v>
      </c>
      <c r="CX108" s="62"/>
      <c r="CY108" s="62"/>
      <c r="CZ108" s="233">
        <f>IF('Report History'!PH8=0,"",IFERROR('Report History'!PH8,""))</f>
        <v>132060.5</v>
      </c>
      <c r="DA108" s="234" t="str">
        <f>IF('Report History'!PI8=0,"",IFERROR('Report History'!PI8,""))</f>
        <v/>
      </c>
      <c r="DB108" s="61" t="str">
        <f>IF('Report History'!PJ8=0,"",IFERROR('Report History'!PJ8,""))</f>
        <v>Std Vol on hand</v>
      </c>
      <c r="DC108" s="62"/>
      <c r="DD108" s="62"/>
      <c r="DE108" s="233">
        <f>IF('Report History'!PM8=0,"",IFERROR('Report History'!PM8,""))</f>
        <v>117630</v>
      </c>
      <c r="DF108" s="234" t="str">
        <f>IF('Report History'!PN8=0,"",IFERROR('Report History'!PN8,""))</f>
        <v/>
      </c>
      <c r="DG108" s="61" t="str">
        <f>IF('Report History'!PO8=0,"",IFERROR('Report History'!PO8,""))</f>
        <v>Std Vol on hand</v>
      </c>
      <c r="DH108" s="62"/>
      <c r="DI108" s="62"/>
      <c r="DJ108" s="233">
        <f>IF('Report History'!PR8=0,"",IFERROR('Report History'!PR8,""))</f>
        <v>146724</v>
      </c>
      <c r="DK108" s="234" t="str">
        <f>IF('Report History'!PS8=0,"",IFERROR('Report History'!PS8,""))</f>
        <v/>
      </c>
      <c r="DL108" s="61" t="str">
        <f>IF('Report History'!PT8=0,"",IFERROR('Report History'!PT8,""))</f>
        <v>Std Vol on hand</v>
      </c>
      <c r="DM108" s="62"/>
      <c r="DN108" s="62"/>
      <c r="DO108" s="233">
        <f>IF('Report History'!PW8=0,"",IFERROR('Report History'!PW8,""))</f>
        <v>51768</v>
      </c>
      <c r="DP108" s="234" t="str">
        <f>IF('Report History'!PX8=0,"",IFERROR('Report History'!PX8,""))</f>
        <v/>
      </c>
      <c r="DQ108" s="61" t="str">
        <f>IF('Report History'!PY8=0,"",IFERROR('Report History'!PY8,""))</f>
        <v>Std Vol on hand</v>
      </c>
      <c r="DR108" s="62"/>
      <c r="DS108" s="62"/>
      <c r="DT108" s="233">
        <f>IF('Report History'!QB8=0,"",IFERROR('Report History'!QB8,""))</f>
        <v>51207</v>
      </c>
      <c r="DU108" s="234" t="str">
        <f>IF('Report History'!QC8=0,"",IFERROR('Report History'!QC8,""))</f>
        <v/>
      </c>
      <c r="DV108" s="61" t="str">
        <f>IF('Report History'!QD8=0,"",IFERROR('Report History'!QD8,""))</f>
        <v>Std Vol on hand</v>
      </c>
      <c r="DW108" s="62"/>
      <c r="DX108" s="62"/>
      <c r="DY108" s="233">
        <f>IF('Report History'!QG8=0,"",IFERROR('Report History'!QG8,""))</f>
        <v>192230</v>
      </c>
      <c r="DZ108" s="234" t="str">
        <f>IF('Report History'!QH8=0,"",IFERROR('Report History'!QH8,""))</f>
        <v/>
      </c>
      <c r="EA108" s="61" t="str">
        <f>IF('Report History'!QI8=0,"",IFERROR('Report History'!QI8,""))</f>
        <v>Std Vol on hand</v>
      </c>
      <c r="EB108" s="62"/>
      <c r="EC108" s="62"/>
      <c r="ED108" s="233">
        <f>IF('Report History'!QL8=0,"",IFERROR('Report History'!QL8,""))</f>
        <v>233501.5</v>
      </c>
      <c r="EE108" s="234" t="str">
        <f>IF('Report History'!QM8=0,"",IFERROR('Report History'!QM8,""))</f>
        <v/>
      </c>
      <c r="EF108" s="61" t="str">
        <f>IF('Report History'!QN8=0,"",IFERROR('Report History'!QN8,""))</f>
        <v>Std Vol on hand</v>
      </c>
      <c r="EG108" s="62"/>
      <c r="EH108" s="62"/>
      <c r="EI108" s="233">
        <f>IF('Report History'!QQ8=0,"",IFERROR('Report History'!QQ8,""))</f>
        <v>233501.5</v>
      </c>
      <c r="EJ108" s="234" t="str">
        <f>IF('Report History'!QR8=0,"",IFERROR('Report History'!QR8,""))</f>
        <v/>
      </c>
      <c r="EK108" s="61" t="str">
        <f>IF('Report History'!QS8=0,"",IFERROR('Report History'!QS8,""))</f>
        <v>Std Vol on hand</v>
      </c>
      <c r="EL108" s="62"/>
      <c r="EM108" s="62"/>
      <c r="EN108" s="233">
        <f>IF('Report History'!QV8=0,"",IFERROR('Report History'!QV8,""))</f>
        <v>264231.5</v>
      </c>
      <c r="EO108" s="234" t="str">
        <f>IF('Report History'!QW8=0,"",IFERROR('Report History'!QW8,""))</f>
        <v/>
      </c>
      <c r="EP108" s="61" t="str">
        <f>IF('Report History'!QX8=0,"",IFERROR('Report History'!QX8,""))</f>
        <v>Std Vol on hand</v>
      </c>
      <c r="EQ108" s="62"/>
      <c r="ER108" s="62"/>
      <c r="ES108" s="233">
        <f>IF('Report History'!RA8=0,"",IFERROR('Report History'!RA8,""))</f>
        <v>156694</v>
      </c>
      <c r="ET108" s="234" t="str">
        <f>IF('Report History'!RB8=0,"",IFERROR('Report History'!RB8,""))</f>
        <v/>
      </c>
      <c r="EU108" s="61" t="str">
        <f>IF('Report History'!RC8=0,"",IFERROR('Report History'!RC8,""))</f>
        <v>Std Vol on hand</v>
      </c>
      <c r="EV108" s="62"/>
      <c r="EW108" s="62"/>
      <c r="EX108" s="233">
        <f>IF('Report History'!RF8=0,"",IFERROR('Report History'!RF8,""))</f>
        <v>164780.9</v>
      </c>
      <c r="EY108" s="234" t="str">
        <f>IF('Report History'!RG8=0,"",IFERROR('Report History'!RG8,""))</f>
        <v/>
      </c>
      <c r="EZ108" s="61" t="str">
        <f>IF('Report History'!RH8=0,"",IFERROR('Report History'!RH8,""))</f>
        <v>Std Vol on hand</v>
      </c>
      <c r="FA108" s="62"/>
      <c r="FB108" s="62"/>
      <c r="FC108" s="233">
        <f>IF('Report History'!RK8=0,"",IFERROR('Report History'!RK8,""))</f>
        <v>94016.7</v>
      </c>
      <c r="FD108" s="234" t="str">
        <f>IF('Report History'!RL8=0,"",IFERROR('Report History'!RL8,""))</f>
        <v/>
      </c>
      <c r="FE108" s="61" t="str">
        <f>IF('Report History'!RM8=0,"",IFERROR('Report History'!RM8,""))</f>
        <v>Std Vol on hand</v>
      </c>
      <c r="FF108" s="62"/>
      <c r="FG108" s="62"/>
      <c r="FH108" s="233">
        <f>IF('Report History'!RP8=0,"",IFERROR('Report History'!RP8,""))</f>
        <v>146577</v>
      </c>
      <c r="FI108" s="234" t="str">
        <f>IF('Report History'!RQ8=0,"",IFERROR('Report History'!RQ8,""))</f>
        <v/>
      </c>
      <c r="FJ108" s="61" t="str">
        <f>IF('Report History'!RR8=0,"",IFERROR('Report History'!RR8,""))</f>
        <v>Std Vol on hand</v>
      </c>
      <c r="FK108" s="62"/>
      <c r="FL108" s="62"/>
      <c r="FM108" s="233">
        <f>IF('Report History'!RU8=0,"",IFERROR('Report History'!RU8,""))</f>
        <v>160800.5</v>
      </c>
      <c r="FN108" s="234" t="str">
        <f>IF('Report History'!RV8=0,"",IFERROR('Report History'!RV8,""))</f>
        <v/>
      </c>
      <c r="FO108" s="61" t="str">
        <f>IF('Report History'!RW8=0,"",IFERROR('Report History'!RW8,""))</f>
        <v>Std Vol on hand</v>
      </c>
      <c r="FP108" s="62"/>
      <c r="FQ108" s="62"/>
      <c r="FR108" s="233">
        <f>IF('Report History'!RZ8=0,"",IFERROR('Report History'!RZ8,""))</f>
        <v>160800.5</v>
      </c>
      <c r="FS108" s="234" t="str">
        <f>IF('Report History'!SA8=0,"",IFERROR('Report History'!SA8,""))</f>
        <v/>
      </c>
      <c r="FT108" s="61" t="str">
        <f>IF('Report History'!SB8=0,"",IFERROR('Report History'!SB8,""))</f>
        <v>Std Vol on hand</v>
      </c>
      <c r="FU108" s="62"/>
      <c r="FV108" s="62"/>
      <c r="FW108" s="233">
        <f>IF('Report History'!SE8=0,"",IFERROR('Report History'!SE8,""))</f>
        <v>95004</v>
      </c>
      <c r="FX108" s="234" t="str">
        <f>IF('Report History'!SF8=0,"",IFERROR('Report History'!SF8,""))</f>
        <v/>
      </c>
      <c r="FY108" s="61" t="str">
        <f>IF('Report History'!SG8=0,"",IFERROR('Report History'!SG8,""))</f>
        <v>Std Vol on hand</v>
      </c>
      <c r="FZ108" s="62"/>
      <c r="GA108" s="62"/>
      <c r="GB108" s="233">
        <f>IF('Report History'!SJ8=0,"",IFERROR('Report History'!SJ8,""))</f>
        <v>39131.5</v>
      </c>
      <c r="GC108" s="234" t="str">
        <f>IF('Report History'!SK8=0,"",IFERROR('Report History'!SK8,""))</f>
        <v/>
      </c>
      <c r="GD108" s="61" t="str">
        <f>IF('Report History'!SL8=0,"",IFERROR('Report History'!SL8,""))</f>
        <v>Std Vol on hand</v>
      </c>
      <c r="GE108" s="62"/>
      <c r="GF108" s="62"/>
      <c r="GG108" s="233">
        <f>IF('Report History'!SO8=0,"",IFERROR('Report History'!SO8,""))</f>
        <v>53454</v>
      </c>
      <c r="GH108" s="234" t="str">
        <f>IF('Report History'!SP8=0,"",IFERROR('Report History'!SP8,""))</f>
        <v/>
      </c>
      <c r="GI108" s="61" t="str">
        <f>IF('Report History'!SQ8=0,"",IFERROR('Report History'!SQ8,""))</f>
        <v>Std Vol on hand</v>
      </c>
      <c r="GJ108" s="62"/>
      <c r="GK108" s="62"/>
      <c r="GL108" s="233">
        <f>IF('Report History'!ST8=0,"",IFERROR('Report History'!ST8,""))</f>
        <v>96917</v>
      </c>
      <c r="GM108" s="234" t="str">
        <f>IF('Report History'!SU8=0,"",IFERROR('Report History'!SU8,""))</f>
        <v/>
      </c>
      <c r="GN108" s="61" t="str">
        <f>IF('Report History'!SV8=0,"",IFERROR('Report History'!SV8,""))</f>
        <v>Std Vol on hand</v>
      </c>
      <c r="GO108" s="62"/>
      <c r="GP108" s="62"/>
      <c r="GQ108" s="233">
        <f>IF('Report History'!SY8=0,"",IFERROR('Report History'!SY8,""))</f>
        <v>102154</v>
      </c>
      <c r="GR108" s="234" t="str">
        <f>IF('Report History'!SZ8=0,"",IFERROR('Report History'!SZ8,""))</f>
        <v/>
      </c>
      <c r="GS108" s="61" t="str">
        <f>IF('Report History'!TA8=0,"",IFERROR('Report History'!TA8,""))</f>
        <v>Std Vol on hand</v>
      </c>
      <c r="GT108" s="62"/>
      <c r="GU108" s="62"/>
      <c r="GV108" s="233">
        <f>IF('Report History'!TD8=0,"",IFERROR('Report History'!TD8,""))</f>
        <v>82003.75</v>
      </c>
      <c r="GW108" s="234" t="str">
        <f>IF('Report History'!TE8=0,"",IFERROR('Report History'!TE8,""))</f>
        <v/>
      </c>
      <c r="GX108" s="61" t="str">
        <f>IF('Report History'!TF8=0,"",IFERROR('Report History'!TF8,""))</f>
        <v>Std Vol on hand</v>
      </c>
      <c r="GY108" s="62"/>
      <c r="GZ108" s="62"/>
      <c r="HA108" s="233">
        <f>IF('Report History'!TI8=0,"",IFERROR('Report History'!TI8,""))</f>
        <v>56099</v>
      </c>
      <c r="HB108" s="234" t="str">
        <f>IF('Report History'!TJ8=0,"",IFERROR('Report History'!TJ8,""))</f>
        <v/>
      </c>
      <c r="HC108" s="61" t="str">
        <f>IF('Report History'!TK8=0,"",IFERROR('Report History'!TK8,""))</f>
        <v>Std Vol on hand</v>
      </c>
      <c r="HD108" s="62"/>
      <c r="HE108" s="62"/>
      <c r="HF108" s="233">
        <f>IF('Report History'!TN8=0,"",IFERROR('Report History'!TN8,""))</f>
        <v>149174.5</v>
      </c>
      <c r="HG108" s="234" t="str">
        <f>IF('Report History'!TO8=0,"",IFERROR('Report History'!TO8,""))</f>
        <v/>
      </c>
      <c r="HH108" s="61" t="str">
        <f>IF('Report History'!TP8=0,"",IFERROR('Report History'!TP8,""))</f>
        <v>Std Vol on hand</v>
      </c>
      <c r="HI108" s="62"/>
      <c r="HJ108" s="62"/>
      <c r="HK108" s="233">
        <f>IF('Report History'!TS8=0,"",IFERROR('Report History'!TS8,""))</f>
        <v>127822.5</v>
      </c>
      <c r="HL108" s="234" t="str">
        <f>IF('Report History'!TT8=0,"",IFERROR('Report History'!TT8,""))</f>
        <v/>
      </c>
      <c r="HM108" s="61" t="str">
        <f>IF('Report History'!TU8=0,"",IFERROR('Report History'!TU8,""))</f>
        <v>Std Vol on hand</v>
      </c>
      <c r="HN108" s="62"/>
      <c r="HO108" s="62"/>
      <c r="HP108" s="233">
        <f>IF('Report History'!TX8=0,"",IFERROR('Report History'!TX8,""))</f>
        <v>161324</v>
      </c>
      <c r="HQ108" s="234" t="str">
        <f>IF('Report History'!TY8=0,"",IFERROR('Report History'!TY8,""))</f>
        <v/>
      </c>
      <c r="HR108" s="61" t="str">
        <f>IF('Report History'!TZ8=0,"",IFERROR('Report History'!TZ8,""))</f>
        <v>Std Vol on hand</v>
      </c>
      <c r="HS108" s="62"/>
      <c r="HT108" s="62"/>
      <c r="HU108" s="233">
        <f>IF('Report History'!UC8=0,"",IFERROR('Report History'!UC8,""))</f>
        <v>153520</v>
      </c>
      <c r="HV108" s="234" t="str">
        <f>IF('Report History'!UD8=0,"",IFERROR('Report History'!UD8,""))</f>
        <v/>
      </c>
      <c r="HW108" s="61" t="str">
        <f>IF('Report History'!UE8=0,"",IFERROR('Report History'!UE8,""))</f>
        <v>Std Vol on hand</v>
      </c>
      <c r="HX108" s="62"/>
      <c r="HY108" s="62"/>
      <c r="HZ108" s="233">
        <f>IF('Report History'!UH8=0,"",IFERROR('Report History'!UH8,""))</f>
        <v>36201</v>
      </c>
      <c r="IA108" s="234" t="str">
        <f>IF('Report History'!UI8=0,"",IFERROR('Report History'!UI8,""))</f>
        <v/>
      </c>
      <c r="IB108" s="61" t="str">
        <f>IF('Report History'!UJ8=0,"",IFERROR('Report History'!UJ8,""))</f>
        <v>Std Vol on hand</v>
      </c>
      <c r="IC108" s="62"/>
      <c r="ID108" s="62"/>
      <c r="IE108" s="233">
        <f>IF('Report History'!UM8=0,"",IFERROR('Report History'!UM8,""))</f>
        <v>19478.5</v>
      </c>
      <c r="IF108" s="234" t="str">
        <f>IF('Report History'!UN8=0,"",IFERROR('Report History'!UN8,""))</f>
        <v/>
      </c>
      <c r="IG108" s="61" t="str">
        <f>IF('Report History'!UO8=0,"",IFERROR('Report History'!UO8,""))</f>
        <v>Std Vol on hand</v>
      </c>
      <c r="IH108" s="62"/>
      <c r="II108" s="62"/>
      <c r="IJ108" s="233">
        <f>IF('Report History'!UR8=0,"",IFERROR('Report History'!UR8,""))</f>
        <v>14245.25</v>
      </c>
      <c r="IK108" s="234" t="str">
        <f>IF('Report History'!US8=0,"",IFERROR('Report History'!US8,""))</f>
        <v/>
      </c>
      <c r="IL108" s="61" t="str">
        <f>IF('Report History'!UT8=0,"",IFERROR('Report History'!UT8,""))</f>
        <v>Std Vol on hand</v>
      </c>
      <c r="IM108" s="62"/>
      <c r="IN108" s="62"/>
      <c r="IO108" s="233">
        <f>IF('Report History'!UW8=0,"",IFERROR('Report History'!UW8,""))</f>
        <v>32736</v>
      </c>
      <c r="IP108" s="234" t="str">
        <f>IF('Report History'!UX8=0,"",IFERROR('Report History'!UX8,""))</f>
        <v/>
      </c>
    </row>
    <row r="109" spans="1:250" x14ac:dyDescent="0.25">
      <c r="A109" s="267" t="str">
        <f>IF('Report History'!LI9=0,"",IFERROR('Report History'!LI9,""))</f>
        <v>Std Vol on hand - Letters</v>
      </c>
      <c r="B109" s="268" t="str">
        <f>IF('Report History'!LJ9=0,"",IFERROR('Report History'!LJ9,""))</f>
        <v/>
      </c>
      <c r="C109" s="269" t="str">
        <f>IF('Report History'!LK9=0,"",IFERROR('Report History'!LK9,""))</f>
        <v/>
      </c>
      <c r="D109" s="231">
        <f>IF('Report History'!LL9=0,"",IFERROR('Report History'!LL9,""))</f>
        <v>57908.5</v>
      </c>
      <c r="E109" s="232" t="str">
        <f>IF('Report History'!LM9=0,"",IFERROR('Report History'!LM9,""))</f>
        <v/>
      </c>
      <c r="F109" s="267" t="str">
        <f>IF('Report History'!LN9=0,"",IFERROR('Report History'!LN9,""))</f>
        <v>Std Vol on hand - Letters</v>
      </c>
      <c r="G109" s="268" t="str">
        <f>IF('Report History'!LO9=0,"",IFERROR('Report History'!LO9,""))</f>
        <v/>
      </c>
      <c r="H109" s="269" t="str">
        <f>IF('Report History'!LP9=0,"",IFERROR('Report History'!LP9,""))</f>
        <v/>
      </c>
      <c r="I109" s="231">
        <f>IF('Report History'!LQ9=0,"",IFERROR('Report History'!LQ9,""))</f>
        <v>75726.5</v>
      </c>
      <c r="J109" s="232" t="str">
        <f>IF('Report History'!LR9=0,"",IFERROR('Report History'!LR9,""))</f>
        <v/>
      </c>
      <c r="K109" s="267" t="str">
        <f>IF('Report History'!LS9=0,"",IFERROR('Report History'!LS9,""))</f>
        <v>Std Vol on hand - Letters</v>
      </c>
      <c r="L109" s="268" t="str">
        <f>IF('Report History'!LT9=0,"",IFERROR('Report History'!LT9,""))</f>
        <v/>
      </c>
      <c r="M109" s="269" t="str">
        <f>IF('Report History'!LU9=0,"",IFERROR('Report History'!LU9,""))</f>
        <v/>
      </c>
      <c r="N109" s="231">
        <f>IF('Report History'!LV9=0,"",IFERROR('Report History'!LV9,""))</f>
        <v>65890.5</v>
      </c>
      <c r="O109" s="232" t="str">
        <f>IF('Report History'!LW9=0,"",IFERROR('Report History'!LW9,""))</f>
        <v/>
      </c>
      <c r="P109" s="267" t="str">
        <f>IF('Report History'!LX9=0,"",IFERROR('Report History'!LX9,""))</f>
        <v>Std Vol on hand - Letters</v>
      </c>
      <c r="Q109" s="268" t="str">
        <f>IF('Report History'!LY9=0,"",IFERROR('Report History'!LY9,""))</f>
        <v/>
      </c>
      <c r="R109" s="269" t="str">
        <f>IF('Report History'!LZ9=0,"",IFERROR('Report History'!LZ9,""))</f>
        <v/>
      </c>
      <c r="S109" s="231">
        <f>IF('Report History'!MA9=0,"",IFERROR('Report History'!MA9,""))</f>
        <v>40796</v>
      </c>
      <c r="T109" s="232" t="str">
        <f>IF('Report History'!MB9=0,"",IFERROR('Report History'!MB9,""))</f>
        <v/>
      </c>
      <c r="U109" s="267" t="str">
        <f>IF('Report History'!MC9=0,"",IFERROR('Report History'!MC9,""))</f>
        <v>Std Vol on hand - Letters</v>
      </c>
      <c r="V109" s="268" t="str">
        <f>IF('Report History'!MD9=0,"",IFERROR('Report History'!MD9,""))</f>
        <v/>
      </c>
      <c r="W109" s="269" t="str">
        <f>IF('Report History'!ME9=0,"",IFERROR('Report History'!ME9,""))</f>
        <v/>
      </c>
      <c r="X109" s="231">
        <f>IF('Report History'!MF9=0,"",IFERROR('Report History'!MF9,""))</f>
        <v>30012.5</v>
      </c>
      <c r="Y109" s="232" t="str">
        <f>IF('Report History'!MG9=0,"",IFERROR('Report History'!MG9,""))</f>
        <v/>
      </c>
      <c r="Z109" s="267" t="str">
        <f>IF('Report History'!MH9=0,"",IFERROR('Report History'!MH9,""))</f>
        <v>Std Vol on hand - Letters</v>
      </c>
      <c r="AA109" s="268" t="str">
        <f>IF('Report History'!MI9=0,"",IFERROR('Report History'!MI9,""))</f>
        <v/>
      </c>
      <c r="AB109" s="269" t="str">
        <f>IF('Report History'!MJ9=0,"",IFERROR('Report History'!MJ9,""))</f>
        <v/>
      </c>
      <c r="AC109" s="231">
        <f>IF('Report History'!MK9=0,"",IFERROR('Report History'!MK9,""))</f>
        <v>75726.5</v>
      </c>
      <c r="AD109" s="232" t="str">
        <f>IF('Report History'!ML9=0,"",IFERROR('Report History'!ML9,""))</f>
        <v/>
      </c>
      <c r="AE109" s="267" t="str">
        <f>IF('Report History'!MM9=0,"",IFERROR('Report History'!MM9,""))</f>
        <v>Std Vol on hand - Letters</v>
      </c>
      <c r="AF109" s="268" t="str">
        <f>IF('Report History'!MN9=0,"",IFERROR('Report History'!MN9,""))</f>
        <v/>
      </c>
      <c r="AG109" s="269" t="str">
        <f>IF('Report History'!MO9=0,"",IFERROR('Report History'!MO9,""))</f>
        <v/>
      </c>
      <c r="AH109" s="231">
        <f>IF('Report History'!MP9=0,"",IFERROR('Report History'!MP9,""))</f>
        <v>124726</v>
      </c>
      <c r="AI109" s="232" t="str">
        <f>IF('Report History'!MQ9=0,"",IFERROR('Report History'!MQ9,""))</f>
        <v/>
      </c>
      <c r="AJ109" s="267" t="str">
        <f>IF('Report History'!MR9=0,"",IFERROR('Report History'!MR9,""))</f>
        <v>Std Vol on hand - Letters</v>
      </c>
      <c r="AK109" s="268" t="str">
        <f>IF('Report History'!MS9=0,"",IFERROR('Report History'!MS9,""))</f>
        <v/>
      </c>
      <c r="AL109" s="269" t="str">
        <f>IF('Report History'!MT9=0,"",IFERROR('Report History'!MT9,""))</f>
        <v/>
      </c>
      <c r="AM109" s="231">
        <f>IF('Report History'!MU9=0,"",IFERROR('Report History'!MU9,""))</f>
        <v>44545</v>
      </c>
      <c r="AN109" s="232" t="str">
        <f>IF('Report History'!MV9=0,"",IFERROR('Report History'!MV9,""))</f>
        <v/>
      </c>
      <c r="AO109" s="267" t="str">
        <f>IF('Report History'!MW9=0,"",IFERROR('Report History'!MW9,""))</f>
        <v>Std Vol on hand - Letters</v>
      </c>
      <c r="AP109" s="268" t="str">
        <f>IF('Report History'!MX9=0,"",IFERROR('Report History'!MX9,""))</f>
        <v/>
      </c>
      <c r="AQ109" s="269" t="str">
        <f>IF('Report History'!MY9=0,"",IFERROR('Report History'!MY9,""))</f>
        <v/>
      </c>
      <c r="AR109" s="231">
        <f>IF('Report History'!MZ9=0,"",IFERROR('Report History'!MZ9,""))</f>
        <v>44545</v>
      </c>
      <c r="AS109" s="232" t="str">
        <f>IF('Report History'!NA9=0,"",IFERROR('Report History'!NA9,""))</f>
        <v/>
      </c>
      <c r="AT109" s="267" t="str">
        <f>IF('Report History'!NB9=0,"",IFERROR('Report History'!NB9,""))</f>
        <v>Std Vol on hand - Letters</v>
      </c>
      <c r="AU109" s="268" t="str">
        <f>IF('Report History'!NC9=0,"",IFERROR('Report History'!NC9,""))</f>
        <v/>
      </c>
      <c r="AV109" s="269" t="str">
        <f>IF('Report History'!ND9=0,"",IFERROR('Report History'!ND9,""))</f>
        <v/>
      </c>
      <c r="AW109" s="231">
        <f>IF('Report History'!NE9=0,"",IFERROR('Report History'!NE9,""))</f>
        <v>19229</v>
      </c>
      <c r="AX109" s="232" t="str">
        <f>IF('Report History'!NF9=0,"",IFERROR('Report History'!NF9,""))</f>
        <v/>
      </c>
      <c r="AY109" s="267" t="str">
        <f>IF('Report History'!NG9=0,"",IFERROR('Report History'!NG9,""))</f>
        <v>Std Vol on hand - Letters</v>
      </c>
      <c r="AZ109" s="268" t="str">
        <f>IF('Report History'!NH9=0,"",IFERROR('Report History'!NH9,""))</f>
        <v/>
      </c>
      <c r="BA109" s="269" t="str">
        <f>IF('Report History'!NI9=0,"",IFERROR('Report History'!NI9,""))</f>
        <v/>
      </c>
      <c r="BB109" s="231">
        <f>IF('Report History'!NJ9=0,"",IFERROR('Report History'!NJ9,""))</f>
        <v>26263.5</v>
      </c>
      <c r="BC109" s="232" t="str">
        <f>IF('Report History'!NK9=0,"",IFERROR('Report History'!NK9,""))</f>
        <v/>
      </c>
      <c r="BD109" s="267" t="str">
        <f>IF('Report History'!NL9=0,"",IFERROR('Report History'!NL9,""))</f>
        <v>Std Vol on hand - Letters</v>
      </c>
      <c r="BE109" s="268" t="str">
        <f>IF('Report History'!NM9=0,"",IFERROR('Report History'!NM9,""))</f>
        <v/>
      </c>
      <c r="BF109" s="269" t="str">
        <f>IF('Report History'!NN9=0,"",IFERROR('Report History'!NN9,""))</f>
        <v/>
      </c>
      <c r="BG109" s="231">
        <f>IF('Report History'!NO9=0,"",IFERROR('Report History'!NO9,""))</f>
        <v>121461</v>
      </c>
      <c r="BH109" s="232" t="str">
        <f>IF('Report History'!NP9=0,"",IFERROR('Report History'!NP9,""))</f>
        <v/>
      </c>
      <c r="BI109" s="267" t="str">
        <f>IF('Report History'!NQ9=0,"",IFERROR('Report History'!NQ9,""))</f>
        <v>Std Vol on hand - Letters</v>
      </c>
      <c r="BJ109" s="268" t="str">
        <f>IF('Report History'!NR9=0,"",IFERROR('Report History'!NR9,""))</f>
        <v/>
      </c>
      <c r="BK109" s="269" t="str">
        <f>IF('Report History'!NS9=0,"",IFERROR('Report History'!NS9,""))</f>
        <v/>
      </c>
      <c r="BL109" s="231">
        <f>IF('Report History'!NT9=0,"",IFERROR('Report History'!NT9,""))</f>
        <v>94028.5</v>
      </c>
      <c r="BM109" s="232" t="str">
        <f>IF('Report History'!NU9=0,"",IFERROR('Report History'!NU9,""))</f>
        <v/>
      </c>
      <c r="BN109" s="267" t="str">
        <f>IF('Report History'!NV9=0,"",IFERROR('Report History'!NV9,""))</f>
        <v>Std Vol on hand - Letters</v>
      </c>
      <c r="BO109" s="268" t="str">
        <f>IF('Report History'!NW9=0,"",IFERROR('Report History'!NW9,""))</f>
        <v/>
      </c>
      <c r="BP109" s="269" t="str">
        <f>IF('Report History'!NX9=0,"",IFERROR('Report History'!NX9,""))</f>
        <v/>
      </c>
      <c r="BQ109" s="231">
        <f>IF('Report History'!NY9=0,"",IFERROR('Report History'!NY9,""))</f>
        <v>73499.25</v>
      </c>
      <c r="BR109" s="232" t="str">
        <f>IF('Report History'!NZ9=0,"",IFERROR('Report History'!NZ9,""))</f>
        <v/>
      </c>
      <c r="BS109" s="267" t="str">
        <f>IF('Report History'!OA9=0,"",IFERROR('Report History'!OA9,""))</f>
        <v>Std Vol on hand - Letters</v>
      </c>
      <c r="BT109" s="268" t="str">
        <f>IF('Report History'!OB9=0,"",IFERROR('Report History'!OB9,""))</f>
        <v/>
      </c>
      <c r="BU109" s="269" t="str">
        <f>IF('Report History'!OC9=0,"",IFERROR('Report History'!OC9,""))</f>
        <v/>
      </c>
      <c r="BV109" s="231">
        <f>IF('Report History'!OD9=0,"",IFERROR('Report History'!OD9,""))</f>
        <v>53454</v>
      </c>
      <c r="BW109" s="232" t="str">
        <f>IF('Report History'!OE9=0,"",IFERROR('Report History'!OE9,""))</f>
        <v/>
      </c>
      <c r="BX109" s="267" t="str">
        <f>IF('Report History'!OF9=0,"",IFERROR('Report History'!OF9,""))</f>
        <v>Std Vol on hand - Letters</v>
      </c>
      <c r="BY109" s="268" t="str">
        <f>IF('Report History'!OG9=0,"",IFERROR('Report History'!OG9,""))</f>
        <v/>
      </c>
      <c r="BZ109" s="269" t="str">
        <f>IF('Report History'!OH9=0,"",IFERROR('Report History'!OH9,""))</f>
        <v/>
      </c>
      <c r="CA109" s="231">
        <f>IF('Report History'!OI9=0,"",IFERROR('Report History'!OI9,""))</f>
        <v>53454</v>
      </c>
      <c r="CB109" s="232" t="str">
        <f>IF('Report History'!OJ9=0,"",IFERROR('Report History'!OJ9,""))</f>
        <v/>
      </c>
      <c r="CC109" s="267" t="str">
        <f>IF('Report History'!OK9=0,"",IFERROR('Report History'!OK9,""))</f>
        <v>Std Vol on hand - Letters</v>
      </c>
      <c r="CD109" s="268" t="str">
        <f>IF('Report History'!OL9=0,"",IFERROR('Report History'!OL9,""))</f>
        <v/>
      </c>
      <c r="CE109" s="269" t="str">
        <f>IF('Report History'!OM9=0,"",IFERROR('Report History'!OM9,""))</f>
        <v/>
      </c>
      <c r="CF109" s="231">
        <f>IF('Report History'!ON9=0,"",IFERROR('Report History'!ON9,""))</f>
        <v>35636</v>
      </c>
      <c r="CG109" s="232" t="str">
        <f>IF('Report History'!OO9=0,"",IFERROR('Report History'!OO9,""))</f>
        <v/>
      </c>
      <c r="CH109" s="267" t="str">
        <f>IF('Report History'!OP9=0,"",IFERROR('Report History'!OP9,""))</f>
        <v>Std Vol on hand - Letters</v>
      </c>
      <c r="CI109" s="268" t="str">
        <f>IF('Report History'!OQ9=0,"",IFERROR('Report History'!OQ9,""))</f>
        <v/>
      </c>
      <c r="CJ109" s="269" t="str">
        <f>IF('Report History'!OR9=0,"",IFERROR('Report History'!OR9,""))</f>
        <v/>
      </c>
      <c r="CK109" s="231">
        <f>IF('Report History'!OS9=0,"",IFERROR('Report History'!OS9,""))</f>
        <v>26727</v>
      </c>
      <c r="CL109" s="232" t="str">
        <f>IF('Report History'!OT9=0,"",IFERROR('Report History'!OT9,""))</f>
        <v/>
      </c>
      <c r="CM109" s="267" t="str">
        <f>IF('Report History'!OU9=0,"",IFERROR('Report History'!OU9,""))</f>
        <v>Std Vol on hand - Letters</v>
      </c>
      <c r="CN109" s="268" t="str">
        <f>IF('Report History'!OV9=0,"",IFERROR('Report History'!OV9,""))</f>
        <v/>
      </c>
      <c r="CO109" s="269" t="str">
        <f>IF('Report History'!OW9=0,"",IFERROR('Report History'!OW9,""))</f>
        <v/>
      </c>
      <c r="CP109" s="231">
        <f>IF('Report History'!OX9=0,"",IFERROR('Report History'!OX9,""))</f>
        <v>44545</v>
      </c>
      <c r="CQ109" s="232" t="str">
        <f>IF('Report History'!OY9=0,"",IFERROR('Report History'!OY9,""))</f>
        <v/>
      </c>
      <c r="CR109" s="267" t="str">
        <f>IF('Report History'!OZ9=0,"",IFERROR('Report History'!OZ9,""))</f>
        <v>Std Vol on hand - Letters</v>
      </c>
      <c r="CS109" s="268" t="str">
        <f>IF('Report History'!PA9=0,"",IFERROR('Report History'!PA9,""))</f>
        <v/>
      </c>
      <c r="CT109" s="269" t="str">
        <f>IF('Report History'!PB9=0,"",IFERROR('Report History'!PB9,""))</f>
        <v/>
      </c>
      <c r="CU109" s="231">
        <f>IF('Report History'!PC9=0,"",IFERROR('Report History'!PC9,""))</f>
        <v>57687</v>
      </c>
      <c r="CV109" s="232" t="str">
        <f>IF('Report History'!PD9=0,"",IFERROR('Report History'!PD9,""))</f>
        <v/>
      </c>
      <c r="CW109" s="267" t="str">
        <f>IF('Report History'!PE9=0,"",IFERROR('Report History'!PE9,""))</f>
        <v>Std Vol on hand - Letters</v>
      </c>
      <c r="CX109" s="268" t="str">
        <f>IF('Report History'!PF9=0,"",IFERROR('Report History'!PF9,""))</f>
        <v/>
      </c>
      <c r="CY109" s="269" t="str">
        <f>IF('Report History'!PG9=0,"",IFERROR('Report History'!PG9,""))</f>
        <v/>
      </c>
      <c r="CZ109" s="231">
        <f>IF('Report History'!PH9=0,"",IFERROR('Report History'!PH9,""))</f>
        <v>73872.5</v>
      </c>
      <c r="DA109" s="232" t="str">
        <f>IF('Report History'!PI9=0,"",IFERROR('Report History'!PI9,""))</f>
        <v/>
      </c>
      <c r="DB109" s="267" t="str">
        <f>IF('Report History'!PJ9=0,"",IFERROR('Report History'!PJ9,""))</f>
        <v>Std Vol on hand - Letters</v>
      </c>
      <c r="DC109" s="268" t="str">
        <f>IF('Report History'!PK9=0,"",IFERROR('Report History'!PK9,""))</f>
        <v/>
      </c>
      <c r="DD109" s="269" t="str">
        <f>IF('Report History'!PL9=0,"",IFERROR('Report History'!PL9,""))</f>
        <v/>
      </c>
      <c r="DE109" s="231">
        <f>IF('Report History'!PM9=0,"",IFERROR('Report History'!PM9,""))</f>
        <v>89090</v>
      </c>
      <c r="DF109" s="232" t="str">
        <f>IF('Report History'!PN9=0,"",IFERROR('Report History'!PN9,""))</f>
        <v/>
      </c>
      <c r="DG109" s="267" t="str">
        <f>IF('Report History'!PO9=0,"",IFERROR('Report History'!PO9,""))</f>
        <v>Std Vol on hand - Letters</v>
      </c>
      <c r="DH109" s="268" t="str">
        <f>IF('Report History'!PP9=0,"",IFERROR('Report History'!PP9,""))</f>
        <v/>
      </c>
      <c r="DI109" s="269" t="str">
        <f>IF('Report History'!PQ9=0,"",IFERROR('Report History'!PQ9,""))</f>
        <v/>
      </c>
      <c r="DJ109" s="231">
        <f>IF('Report History'!PR9=0,"",IFERROR('Report History'!PR9,""))</f>
        <v>98967</v>
      </c>
      <c r="DK109" s="232" t="str">
        <f>IF('Report History'!PS9=0,"",IFERROR('Report History'!PS9,""))</f>
        <v/>
      </c>
      <c r="DL109" s="267" t="str">
        <f>IF('Report History'!PT9=0,"",IFERROR('Report History'!PT9,""))</f>
        <v>Std Vol on hand - Letters</v>
      </c>
      <c r="DM109" s="268" t="str">
        <f>IF('Report History'!PU9=0,"",IFERROR('Report History'!PU9,""))</f>
        <v/>
      </c>
      <c r="DN109" s="269" t="str">
        <f>IF('Report History'!PV9=0,"",IFERROR('Report History'!PV9,""))</f>
        <v/>
      </c>
      <c r="DO109" s="231">
        <f>IF('Report History'!PW9=0,"",IFERROR('Report History'!PW9,""))</f>
        <v>35636</v>
      </c>
      <c r="DP109" s="232" t="str">
        <f>IF('Report History'!PX9=0,"",IFERROR('Report History'!PX9,""))</f>
        <v/>
      </c>
      <c r="DQ109" s="267" t="str">
        <f>IF('Report History'!PY9=0,"",IFERROR('Report History'!PY9,""))</f>
        <v>Std Vol on hand - Letters</v>
      </c>
      <c r="DR109" s="268" t="str">
        <f>IF('Report History'!PZ9=0,"",IFERROR('Report History'!PZ9,""))</f>
        <v/>
      </c>
      <c r="DS109" s="269" t="str">
        <f>IF('Report History'!QA9=0,"",IFERROR('Report History'!QA9,""))</f>
        <v/>
      </c>
      <c r="DT109" s="231">
        <f>IF('Report History'!QB9=0,"",IFERROR('Report History'!QB9,""))</f>
        <v>49705</v>
      </c>
      <c r="DU109" s="232" t="str">
        <f>IF('Report History'!QC9=0,"",IFERROR('Report History'!QC9,""))</f>
        <v/>
      </c>
      <c r="DV109" s="267" t="str">
        <f>IF('Report History'!QD9=0,"",IFERROR('Report History'!QD9,""))</f>
        <v>Std Vol on hand - Letters</v>
      </c>
      <c r="DW109" s="268" t="str">
        <f>IF('Report History'!QE9=0,"",IFERROR('Report History'!QE9,""))</f>
        <v/>
      </c>
      <c r="DX109" s="269" t="str">
        <f>IF('Report History'!QF9=0,"",IFERROR('Report History'!QF9,""))</f>
        <v/>
      </c>
      <c r="DY109" s="231">
        <f>IF('Report History'!QG9=0,"",IFERROR('Report History'!QG9,""))</f>
        <v>166248</v>
      </c>
      <c r="DZ109" s="232" t="str">
        <f>IF('Report History'!QH9=0,"",IFERROR('Report History'!QH9,""))</f>
        <v/>
      </c>
      <c r="EA109" s="267" t="str">
        <f>IF('Report History'!QI9=0,"",IFERROR('Report History'!QI9,""))</f>
        <v>Std Vol on hand - Letters</v>
      </c>
      <c r="EB109" s="268" t="str">
        <f>IF('Report History'!QJ9=0,"",IFERROR('Report History'!QJ9,""))</f>
        <v/>
      </c>
      <c r="EC109" s="269" t="str">
        <f>IF('Report History'!QK9=0,"",IFERROR('Report History'!QK9,""))</f>
        <v/>
      </c>
      <c r="ED109" s="231">
        <f>IF('Report History'!QL9=0,"",IFERROR('Report History'!QL9,""))</f>
        <v>180780.5</v>
      </c>
      <c r="EE109" s="232" t="str">
        <f>IF('Report History'!QM9=0,"",IFERROR('Report History'!QM9,""))</f>
        <v/>
      </c>
      <c r="EF109" s="267" t="str">
        <f>IF('Report History'!QN9=0,"",IFERROR('Report History'!QN9,""))</f>
        <v>Std Vol on hand - Letters</v>
      </c>
      <c r="EG109" s="268" t="str">
        <f>IF('Report History'!QO9=0,"",IFERROR('Report History'!QO9,""))</f>
        <v/>
      </c>
      <c r="EH109" s="269" t="str">
        <f>IF('Report History'!QP9=0,"",IFERROR('Report History'!QP9,""))</f>
        <v/>
      </c>
      <c r="EI109" s="231">
        <f>IF('Report History'!QQ9=0,"",IFERROR('Report History'!QQ9,""))</f>
        <v>180780.5</v>
      </c>
      <c r="EJ109" s="232" t="str">
        <f>IF('Report History'!QR9=0,"",IFERROR('Report History'!QR9,""))</f>
        <v/>
      </c>
      <c r="EK109" s="267" t="str">
        <f>IF('Report History'!QS9=0,"",IFERROR('Report History'!QS9,""))</f>
        <v>Std Vol on hand - Letters</v>
      </c>
      <c r="EL109" s="268" t="str">
        <f>IF('Report History'!QT9=0,"",IFERROR('Report History'!QT9,""))</f>
        <v/>
      </c>
      <c r="EM109" s="269" t="str">
        <f>IF('Report History'!QU9=0,"",IFERROR('Report History'!QU9,""))</f>
        <v/>
      </c>
      <c r="EN109" s="231">
        <f>IF('Report History'!QV9=0,"",IFERROR('Report History'!QV9,""))</f>
        <v>193479.5</v>
      </c>
      <c r="EO109" s="232" t="str">
        <f>IF('Report History'!QW9=0,"",IFERROR('Report History'!QW9,""))</f>
        <v/>
      </c>
      <c r="EP109" s="267" t="str">
        <f>IF('Report History'!QX9=0,"",IFERROR('Report History'!QX9,""))</f>
        <v>Std Vol on hand - Letters</v>
      </c>
      <c r="EQ109" s="268" t="str">
        <f>IF('Report History'!QY9=0,"",IFERROR('Report History'!QY9,""))</f>
        <v/>
      </c>
      <c r="ER109" s="269" t="str">
        <f>IF('Report History'!QZ9=0,"",IFERROR('Report History'!QZ9,""))</f>
        <v/>
      </c>
      <c r="ES109" s="231">
        <f>IF('Report History'!RA9=0,"",IFERROR('Report History'!RA9,""))</f>
        <v>89090</v>
      </c>
      <c r="ET109" s="232" t="str">
        <f>IF('Report History'!RB9=0,"",IFERROR('Report History'!RB9,""))</f>
        <v/>
      </c>
      <c r="EU109" s="267" t="str">
        <f>IF('Report History'!RC9=0,"",IFERROR('Report History'!RC9,""))</f>
        <v>Std Vol on hand - Letters</v>
      </c>
      <c r="EV109" s="268" t="str">
        <f>IF('Report History'!RD9=0,"",IFERROR('Report History'!RD9,""))</f>
        <v/>
      </c>
      <c r="EW109" s="269" t="str">
        <f>IF('Report History'!RE9=0,"",IFERROR('Report History'!RE9,""))</f>
        <v/>
      </c>
      <c r="EX109" s="231">
        <f>IF('Report History'!RF9=0,"",IFERROR('Report History'!RF9,""))</f>
        <v>116707.9</v>
      </c>
      <c r="EY109" s="232" t="str">
        <f>IF('Report History'!RG9=0,"",IFERROR('Report History'!RG9,""))</f>
        <v/>
      </c>
      <c r="EZ109" s="267" t="str">
        <f>IF('Report History'!RH9=0,"",IFERROR('Report History'!RH9,""))</f>
        <v>Std Vol on hand - Letters</v>
      </c>
      <c r="FA109" s="268" t="str">
        <f>IF('Report History'!RI9=0,"",IFERROR('Report History'!RI9,""))</f>
        <v/>
      </c>
      <c r="FB109" s="269" t="str">
        <f>IF('Report History'!RJ9=0,"",IFERROR('Report History'!RJ9,""))</f>
        <v/>
      </c>
      <c r="FC109" s="231">
        <f>IF('Report History'!RK9=0,"",IFERROR('Report History'!RK9,""))</f>
        <v>93544.5</v>
      </c>
      <c r="FD109" s="232" t="str">
        <f>IF('Report History'!RL9=0,"",IFERROR('Report History'!RL9,""))</f>
        <v/>
      </c>
      <c r="FE109" s="267" t="str">
        <f>IF('Report History'!RM9=0,"",IFERROR('Report History'!RM9,""))</f>
        <v>Std Vol on hand - Letters</v>
      </c>
      <c r="FF109" s="268" t="str">
        <f>IF('Report History'!RN9=0,"",IFERROR('Report History'!RN9,""))</f>
        <v/>
      </c>
      <c r="FG109" s="269" t="str">
        <f>IF('Report History'!RO9=0,"",IFERROR('Report History'!RO9,""))</f>
        <v/>
      </c>
      <c r="FH109" s="231">
        <f>IF('Report History'!RP9=0,"",IFERROR('Report History'!RP9,""))</f>
        <v>142544</v>
      </c>
      <c r="FI109" s="232" t="str">
        <f>IF('Report History'!RQ9=0,"",IFERROR('Report History'!RQ9,""))</f>
        <v/>
      </c>
      <c r="FJ109" s="267" t="str">
        <f>IF('Report History'!RR9=0,"",IFERROR('Report History'!RR9,""))</f>
        <v>Std Vol on hand - Letters</v>
      </c>
      <c r="FK109" s="268" t="str">
        <f>IF('Report History'!RS9=0,"",IFERROR('Report History'!RS9,""))</f>
        <v/>
      </c>
      <c r="FL109" s="269" t="str">
        <f>IF('Report History'!RT9=0,"",IFERROR('Report History'!RT9,""))</f>
        <v/>
      </c>
      <c r="FM109" s="231">
        <f>IF('Report History'!RU9=0,"",IFERROR('Report History'!RU9,""))</f>
        <v>130612</v>
      </c>
      <c r="FN109" s="232" t="str">
        <f>IF('Report History'!RV9=0,"",IFERROR('Report History'!RV9,""))</f>
        <v/>
      </c>
      <c r="FO109" s="267" t="str">
        <f>IF('Report History'!RW9=0,"",IFERROR('Report History'!RW9,""))</f>
        <v>Std Vol on hand - Letters</v>
      </c>
      <c r="FP109" s="268" t="str">
        <f>IF('Report History'!RX9=0,"",IFERROR('Report History'!RX9,""))</f>
        <v/>
      </c>
      <c r="FQ109" s="269" t="str">
        <f>IF('Report History'!RY9=0,"",IFERROR('Report History'!RY9,""))</f>
        <v/>
      </c>
      <c r="FR109" s="231">
        <f>IF('Report History'!RZ9=0,"",IFERROR('Report History'!RZ9,""))</f>
        <v>130612</v>
      </c>
      <c r="FS109" s="232" t="str">
        <f>IF('Report History'!SA9=0,"",IFERROR('Report History'!SA9,""))</f>
        <v/>
      </c>
      <c r="FT109" s="267" t="str">
        <f>IF('Report History'!SB9=0,"",IFERROR('Report History'!SB9,""))</f>
        <v>Std Vol on hand - Letters</v>
      </c>
      <c r="FU109" s="268" t="str">
        <f>IF('Report History'!SC9=0,"",IFERROR('Report History'!SC9,""))</f>
        <v/>
      </c>
      <c r="FV109" s="269" t="str">
        <f>IF('Report History'!SD9=0,"",IFERROR('Report History'!SD9,""))</f>
        <v/>
      </c>
      <c r="FW109" s="231">
        <f>IF('Report History'!SE9=0,"",IFERROR('Report History'!SE9,""))</f>
        <v>57445</v>
      </c>
      <c r="FX109" s="232" t="str">
        <f>IF('Report History'!SF9=0,"",IFERROR('Report History'!SF9,""))</f>
        <v/>
      </c>
      <c r="FY109" s="267" t="str">
        <f>IF('Report History'!SG9=0,"",IFERROR('Report History'!SG9,""))</f>
        <v>Std Vol on hand - Letters</v>
      </c>
      <c r="FZ109" s="268" t="str">
        <f>IF('Report History'!SH9=0,"",IFERROR('Report History'!SH9,""))</f>
        <v/>
      </c>
      <c r="GA109" s="269" t="str">
        <f>IF('Report History'!SI9=0,"",IFERROR('Report History'!SI9,""))</f>
        <v/>
      </c>
      <c r="GB109" s="231">
        <f>IF('Report History'!SJ9=0,"",IFERROR('Report History'!SJ9,""))</f>
        <v>21103.5</v>
      </c>
      <c r="GC109" s="232" t="str">
        <f>IF('Report History'!SK9=0,"",IFERROR('Report History'!SK9,""))</f>
        <v/>
      </c>
      <c r="GD109" s="267" t="str">
        <f>IF('Report History'!SL9=0,"",IFERROR('Report History'!SL9,""))</f>
        <v>Std Vol on hand - Letters</v>
      </c>
      <c r="GE109" s="268" t="str">
        <f>IF('Report History'!SM9=0,"",IFERROR('Report History'!SM9,""))</f>
        <v/>
      </c>
      <c r="GF109" s="269" t="str">
        <f>IF('Report History'!SN9=0,"",IFERROR('Report History'!SN9,""))</f>
        <v/>
      </c>
      <c r="GG109" s="231">
        <f>IF('Report History'!SO9=0,"",IFERROR('Report History'!SO9,""))</f>
        <v>53454</v>
      </c>
      <c r="GH109" s="232" t="str">
        <f>IF('Report History'!SP9=0,"",IFERROR('Report History'!SP9,""))</f>
        <v/>
      </c>
      <c r="GI109" s="267" t="str">
        <f>IF('Report History'!SQ9=0,"",IFERROR('Report History'!SQ9,""))</f>
        <v>Std Vol on hand - Letters</v>
      </c>
      <c r="GJ109" s="268" t="str">
        <f>IF('Report History'!SR9=0,"",IFERROR('Report History'!SR9,""))</f>
        <v/>
      </c>
      <c r="GK109" s="269" t="str">
        <f>IF('Report History'!SS9=0,"",IFERROR('Report History'!SS9,""))</f>
        <v/>
      </c>
      <c r="GL109" s="231">
        <f>IF('Report History'!ST9=0,"",IFERROR('Report History'!ST9,""))</f>
        <v>62363</v>
      </c>
      <c r="GM109" s="232" t="str">
        <f>IF('Report History'!SU9=0,"",IFERROR('Report History'!SU9,""))</f>
        <v/>
      </c>
      <c r="GN109" s="267" t="str">
        <f>IF('Report History'!SV9=0,"",IFERROR('Report History'!SV9,""))</f>
        <v>Std Vol on hand - Letters</v>
      </c>
      <c r="GO109" s="268" t="str">
        <f>IF('Report History'!SW9=0,"",IFERROR('Report History'!SW9,""))</f>
        <v/>
      </c>
      <c r="GP109" s="269" t="str">
        <f>IF('Report History'!SX9=0,"",IFERROR('Report History'!SX9,""))</f>
        <v/>
      </c>
      <c r="GQ109" s="231">
        <f>IF('Report History'!SY9=0,"",IFERROR('Report History'!SY9,""))</f>
        <v>96145</v>
      </c>
      <c r="GR109" s="232" t="str">
        <f>IF('Report History'!SZ9=0,"",IFERROR('Report History'!SZ9,""))</f>
        <v/>
      </c>
      <c r="GS109" s="267" t="str">
        <f>IF('Report History'!TA9=0,"",IFERROR('Report History'!TA9,""))</f>
        <v>Std Vol on hand - Letters</v>
      </c>
      <c r="GT109" s="268" t="str">
        <f>IF('Report History'!TB9=0,"",IFERROR('Report History'!TB9,""))</f>
        <v/>
      </c>
      <c r="GU109" s="269" t="str">
        <f>IF('Report History'!TC9=0,"",IFERROR('Report History'!TC9,""))</f>
        <v/>
      </c>
      <c r="GV109" s="231">
        <f>IF('Report History'!TD9=0,"",IFERROR('Report History'!TD9,""))</f>
        <v>65185</v>
      </c>
      <c r="GW109" s="232" t="str">
        <f>IF('Report History'!TE9=0,"",IFERROR('Report History'!TE9,""))</f>
        <v/>
      </c>
      <c r="GX109" s="267" t="str">
        <f>IF('Report History'!TF9=0,"",IFERROR('Report History'!TF9,""))</f>
        <v>Std Vol on hand - Letters</v>
      </c>
      <c r="GY109" s="268" t="str">
        <f>IF('Report History'!TG9=0,"",IFERROR('Report History'!TG9,""))</f>
        <v/>
      </c>
      <c r="GZ109" s="269" t="str">
        <f>IF('Report History'!TH9=0,"",IFERROR('Report History'!TH9,""))</f>
        <v/>
      </c>
      <c r="HA109" s="231">
        <f>IF('Report History'!TI9=0,"",IFERROR('Report History'!TI9,""))</f>
        <v>45029</v>
      </c>
      <c r="HB109" s="232" t="str">
        <f>IF('Report History'!TJ9=0,"",IFERROR('Report History'!TJ9,""))</f>
        <v/>
      </c>
      <c r="HC109" s="267" t="str">
        <f>IF('Report History'!TK9=0,"",IFERROR('Report History'!TK9,""))</f>
        <v>Std Vol on hand - Letters</v>
      </c>
      <c r="HD109" s="268" t="str">
        <f>IF('Report History'!TL9=0,"",IFERROR('Report History'!TL9,""))</f>
        <v/>
      </c>
      <c r="HE109" s="269" t="str">
        <f>IF('Report History'!TM9=0,"",IFERROR('Report History'!TM9,""))</f>
        <v/>
      </c>
      <c r="HF109" s="231">
        <f>IF('Report History'!TN9=0,"",IFERROR('Report History'!TN9,""))</f>
        <v>127548</v>
      </c>
      <c r="HG109" s="232" t="str">
        <f>IF('Report History'!TO9=0,"",IFERROR('Report History'!TO9,""))</f>
        <v/>
      </c>
      <c r="HH109" s="267" t="str">
        <f>IF('Report History'!TP9=0,"",IFERROR('Report History'!TP9,""))</f>
        <v>Std Vol on hand - Letters</v>
      </c>
      <c r="HI109" s="268" t="str">
        <f>IF('Report History'!TQ9=0,"",IFERROR('Report History'!TQ9,""))</f>
        <v/>
      </c>
      <c r="HJ109" s="269" t="str">
        <f>IF('Report History'!TR9=0,"",IFERROR('Report History'!TR9,""))</f>
        <v/>
      </c>
      <c r="HK109" s="231">
        <f>IF('Report History'!TS9=0,"",IFERROR('Report History'!TS9,""))</f>
        <v>116059</v>
      </c>
      <c r="HL109" s="232" t="str">
        <f>IF('Report History'!TT9=0,"",IFERROR('Report History'!TT9,""))</f>
        <v/>
      </c>
      <c r="HM109" s="267" t="str">
        <f>IF('Report History'!TU9=0,"",IFERROR('Report History'!TU9,""))</f>
        <v>Std Vol on hand - Letters</v>
      </c>
      <c r="HN109" s="268" t="str">
        <f>IF('Report History'!TV9=0,"",IFERROR('Report History'!TV9,""))</f>
        <v/>
      </c>
      <c r="HO109" s="269" t="str">
        <f>IF('Report History'!TW9=0,"",IFERROR('Report History'!TW9,""))</f>
        <v/>
      </c>
      <c r="HP109" s="231">
        <f>IF('Report History'!TX9=0,"",IFERROR('Report History'!TX9,""))</f>
        <v>142544</v>
      </c>
      <c r="HQ109" s="232" t="str">
        <f>IF('Report History'!TY9=0,"",IFERROR('Report History'!TY9,""))</f>
        <v/>
      </c>
      <c r="HR109" s="267" t="str">
        <f>IF('Report History'!TZ9=0,"",IFERROR('Report History'!TZ9,""))</f>
        <v>Std Vol on hand - Letters</v>
      </c>
      <c r="HS109" s="268" t="str">
        <f>IF('Report History'!UA9=0,"",IFERROR('Report History'!UA9,""))</f>
        <v/>
      </c>
      <c r="HT109" s="269" t="str">
        <f>IF('Report History'!UB9=0,"",IFERROR('Report History'!UB9,""))</f>
        <v/>
      </c>
      <c r="HU109" s="231">
        <f>IF('Report History'!UC9=0,"",IFERROR('Report History'!UC9,""))</f>
        <v>115817</v>
      </c>
      <c r="HV109" s="232" t="str">
        <f>IF('Report History'!UD9=0,"",IFERROR('Report History'!UD9,""))</f>
        <v/>
      </c>
      <c r="HW109" s="267" t="str">
        <f>IF('Report History'!UE9=0,"",IFERROR('Report History'!UE9,""))</f>
        <v>Std Vol on hand - Letters</v>
      </c>
      <c r="HX109" s="268" t="str">
        <f>IF('Report History'!UF9=0,"",IFERROR('Report History'!UF9,""))</f>
        <v/>
      </c>
      <c r="HY109" s="269" t="str">
        <f>IF('Report History'!UG9=0,"",IFERROR('Report History'!UG9,""))</f>
        <v/>
      </c>
      <c r="HZ109" s="231" t="str">
        <f>IF('Report History'!UH9=0,"",IFERROR('Report History'!UH9,""))</f>
        <v/>
      </c>
      <c r="IA109" s="232" t="str">
        <f>IF('Report History'!UI9=0,"",IFERROR('Report History'!UI9,""))</f>
        <v/>
      </c>
      <c r="IB109" s="267" t="str">
        <f>IF('Report History'!UJ9=0,"",IFERROR('Report History'!UJ9,""))</f>
        <v>Std Vol on hand - Letters</v>
      </c>
      <c r="IC109" s="268" t="str">
        <f>IF('Report History'!UK9=0,"",IFERROR('Report History'!UK9,""))</f>
        <v/>
      </c>
      <c r="ID109" s="269" t="str">
        <f>IF('Report History'!UL9=0,"",IFERROR('Report History'!UL9,""))</f>
        <v/>
      </c>
      <c r="IE109" s="231">
        <f>IF('Report History'!UM9=0,"",IFERROR('Report History'!UM9,""))</f>
        <v>4454.5</v>
      </c>
      <c r="IF109" s="232" t="str">
        <f>IF('Report History'!UN9=0,"",IFERROR('Report History'!UN9,""))</f>
        <v/>
      </c>
      <c r="IG109" s="267" t="str">
        <f>IF('Report History'!UO9=0,"",IFERROR('Report History'!UO9,""))</f>
        <v>Std Vol on hand - Letters</v>
      </c>
      <c r="IH109" s="268" t="str">
        <f>IF('Report History'!UP9=0,"",IFERROR('Report History'!UP9,""))</f>
        <v/>
      </c>
      <c r="II109" s="269" t="str">
        <f>IF('Report History'!UQ9=0,"",IFERROR('Report History'!UQ9,""))</f>
        <v/>
      </c>
      <c r="IJ109" s="231">
        <f>IF('Report History'!UR9=0,"",IFERROR('Report History'!UR9,""))</f>
        <v>2227.25</v>
      </c>
      <c r="IK109" s="232" t="str">
        <f>IF('Report History'!US9=0,"",IFERROR('Report History'!US9,""))</f>
        <v/>
      </c>
      <c r="IL109" s="267" t="str">
        <f>IF('Report History'!UT9=0,"",IFERROR('Report History'!UT9,""))</f>
        <v>Std Vol on hand - Letters</v>
      </c>
      <c r="IM109" s="268" t="str">
        <f>IF('Report History'!UU9=0,"",IFERROR('Report History'!UU9,""))</f>
        <v/>
      </c>
      <c r="IN109" s="269" t="str">
        <f>IF('Report History'!UV9=0,"",IFERROR('Report History'!UV9,""))</f>
        <v/>
      </c>
      <c r="IO109" s="231">
        <f>IF('Report History'!UW9=0,"",IFERROR('Report History'!UW9,""))</f>
        <v>26727</v>
      </c>
      <c r="IP109" s="232" t="str">
        <f>IF('Report History'!UX9=0,"",IFERROR('Report History'!UX9,""))</f>
        <v/>
      </c>
    </row>
    <row r="110" spans="1:250" x14ac:dyDescent="0.25">
      <c r="A110" s="252" t="str">
        <f>IF('Report History'!LI10=0,"",IFERROR('Report History'!LI10,""))</f>
        <v>Color</v>
      </c>
      <c r="B110" s="253" t="str">
        <f>IF('Report History'!LJ10=0,"",IFERROR('Report History'!LJ10,""))</f>
        <v/>
      </c>
      <c r="C110" s="228" t="str">
        <f>IF('Report History'!LK10=0,"",IFERROR('Report History'!LK10,""))</f>
        <v/>
      </c>
      <c r="D110" s="229" t="str">
        <f>IF('Report History'!LL10=0,"",IFERROR('Report History'!LL10,""))</f>
        <v/>
      </c>
      <c r="E110" s="230" t="str">
        <f>IF('Report History'!LM10=0,"",IFERROR('Report History'!LM10,""))</f>
        <v/>
      </c>
      <c r="F110" s="252" t="str">
        <f>IF('Report History'!LN10=0,"",IFERROR('Report History'!LN10,""))</f>
        <v>Color</v>
      </c>
      <c r="G110" s="253" t="str">
        <f>IF('Report History'!LO10=0,"",IFERROR('Report History'!LO10,""))</f>
        <v/>
      </c>
      <c r="H110" s="228" t="str">
        <f>IF('Report History'!LP10=0,"",IFERROR('Report History'!LP10,""))</f>
        <v/>
      </c>
      <c r="I110" s="229" t="str">
        <f>IF('Report History'!LQ10=0,"",IFERROR('Report History'!LQ10,""))</f>
        <v/>
      </c>
      <c r="J110" s="230" t="str">
        <f>IF('Report History'!LR10=0,"",IFERROR('Report History'!LR10,""))</f>
        <v/>
      </c>
      <c r="K110" s="252" t="str">
        <f>IF('Report History'!LS10=0,"",IFERROR('Report History'!LS10,""))</f>
        <v>Color</v>
      </c>
      <c r="L110" s="253" t="str">
        <f>IF('Report History'!LT10=0,"",IFERROR('Report History'!LT10,""))</f>
        <v/>
      </c>
      <c r="M110" s="228" t="str">
        <f>IF('Report History'!LU10=0,"",IFERROR('Report History'!LU10,""))</f>
        <v/>
      </c>
      <c r="N110" s="229" t="str">
        <f>IF('Report History'!LV10=0,"",IFERROR('Report History'!LV10,""))</f>
        <v/>
      </c>
      <c r="O110" s="230" t="str">
        <f>IF('Report History'!LW10=0,"",IFERROR('Report History'!LW10,""))</f>
        <v/>
      </c>
      <c r="P110" s="252" t="str">
        <f>IF('Report History'!LX10=0,"",IFERROR('Report History'!LX10,""))</f>
        <v>Color</v>
      </c>
      <c r="Q110" s="253" t="str">
        <f>IF('Report History'!LY10=0,"",IFERROR('Report History'!LY10,""))</f>
        <v/>
      </c>
      <c r="R110" s="228" t="str">
        <f>IF('Report History'!LZ10=0,"",IFERROR('Report History'!LZ10,""))</f>
        <v/>
      </c>
      <c r="S110" s="229" t="str">
        <f>IF('Report History'!MA10=0,"",IFERROR('Report History'!MA10,""))</f>
        <v/>
      </c>
      <c r="T110" s="230" t="str">
        <f>IF('Report History'!MB10=0,"",IFERROR('Report History'!MB10,""))</f>
        <v/>
      </c>
      <c r="U110" s="252" t="str">
        <f>IF('Report History'!MC10=0,"",IFERROR('Report History'!MC10,""))</f>
        <v>Color</v>
      </c>
      <c r="V110" s="253" t="str">
        <f>IF('Report History'!MD10=0,"",IFERROR('Report History'!MD10,""))</f>
        <v/>
      </c>
      <c r="W110" s="228" t="str">
        <f>IF('Report History'!ME10=0,"",IFERROR('Report History'!ME10,""))</f>
        <v/>
      </c>
      <c r="X110" s="229" t="str">
        <f>IF('Report History'!MF10=0,"",IFERROR('Report History'!MF10,""))</f>
        <v/>
      </c>
      <c r="Y110" s="230" t="str">
        <f>IF('Report History'!MG10=0,"",IFERROR('Report History'!MG10,""))</f>
        <v/>
      </c>
      <c r="Z110" s="252" t="str">
        <f>IF('Report History'!MH10=0,"",IFERROR('Report History'!MH10,""))</f>
        <v>Color</v>
      </c>
      <c r="AA110" s="253" t="str">
        <f>IF('Report History'!MI10=0,"",IFERROR('Report History'!MI10,""))</f>
        <v/>
      </c>
      <c r="AB110" s="228" t="str">
        <f>IF('Report History'!MJ10=0,"",IFERROR('Report History'!MJ10,""))</f>
        <v/>
      </c>
      <c r="AC110" s="229" t="str">
        <f>IF('Report History'!MK10=0,"",IFERROR('Report History'!MK10,""))</f>
        <v/>
      </c>
      <c r="AD110" s="230" t="str">
        <f>IF('Report History'!ML10=0,"",IFERROR('Report History'!ML10,""))</f>
        <v/>
      </c>
      <c r="AE110" s="252" t="str">
        <f>IF('Report History'!MM10=0,"",IFERROR('Report History'!MM10,""))</f>
        <v>Color</v>
      </c>
      <c r="AF110" s="253" t="str">
        <f>IF('Report History'!MN10=0,"",IFERROR('Report History'!MN10,""))</f>
        <v/>
      </c>
      <c r="AG110" s="228" t="str">
        <f>IF('Report History'!MO10=0,"",IFERROR('Report History'!MO10,""))</f>
        <v/>
      </c>
      <c r="AH110" s="229" t="str">
        <f>IF('Report History'!MP10=0,"",IFERROR('Report History'!MP10,""))</f>
        <v/>
      </c>
      <c r="AI110" s="230" t="str">
        <f>IF('Report History'!MQ10=0,"",IFERROR('Report History'!MQ10,""))</f>
        <v/>
      </c>
      <c r="AJ110" s="252" t="str">
        <f>IF('Report History'!MR10=0,"",IFERROR('Report History'!MR10,""))</f>
        <v>Color</v>
      </c>
      <c r="AK110" s="253" t="str">
        <f>IF('Report History'!MS10=0,"",IFERROR('Report History'!MS10,""))</f>
        <v/>
      </c>
      <c r="AL110" s="228" t="str">
        <f>IF('Report History'!MT10=0,"",IFERROR('Report History'!MT10,""))</f>
        <v/>
      </c>
      <c r="AM110" s="229" t="str">
        <f>IF('Report History'!MU10=0,"",IFERROR('Report History'!MU10,""))</f>
        <v/>
      </c>
      <c r="AN110" s="230" t="str">
        <f>IF('Report History'!MV10=0,"",IFERROR('Report History'!MV10,""))</f>
        <v/>
      </c>
      <c r="AO110" s="252" t="str">
        <f>IF('Report History'!MW10=0,"",IFERROR('Report History'!MW10,""))</f>
        <v>Color</v>
      </c>
      <c r="AP110" s="253" t="str">
        <f>IF('Report History'!MX10=0,"",IFERROR('Report History'!MX10,""))</f>
        <v/>
      </c>
      <c r="AQ110" s="228" t="str">
        <f>IF('Report History'!MY10=0,"",IFERROR('Report History'!MY10,""))</f>
        <v/>
      </c>
      <c r="AR110" s="229" t="str">
        <f>IF('Report History'!MZ10=0,"",IFERROR('Report History'!MZ10,""))</f>
        <v/>
      </c>
      <c r="AS110" s="230" t="str">
        <f>IF('Report History'!NA10=0,"",IFERROR('Report History'!NA10,""))</f>
        <v/>
      </c>
      <c r="AT110" s="252" t="str">
        <f>IF('Report History'!NB10=0,"",IFERROR('Report History'!NB10,""))</f>
        <v>Color</v>
      </c>
      <c r="AU110" s="253" t="str">
        <f>IF('Report History'!NC10=0,"",IFERROR('Report History'!NC10,""))</f>
        <v/>
      </c>
      <c r="AV110" s="228" t="str">
        <f>IF('Report History'!ND10=0,"",IFERROR('Report History'!ND10,""))</f>
        <v/>
      </c>
      <c r="AW110" s="229" t="str">
        <f>IF('Report History'!NE10=0,"",IFERROR('Report History'!NE10,""))</f>
        <v/>
      </c>
      <c r="AX110" s="230" t="str">
        <f>IF('Report History'!NF10=0,"",IFERROR('Report History'!NF10,""))</f>
        <v/>
      </c>
      <c r="AY110" s="252" t="str">
        <f>IF('Report History'!NG10=0,"",IFERROR('Report History'!NG10,""))</f>
        <v>Color</v>
      </c>
      <c r="AZ110" s="253" t="str">
        <f>IF('Report History'!NH10=0,"",IFERROR('Report History'!NH10,""))</f>
        <v/>
      </c>
      <c r="BA110" s="228" t="str">
        <f>IF('Report History'!NI10=0,"",IFERROR('Report History'!NI10,""))</f>
        <v/>
      </c>
      <c r="BB110" s="229" t="str">
        <f>IF('Report History'!NJ10=0,"",IFERROR('Report History'!NJ10,""))</f>
        <v/>
      </c>
      <c r="BC110" s="230" t="str">
        <f>IF('Report History'!NK10=0,"",IFERROR('Report History'!NK10,""))</f>
        <v/>
      </c>
      <c r="BD110" s="252" t="str">
        <f>IF('Report History'!NL10=0,"",IFERROR('Report History'!NL10,""))</f>
        <v>Color</v>
      </c>
      <c r="BE110" s="253" t="str">
        <f>IF('Report History'!NM10=0,"",IFERROR('Report History'!NM10,""))</f>
        <v/>
      </c>
      <c r="BF110" s="228" t="str">
        <f>IF('Report History'!NN10=0,"",IFERROR('Report History'!NN10,""))</f>
        <v/>
      </c>
      <c r="BG110" s="229" t="str">
        <f>IF('Report History'!NO10=0,"",IFERROR('Report History'!NO10,""))</f>
        <v/>
      </c>
      <c r="BH110" s="230" t="str">
        <f>IF('Report History'!NP10=0,"",IFERROR('Report History'!NP10,""))</f>
        <v/>
      </c>
      <c r="BI110" s="252" t="str">
        <f>IF('Report History'!NQ10=0,"",IFERROR('Report History'!NQ10,""))</f>
        <v>Color</v>
      </c>
      <c r="BJ110" s="253" t="str">
        <f>IF('Report History'!NR10=0,"",IFERROR('Report History'!NR10,""))</f>
        <v/>
      </c>
      <c r="BK110" s="228" t="str">
        <f>IF('Report History'!NS10=0,"",IFERROR('Report History'!NS10,""))</f>
        <v/>
      </c>
      <c r="BL110" s="229" t="str">
        <f>IF('Report History'!NT10=0,"",IFERROR('Report History'!NT10,""))</f>
        <v/>
      </c>
      <c r="BM110" s="230" t="str">
        <f>IF('Report History'!NU10=0,"",IFERROR('Report History'!NU10,""))</f>
        <v/>
      </c>
      <c r="BN110" s="252" t="str">
        <f>IF('Report History'!NV10=0,"",IFERROR('Report History'!NV10,""))</f>
        <v>Color</v>
      </c>
      <c r="BO110" s="253" t="str">
        <f>IF('Report History'!NW10=0,"",IFERROR('Report History'!NW10,""))</f>
        <v/>
      </c>
      <c r="BP110" s="228" t="str">
        <f>IF('Report History'!NX10=0,"",IFERROR('Report History'!NX10,""))</f>
        <v/>
      </c>
      <c r="BQ110" s="229" t="str">
        <f>IF('Report History'!NY10=0,"",IFERROR('Report History'!NY10,""))</f>
        <v/>
      </c>
      <c r="BR110" s="230" t="str">
        <f>IF('Report History'!NZ10=0,"",IFERROR('Report History'!NZ10,""))</f>
        <v/>
      </c>
      <c r="BS110" s="252" t="str">
        <f>IF('Report History'!OA10=0,"",IFERROR('Report History'!OA10,""))</f>
        <v>Color</v>
      </c>
      <c r="BT110" s="253" t="str">
        <f>IF('Report History'!OB10=0,"",IFERROR('Report History'!OB10,""))</f>
        <v/>
      </c>
      <c r="BU110" s="228" t="str">
        <f>IF('Report History'!OC10=0,"",IFERROR('Report History'!OC10,""))</f>
        <v/>
      </c>
      <c r="BV110" s="229" t="str">
        <f>IF('Report History'!OD10=0,"",IFERROR('Report History'!OD10,""))</f>
        <v/>
      </c>
      <c r="BW110" s="230" t="str">
        <f>IF('Report History'!OE10=0,"",IFERROR('Report History'!OE10,""))</f>
        <v/>
      </c>
      <c r="BX110" s="252" t="str">
        <f>IF('Report History'!OF10=0,"",IFERROR('Report History'!OF10,""))</f>
        <v>Color</v>
      </c>
      <c r="BY110" s="253" t="str">
        <f>IF('Report History'!OG10=0,"",IFERROR('Report History'!OG10,""))</f>
        <v/>
      </c>
      <c r="BZ110" s="228" t="str">
        <f>IF('Report History'!OH10=0,"",IFERROR('Report History'!OH10,""))</f>
        <v/>
      </c>
      <c r="CA110" s="229" t="str">
        <f>IF('Report History'!OI10=0,"",IFERROR('Report History'!OI10,""))</f>
        <v/>
      </c>
      <c r="CB110" s="230" t="str">
        <f>IF('Report History'!OJ10=0,"",IFERROR('Report History'!OJ10,""))</f>
        <v/>
      </c>
      <c r="CC110" s="252" t="str">
        <f>IF('Report History'!OK10=0,"",IFERROR('Report History'!OK10,""))</f>
        <v>Color</v>
      </c>
      <c r="CD110" s="253" t="str">
        <f>IF('Report History'!OL10=0,"",IFERROR('Report History'!OL10,""))</f>
        <v/>
      </c>
      <c r="CE110" s="228" t="str">
        <f>IF('Report History'!OM10=0,"",IFERROR('Report History'!OM10,""))</f>
        <v/>
      </c>
      <c r="CF110" s="229" t="str">
        <f>IF('Report History'!ON10=0,"",IFERROR('Report History'!ON10,""))</f>
        <v/>
      </c>
      <c r="CG110" s="230" t="str">
        <f>IF('Report History'!OO10=0,"",IFERROR('Report History'!OO10,""))</f>
        <v/>
      </c>
      <c r="CH110" s="252" t="str">
        <f>IF('Report History'!OP10=0,"",IFERROR('Report History'!OP10,""))</f>
        <v>Color</v>
      </c>
      <c r="CI110" s="253" t="str">
        <f>IF('Report History'!OQ10=0,"",IFERROR('Report History'!OQ10,""))</f>
        <v/>
      </c>
      <c r="CJ110" s="228" t="str">
        <f>IF('Report History'!OR10=0,"",IFERROR('Report History'!OR10,""))</f>
        <v/>
      </c>
      <c r="CK110" s="229" t="str">
        <f>IF('Report History'!OS10=0,"",IFERROR('Report History'!OS10,""))</f>
        <v/>
      </c>
      <c r="CL110" s="230" t="str">
        <f>IF('Report History'!OT10=0,"",IFERROR('Report History'!OT10,""))</f>
        <v/>
      </c>
      <c r="CM110" s="252" t="str">
        <f>IF('Report History'!OU10=0,"",IFERROR('Report History'!OU10,""))</f>
        <v>Color</v>
      </c>
      <c r="CN110" s="253" t="str">
        <f>IF('Report History'!OV10=0,"",IFERROR('Report History'!OV10,""))</f>
        <v/>
      </c>
      <c r="CO110" s="228" t="str">
        <f>IF('Report History'!OW10=0,"",IFERROR('Report History'!OW10,""))</f>
        <v/>
      </c>
      <c r="CP110" s="229" t="str">
        <f>IF('Report History'!OX10=0,"",IFERROR('Report History'!OX10,""))</f>
        <v/>
      </c>
      <c r="CQ110" s="230" t="str">
        <f>IF('Report History'!OY10=0,"",IFERROR('Report History'!OY10,""))</f>
        <v/>
      </c>
      <c r="CR110" s="252" t="str">
        <f>IF('Report History'!OZ10=0,"",IFERROR('Report History'!OZ10,""))</f>
        <v>Color</v>
      </c>
      <c r="CS110" s="253" t="str">
        <f>IF('Report History'!PA10=0,"",IFERROR('Report History'!PA10,""))</f>
        <v/>
      </c>
      <c r="CT110" s="228" t="str">
        <f>IF('Report History'!PB10=0,"",IFERROR('Report History'!PB10,""))</f>
        <v/>
      </c>
      <c r="CU110" s="229" t="str">
        <f>IF('Report History'!PC10=0,"",IFERROR('Report History'!PC10,""))</f>
        <v/>
      </c>
      <c r="CV110" s="230" t="str">
        <f>IF('Report History'!PD10=0,"",IFERROR('Report History'!PD10,""))</f>
        <v/>
      </c>
      <c r="CW110" s="252" t="str">
        <f>IF('Report History'!PE10=0,"",IFERROR('Report History'!PE10,""))</f>
        <v>Color</v>
      </c>
      <c r="CX110" s="253" t="str">
        <f>IF('Report History'!PF10=0,"",IFERROR('Report History'!PF10,""))</f>
        <v/>
      </c>
      <c r="CY110" s="228" t="str">
        <f>IF('Report History'!PG10=0,"",IFERROR('Report History'!PG10,""))</f>
        <v/>
      </c>
      <c r="CZ110" s="229" t="str">
        <f>IF('Report History'!PH10=0,"",IFERROR('Report History'!PH10,""))</f>
        <v/>
      </c>
      <c r="DA110" s="230" t="str">
        <f>IF('Report History'!PI10=0,"",IFERROR('Report History'!PI10,""))</f>
        <v/>
      </c>
      <c r="DB110" s="252" t="str">
        <f>IF('Report History'!PJ10=0,"",IFERROR('Report History'!PJ10,""))</f>
        <v>Color</v>
      </c>
      <c r="DC110" s="253" t="str">
        <f>IF('Report History'!PK10=0,"",IFERROR('Report History'!PK10,""))</f>
        <v/>
      </c>
      <c r="DD110" s="228" t="str">
        <f>IF('Report History'!PL10=0,"",IFERROR('Report History'!PL10,""))</f>
        <v/>
      </c>
      <c r="DE110" s="229" t="str">
        <f>IF('Report History'!PM10=0,"",IFERROR('Report History'!PM10,""))</f>
        <v/>
      </c>
      <c r="DF110" s="230" t="str">
        <f>IF('Report History'!PN10=0,"",IFERROR('Report History'!PN10,""))</f>
        <v/>
      </c>
      <c r="DG110" s="252" t="str">
        <f>IF('Report History'!PO10=0,"",IFERROR('Report History'!PO10,""))</f>
        <v>Color</v>
      </c>
      <c r="DH110" s="253" t="str">
        <f>IF('Report History'!PP10=0,"",IFERROR('Report History'!PP10,""))</f>
        <v/>
      </c>
      <c r="DI110" s="228" t="str">
        <f>IF('Report History'!PQ10=0,"",IFERROR('Report History'!PQ10,""))</f>
        <v/>
      </c>
      <c r="DJ110" s="229" t="str">
        <f>IF('Report History'!PR10=0,"",IFERROR('Report History'!PR10,""))</f>
        <v/>
      </c>
      <c r="DK110" s="230" t="str">
        <f>IF('Report History'!PS10=0,"",IFERROR('Report History'!PS10,""))</f>
        <v/>
      </c>
      <c r="DL110" s="252" t="str">
        <f>IF('Report History'!PT10=0,"",IFERROR('Report History'!PT10,""))</f>
        <v>Color</v>
      </c>
      <c r="DM110" s="253" t="str">
        <f>IF('Report History'!PU10=0,"",IFERROR('Report History'!PU10,""))</f>
        <v/>
      </c>
      <c r="DN110" s="228" t="str">
        <f>IF('Report History'!PV10=0,"",IFERROR('Report History'!PV10,""))</f>
        <v/>
      </c>
      <c r="DO110" s="229" t="str">
        <f>IF('Report History'!PW10=0,"",IFERROR('Report History'!PW10,""))</f>
        <v/>
      </c>
      <c r="DP110" s="230" t="str">
        <f>IF('Report History'!PX10=0,"",IFERROR('Report History'!PX10,""))</f>
        <v/>
      </c>
      <c r="DQ110" s="252" t="str">
        <f>IF('Report History'!PY10=0,"",IFERROR('Report History'!PY10,""))</f>
        <v>Color</v>
      </c>
      <c r="DR110" s="253" t="str">
        <f>IF('Report History'!PZ10=0,"",IFERROR('Report History'!PZ10,""))</f>
        <v/>
      </c>
      <c r="DS110" s="228" t="str">
        <f>IF('Report History'!QA10=0,"",IFERROR('Report History'!QA10,""))</f>
        <v/>
      </c>
      <c r="DT110" s="229" t="str">
        <f>IF('Report History'!QB10=0,"",IFERROR('Report History'!QB10,""))</f>
        <v/>
      </c>
      <c r="DU110" s="230" t="str">
        <f>IF('Report History'!QC10=0,"",IFERROR('Report History'!QC10,""))</f>
        <v/>
      </c>
      <c r="DV110" s="252" t="str">
        <f>IF('Report History'!QD10=0,"",IFERROR('Report History'!QD10,""))</f>
        <v>Color</v>
      </c>
      <c r="DW110" s="253" t="str">
        <f>IF('Report History'!QE10=0,"",IFERROR('Report History'!QE10,""))</f>
        <v/>
      </c>
      <c r="DX110" s="228" t="str">
        <f>IF('Report History'!QF10=0,"",IFERROR('Report History'!QF10,""))</f>
        <v/>
      </c>
      <c r="DY110" s="229" t="str">
        <f>IF('Report History'!QG10=0,"",IFERROR('Report History'!QG10,""))</f>
        <v/>
      </c>
      <c r="DZ110" s="230" t="str">
        <f>IF('Report History'!QH10=0,"",IFERROR('Report History'!QH10,""))</f>
        <v/>
      </c>
      <c r="EA110" s="252" t="str">
        <f>IF('Report History'!QI10=0,"",IFERROR('Report History'!QI10,""))</f>
        <v>Color</v>
      </c>
      <c r="EB110" s="253" t="str">
        <f>IF('Report History'!QJ10=0,"",IFERROR('Report History'!QJ10,""))</f>
        <v/>
      </c>
      <c r="EC110" s="228" t="str">
        <f>IF('Report History'!QK10=0,"",IFERROR('Report History'!QK10,""))</f>
        <v/>
      </c>
      <c r="ED110" s="229" t="str">
        <f>IF('Report History'!QL10=0,"",IFERROR('Report History'!QL10,""))</f>
        <v/>
      </c>
      <c r="EE110" s="230" t="str">
        <f>IF('Report History'!QM10=0,"",IFERROR('Report History'!QM10,""))</f>
        <v/>
      </c>
      <c r="EF110" s="252" t="str">
        <f>IF('Report History'!QN10=0,"",IFERROR('Report History'!QN10,""))</f>
        <v>Color</v>
      </c>
      <c r="EG110" s="253" t="str">
        <f>IF('Report History'!QO10=0,"",IFERROR('Report History'!QO10,""))</f>
        <v/>
      </c>
      <c r="EH110" s="228" t="str">
        <f>IF('Report History'!QP10=0,"",IFERROR('Report History'!QP10,""))</f>
        <v/>
      </c>
      <c r="EI110" s="229" t="str">
        <f>IF('Report History'!QQ10=0,"",IFERROR('Report History'!QQ10,""))</f>
        <v/>
      </c>
      <c r="EJ110" s="230" t="str">
        <f>IF('Report History'!QR10=0,"",IFERROR('Report History'!QR10,""))</f>
        <v/>
      </c>
      <c r="EK110" s="252" t="str">
        <f>IF('Report History'!QS10=0,"",IFERROR('Report History'!QS10,""))</f>
        <v>Color</v>
      </c>
      <c r="EL110" s="253" t="str">
        <f>IF('Report History'!QT10=0,"",IFERROR('Report History'!QT10,""))</f>
        <v/>
      </c>
      <c r="EM110" s="228" t="str">
        <f>IF('Report History'!QU10=0,"",IFERROR('Report History'!QU10,""))</f>
        <v/>
      </c>
      <c r="EN110" s="229" t="str">
        <f>IF('Report History'!QV10=0,"",IFERROR('Report History'!QV10,""))</f>
        <v/>
      </c>
      <c r="EO110" s="230" t="str">
        <f>IF('Report History'!QW10=0,"",IFERROR('Report History'!QW10,""))</f>
        <v/>
      </c>
      <c r="EP110" s="252" t="str">
        <f>IF('Report History'!QX10=0,"",IFERROR('Report History'!QX10,""))</f>
        <v>Color</v>
      </c>
      <c r="EQ110" s="253" t="str">
        <f>IF('Report History'!QY10=0,"",IFERROR('Report History'!QY10,""))</f>
        <v/>
      </c>
      <c r="ER110" s="228" t="str">
        <f>IF('Report History'!QZ10=0,"",IFERROR('Report History'!QZ10,""))</f>
        <v/>
      </c>
      <c r="ES110" s="229" t="str">
        <f>IF('Report History'!RA10=0,"",IFERROR('Report History'!RA10,""))</f>
        <v/>
      </c>
      <c r="ET110" s="230" t="str">
        <f>IF('Report History'!RB10=0,"",IFERROR('Report History'!RB10,""))</f>
        <v/>
      </c>
      <c r="EU110" s="252" t="str">
        <f>IF('Report History'!RC10=0,"",IFERROR('Report History'!RC10,""))</f>
        <v>Color</v>
      </c>
      <c r="EV110" s="253" t="str">
        <f>IF('Report History'!RD10=0,"",IFERROR('Report History'!RD10,""))</f>
        <v/>
      </c>
      <c r="EW110" s="228" t="str">
        <f>IF('Report History'!RE10=0,"",IFERROR('Report History'!RE10,""))</f>
        <v/>
      </c>
      <c r="EX110" s="229" t="str">
        <f>IF('Report History'!RF10=0,"",IFERROR('Report History'!RF10,""))</f>
        <v/>
      </c>
      <c r="EY110" s="230" t="str">
        <f>IF('Report History'!RG10=0,"",IFERROR('Report History'!RG10,""))</f>
        <v/>
      </c>
      <c r="EZ110" s="252" t="str">
        <f>IF('Report History'!RH10=0,"",IFERROR('Report History'!RH10,""))</f>
        <v>Color</v>
      </c>
      <c r="FA110" s="253" t="str">
        <f>IF('Report History'!RI10=0,"",IFERROR('Report History'!RI10,""))</f>
        <v/>
      </c>
      <c r="FB110" s="228" t="str">
        <f>IF('Report History'!RJ10=0,"",IFERROR('Report History'!RJ10,""))</f>
        <v/>
      </c>
      <c r="FC110" s="229" t="str">
        <f>IF('Report History'!RK10=0,"",IFERROR('Report History'!RK10,""))</f>
        <v/>
      </c>
      <c r="FD110" s="230" t="str">
        <f>IF('Report History'!RL10=0,"",IFERROR('Report History'!RL10,""))</f>
        <v/>
      </c>
      <c r="FE110" s="252" t="str">
        <f>IF('Report History'!RM10=0,"",IFERROR('Report History'!RM10,""))</f>
        <v>Color</v>
      </c>
      <c r="FF110" s="253" t="str">
        <f>IF('Report History'!RN10=0,"",IFERROR('Report History'!RN10,""))</f>
        <v/>
      </c>
      <c r="FG110" s="228" t="str">
        <f>IF('Report History'!RO10=0,"",IFERROR('Report History'!RO10,""))</f>
        <v/>
      </c>
      <c r="FH110" s="229" t="str">
        <f>IF('Report History'!RP10=0,"",IFERROR('Report History'!RP10,""))</f>
        <v/>
      </c>
      <c r="FI110" s="230" t="str">
        <f>IF('Report History'!RQ10=0,"",IFERROR('Report History'!RQ10,""))</f>
        <v/>
      </c>
      <c r="FJ110" s="252" t="str">
        <f>IF('Report History'!RR10=0,"",IFERROR('Report History'!RR10,""))</f>
        <v>Color</v>
      </c>
      <c r="FK110" s="253" t="str">
        <f>IF('Report History'!RS10=0,"",IFERROR('Report History'!RS10,""))</f>
        <v/>
      </c>
      <c r="FL110" s="228" t="str">
        <f>IF('Report History'!RT10=0,"",IFERROR('Report History'!RT10,""))</f>
        <v/>
      </c>
      <c r="FM110" s="229" t="str">
        <f>IF('Report History'!RU10=0,"",IFERROR('Report History'!RU10,""))</f>
        <v/>
      </c>
      <c r="FN110" s="230" t="str">
        <f>IF('Report History'!RV10=0,"",IFERROR('Report History'!RV10,""))</f>
        <v/>
      </c>
      <c r="FO110" s="252" t="str">
        <f>IF('Report History'!RW10=0,"",IFERROR('Report History'!RW10,""))</f>
        <v>Color</v>
      </c>
      <c r="FP110" s="253" t="str">
        <f>IF('Report History'!RX10=0,"",IFERROR('Report History'!RX10,""))</f>
        <v/>
      </c>
      <c r="FQ110" s="228" t="str">
        <f>IF('Report History'!RY10=0,"",IFERROR('Report History'!RY10,""))</f>
        <v/>
      </c>
      <c r="FR110" s="229" t="str">
        <f>IF('Report History'!RZ10=0,"",IFERROR('Report History'!RZ10,""))</f>
        <v/>
      </c>
      <c r="FS110" s="230" t="str">
        <f>IF('Report History'!SA10=0,"",IFERROR('Report History'!SA10,""))</f>
        <v/>
      </c>
      <c r="FT110" s="252" t="str">
        <f>IF('Report History'!SB10=0,"",IFERROR('Report History'!SB10,""))</f>
        <v>Color</v>
      </c>
      <c r="FU110" s="253" t="str">
        <f>IF('Report History'!SC10=0,"",IFERROR('Report History'!SC10,""))</f>
        <v/>
      </c>
      <c r="FV110" s="228" t="str">
        <f>IF('Report History'!SD10=0,"",IFERROR('Report History'!SD10,""))</f>
        <v/>
      </c>
      <c r="FW110" s="229" t="str">
        <f>IF('Report History'!SE10=0,"",IFERROR('Report History'!SE10,""))</f>
        <v/>
      </c>
      <c r="FX110" s="230" t="str">
        <f>IF('Report History'!SF10=0,"",IFERROR('Report History'!SF10,""))</f>
        <v/>
      </c>
      <c r="FY110" s="252" t="str">
        <f>IF('Report History'!SG10=0,"",IFERROR('Report History'!SG10,""))</f>
        <v>Color</v>
      </c>
      <c r="FZ110" s="253" t="str">
        <f>IF('Report History'!SH10=0,"",IFERROR('Report History'!SH10,""))</f>
        <v/>
      </c>
      <c r="GA110" s="228" t="str">
        <f>IF('Report History'!SI10=0,"",IFERROR('Report History'!SI10,""))</f>
        <v/>
      </c>
      <c r="GB110" s="229" t="str">
        <f>IF('Report History'!SJ10=0,"",IFERROR('Report History'!SJ10,""))</f>
        <v/>
      </c>
      <c r="GC110" s="230" t="str">
        <f>IF('Report History'!SK10=0,"",IFERROR('Report History'!SK10,""))</f>
        <v/>
      </c>
      <c r="GD110" s="252" t="str">
        <f>IF('Report History'!SL10=0,"",IFERROR('Report History'!SL10,""))</f>
        <v>Color</v>
      </c>
      <c r="GE110" s="253" t="str">
        <f>IF('Report History'!SM10=0,"",IFERROR('Report History'!SM10,""))</f>
        <v/>
      </c>
      <c r="GF110" s="228" t="str">
        <f>IF('Report History'!SN10=0,"",IFERROR('Report History'!SN10,""))</f>
        <v/>
      </c>
      <c r="GG110" s="229" t="str">
        <f>IF('Report History'!SO10=0,"",IFERROR('Report History'!SO10,""))</f>
        <v/>
      </c>
      <c r="GH110" s="230" t="str">
        <f>IF('Report History'!SP10=0,"",IFERROR('Report History'!SP10,""))</f>
        <v/>
      </c>
      <c r="GI110" s="252" t="str">
        <f>IF('Report History'!SQ10=0,"",IFERROR('Report History'!SQ10,""))</f>
        <v>Color</v>
      </c>
      <c r="GJ110" s="253" t="str">
        <f>IF('Report History'!SR10=0,"",IFERROR('Report History'!SR10,""))</f>
        <v/>
      </c>
      <c r="GK110" s="228" t="str">
        <f>IF('Report History'!SS10=0,"",IFERROR('Report History'!SS10,""))</f>
        <v/>
      </c>
      <c r="GL110" s="229" t="str">
        <f>IF('Report History'!ST10=0,"",IFERROR('Report History'!ST10,""))</f>
        <v/>
      </c>
      <c r="GM110" s="230" t="str">
        <f>IF('Report History'!SU10=0,"",IFERROR('Report History'!SU10,""))</f>
        <v/>
      </c>
      <c r="GN110" s="252" t="str">
        <f>IF('Report History'!SV10=0,"",IFERROR('Report History'!SV10,""))</f>
        <v>Color</v>
      </c>
      <c r="GO110" s="253" t="str">
        <f>IF('Report History'!SW10=0,"",IFERROR('Report History'!SW10,""))</f>
        <v/>
      </c>
      <c r="GP110" s="228" t="str">
        <f>IF('Report History'!SX10=0,"",IFERROR('Report History'!SX10,""))</f>
        <v/>
      </c>
      <c r="GQ110" s="229" t="str">
        <f>IF('Report History'!SY10=0,"",IFERROR('Report History'!SY10,""))</f>
        <v/>
      </c>
      <c r="GR110" s="230" t="str">
        <f>IF('Report History'!SZ10=0,"",IFERROR('Report History'!SZ10,""))</f>
        <v/>
      </c>
      <c r="GS110" s="252" t="str">
        <f>IF('Report History'!TA10=0,"",IFERROR('Report History'!TA10,""))</f>
        <v>Color</v>
      </c>
      <c r="GT110" s="253" t="str">
        <f>IF('Report History'!TB10=0,"",IFERROR('Report History'!TB10,""))</f>
        <v/>
      </c>
      <c r="GU110" s="228" t="str">
        <f>IF('Report History'!TC10=0,"",IFERROR('Report History'!TC10,""))</f>
        <v/>
      </c>
      <c r="GV110" s="229" t="str">
        <f>IF('Report History'!TD10=0,"",IFERROR('Report History'!TD10,""))</f>
        <v/>
      </c>
      <c r="GW110" s="230" t="str">
        <f>IF('Report History'!TE10=0,"",IFERROR('Report History'!TE10,""))</f>
        <v/>
      </c>
      <c r="GX110" s="252" t="str">
        <f>IF('Report History'!TF10=0,"",IFERROR('Report History'!TF10,""))</f>
        <v>Color</v>
      </c>
      <c r="GY110" s="253" t="str">
        <f>IF('Report History'!TG10=0,"",IFERROR('Report History'!TG10,""))</f>
        <v/>
      </c>
      <c r="GZ110" s="228" t="str">
        <f>IF('Report History'!TH10=0,"",IFERROR('Report History'!TH10,""))</f>
        <v/>
      </c>
      <c r="HA110" s="229" t="str">
        <f>IF('Report History'!TI10=0,"",IFERROR('Report History'!TI10,""))</f>
        <v/>
      </c>
      <c r="HB110" s="230" t="str">
        <f>IF('Report History'!TJ10=0,"",IFERROR('Report History'!TJ10,""))</f>
        <v/>
      </c>
      <c r="HC110" s="252" t="str">
        <f>IF('Report History'!TK10=0,"",IFERROR('Report History'!TK10,""))</f>
        <v>Color</v>
      </c>
      <c r="HD110" s="253" t="str">
        <f>IF('Report History'!TL10=0,"",IFERROR('Report History'!TL10,""))</f>
        <v/>
      </c>
      <c r="HE110" s="228" t="str">
        <f>IF('Report History'!TM10=0,"",IFERROR('Report History'!TM10,""))</f>
        <v/>
      </c>
      <c r="HF110" s="229" t="str">
        <f>IF('Report History'!TN10=0,"",IFERROR('Report History'!TN10,""))</f>
        <v/>
      </c>
      <c r="HG110" s="230" t="str">
        <f>IF('Report History'!TO10=0,"",IFERROR('Report History'!TO10,""))</f>
        <v/>
      </c>
      <c r="HH110" s="252" t="str">
        <f>IF('Report History'!TP10=0,"",IFERROR('Report History'!TP10,""))</f>
        <v>Color</v>
      </c>
      <c r="HI110" s="253" t="str">
        <f>IF('Report History'!TQ10=0,"",IFERROR('Report History'!TQ10,""))</f>
        <v/>
      </c>
      <c r="HJ110" s="228" t="str">
        <f>IF('Report History'!TR10=0,"",IFERROR('Report History'!TR10,""))</f>
        <v/>
      </c>
      <c r="HK110" s="229" t="str">
        <f>IF('Report History'!TS10=0,"",IFERROR('Report History'!TS10,""))</f>
        <v/>
      </c>
      <c r="HL110" s="230" t="str">
        <f>IF('Report History'!TT10=0,"",IFERROR('Report History'!TT10,""))</f>
        <v/>
      </c>
      <c r="HM110" s="252" t="str">
        <f>IF('Report History'!TU10=0,"",IFERROR('Report History'!TU10,""))</f>
        <v>Color</v>
      </c>
      <c r="HN110" s="253" t="str">
        <f>IF('Report History'!TV10=0,"",IFERROR('Report History'!TV10,""))</f>
        <v/>
      </c>
      <c r="HO110" s="228" t="str">
        <f>IF('Report History'!TW10=0,"",IFERROR('Report History'!TW10,""))</f>
        <v/>
      </c>
      <c r="HP110" s="229" t="str">
        <f>IF('Report History'!TX10=0,"",IFERROR('Report History'!TX10,""))</f>
        <v/>
      </c>
      <c r="HQ110" s="230" t="str">
        <f>IF('Report History'!TY10=0,"",IFERROR('Report History'!TY10,""))</f>
        <v/>
      </c>
      <c r="HR110" s="252" t="str">
        <f>IF('Report History'!TZ10=0,"",IFERROR('Report History'!TZ10,""))</f>
        <v>Color</v>
      </c>
      <c r="HS110" s="253" t="str">
        <f>IF('Report History'!UA10=0,"",IFERROR('Report History'!UA10,""))</f>
        <v/>
      </c>
      <c r="HT110" s="228" t="str">
        <f>IF('Report History'!UB10=0,"",IFERROR('Report History'!UB10,""))</f>
        <v/>
      </c>
      <c r="HU110" s="229" t="str">
        <f>IF('Report History'!UC10=0,"",IFERROR('Report History'!UC10,""))</f>
        <v/>
      </c>
      <c r="HV110" s="230" t="str">
        <f>IF('Report History'!UD10=0,"",IFERROR('Report History'!UD10,""))</f>
        <v/>
      </c>
      <c r="HW110" s="252" t="str">
        <f>IF('Report History'!UE10=0,"",IFERROR('Report History'!UE10,""))</f>
        <v>Color</v>
      </c>
      <c r="HX110" s="253" t="str">
        <f>IF('Report History'!UF10=0,"",IFERROR('Report History'!UF10,""))</f>
        <v/>
      </c>
      <c r="HY110" s="228" t="str">
        <f>IF('Report History'!UG10=0,"",IFERROR('Report History'!UG10,""))</f>
        <v/>
      </c>
      <c r="HZ110" s="229" t="str">
        <f>IF('Report History'!UH10=0,"",IFERROR('Report History'!UH10,""))</f>
        <v/>
      </c>
      <c r="IA110" s="230" t="str">
        <f>IF('Report History'!UI10=0,"",IFERROR('Report History'!UI10,""))</f>
        <v/>
      </c>
      <c r="IB110" s="252" t="str">
        <f>IF('Report History'!UJ10=0,"",IFERROR('Report History'!UJ10,""))</f>
        <v>Color</v>
      </c>
      <c r="IC110" s="253" t="str">
        <f>IF('Report History'!UK10=0,"",IFERROR('Report History'!UK10,""))</f>
        <v/>
      </c>
      <c r="ID110" s="228" t="str">
        <f>IF('Report History'!UL10=0,"",IFERROR('Report History'!UL10,""))</f>
        <v/>
      </c>
      <c r="IE110" s="229" t="str">
        <f>IF('Report History'!UM10=0,"",IFERROR('Report History'!UM10,""))</f>
        <v/>
      </c>
      <c r="IF110" s="230" t="str">
        <f>IF('Report History'!UN10=0,"",IFERROR('Report History'!UN10,""))</f>
        <v/>
      </c>
      <c r="IG110" s="252" t="str">
        <f>IF('Report History'!UO10=0,"",IFERROR('Report History'!UO10,""))</f>
        <v>Color</v>
      </c>
      <c r="IH110" s="253" t="str">
        <f>IF('Report History'!UP10=0,"",IFERROR('Report History'!UP10,""))</f>
        <v/>
      </c>
      <c r="II110" s="228" t="str">
        <f>IF('Report History'!UQ10=0,"",IFERROR('Report History'!UQ10,""))</f>
        <v/>
      </c>
      <c r="IJ110" s="229" t="str">
        <f>IF('Report History'!UR10=0,"",IFERROR('Report History'!UR10,""))</f>
        <v/>
      </c>
      <c r="IK110" s="230" t="str">
        <f>IF('Report History'!US10=0,"",IFERROR('Report History'!US10,""))</f>
        <v/>
      </c>
      <c r="IL110" s="252" t="str">
        <f>IF('Report History'!UT10=0,"",IFERROR('Report History'!UT10,""))</f>
        <v>Color</v>
      </c>
      <c r="IM110" s="253" t="str">
        <f>IF('Report History'!UU10=0,"",IFERROR('Report History'!UU10,""))</f>
        <v/>
      </c>
      <c r="IN110" s="228" t="str">
        <f>IF('Report History'!UV10=0,"",IFERROR('Report History'!UV10,""))</f>
        <v/>
      </c>
      <c r="IO110" s="229" t="str">
        <f>IF('Report History'!UW10=0,"",IFERROR('Report History'!UW10,""))</f>
        <v/>
      </c>
      <c r="IP110" s="230" t="str">
        <f>IF('Report History'!UX10=0,"",IFERROR('Report History'!UX10,""))</f>
        <v/>
      </c>
    </row>
    <row r="111" spans="1:250" x14ac:dyDescent="0.25">
      <c r="A111" s="217" t="str">
        <f>IF('Report History'!LI11=0,"",IFERROR('Report History'!LI11,""))</f>
        <v>YELLOW</v>
      </c>
      <c r="B111" s="218" t="str">
        <f>IF('Report History'!LJ11=0,"",IFERROR('Report History'!LJ11,""))</f>
        <v/>
      </c>
      <c r="C111" s="222">
        <f>IF('Report History'!LK11=0,"",IFERROR('Report History'!LK11,""))</f>
        <v>8909</v>
      </c>
      <c r="D111" s="223" t="str">
        <f>IF('Report History'!LL11=0,"",IFERROR('Report History'!LL11,""))</f>
        <v/>
      </c>
      <c r="E111" s="224" t="str">
        <f>IF('Report History'!LM11=0,"",IFERROR('Report History'!LM11,""))</f>
        <v/>
      </c>
      <c r="F111" s="217" t="str">
        <f>IF('Report History'!LN11=0,"",IFERROR('Report History'!LN11,""))</f>
        <v>VIOLET</v>
      </c>
      <c r="G111" s="218" t="str">
        <f>IF('Report History'!LO11=0,"",IFERROR('Report History'!LO11,""))</f>
        <v/>
      </c>
      <c r="H111" s="222" t="str">
        <f>IF('Report History'!LP11=0,"",IFERROR('Report History'!LP11,""))</f>
        <v/>
      </c>
      <c r="I111" s="223" t="str">
        <f>IF('Report History'!LQ11=0,"",IFERROR('Report History'!LQ11,""))</f>
        <v/>
      </c>
      <c r="J111" s="224" t="str">
        <f>IF('Report History'!LR11=0,"",IFERROR('Report History'!LR11,""))</f>
        <v/>
      </c>
      <c r="K111" s="217" t="str">
        <f>IF('Report History'!LS11=0,"",IFERROR('Report History'!LS11,""))</f>
        <v>GREEN</v>
      </c>
      <c r="L111" s="218" t="str">
        <f>IF('Report History'!LT11=0,"",IFERROR('Report History'!LT11,""))</f>
        <v/>
      </c>
      <c r="M111" s="222">
        <f>IF('Report History'!LU11=0,"",IFERROR('Report History'!LU11,""))</f>
        <v>47830.5</v>
      </c>
      <c r="N111" s="223" t="str">
        <f>IF('Report History'!LV11=0,"",IFERROR('Report History'!LV11,""))</f>
        <v/>
      </c>
      <c r="O111" s="224" t="str">
        <f>IF('Report History'!LW11=0,"",IFERROR('Report History'!LW11,""))</f>
        <v/>
      </c>
      <c r="P111" s="217" t="str">
        <f>IF('Report History'!LX11=0,"",IFERROR('Report History'!LX11,""))</f>
        <v>ORANGE</v>
      </c>
      <c r="Q111" s="218" t="str">
        <f>IF('Report History'!LY11=0,"",IFERROR('Report History'!LY11,""))</f>
        <v/>
      </c>
      <c r="R111" s="222" t="str">
        <f>IF('Report History'!LZ11=0,"",IFERROR('Report History'!LZ11,""))</f>
        <v/>
      </c>
      <c r="S111" s="223" t="str">
        <f>IF('Report History'!MA11=0,"",IFERROR('Report History'!MA11,""))</f>
        <v/>
      </c>
      <c r="T111" s="224" t="str">
        <f>IF('Report History'!MB11=0,"",IFERROR('Report History'!MB11,""))</f>
        <v/>
      </c>
      <c r="U111" s="217" t="str">
        <f>IF('Report History'!MC11=0,"",IFERROR('Report History'!MC11,""))</f>
        <v>BLUE</v>
      </c>
      <c r="V111" s="218" t="str">
        <f>IF('Report History'!MD11=0,"",IFERROR('Report History'!MD11,""))</f>
        <v/>
      </c>
      <c r="W111" s="222" t="str">
        <f>IF('Report History'!ME11=0,"",IFERROR('Report History'!ME11,""))</f>
        <v/>
      </c>
      <c r="X111" s="223" t="str">
        <f>IF('Report History'!MF11=0,"",IFERROR('Report History'!MF11,""))</f>
        <v/>
      </c>
      <c r="Y111" s="224" t="str">
        <f>IF('Report History'!MG11=0,"",IFERROR('Report History'!MG11,""))</f>
        <v/>
      </c>
      <c r="Z111" s="217" t="str">
        <f>IF('Report History'!MH11=0,"",IFERROR('Report History'!MH11,""))</f>
        <v/>
      </c>
      <c r="AA111" s="218" t="str">
        <f>IF('Report History'!MI11=0,"",IFERROR('Report History'!MI11,""))</f>
        <v/>
      </c>
      <c r="AB111" s="222" t="str">
        <f>IF('Report History'!MJ11=0,"",IFERROR('Report History'!MJ11,""))</f>
        <v/>
      </c>
      <c r="AC111" s="223" t="str">
        <f>IF('Report History'!MK11=0,"",IFERROR('Report History'!MK11,""))</f>
        <v/>
      </c>
      <c r="AD111" s="224" t="str">
        <f>IF('Report History'!ML11=0,"",IFERROR('Report History'!ML11,""))</f>
        <v/>
      </c>
      <c r="AE111" s="217" t="str">
        <f>IF('Report History'!MM11=0,"",IFERROR('Report History'!MM11,""))</f>
        <v>PINK</v>
      </c>
      <c r="AF111" s="218" t="str">
        <f>IF('Report History'!MN11=0,"",IFERROR('Report History'!MN11,""))</f>
        <v/>
      </c>
      <c r="AG111" s="222" t="str">
        <f>IF('Report History'!MO11=0,"",IFERROR('Report History'!MO11,""))</f>
        <v/>
      </c>
      <c r="AH111" s="223" t="str">
        <f>IF('Report History'!MP11=0,"",IFERROR('Report History'!MP11,""))</f>
        <v/>
      </c>
      <c r="AI111" s="224" t="str">
        <f>IF('Report History'!MQ11=0,"",IFERROR('Report History'!MQ11,""))</f>
        <v/>
      </c>
      <c r="AJ111" s="217" t="str">
        <f>IF('Report History'!MR11=0,"",IFERROR('Report History'!MR11,""))</f>
        <v>YELLOW</v>
      </c>
      <c r="AK111" s="218" t="str">
        <f>IF('Report History'!MS11=0,"",IFERROR('Report History'!MS11,""))</f>
        <v/>
      </c>
      <c r="AL111" s="222" t="str">
        <f>IF('Report History'!MT11=0,"",IFERROR('Report History'!MT11,""))</f>
        <v/>
      </c>
      <c r="AM111" s="223" t="str">
        <f>IF('Report History'!MU11=0,"",IFERROR('Report History'!MU11,""))</f>
        <v/>
      </c>
      <c r="AN111" s="224" t="str">
        <f>IF('Report History'!MV11=0,"",IFERROR('Report History'!MV11,""))</f>
        <v/>
      </c>
      <c r="AO111" s="217" t="str">
        <f>IF('Report History'!MW11=0,"",IFERROR('Report History'!MW11,""))</f>
        <v>YELLOW</v>
      </c>
      <c r="AP111" s="218" t="str">
        <f>IF('Report History'!MX11=0,"",IFERROR('Report History'!MX11,""))</f>
        <v/>
      </c>
      <c r="AQ111" s="222" t="str">
        <f>IF('Report History'!MY11=0,"",IFERROR('Report History'!MY11,""))</f>
        <v/>
      </c>
      <c r="AR111" s="223" t="str">
        <f>IF('Report History'!MZ11=0,"",IFERROR('Report History'!MZ11,""))</f>
        <v/>
      </c>
      <c r="AS111" s="224" t="str">
        <f>IF('Report History'!NA11=0,"",IFERROR('Report History'!NA11,""))</f>
        <v/>
      </c>
      <c r="AT111" s="217" t="str">
        <f>IF('Report History'!NB11=0,"",IFERROR('Report History'!NB11,""))</f>
        <v>VIOLET</v>
      </c>
      <c r="AU111" s="218" t="str">
        <f>IF('Report History'!NC11=0,"",IFERROR('Report History'!NC11,""))</f>
        <v/>
      </c>
      <c r="AV111" s="222" t="str">
        <f>IF('Report History'!ND11=0,"",IFERROR('Report History'!ND11,""))</f>
        <v/>
      </c>
      <c r="AW111" s="223" t="str">
        <f>IF('Report History'!NE11=0,"",IFERROR('Report History'!NE11,""))</f>
        <v/>
      </c>
      <c r="AX111" s="224" t="str">
        <f>IF('Report History'!NF11=0,"",IFERROR('Report History'!NF11,""))</f>
        <v/>
      </c>
      <c r="AY111" s="217" t="str">
        <f>IF('Report History'!NG11=0,"",IFERROR('Report History'!NG11,""))</f>
        <v>GREEN</v>
      </c>
      <c r="AZ111" s="218" t="str">
        <f>IF('Report History'!NH11=0,"",IFERROR('Report History'!NH11,""))</f>
        <v/>
      </c>
      <c r="BA111" s="222" t="str">
        <f>IF('Report History'!NI11=0,"",IFERROR('Report History'!NI11,""))</f>
        <v/>
      </c>
      <c r="BB111" s="223" t="str">
        <f>IF('Report History'!NJ11=0,"",IFERROR('Report History'!NJ11,""))</f>
        <v/>
      </c>
      <c r="BC111" s="224" t="str">
        <f>IF('Report History'!NK11=0,"",IFERROR('Report History'!NK11,""))</f>
        <v/>
      </c>
      <c r="BD111" s="217" t="str">
        <f>IF('Report History'!NL11=0,"",IFERROR('Report History'!NL11,""))</f>
        <v>ORANGE</v>
      </c>
      <c r="BE111" s="218" t="str">
        <f>IF('Report History'!NM11=0,"",IFERROR('Report History'!NM11,""))</f>
        <v/>
      </c>
      <c r="BF111" s="222">
        <f>IF('Report History'!NN11=0,"",IFERROR('Report History'!NN11,""))</f>
        <v>62847</v>
      </c>
      <c r="BG111" s="223" t="str">
        <f>IF('Report History'!NO11=0,"",IFERROR('Report History'!NO11,""))</f>
        <v/>
      </c>
      <c r="BH111" s="224" t="str">
        <f>IF('Report History'!NP11=0,"",IFERROR('Report History'!NP11,""))</f>
        <v/>
      </c>
      <c r="BI111" s="217" t="str">
        <f>IF('Report History'!NQ11=0,"",IFERROR('Report History'!NQ11,""))</f>
        <v>BLUE</v>
      </c>
      <c r="BJ111" s="218" t="str">
        <f>IF('Report History'!NR11=0,"",IFERROR('Report History'!NR11,""))</f>
        <v/>
      </c>
      <c r="BK111" s="222" t="str">
        <f>IF('Report History'!NS11=0,"",IFERROR('Report History'!NS11,""))</f>
        <v/>
      </c>
      <c r="BL111" s="223" t="str">
        <f>IF('Report History'!NT11=0,"",IFERROR('Report History'!NT11,""))</f>
        <v/>
      </c>
      <c r="BM111" s="224" t="str">
        <f>IF('Report History'!NU11=0,"",IFERROR('Report History'!NU11,""))</f>
        <v/>
      </c>
      <c r="BN111" s="217" t="str">
        <f>IF('Report History'!NV11=0,"",IFERROR('Report History'!NV11,""))</f>
        <v/>
      </c>
      <c r="BO111" s="218" t="str">
        <f>IF('Report History'!NW11=0,"",IFERROR('Report History'!NW11,""))</f>
        <v/>
      </c>
      <c r="BP111" s="222">
        <f>IF('Report History'!NX11=0,"",IFERROR('Report History'!NX11,""))</f>
        <v>6681.75</v>
      </c>
      <c r="BQ111" s="223" t="str">
        <f>IF('Report History'!NY11=0,"",IFERROR('Report History'!NY11,""))</f>
        <v/>
      </c>
      <c r="BR111" s="224" t="str">
        <f>IF('Report History'!NZ11=0,"",IFERROR('Report History'!NZ11,""))</f>
        <v/>
      </c>
      <c r="BS111" s="217" t="str">
        <f>IF('Report History'!OA11=0,"",IFERROR('Report History'!OA11,""))</f>
        <v>PINK</v>
      </c>
      <c r="BT111" s="218" t="str">
        <f>IF('Report History'!OB11=0,"",IFERROR('Report History'!OB11,""))</f>
        <v/>
      </c>
      <c r="BU111" s="222">
        <f>IF('Report History'!OC11=0,"",IFERROR('Report History'!OC11,""))</f>
        <v>13363.5</v>
      </c>
      <c r="BV111" s="223" t="str">
        <f>IF('Report History'!OD11=0,"",IFERROR('Report History'!OD11,""))</f>
        <v/>
      </c>
      <c r="BW111" s="224" t="str">
        <f>IF('Report History'!OE11=0,"",IFERROR('Report History'!OE11,""))</f>
        <v/>
      </c>
      <c r="BX111" s="217" t="str">
        <f>IF('Report History'!OF11=0,"",IFERROR('Report History'!OF11,""))</f>
        <v>PINK</v>
      </c>
      <c r="BY111" s="218" t="str">
        <f>IF('Report History'!OG11=0,"",IFERROR('Report History'!OG11,""))</f>
        <v/>
      </c>
      <c r="BZ111" s="222">
        <f>IF('Report History'!OH11=0,"",IFERROR('Report History'!OH11,""))</f>
        <v>13363.5</v>
      </c>
      <c r="CA111" s="223" t="str">
        <f>IF('Report History'!OI11=0,"",IFERROR('Report History'!OI11,""))</f>
        <v/>
      </c>
      <c r="CB111" s="224" t="str">
        <f>IF('Report History'!OJ11=0,"",IFERROR('Report History'!OJ11,""))</f>
        <v/>
      </c>
      <c r="CC111" s="217" t="str">
        <f>IF('Report History'!OK11=0,"",IFERROR('Report History'!OK11,""))</f>
        <v>YELLOW</v>
      </c>
      <c r="CD111" s="218" t="str">
        <f>IF('Report History'!OL11=0,"",IFERROR('Report History'!OL11,""))</f>
        <v/>
      </c>
      <c r="CE111" s="222" t="str">
        <f>IF('Report History'!OM11=0,"",IFERROR('Report History'!OM11,""))</f>
        <v/>
      </c>
      <c r="CF111" s="223" t="str">
        <f>IF('Report History'!ON11=0,"",IFERROR('Report History'!ON11,""))</f>
        <v/>
      </c>
      <c r="CG111" s="224" t="str">
        <f>IF('Report History'!OO11=0,"",IFERROR('Report History'!OO11,""))</f>
        <v/>
      </c>
      <c r="CH111" s="217" t="str">
        <f>IF('Report History'!OP11=0,"",IFERROR('Report History'!OP11,""))</f>
        <v>VIOLET</v>
      </c>
      <c r="CI111" s="218" t="str">
        <f>IF('Report History'!OQ11=0,"",IFERROR('Report History'!OQ11,""))</f>
        <v/>
      </c>
      <c r="CJ111" s="222" t="str">
        <f>IF('Report History'!OR11=0,"",IFERROR('Report History'!OR11,""))</f>
        <v/>
      </c>
      <c r="CK111" s="223" t="str">
        <f>IF('Report History'!OS11=0,"",IFERROR('Report History'!OS11,""))</f>
        <v/>
      </c>
      <c r="CL111" s="224" t="str">
        <f>IF('Report History'!OT11=0,"",IFERROR('Report History'!OT11,""))</f>
        <v/>
      </c>
      <c r="CM111" s="217" t="str">
        <f>IF('Report History'!OU11=0,"",IFERROR('Report History'!OU11,""))</f>
        <v>GREEN</v>
      </c>
      <c r="CN111" s="218" t="str">
        <f>IF('Report History'!OV11=0,"",IFERROR('Report History'!OV11,""))</f>
        <v/>
      </c>
      <c r="CO111" s="222" t="str">
        <f>IF('Report History'!OW11=0,"",IFERROR('Report History'!OW11,""))</f>
        <v/>
      </c>
      <c r="CP111" s="223" t="str">
        <f>IF('Report History'!OX11=0,"",IFERROR('Report History'!OX11,""))</f>
        <v/>
      </c>
      <c r="CQ111" s="224" t="str">
        <f>IF('Report History'!OY11=0,"",IFERROR('Report History'!OY11,""))</f>
        <v/>
      </c>
      <c r="CR111" s="217" t="str">
        <f>IF('Report History'!OZ11=0,"",IFERROR('Report History'!OZ11,""))</f>
        <v>ORANGE</v>
      </c>
      <c r="CS111" s="218" t="str">
        <f>IF('Report History'!PA11=0,"",IFERROR('Report History'!PA11,""))</f>
        <v/>
      </c>
      <c r="CT111" s="222" t="str">
        <f>IF('Report History'!PB11=0,"",IFERROR('Report History'!PB11,""))</f>
        <v/>
      </c>
      <c r="CU111" s="223" t="str">
        <f>IF('Report History'!PC11=0,"",IFERROR('Report History'!PC11,""))</f>
        <v/>
      </c>
      <c r="CV111" s="224" t="str">
        <f>IF('Report History'!PD11=0,"",IFERROR('Report History'!PD11,""))</f>
        <v/>
      </c>
      <c r="CW111" s="217" t="str">
        <f>IF('Report History'!PE11=0,"",IFERROR('Report History'!PE11,""))</f>
        <v>BLUE</v>
      </c>
      <c r="CX111" s="218" t="str">
        <f>IF('Report History'!PF11=0,"",IFERROR('Report History'!PF11,""))</f>
        <v/>
      </c>
      <c r="CY111" s="222" t="str">
        <f>IF('Report History'!PG11=0,"",IFERROR('Report History'!PG11,""))</f>
        <v/>
      </c>
      <c r="CZ111" s="223" t="str">
        <f>IF('Report History'!PH11=0,"",IFERROR('Report History'!PH11,""))</f>
        <v/>
      </c>
      <c r="DA111" s="224" t="str">
        <f>IF('Report History'!PI11=0,"",IFERROR('Report History'!PI11,""))</f>
        <v/>
      </c>
      <c r="DB111" s="217" t="str">
        <f>IF('Report History'!PJ11=0,"",IFERROR('Report History'!PJ11,""))</f>
        <v/>
      </c>
      <c r="DC111" s="218" t="str">
        <f>IF('Report History'!PK11=0,"",IFERROR('Report History'!PK11,""))</f>
        <v/>
      </c>
      <c r="DD111" s="222" t="str">
        <f>IF('Report History'!PL11=0,"",IFERROR('Report History'!PL11,""))</f>
        <v/>
      </c>
      <c r="DE111" s="223" t="str">
        <f>IF('Report History'!PM11=0,"",IFERROR('Report History'!PM11,""))</f>
        <v/>
      </c>
      <c r="DF111" s="224" t="str">
        <f>IF('Report History'!PN11=0,"",IFERROR('Report History'!PN11,""))</f>
        <v/>
      </c>
      <c r="DG111" s="217" t="str">
        <f>IF('Report History'!PO11=0,"",IFERROR('Report History'!PO11,""))</f>
        <v>PINK</v>
      </c>
      <c r="DH111" s="218" t="str">
        <f>IF('Report History'!PP11=0,"",IFERROR('Report History'!PP11,""))</f>
        <v/>
      </c>
      <c r="DI111" s="222">
        <f>IF('Report History'!PQ11=0,"",IFERROR('Report History'!PQ11,""))</f>
        <v>8909</v>
      </c>
      <c r="DJ111" s="223" t="str">
        <f>IF('Report History'!PR11=0,"",IFERROR('Report History'!PR11,""))</f>
        <v/>
      </c>
      <c r="DK111" s="224" t="str">
        <f>IF('Report History'!PS11=0,"",IFERROR('Report History'!PS11,""))</f>
        <v/>
      </c>
      <c r="DL111" s="217" t="str">
        <f>IF('Report History'!PT11=0,"",IFERROR('Report History'!PT11,""))</f>
        <v>YELLOW</v>
      </c>
      <c r="DM111" s="218" t="str">
        <f>IF('Report History'!PU11=0,"",IFERROR('Report History'!PU11,""))</f>
        <v/>
      </c>
      <c r="DN111" s="222" t="str">
        <f>IF('Report History'!PV11=0,"",IFERROR('Report History'!PV11,""))</f>
        <v/>
      </c>
      <c r="DO111" s="223" t="str">
        <f>IF('Report History'!PW11=0,"",IFERROR('Report History'!PW11,""))</f>
        <v/>
      </c>
      <c r="DP111" s="224" t="str">
        <f>IF('Report History'!PX11=0,"",IFERROR('Report History'!PX11,""))</f>
        <v/>
      </c>
      <c r="DQ111" s="217" t="str">
        <f>IF('Report History'!PY11=0,"",IFERROR('Report History'!PY11,""))</f>
        <v>VIOLET</v>
      </c>
      <c r="DR111" s="218" t="str">
        <f>IF('Report History'!PZ11=0,"",IFERROR('Report History'!PZ11,""))</f>
        <v/>
      </c>
      <c r="DS111" s="222">
        <f>IF('Report History'!QA11=0,"",IFERROR('Report History'!QA11,""))</f>
        <v>35636</v>
      </c>
      <c r="DT111" s="223" t="str">
        <f>IF('Report History'!QB11=0,"",IFERROR('Report History'!QB11,""))</f>
        <v/>
      </c>
      <c r="DU111" s="224" t="str">
        <f>IF('Report History'!QC11=0,"",IFERROR('Report History'!QC11,""))</f>
        <v/>
      </c>
      <c r="DV111" s="217" t="str">
        <f>IF('Report History'!QD11=0,"",IFERROR('Report History'!QD11,""))</f>
        <v>GREEN</v>
      </c>
      <c r="DW111" s="218" t="str">
        <f>IF('Report History'!QE11=0,"",IFERROR('Report History'!QE11,""))</f>
        <v/>
      </c>
      <c r="DX111" s="222">
        <f>IF('Report History'!QF11=0,"",IFERROR('Report History'!QF11,""))</f>
        <v>106908</v>
      </c>
      <c r="DY111" s="223" t="str">
        <f>IF('Report History'!QG11=0,"",IFERROR('Report History'!QG11,""))</f>
        <v/>
      </c>
      <c r="DZ111" s="224" t="str">
        <f>IF('Report History'!QH11=0,"",IFERROR('Report History'!QH11,""))</f>
        <v/>
      </c>
      <c r="EA111" s="217" t="str">
        <f>IF('Report History'!QI11=0,"",IFERROR('Report History'!QI11,""))</f>
        <v>ORANGE</v>
      </c>
      <c r="EB111" s="218" t="str">
        <f>IF('Report History'!QJ11=0,"",IFERROR('Report History'!QJ11,""))</f>
        <v/>
      </c>
      <c r="EC111" s="222">
        <f>IF('Report History'!QK11=0,"",IFERROR('Report History'!QK11,""))</f>
        <v>93544.5</v>
      </c>
      <c r="ED111" s="223" t="str">
        <f>IF('Report History'!QL11=0,"",IFERROR('Report History'!QL11,""))</f>
        <v/>
      </c>
      <c r="EE111" s="224" t="str">
        <f>IF('Report History'!QM11=0,"",IFERROR('Report History'!QM11,""))</f>
        <v/>
      </c>
      <c r="EF111" s="217" t="str">
        <f>IF('Report History'!QN11=0,"",IFERROR('Report History'!QN11,""))</f>
        <v>ORANGE</v>
      </c>
      <c r="EG111" s="218" t="str">
        <f>IF('Report History'!QO11=0,"",IFERROR('Report History'!QO11,""))</f>
        <v/>
      </c>
      <c r="EH111" s="222">
        <f>IF('Report History'!QP11=0,"",IFERROR('Report History'!QP11,""))</f>
        <v>93544.5</v>
      </c>
      <c r="EI111" s="223" t="str">
        <f>IF('Report History'!QQ11=0,"",IFERROR('Report History'!QQ11,""))</f>
        <v/>
      </c>
      <c r="EJ111" s="224" t="str">
        <f>IF('Report History'!QR11=0,"",IFERROR('Report History'!QR11,""))</f>
        <v/>
      </c>
      <c r="EK111" s="217" t="str">
        <f>IF('Report History'!QS11=0,"",IFERROR('Report History'!QS11,""))</f>
        <v>BLUE</v>
      </c>
      <c r="EL111" s="218" t="str">
        <f>IF('Report History'!QT11=0,"",IFERROR('Report History'!QT11,""))</f>
        <v/>
      </c>
      <c r="EM111" s="222" t="str">
        <f>IF('Report History'!QU11=0,"",IFERROR('Report History'!QU11,""))</f>
        <v/>
      </c>
      <c r="EN111" s="223" t="str">
        <f>IF('Report History'!QV11=0,"",IFERROR('Report History'!QV11,""))</f>
        <v/>
      </c>
      <c r="EO111" s="224" t="str">
        <f>IF('Report History'!QW11=0,"",IFERROR('Report History'!QW11,""))</f>
        <v/>
      </c>
      <c r="EP111" s="217" t="str">
        <f>IF('Report History'!QX11=0,"",IFERROR('Report History'!QX11,""))</f>
        <v/>
      </c>
      <c r="EQ111" s="218" t="str">
        <f>IF('Report History'!QY11=0,"",IFERROR('Report History'!QY11,""))</f>
        <v/>
      </c>
      <c r="ER111" s="222" t="str">
        <f>IF('Report History'!QZ11=0,"",IFERROR('Report History'!QZ11,""))</f>
        <v/>
      </c>
      <c r="ES111" s="223" t="str">
        <f>IF('Report History'!RA11=0,"",IFERROR('Report History'!RA11,""))</f>
        <v/>
      </c>
      <c r="ET111" s="224" t="str">
        <f>IF('Report History'!RB11=0,"",IFERROR('Report History'!RB11,""))</f>
        <v/>
      </c>
      <c r="EU111" s="217" t="str">
        <f>IF('Report History'!RC11=0,"",IFERROR('Report History'!RC11,""))</f>
        <v>PINK</v>
      </c>
      <c r="EV111" s="218" t="str">
        <f>IF('Report History'!RD11=0,"",IFERROR('Report History'!RD11,""))</f>
        <v/>
      </c>
      <c r="EW111" s="222">
        <f>IF('Report History'!RE11=0,"",IFERROR('Report History'!RE11,""))</f>
        <v>57908.5</v>
      </c>
      <c r="EX111" s="223" t="str">
        <f>IF('Report History'!RF11=0,"",IFERROR('Report History'!RF11,""))</f>
        <v/>
      </c>
      <c r="EY111" s="224" t="str">
        <f>IF('Report History'!RG11=0,"",IFERROR('Report History'!RG11,""))</f>
        <v/>
      </c>
      <c r="EZ111" s="217" t="str">
        <f>IF('Report History'!RH11=0,"",IFERROR('Report History'!RH11,""))</f>
        <v>YELLOW</v>
      </c>
      <c r="FA111" s="218" t="str">
        <f>IF('Report History'!RI11=0,"",IFERROR('Report History'!RI11,""))</f>
        <v/>
      </c>
      <c r="FB111" s="222">
        <f>IF('Report History'!RJ11=0,"",IFERROR('Report History'!RJ11,""))</f>
        <v>35636</v>
      </c>
      <c r="FC111" s="223" t="str">
        <f>IF('Report History'!RK11=0,"",IFERROR('Report History'!RK11,""))</f>
        <v/>
      </c>
      <c r="FD111" s="224" t="str">
        <f>IF('Report History'!RL11=0,"",IFERROR('Report History'!RL11,""))</f>
        <v/>
      </c>
      <c r="FE111" s="217" t="str">
        <f>IF('Report History'!RM11=0,"",IFERROR('Report History'!RM11,""))</f>
        <v>VIOLET</v>
      </c>
      <c r="FF111" s="218" t="str">
        <f>IF('Report History'!RN11=0,"",IFERROR('Report History'!RN11,""))</f>
        <v/>
      </c>
      <c r="FG111" s="222">
        <f>IF('Report History'!RO11=0,"",IFERROR('Report History'!RO11,""))</f>
        <v>17818</v>
      </c>
      <c r="FH111" s="223" t="str">
        <f>IF('Report History'!RP11=0,"",IFERROR('Report History'!RP11,""))</f>
        <v/>
      </c>
      <c r="FI111" s="224" t="str">
        <f>IF('Report History'!RQ11=0,"",IFERROR('Report History'!RQ11,""))</f>
        <v/>
      </c>
      <c r="FJ111" s="217" t="str">
        <f>IF('Report History'!RR11=0,"",IFERROR('Report History'!RR11,""))</f>
        <v>GREEN</v>
      </c>
      <c r="FK111" s="218" t="str">
        <f>IF('Report History'!RS11=0,"",IFERROR('Report History'!RS11,""))</f>
        <v/>
      </c>
      <c r="FL111" s="222">
        <f>IF('Report History'!RT11=0,"",IFERROR('Report History'!RT11,""))</f>
        <v>44545</v>
      </c>
      <c r="FM111" s="223" t="str">
        <f>IF('Report History'!RU11=0,"",IFERROR('Report History'!RU11,""))</f>
        <v/>
      </c>
      <c r="FN111" s="224" t="str">
        <f>IF('Report History'!RV11=0,"",IFERROR('Report History'!RV11,""))</f>
        <v/>
      </c>
      <c r="FO111" s="217" t="str">
        <f>IF('Report History'!RW11=0,"",IFERROR('Report History'!RW11,""))</f>
        <v>GREEN</v>
      </c>
      <c r="FP111" s="218" t="str">
        <f>IF('Report History'!RX11=0,"",IFERROR('Report History'!RX11,""))</f>
        <v/>
      </c>
      <c r="FQ111" s="222">
        <f>IF('Report History'!RY11=0,"",IFERROR('Report History'!RY11,""))</f>
        <v>44545</v>
      </c>
      <c r="FR111" s="223" t="str">
        <f>IF('Report History'!RZ11=0,"",IFERROR('Report History'!RZ11,""))</f>
        <v/>
      </c>
      <c r="FS111" s="224" t="str">
        <f>IF('Report History'!SA11=0,"",IFERROR('Report History'!SA11,""))</f>
        <v/>
      </c>
      <c r="FT111" s="217" t="str">
        <f>IF('Report History'!SB11=0,"",IFERROR('Report History'!SB11,""))</f>
        <v>ORANGE</v>
      </c>
      <c r="FU111" s="218" t="str">
        <f>IF('Report History'!SC11=0,"",IFERROR('Report History'!SC11,""))</f>
        <v/>
      </c>
      <c r="FV111" s="222" t="str">
        <f>IF('Report History'!SD11=0,"",IFERROR('Report History'!SD11,""))</f>
        <v/>
      </c>
      <c r="FW111" s="223" t="str">
        <f>IF('Report History'!SE11=0,"",IFERROR('Report History'!SE11,""))</f>
        <v/>
      </c>
      <c r="FX111" s="224" t="str">
        <f>IF('Report History'!SF11=0,"",IFERROR('Report History'!SF11,""))</f>
        <v/>
      </c>
      <c r="FY111" s="217" t="str">
        <f>IF('Report History'!SG11=0,"",IFERROR('Report History'!SG11,""))</f>
        <v>BLUE</v>
      </c>
      <c r="FZ111" s="218" t="str">
        <f>IF('Report History'!SH11=0,"",IFERROR('Report History'!SH11,""))</f>
        <v/>
      </c>
      <c r="GA111" s="222" t="str">
        <f>IF('Report History'!SI11=0,"",IFERROR('Report History'!SI11,""))</f>
        <v/>
      </c>
      <c r="GB111" s="223" t="str">
        <f>IF('Report History'!SJ11=0,"",IFERROR('Report History'!SJ11,""))</f>
        <v/>
      </c>
      <c r="GC111" s="224" t="str">
        <f>IF('Report History'!SK11=0,"",IFERROR('Report History'!SK11,""))</f>
        <v/>
      </c>
      <c r="GD111" s="217" t="str">
        <f>IF('Report History'!SL11=0,"",IFERROR('Report History'!SL11,""))</f>
        <v/>
      </c>
      <c r="GE111" s="218" t="str">
        <f>IF('Report History'!SM11=0,"",IFERROR('Report History'!SM11,""))</f>
        <v/>
      </c>
      <c r="GF111" s="222" t="str">
        <f>IF('Report History'!SN11=0,"",IFERROR('Report History'!SN11,""))</f>
        <v/>
      </c>
      <c r="GG111" s="223" t="str">
        <f>IF('Report History'!SO11=0,"",IFERROR('Report History'!SO11,""))</f>
        <v/>
      </c>
      <c r="GH111" s="224" t="str">
        <f>IF('Report History'!SP11=0,"",IFERROR('Report History'!SP11,""))</f>
        <v/>
      </c>
      <c r="GI111" s="217" t="str">
        <f>IF('Report History'!SQ11=0,"",IFERROR('Report History'!SQ11,""))</f>
        <v>PINK</v>
      </c>
      <c r="GJ111" s="218" t="str">
        <f>IF('Report History'!SR11=0,"",IFERROR('Report History'!SR11,""))</f>
        <v/>
      </c>
      <c r="GK111" s="222">
        <f>IF('Report History'!SS11=0,"",IFERROR('Report History'!SS11,""))</f>
        <v>8909</v>
      </c>
      <c r="GL111" s="223" t="str">
        <f>IF('Report History'!ST11=0,"",IFERROR('Report History'!ST11,""))</f>
        <v/>
      </c>
      <c r="GM111" s="224" t="str">
        <f>IF('Report History'!SU11=0,"",IFERROR('Report History'!SU11,""))</f>
        <v/>
      </c>
      <c r="GN111" s="217" t="str">
        <f>IF('Report History'!SV11=0,"",IFERROR('Report History'!SV11,""))</f>
        <v>YELLOW</v>
      </c>
      <c r="GO111" s="218" t="str">
        <f>IF('Report History'!SW11=0,"",IFERROR('Report History'!SW11,""))</f>
        <v/>
      </c>
      <c r="GP111" s="222" t="str">
        <f>IF('Report History'!SX11=0,"",IFERROR('Report History'!SX11,""))</f>
        <v/>
      </c>
      <c r="GQ111" s="223" t="str">
        <f>IF('Report History'!SY11=0,"",IFERROR('Report History'!SY11,""))</f>
        <v/>
      </c>
      <c r="GR111" s="224" t="str">
        <f>IF('Report History'!SZ11=0,"",IFERROR('Report History'!SZ11,""))</f>
        <v/>
      </c>
      <c r="GS111" s="217" t="str">
        <f>IF('Report History'!TA11=0,"",IFERROR('Report History'!TA11,""))</f>
        <v>VIOLET</v>
      </c>
      <c r="GT111" s="218" t="str">
        <f>IF('Report History'!TB11=0,"",IFERROR('Report History'!TB11,""))</f>
        <v/>
      </c>
      <c r="GU111" s="222">
        <f>IF('Report History'!TC11=0,"",IFERROR('Report History'!TC11,""))</f>
        <v>35636</v>
      </c>
      <c r="GV111" s="223" t="str">
        <f>IF('Report History'!TD11=0,"",IFERROR('Report History'!TD11,""))</f>
        <v/>
      </c>
      <c r="GW111" s="224" t="str">
        <f>IF('Report History'!TE11=0,"",IFERROR('Report History'!TE11,""))</f>
        <v/>
      </c>
      <c r="GX111" s="217" t="str">
        <f>IF('Report History'!TF11=0,"",IFERROR('Report History'!TF11,""))</f>
        <v>GREEN</v>
      </c>
      <c r="GY111" s="218" t="str">
        <f>IF('Report History'!TG11=0,"",IFERROR('Report History'!TG11,""))</f>
        <v/>
      </c>
      <c r="GZ111" s="222">
        <f>IF('Report History'!TH11=0,"",IFERROR('Report History'!TH11,""))</f>
        <v>8909</v>
      </c>
      <c r="HA111" s="223" t="str">
        <f>IF('Report History'!TI11=0,"",IFERROR('Report History'!TI11,""))</f>
        <v/>
      </c>
      <c r="HB111" s="224" t="str">
        <f>IF('Report History'!TJ11=0,"",IFERROR('Report History'!TJ11,""))</f>
        <v/>
      </c>
      <c r="HC111" s="217" t="str">
        <f>IF('Report History'!TK11=0,"",IFERROR('Report History'!TK11,""))</f>
        <v>ORANGE</v>
      </c>
      <c r="HD111" s="218" t="str">
        <f>IF('Report History'!TL11=0,"",IFERROR('Report History'!TL11,""))</f>
        <v/>
      </c>
      <c r="HE111" s="222">
        <f>IF('Report History'!TM11=0,"",IFERROR('Report History'!TM11,""))</f>
        <v>71272</v>
      </c>
      <c r="HF111" s="223" t="str">
        <f>IF('Report History'!TN11=0,"",IFERROR('Report History'!TN11,""))</f>
        <v/>
      </c>
      <c r="HG111" s="224" t="str">
        <f>IF('Report History'!TO11=0,"",IFERROR('Report History'!TO11,""))</f>
        <v/>
      </c>
      <c r="HH111" s="217" t="str">
        <f>IF('Report History'!TP11=0,"",IFERROR('Report History'!TP11,""))</f>
        <v>BLUE</v>
      </c>
      <c r="HI111" s="218" t="str">
        <f>IF('Report History'!TQ11=0,"",IFERROR('Report History'!TQ11,""))</f>
        <v/>
      </c>
      <c r="HJ111" s="222">
        <f>IF('Report History'!TR11=0,"",IFERROR('Report History'!TR11,""))</f>
        <v>17818</v>
      </c>
      <c r="HK111" s="223" t="str">
        <f>IF('Report History'!TS11=0,"",IFERROR('Report History'!TS11,""))</f>
        <v/>
      </c>
      <c r="HL111" s="224" t="str">
        <f>IF('Report History'!TT11=0,"",IFERROR('Report History'!TT11,""))</f>
        <v/>
      </c>
      <c r="HM111" s="217" t="str">
        <f>IF('Report History'!TU11=0,"",IFERROR('Report History'!TU11,""))</f>
        <v/>
      </c>
      <c r="HN111" s="218" t="str">
        <f>IF('Report History'!TV11=0,"",IFERROR('Report History'!TV11,""))</f>
        <v/>
      </c>
      <c r="HO111" s="222" t="str">
        <f>IF('Report History'!TW11=0,"",IFERROR('Report History'!TW11,""))</f>
        <v/>
      </c>
      <c r="HP111" s="223" t="str">
        <f>IF('Report History'!TX11=0,"",IFERROR('Report History'!TX11,""))</f>
        <v/>
      </c>
      <c r="HQ111" s="224" t="str">
        <f>IF('Report History'!TY11=0,"",IFERROR('Report History'!TY11,""))</f>
        <v/>
      </c>
      <c r="HR111" s="217" t="str">
        <f>IF('Report History'!TZ11=0,"",IFERROR('Report History'!TZ11,""))</f>
        <v>PINK</v>
      </c>
      <c r="HS111" s="218" t="str">
        <f>IF('Report History'!UA11=0,"",IFERROR('Report History'!UA11,""))</f>
        <v/>
      </c>
      <c r="HT111" s="222">
        <f>IF('Report History'!UB11=0,"",IFERROR('Report History'!UB11,""))</f>
        <v>53454</v>
      </c>
      <c r="HU111" s="223" t="str">
        <f>IF('Report History'!UC11=0,"",IFERROR('Report History'!UC11,""))</f>
        <v/>
      </c>
      <c r="HV111" s="224" t="str">
        <f>IF('Report History'!UD11=0,"",IFERROR('Report History'!UD11,""))</f>
        <v/>
      </c>
      <c r="HW111" s="217" t="str">
        <f>IF('Report History'!UE11=0,"",IFERROR('Report History'!UE11,""))</f>
        <v>YELLOW</v>
      </c>
      <c r="HX111" s="218" t="str">
        <f>IF('Report History'!UF11=0,"",IFERROR('Report History'!UF11,""))</f>
        <v/>
      </c>
      <c r="HY111" s="222" t="str">
        <f>IF('Report History'!UG11=0,"",IFERROR('Report History'!UG11,""))</f>
        <v/>
      </c>
      <c r="HZ111" s="223" t="str">
        <f>IF('Report History'!UH11=0,"",IFERROR('Report History'!UH11,""))</f>
        <v/>
      </c>
      <c r="IA111" s="224" t="str">
        <f>IF('Report History'!UI11=0,"",IFERROR('Report History'!UI11,""))</f>
        <v/>
      </c>
      <c r="IB111" s="217" t="str">
        <f>IF('Report History'!UJ11=0,"",IFERROR('Report History'!UJ11,""))</f>
        <v>VIOLET</v>
      </c>
      <c r="IC111" s="218" t="str">
        <f>IF('Report History'!UK11=0,"",IFERROR('Report History'!UK11,""))</f>
        <v/>
      </c>
      <c r="ID111" s="222" t="str">
        <f>IF('Report History'!UL11=0,"",IFERROR('Report History'!UL11,""))</f>
        <v/>
      </c>
      <c r="IE111" s="223" t="str">
        <f>IF('Report History'!UM11=0,"",IFERROR('Report History'!UM11,""))</f>
        <v/>
      </c>
      <c r="IF111" s="224" t="str">
        <f>IF('Report History'!UN11=0,"",IFERROR('Report History'!UN11,""))</f>
        <v/>
      </c>
      <c r="IG111" s="217" t="str">
        <f>IF('Report History'!UO11=0,"",IFERROR('Report History'!UO11,""))</f>
        <v>GREEN</v>
      </c>
      <c r="IH111" s="218" t="str">
        <f>IF('Report History'!UP11=0,"",IFERROR('Report History'!UP11,""))</f>
        <v/>
      </c>
      <c r="II111" s="222" t="str">
        <f>IF('Report History'!UQ11=0,"",IFERROR('Report History'!UQ11,""))</f>
        <v/>
      </c>
      <c r="IJ111" s="223" t="str">
        <f>IF('Report History'!UR11=0,"",IFERROR('Report History'!UR11,""))</f>
        <v/>
      </c>
      <c r="IK111" s="224" t="str">
        <f>IF('Report History'!US11=0,"",IFERROR('Report History'!US11,""))</f>
        <v/>
      </c>
      <c r="IL111" s="217" t="str">
        <f>IF('Report History'!UT11=0,"",IFERROR('Report History'!UT11,""))</f>
        <v>ORANGE</v>
      </c>
      <c r="IM111" s="218" t="str">
        <f>IF('Report History'!UU11=0,"",IFERROR('Report History'!UU11,""))</f>
        <v/>
      </c>
      <c r="IN111" s="222" t="str">
        <f>IF('Report History'!UV11=0,"",IFERROR('Report History'!UV11,""))</f>
        <v/>
      </c>
      <c r="IO111" s="223" t="str">
        <f>IF('Report History'!UW11=0,"",IFERROR('Report History'!UW11,""))</f>
        <v/>
      </c>
      <c r="IP111" s="224" t="str">
        <f>IF('Report History'!UX11=0,"",IFERROR('Report History'!UX11,""))</f>
        <v/>
      </c>
    </row>
    <row r="112" spans="1:250" x14ac:dyDescent="0.25">
      <c r="A112" s="217" t="str">
        <f>IF('Report History'!LI12=0,"",IFERROR('Report History'!LI12,""))</f>
        <v>PINK</v>
      </c>
      <c r="B112" s="218" t="str">
        <f>IF('Report History'!LJ12=0,"",IFERROR('Report History'!LJ12,""))</f>
        <v/>
      </c>
      <c r="C112" s="222">
        <f>IF('Report History'!LK12=0,"",IFERROR('Report History'!LK12,""))</f>
        <v>44545</v>
      </c>
      <c r="D112" s="223" t="str">
        <f>IF('Report History'!LL12=0,"",IFERROR('Report History'!LL12,""))</f>
        <v/>
      </c>
      <c r="E112" s="224" t="str">
        <f>IF('Report History'!LM12=0,"",IFERROR('Report History'!LM12,""))</f>
        <v/>
      </c>
      <c r="F112" s="217" t="str">
        <f>IF('Report History'!LN12=0,"",IFERROR('Report History'!LN12,""))</f>
        <v>YELLOW</v>
      </c>
      <c r="G112" s="218" t="str">
        <f>IF('Report History'!LO12=0,"",IFERROR('Report History'!LO12,""))</f>
        <v/>
      </c>
      <c r="H112" s="222">
        <f>IF('Report History'!LP12=0,"",IFERROR('Report History'!LP12,""))</f>
        <v>75726.5</v>
      </c>
      <c r="I112" s="223" t="str">
        <f>IF('Report History'!LQ12=0,"",IFERROR('Report History'!LQ12,""))</f>
        <v/>
      </c>
      <c r="J112" s="224" t="str">
        <f>IF('Report History'!LR12=0,"",IFERROR('Report History'!LR12,""))</f>
        <v/>
      </c>
      <c r="K112" s="217" t="str">
        <f>IF('Report History'!LS12=0,"",IFERROR('Report History'!LS12,""))</f>
        <v>VIOLET</v>
      </c>
      <c r="L112" s="218" t="str">
        <f>IF('Report History'!LT12=0,"",IFERROR('Report History'!LT12,""))</f>
        <v/>
      </c>
      <c r="M112" s="222">
        <f>IF('Report History'!LU12=0,"",IFERROR('Report History'!LU12,""))</f>
        <v>10320</v>
      </c>
      <c r="N112" s="223" t="str">
        <f>IF('Report History'!LV12=0,"",IFERROR('Report History'!LV12,""))</f>
        <v/>
      </c>
      <c r="O112" s="224" t="str">
        <f>IF('Report History'!LW12=0,"",IFERROR('Report History'!LW12,""))</f>
        <v/>
      </c>
      <c r="P112" s="217" t="str">
        <f>IF('Report History'!LX12=0,"",IFERROR('Report History'!LX12,""))</f>
        <v>GREEN</v>
      </c>
      <c r="Q112" s="218" t="str">
        <f>IF('Report History'!LY12=0,"",IFERROR('Report History'!LY12,""))</f>
        <v/>
      </c>
      <c r="R112" s="222">
        <f>IF('Report History'!LZ12=0,"",IFERROR('Report History'!LZ12,""))</f>
        <v>40796</v>
      </c>
      <c r="S112" s="223" t="str">
        <f>IF('Report History'!MA12=0,"",IFERROR('Report History'!MA12,""))</f>
        <v/>
      </c>
      <c r="T112" s="224" t="str">
        <f>IF('Report History'!MB12=0,"",IFERROR('Report History'!MB12,""))</f>
        <v/>
      </c>
      <c r="U112" s="217" t="str">
        <f>IF('Report History'!MC12=0,"",IFERROR('Report History'!MC12,""))</f>
        <v>ORANGE</v>
      </c>
      <c r="V112" s="218" t="str">
        <f>IF('Report History'!MD12=0,"",IFERROR('Report History'!MD12,""))</f>
        <v/>
      </c>
      <c r="W112" s="222">
        <f>IF('Report History'!ME12=0,"",IFERROR('Report History'!ME12,""))</f>
        <v>4454.5</v>
      </c>
      <c r="X112" s="223" t="str">
        <f>IF('Report History'!MF12=0,"",IFERROR('Report History'!MF12,""))</f>
        <v/>
      </c>
      <c r="Y112" s="224" t="str">
        <f>IF('Report History'!MG12=0,"",IFERROR('Report History'!MG12,""))</f>
        <v/>
      </c>
      <c r="Z112" s="217" t="str">
        <f>IF('Report History'!MH12=0,"",IFERROR('Report History'!MH12,""))</f>
        <v>BLUE</v>
      </c>
      <c r="AA112" s="218" t="str">
        <f>IF('Report History'!MI12=0,"",IFERROR('Report History'!MI12,""))</f>
        <v/>
      </c>
      <c r="AB112" s="222">
        <f>IF('Report History'!MJ12=0,"",IFERROR('Report History'!MJ12,""))</f>
        <v>4454.5</v>
      </c>
      <c r="AC112" s="223" t="str">
        <f>IF('Report History'!MK12=0,"",IFERROR('Report History'!MK12,""))</f>
        <v/>
      </c>
      <c r="AD112" s="224" t="str">
        <f>IF('Report History'!ML12=0,"",IFERROR('Report History'!ML12,""))</f>
        <v/>
      </c>
      <c r="AE112" s="217" t="str">
        <f>IF('Report History'!MM12=0,"",IFERROR('Report History'!MM12,""))</f>
        <v/>
      </c>
      <c r="AF112" s="218" t="str">
        <f>IF('Report History'!MN12=0,"",IFERROR('Report History'!MN12,""))</f>
        <v/>
      </c>
      <c r="AG112" s="222" t="str">
        <f>IF('Report History'!MO12=0,"",IFERROR('Report History'!MO12,""))</f>
        <v/>
      </c>
      <c r="AH112" s="223" t="str">
        <f>IF('Report History'!MP12=0,"",IFERROR('Report History'!MP12,""))</f>
        <v/>
      </c>
      <c r="AI112" s="224" t="str">
        <f>IF('Report History'!MQ12=0,"",IFERROR('Report History'!MQ12,""))</f>
        <v/>
      </c>
      <c r="AJ112" s="217" t="str">
        <f>IF('Report History'!MR12=0,"",IFERROR('Report History'!MR12,""))</f>
        <v>PINK</v>
      </c>
      <c r="AK112" s="218" t="str">
        <f>IF('Report History'!MS12=0,"",IFERROR('Report History'!MS12,""))</f>
        <v/>
      </c>
      <c r="AL112" s="222">
        <f>IF('Report History'!MT12=0,"",IFERROR('Report History'!MT12,""))</f>
        <v>44545</v>
      </c>
      <c r="AM112" s="223" t="str">
        <f>IF('Report History'!MU12=0,"",IFERROR('Report History'!MU12,""))</f>
        <v/>
      </c>
      <c r="AN112" s="224" t="str">
        <f>IF('Report History'!MV12=0,"",IFERROR('Report History'!MV12,""))</f>
        <v/>
      </c>
      <c r="AO112" s="217" t="str">
        <f>IF('Report History'!MW12=0,"",IFERROR('Report History'!MW12,""))</f>
        <v>PINK</v>
      </c>
      <c r="AP112" s="218" t="str">
        <f>IF('Report History'!MX12=0,"",IFERROR('Report History'!MX12,""))</f>
        <v/>
      </c>
      <c r="AQ112" s="222">
        <f>IF('Report History'!MY12=0,"",IFERROR('Report History'!MY12,""))</f>
        <v>44545</v>
      </c>
      <c r="AR112" s="223" t="str">
        <f>IF('Report History'!MZ12=0,"",IFERROR('Report History'!MZ12,""))</f>
        <v/>
      </c>
      <c r="AS112" s="224" t="str">
        <f>IF('Report History'!NA12=0,"",IFERROR('Report History'!NA12,""))</f>
        <v/>
      </c>
      <c r="AT112" s="217" t="str">
        <f>IF('Report History'!NB12=0,"",IFERROR('Report History'!NB12,""))</f>
        <v>YELLOW</v>
      </c>
      <c r="AU112" s="218" t="str">
        <f>IF('Report History'!NC12=0,"",IFERROR('Report History'!NC12,""))</f>
        <v/>
      </c>
      <c r="AV112" s="222">
        <f>IF('Report History'!ND12=0,"",IFERROR('Report History'!ND12,""))</f>
        <v>14069</v>
      </c>
      <c r="AW112" s="223" t="str">
        <f>IF('Report History'!NE12=0,"",IFERROR('Report History'!NE12,""))</f>
        <v/>
      </c>
      <c r="AX112" s="224" t="str">
        <f>IF('Report History'!NF12=0,"",IFERROR('Report History'!NF12,""))</f>
        <v/>
      </c>
      <c r="AY112" s="217" t="str">
        <f>IF('Report History'!NG12=0,"",IFERROR('Report History'!NG12,""))</f>
        <v>VIOLET</v>
      </c>
      <c r="AZ112" s="218" t="str">
        <f>IF('Report History'!NH12=0,"",IFERROR('Report History'!NH12,""))</f>
        <v/>
      </c>
      <c r="BA112" s="222">
        <f>IF('Report History'!NI12=0,"",IFERROR('Report History'!NI12,""))</f>
        <v>26263.5</v>
      </c>
      <c r="BB112" s="223" t="str">
        <f>IF('Report History'!NJ12=0,"",IFERROR('Report History'!NJ12,""))</f>
        <v/>
      </c>
      <c r="BC112" s="224" t="str">
        <f>IF('Report History'!NK12=0,"",IFERROR('Report History'!NK12,""))</f>
        <v/>
      </c>
      <c r="BD112" s="217" t="str">
        <f>IF('Report History'!NL12=0,"",IFERROR('Report History'!NL12,""))</f>
        <v>GREEN</v>
      </c>
      <c r="BE112" s="218" t="str">
        <f>IF('Report History'!NM12=0,"",IFERROR('Report History'!NM12,""))</f>
        <v/>
      </c>
      <c r="BF112" s="222">
        <f>IF('Report History'!NN12=0,"",IFERROR('Report History'!NN12,""))</f>
        <v>53454</v>
      </c>
      <c r="BG112" s="223" t="str">
        <f>IF('Report History'!NO12=0,"",IFERROR('Report History'!NO12,""))</f>
        <v/>
      </c>
      <c r="BH112" s="224" t="str">
        <f>IF('Report History'!NP12=0,"",IFERROR('Report History'!NP12,""))</f>
        <v/>
      </c>
      <c r="BI112" s="217" t="str">
        <f>IF('Report History'!NQ12=0,"",IFERROR('Report History'!NQ12,""))</f>
        <v>ORANGE</v>
      </c>
      <c r="BJ112" s="218" t="str">
        <f>IF('Report History'!NR12=0,"",IFERROR('Report History'!NR12,""))</f>
        <v/>
      </c>
      <c r="BK112" s="222">
        <f>IF('Report History'!NS12=0,"",IFERROR('Report History'!NS12,""))</f>
        <v>62847</v>
      </c>
      <c r="BL112" s="223" t="str">
        <f>IF('Report History'!NT12=0,"",IFERROR('Report History'!NT12,""))</f>
        <v/>
      </c>
      <c r="BM112" s="224" t="str">
        <f>IF('Report History'!NU12=0,"",IFERROR('Report History'!NU12,""))</f>
        <v/>
      </c>
      <c r="BN112" s="217" t="str">
        <f>IF('Report History'!NV12=0,"",IFERROR('Report History'!NV12,""))</f>
        <v>BLUE</v>
      </c>
      <c r="BO112" s="218" t="str">
        <f>IF('Report History'!NW12=0,"",IFERROR('Report History'!NW12,""))</f>
        <v/>
      </c>
      <c r="BP112" s="222" t="str">
        <f>IF('Report History'!NX12=0,"",IFERROR('Report History'!NX12,""))</f>
        <v/>
      </c>
      <c r="BQ112" s="223" t="str">
        <f>IF('Report History'!NY12=0,"",IFERROR('Report History'!NY12,""))</f>
        <v/>
      </c>
      <c r="BR112" s="224" t="str">
        <f>IF('Report History'!NZ12=0,"",IFERROR('Report History'!NZ12,""))</f>
        <v/>
      </c>
      <c r="BS112" s="217" t="str">
        <f>IF('Report History'!OA12=0,"",IFERROR('Report History'!OA12,""))</f>
        <v/>
      </c>
      <c r="BT112" s="218" t="str">
        <f>IF('Report History'!OB12=0,"",IFERROR('Report History'!OB12,""))</f>
        <v/>
      </c>
      <c r="BU112" s="222" t="str">
        <f>IF('Report History'!OC12=0,"",IFERROR('Report History'!OC12,""))</f>
        <v/>
      </c>
      <c r="BV112" s="223" t="str">
        <f>IF('Report History'!OD12=0,"",IFERROR('Report History'!OD12,""))</f>
        <v/>
      </c>
      <c r="BW112" s="224" t="str">
        <f>IF('Report History'!OE12=0,"",IFERROR('Report History'!OE12,""))</f>
        <v/>
      </c>
      <c r="BX112" s="217" t="str">
        <f>IF('Report History'!OF12=0,"",IFERROR('Report History'!OF12,""))</f>
        <v/>
      </c>
      <c r="BY112" s="218" t="str">
        <f>IF('Report History'!OG12=0,"",IFERROR('Report History'!OG12,""))</f>
        <v/>
      </c>
      <c r="BZ112" s="222" t="str">
        <f>IF('Report History'!OH12=0,"",IFERROR('Report History'!OH12,""))</f>
        <v/>
      </c>
      <c r="CA112" s="223" t="str">
        <f>IF('Report History'!OI12=0,"",IFERROR('Report History'!OI12,""))</f>
        <v/>
      </c>
      <c r="CB112" s="224" t="str">
        <f>IF('Report History'!OJ12=0,"",IFERROR('Report History'!OJ12,""))</f>
        <v/>
      </c>
      <c r="CC112" s="217" t="str">
        <f>IF('Report History'!OK12=0,"",IFERROR('Report History'!OK12,""))</f>
        <v>PINK</v>
      </c>
      <c r="CD112" s="218" t="str">
        <f>IF('Report History'!OL12=0,"",IFERROR('Report History'!OL12,""))</f>
        <v/>
      </c>
      <c r="CE112" s="222">
        <f>IF('Report History'!OM12=0,"",IFERROR('Report History'!OM12,""))</f>
        <v>35636</v>
      </c>
      <c r="CF112" s="223" t="str">
        <f>IF('Report History'!ON12=0,"",IFERROR('Report History'!ON12,""))</f>
        <v/>
      </c>
      <c r="CG112" s="224" t="str">
        <f>IF('Report History'!OO12=0,"",IFERROR('Report History'!OO12,""))</f>
        <v/>
      </c>
      <c r="CH112" s="217" t="str">
        <f>IF('Report History'!OP12=0,"",IFERROR('Report History'!OP12,""))</f>
        <v>YELLOW</v>
      </c>
      <c r="CI112" s="218" t="str">
        <f>IF('Report History'!OQ12=0,"",IFERROR('Report History'!OQ12,""))</f>
        <v/>
      </c>
      <c r="CJ112" s="222">
        <f>IF('Report History'!OR12=0,"",IFERROR('Report History'!OR12,""))</f>
        <v>26727</v>
      </c>
      <c r="CK112" s="223" t="str">
        <f>IF('Report History'!OS12=0,"",IFERROR('Report History'!OS12,""))</f>
        <v/>
      </c>
      <c r="CL112" s="224" t="str">
        <f>IF('Report History'!OT12=0,"",IFERROR('Report History'!OT12,""))</f>
        <v/>
      </c>
      <c r="CM112" s="217" t="str">
        <f>IF('Report History'!OU12=0,"",IFERROR('Report History'!OU12,""))</f>
        <v>VIOLET</v>
      </c>
      <c r="CN112" s="218" t="str">
        <f>IF('Report History'!OV12=0,"",IFERROR('Report History'!OV12,""))</f>
        <v/>
      </c>
      <c r="CO112" s="222">
        <f>IF('Report History'!OW12=0,"",IFERROR('Report History'!OW12,""))</f>
        <v>44545</v>
      </c>
      <c r="CP112" s="223" t="str">
        <f>IF('Report History'!OX12=0,"",IFERROR('Report History'!OX12,""))</f>
        <v/>
      </c>
      <c r="CQ112" s="224" t="str">
        <f>IF('Report History'!OY12=0,"",IFERROR('Report History'!OY12,""))</f>
        <v/>
      </c>
      <c r="CR112" s="217" t="str">
        <f>IF('Report History'!OZ12=0,"",IFERROR('Report History'!OZ12,""))</f>
        <v>GREEN</v>
      </c>
      <c r="CS112" s="218" t="str">
        <f>IF('Report History'!PA12=0,"",IFERROR('Report History'!PA12,""))</f>
        <v/>
      </c>
      <c r="CT112" s="222">
        <f>IF('Report History'!PB12=0,"",IFERROR('Report History'!PB12,""))</f>
        <v>57687</v>
      </c>
      <c r="CU112" s="223" t="str">
        <f>IF('Report History'!PC12=0,"",IFERROR('Report History'!PC12,""))</f>
        <v/>
      </c>
      <c r="CV112" s="224" t="str">
        <f>IF('Report History'!PD12=0,"",IFERROR('Report History'!PD12,""))</f>
        <v/>
      </c>
      <c r="CW112" s="217" t="str">
        <f>IF('Report History'!PE12=0,"",IFERROR('Report History'!PE12,""))</f>
        <v>ORANGE</v>
      </c>
      <c r="CX112" s="218" t="str">
        <f>IF('Report History'!PF12=0,"",IFERROR('Report History'!PF12,""))</f>
        <v/>
      </c>
      <c r="CY112" s="222">
        <f>IF('Report History'!PG12=0,"",IFERROR('Report History'!PG12,""))</f>
        <v>22272.5</v>
      </c>
      <c r="CZ112" s="223" t="str">
        <f>IF('Report History'!PH12=0,"",IFERROR('Report History'!PH12,""))</f>
        <v/>
      </c>
      <c r="DA112" s="224" t="str">
        <f>IF('Report History'!PI12=0,"",IFERROR('Report History'!PI12,""))</f>
        <v/>
      </c>
      <c r="DB112" s="217" t="str">
        <f>IF('Report History'!PJ12=0,"",IFERROR('Report History'!PJ12,""))</f>
        <v>BLUE</v>
      </c>
      <c r="DC112" s="218" t="str">
        <f>IF('Report History'!PK12=0,"",IFERROR('Report History'!PK12,""))</f>
        <v/>
      </c>
      <c r="DD112" s="222">
        <f>IF('Report History'!PL12=0,"",IFERROR('Report History'!PL12,""))</f>
        <v>35636</v>
      </c>
      <c r="DE112" s="223" t="str">
        <f>IF('Report History'!PM12=0,"",IFERROR('Report History'!PM12,""))</f>
        <v/>
      </c>
      <c r="DF112" s="224" t="str">
        <f>IF('Report History'!PN12=0,"",IFERROR('Report History'!PN12,""))</f>
        <v/>
      </c>
      <c r="DG112" s="217" t="str">
        <f>IF('Report History'!PO12=0,"",IFERROR('Report History'!PO12,""))</f>
        <v/>
      </c>
      <c r="DH112" s="218" t="str">
        <f>IF('Report History'!PP12=0,"",IFERROR('Report History'!PP12,""))</f>
        <v/>
      </c>
      <c r="DI112" s="222" t="str">
        <f>IF('Report History'!PQ12=0,"",IFERROR('Report History'!PQ12,""))</f>
        <v/>
      </c>
      <c r="DJ112" s="223" t="str">
        <f>IF('Report History'!PR12=0,"",IFERROR('Report History'!PR12,""))</f>
        <v/>
      </c>
      <c r="DK112" s="224" t="str">
        <f>IF('Report History'!PS12=0,"",IFERROR('Report History'!PS12,""))</f>
        <v/>
      </c>
      <c r="DL112" s="217" t="str">
        <f>IF('Report History'!PT12=0,"",IFERROR('Report History'!PT12,""))</f>
        <v>PINK</v>
      </c>
      <c r="DM112" s="218" t="str">
        <f>IF('Report History'!PU12=0,"",IFERROR('Report History'!PU12,""))</f>
        <v/>
      </c>
      <c r="DN112" s="222">
        <f>IF('Report History'!PV12=0,"",IFERROR('Report History'!PV12,""))</f>
        <v>35636</v>
      </c>
      <c r="DO112" s="223" t="str">
        <f>IF('Report History'!PW12=0,"",IFERROR('Report History'!PW12,""))</f>
        <v/>
      </c>
      <c r="DP112" s="224" t="str">
        <f>IF('Report History'!PX12=0,"",IFERROR('Report History'!PX12,""))</f>
        <v/>
      </c>
      <c r="DQ112" s="217" t="str">
        <f>IF('Report History'!PY12=0,"",IFERROR('Report History'!PY12,""))</f>
        <v>YELLOW</v>
      </c>
      <c r="DR112" s="218" t="str">
        <f>IF('Report History'!PZ12=0,"",IFERROR('Report History'!PZ12,""))</f>
        <v/>
      </c>
      <c r="DS112" s="222">
        <f>IF('Report History'!QA12=0,"",IFERROR('Report History'!QA12,""))</f>
        <v>14069</v>
      </c>
      <c r="DT112" s="223" t="str">
        <f>IF('Report History'!QB12=0,"",IFERROR('Report History'!QB12,""))</f>
        <v/>
      </c>
      <c r="DU112" s="224" t="str">
        <f>IF('Report History'!QC12=0,"",IFERROR('Report History'!QC12,""))</f>
        <v/>
      </c>
      <c r="DV112" s="217" t="str">
        <f>IF('Report History'!QD12=0,"",IFERROR('Report History'!QD12,""))</f>
        <v>VIOLET</v>
      </c>
      <c r="DW112" s="218" t="str">
        <f>IF('Report History'!QE12=0,"",IFERROR('Report History'!QE12,""))</f>
        <v/>
      </c>
      <c r="DX112" s="222">
        <f>IF('Report History'!QF12=0,"",IFERROR('Report History'!QF12,""))</f>
        <v>59340</v>
      </c>
      <c r="DY112" s="223" t="str">
        <f>IF('Report History'!QG12=0,"",IFERROR('Report History'!QG12,""))</f>
        <v/>
      </c>
      <c r="DZ112" s="224" t="str">
        <f>IF('Report History'!QH12=0,"",IFERROR('Report History'!QH12,""))</f>
        <v/>
      </c>
      <c r="EA112" s="217" t="str">
        <f>IF('Report History'!QI12=0,"",IFERROR('Report History'!QI12,""))</f>
        <v>GREEN</v>
      </c>
      <c r="EB112" s="218" t="str">
        <f>IF('Report History'!QJ12=0,"",IFERROR('Report History'!QJ12,""))</f>
        <v/>
      </c>
      <c r="EC112" s="222">
        <f>IF('Report History'!QK12=0,"",IFERROR('Report History'!QK12,""))</f>
        <v>87236</v>
      </c>
      <c r="ED112" s="223" t="str">
        <f>IF('Report History'!QL12=0,"",IFERROR('Report History'!QL12,""))</f>
        <v/>
      </c>
      <c r="EE112" s="224" t="str">
        <f>IF('Report History'!QM12=0,"",IFERROR('Report History'!QM12,""))</f>
        <v/>
      </c>
      <c r="EF112" s="217" t="str">
        <f>IF('Report History'!QN12=0,"",IFERROR('Report History'!QN12,""))</f>
        <v>GREEN</v>
      </c>
      <c r="EG112" s="218" t="str">
        <f>IF('Report History'!QO12=0,"",IFERROR('Report History'!QO12,""))</f>
        <v/>
      </c>
      <c r="EH112" s="222">
        <f>IF('Report History'!QP12=0,"",IFERROR('Report History'!QP12,""))</f>
        <v>87236</v>
      </c>
      <c r="EI112" s="223" t="str">
        <f>IF('Report History'!QQ12=0,"",IFERROR('Report History'!QQ12,""))</f>
        <v/>
      </c>
      <c r="EJ112" s="224" t="str">
        <f>IF('Report History'!QR12=0,"",IFERROR('Report History'!QR12,""))</f>
        <v/>
      </c>
      <c r="EK112" s="217" t="str">
        <f>IF('Report History'!QS12=0,"",IFERROR('Report History'!QS12,""))</f>
        <v>ORANGE</v>
      </c>
      <c r="EL112" s="218" t="str">
        <f>IF('Report History'!QT12=0,"",IFERROR('Report History'!QT12,""))</f>
        <v/>
      </c>
      <c r="EM112" s="222">
        <f>IF('Report History'!QU12=0,"",IFERROR('Report History'!QU12,""))</f>
        <v>106243.5</v>
      </c>
      <c r="EN112" s="223" t="str">
        <f>IF('Report History'!QV12=0,"",IFERROR('Report History'!QV12,""))</f>
        <v/>
      </c>
      <c r="EO112" s="224" t="str">
        <f>IF('Report History'!QW12=0,"",IFERROR('Report History'!QW12,""))</f>
        <v/>
      </c>
      <c r="EP112" s="217" t="str">
        <f>IF('Report History'!QX12=0,"",IFERROR('Report History'!QX12,""))</f>
        <v>BLUE</v>
      </c>
      <c r="EQ112" s="218" t="str">
        <f>IF('Report History'!QY12=0,"",IFERROR('Report History'!QY12,""))</f>
        <v/>
      </c>
      <c r="ER112" s="222" t="str">
        <f>IF('Report History'!QZ12=0,"",IFERROR('Report History'!QZ12,""))</f>
        <v/>
      </c>
      <c r="ES112" s="223" t="str">
        <f>IF('Report History'!RA12=0,"",IFERROR('Report History'!RA12,""))</f>
        <v/>
      </c>
      <c r="ET112" s="224" t="str">
        <f>IF('Report History'!RB12=0,"",IFERROR('Report History'!RB12,""))</f>
        <v/>
      </c>
      <c r="EU112" s="217" t="str">
        <f>IF('Report History'!RC12=0,"",IFERROR('Report History'!RC12,""))</f>
        <v/>
      </c>
      <c r="EV112" s="218" t="str">
        <f>IF('Report History'!RD12=0,"",IFERROR('Report History'!RD12,""))</f>
        <v/>
      </c>
      <c r="EW112" s="222" t="str">
        <f>IF('Report History'!RE12=0,"",IFERROR('Report History'!RE12,""))</f>
        <v/>
      </c>
      <c r="EX112" s="223" t="str">
        <f>IF('Report History'!RF12=0,"",IFERROR('Report History'!RF12,""))</f>
        <v/>
      </c>
      <c r="EY112" s="224" t="str">
        <f>IF('Report History'!RG12=0,"",IFERROR('Report History'!RG12,""))</f>
        <v/>
      </c>
      <c r="EZ112" s="217" t="str">
        <f>IF('Report History'!RH12=0,"",IFERROR('Report History'!RH12,""))</f>
        <v>PINK</v>
      </c>
      <c r="FA112" s="218" t="str">
        <f>IF('Report History'!RI12=0,"",IFERROR('Report History'!RI12,""))</f>
        <v/>
      </c>
      <c r="FB112" s="222">
        <f>IF('Report History'!RJ12=0,"",IFERROR('Report History'!RJ12,""))</f>
        <v>57908.5</v>
      </c>
      <c r="FC112" s="223" t="str">
        <f>IF('Report History'!RK12=0,"",IFERROR('Report History'!RK12,""))</f>
        <v/>
      </c>
      <c r="FD112" s="224" t="str">
        <f>IF('Report History'!RL12=0,"",IFERROR('Report History'!RL12,""))</f>
        <v/>
      </c>
      <c r="FE112" s="217" t="str">
        <f>IF('Report History'!RM12=0,"",IFERROR('Report History'!RM12,""))</f>
        <v>YELLOW</v>
      </c>
      <c r="FF112" s="218" t="str">
        <f>IF('Report History'!RN12=0,"",IFERROR('Report History'!RN12,""))</f>
        <v/>
      </c>
      <c r="FG112" s="222">
        <f>IF('Report History'!RO12=0,"",IFERROR('Report History'!RO12,""))</f>
        <v>66817.5</v>
      </c>
      <c r="FH112" s="223" t="str">
        <f>IF('Report History'!RP12=0,"",IFERROR('Report History'!RP12,""))</f>
        <v/>
      </c>
      <c r="FI112" s="224" t="str">
        <f>IF('Report History'!RQ12=0,"",IFERROR('Report History'!RQ12,""))</f>
        <v/>
      </c>
      <c r="FJ112" s="217" t="str">
        <f>IF('Report History'!RR12=0,"",IFERROR('Report History'!RR12,""))</f>
        <v>VIOLET</v>
      </c>
      <c r="FK112" s="218" t="str">
        <f>IF('Report History'!RS12=0,"",IFERROR('Report History'!RS12,""))</f>
        <v/>
      </c>
      <c r="FL112" s="222">
        <f>IF('Report History'!RT12=0,"",IFERROR('Report History'!RT12,""))</f>
        <v>86067</v>
      </c>
      <c r="FM112" s="223" t="str">
        <f>IF('Report History'!RU12=0,"",IFERROR('Report History'!RU12,""))</f>
        <v/>
      </c>
      <c r="FN112" s="224" t="str">
        <f>IF('Report History'!RV12=0,"",IFERROR('Report History'!RV12,""))</f>
        <v/>
      </c>
      <c r="FO112" s="217" t="str">
        <f>IF('Report History'!RW12=0,"",IFERROR('Report History'!RW12,""))</f>
        <v>VIOLET</v>
      </c>
      <c r="FP112" s="218" t="str">
        <f>IF('Report History'!RX12=0,"",IFERROR('Report History'!RX12,""))</f>
        <v/>
      </c>
      <c r="FQ112" s="222">
        <f>IF('Report History'!RY12=0,"",IFERROR('Report History'!RY12,""))</f>
        <v>86067</v>
      </c>
      <c r="FR112" s="223" t="str">
        <f>IF('Report History'!RZ12=0,"",IFERROR('Report History'!RZ12,""))</f>
        <v/>
      </c>
      <c r="FS112" s="224" t="str">
        <f>IF('Report History'!SA12=0,"",IFERROR('Report History'!SA12,""))</f>
        <v/>
      </c>
      <c r="FT112" s="217" t="str">
        <f>IF('Report History'!SB12=0,"",IFERROR('Report History'!SB12,""))</f>
        <v>GREEN</v>
      </c>
      <c r="FU112" s="218" t="str">
        <f>IF('Report History'!SC12=0,"",IFERROR('Report History'!SC12,""))</f>
        <v/>
      </c>
      <c r="FV112" s="222">
        <f>IF('Report History'!SD12=0,"",IFERROR('Report History'!SD12,""))</f>
        <v>44545</v>
      </c>
      <c r="FW112" s="223" t="str">
        <f>IF('Report History'!SE12=0,"",IFERROR('Report History'!SE12,""))</f>
        <v/>
      </c>
      <c r="FX112" s="224" t="str">
        <f>IF('Report History'!SF12=0,"",IFERROR('Report History'!SF12,""))</f>
        <v/>
      </c>
      <c r="FY112" s="217" t="str">
        <f>IF('Report History'!SG12=0,"",IFERROR('Report History'!SG12,""))</f>
        <v>ORANGE</v>
      </c>
      <c r="FZ112" s="218" t="str">
        <f>IF('Report History'!SH12=0,"",IFERROR('Report History'!SH12,""))</f>
        <v/>
      </c>
      <c r="GA112" s="222" t="str">
        <f>IF('Report History'!SI12=0,"",IFERROR('Report History'!SI12,""))</f>
        <v/>
      </c>
      <c r="GB112" s="223" t="str">
        <f>IF('Report History'!SJ12=0,"",IFERROR('Report History'!SJ12,""))</f>
        <v/>
      </c>
      <c r="GC112" s="224" t="str">
        <f>IF('Report History'!SK12=0,"",IFERROR('Report History'!SK12,""))</f>
        <v/>
      </c>
      <c r="GD112" s="217" t="str">
        <f>IF('Report History'!SL12=0,"",IFERROR('Report History'!SL12,""))</f>
        <v>BLUE</v>
      </c>
      <c r="GE112" s="218" t="str">
        <f>IF('Report History'!SM12=0,"",IFERROR('Report History'!SM12,""))</f>
        <v/>
      </c>
      <c r="GF112" s="222" t="str">
        <f>IF('Report History'!SN12=0,"",IFERROR('Report History'!SN12,""))</f>
        <v/>
      </c>
      <c r="GG112" s="223" t="str">
        <f>IF('Report History'!SO12=0,"",IFERROR('Report History'!SO12,""))</f>
        <v/>
      </c>
      <c r="GH112" s="224" t="str">
        <f>IF('Report History'!SP12=0,"",IFERROR('Report History'!SP12,""))</f>
        <v/>
      </c>
      <c r="GI112" s="217" t="str">
        <f>IF('Report History'!SQ12=0,"",IFERROR('Report History'!SQ12,""))</f>
        <v/>
      </c>
      <c r="GJ112" s="218" t="str">
        <f>IF('Report History'!SR12=0,"",IFERROR('Report History'!SR12,""))</f>
        <v/>
      </c>
      <c r="GK112" s="222" t="str">
        <f>IF('Report History'!SS12=0,"",IFERROR('Report History'!SS12,""))</f>
        <v/>
      </c>
      <c r="GL112" s="223" t="str">
        <f>IF('Report History'!ST12=0,"",IFERROR('Report History'!ST12,""))</f>
        <v/>
      </c>
      <c r="GM112" s="224" t="str">
        <f>IF('Report History'!SU12=0,"",IFERROR('Report History'!SU12,""))</f>
        <v/>
      </c>
      <c r="GN112" s="217" t="str">
        <f>IF('Report History'!SV12=0,"",IFERROR('Report History'!SV12,""))</f>
        <v>PINK</v>
      </c>
      <c r="GO112" s="218" t="str">
        <f>IF('Report History'!SW12=0,"",IFERROR('Report History'!SW12,""))</f>
        <v/>
      </c>
      <c r="GP112" s="222">
        <f>IF('Report History'!SX12=0,"",IFERROR('Report History'!SX12,""))</f>
        <v>44545</v>
      </c>
      <c r="GQ112" s="223" t="str">
        <f>IF('Report History'!SY12=0,"",IFERROR('Report History'!SY12,""))</f>
        <v/>
      </c>
      <c r="GR112" s="224" t="str">
        <f>IF('Report History'!SZ12=0,"",IFERROR('Report History'!SZ12,""))</f>
        <v/>
      </c>
      <c r="GS112" s="217" t="str">
        <f>IF('Report History'!TA12=0,"",IFERROR('Report History'!TA12,""))</f>
        <v>YELLOW</v>
      </c>
      <c r="GT112" s="218" t="str">
        <f>IF('Report History'!TB12=0,"",IFERROR('Report History'!TB12,""))</f>
        <v/>
      </c>
      <c r="GU112" s="222">
        <f>IF('Report History'!TC12=0,"",IFERROR('Report History'!TC12,""))</f>
        <v>29549</v>
      </c>
      <c r="GV112" s="223" t="str">
        <f>IF('Report History'!TD12=0,"",IFERROR('Report History'!TD12,""))</f>
        <v/>
      </c>
      <c r="GW112" s="224" t="str">
        <f>IF('Report History'!TE12=0,"",IFERROR('Report History'!TE12,""))</f>
        <v/>
      </c>
      <c r="GX112" s="217" t="str">
        <f>IF('Report History'!TF12=0,"",IFERROR('Report History'!TF12,""))</f>
        <v>VIOLET</v>
      </c>
      <c r="GY112" s="218" t="str">
        <f>IF('Report History'!TG12=0,"",IFERROR('Report History'!TG12,""))</f>
        <v/>
      </c>
      <c r="GZ112" s="222">
        <f>IF('Report History'!TH12=0,"",IFERROR('Report History'!TH12,""))</f>
        <v>30960</v>
      </c>
      <c r="HA112" s="223" t="str">
        <f>IF('Report History'!TI12=0,"",IFERROR('Report History'!TI12,""))</f>
        <v/>
      </c>
      <c r="HB112" s="224" t="str">
        <f>IF('Report History'!TJ12=0,"",IFERROR('Report History'!TJ12,""))</f>
        <v/>
      </c>
      <c r="HC112" s="217" t="str">
        <f>IF('Report History'!TK12=0,"",IFERROR('Report History'!TK12,""))</f>
        <v>GREEN</v>
      </c>
      <c r="HD112" s="218" t="str">
        <f>IF('Report History'!TL12=0,"",IFERROR('Report History'!TL12,""))</f>
        <v/>
      </c>
      <c r="HE112" s="222">
        <f>IF('Report History'!TM12=0,"",IFERROR('Report History'!TM12,""))</f>
        <v>56276</v>
      </c>
      <c r="HF112" s="223" t="str">
        <f>IF('Report History'!TN12=0,"",IFERROR('Report History'!TN12,""))</f>
        <v/>
      </c>
      <c r="HG112" s="224" t="str">
        <f>IF('Report History'!TO12=0,"",IFERROR('Report History'!TO12,""))</f>
        <v/>
      </c>
      <c r="HH112" s="217" t="str">
        <f>IF('Report History'!TP12=0,"",IFERROR('Report History'!TP12,""))</f>
        <v>ORANGE</v>
      </c>
      <c r="HI112" s="218" t="str">
        <f>IF('Report History'!TQ12=0,"",IFERROR('Report History'!TQ12,""))</f>
        <v/>
      </c>
      <c r="HJ112" s="222">
        <f>IF('Report History'!TR12=0,"",IFERROR('Report History'!TR12,""))</f>
        <v>71272</v>
      </c>
      <c r="HK112" s="223" t="str">
        <f>IF('Report History'!TS12=0,"",IFERROR('Report History'!TS12,""))</f>
        <v/>
      </c>
      <c r="HL112" s="224" t="str">
        <f>IF('Report History'!TT12=0,"",IFERROR('Report History'!TT12,""))</f>
        <v/>
      </c>
      <c r="HM112" s="217" t="str">
        <f>IF('Report History'!TU12=0,"",IFERROR('Report History'!TU12,""))</f>
        <v>BLUE</v>
      </c>
      <c r="HN112" s="218" t="str">
        <f>IF('Report History'!TV12=0,"",IFERROR('Report History'!TV12,""))</f>
        <v/>
      </c>
      <c r="HO112" s="222">
        <f>IF('Report History'!TW12=0,"",IFERROR('Report History'!TW12,""))</f>
        <v>62363</v>
      </c>
      <c r="HP112" s="223" t="str">
        <f>IF('Report History'!TX12=0,"",IFERROR('Report History'!TX12,""))</f>
        <v/>
      </c>
      <c r="HQ112" s="224" t="str">
        <f>IF('Report History'!TY12=0,"",IFERROR('Report History'!TY12,""))</f>
        <v/>
      </c>
      <c r="HR112" s="217" t="str">
        <f>IF('Report History'!TZ12=0,"",IFERROR('Report History'!TZ12,""))</f>
        <v/>
      </c>
      <c r="HS112" s="218" t="str">
        <f>IF('Report History'!UA12=0,"",IFERROR('Report History'!UA12,""))</f>
        <v/>
      </c>
      <c r="HT112" s="222" t="str">
        <f>IF('Report History'!UB12=0,"",IFERROR('Report History'!UB12,""))</f>
        <v/>
      </c>
      <c r="HU112" s="223" t="str">
        <f>IF('Report History'!UC12=0,"",IFERROR('Report History'!UC12,""))</f>
        <v/>
      </c>
      <c r="HV112" s="224" t="str">
        <f>IF('Report History'!UD12=0,"",IFERROR('Report History'!UD12,""))</f>
        <v/>
      </c>
      <c r="HW112" s="217" t="str">
        <f>IF('Report History'!UE12=0,"",IFERROR('Report History'!UE12,""))</f>
        <v>PINK</v>
      </c>
      <c r="HX112" s="218" t="str">
        <f>IF('Report History'!UF12=0,"",IFERROR('Report History'!UF12,""))</f>
        <v/>
      </c>
      <c r="HY112" s="222" t="str">
        <f>IF('Report History'!UG12=0,"",IFERROR('Report History'!UG12,""))</f>
        <v/>
      </c>
      <c r="HZ112" s="223" t="str">
        <f>IF('Report History'!UH12=0,"",IFERROR('Report History'!UH12,""))</f>
        <v/>
      </c>
      <c r="IA112" s="224" t="str">
        <f>IF('Report History'!UI12=0,"",IFERROR('Report History'!UI12,""))</f>
        <v/>
      </c>
      <c r="IB112" s="217" t="str">
        <f>IF('Report History'!UJ12=0,"",IFERROR('Report History'!UJ12,""))</f>
        <v>YELLOW</v>
      </c>
      <c r="IC112" s="218" t="str">
        <f>IF('Report History'!UK12=0,"",IFERROR('Report History'!UK12,""))</f>
        <v/>
      </c>
      <c r="ID112" s="222" t="str">
        <f>IF('Report History'!UL12=0,"",IFERROR('Report History'!UL12,""))</f>
        <v/>
      </c>
      <c r="IE112" s="223" t="str">
        <f>IF('Report History'!UM12=0,"",IFERROR('Report History'!UM12,""))</f>
        <v/>
      </c>
      <c r="IF112" s="224" t="str">
        <f>IF('Report History'!UN12=0,"",IFERROR('Report History'!UN12,""))</f>
        <v/>
      </c>
      <c r="IG112" s="217" t="str">
        <f>IF('Report History'!UO12=0,"",IFERROR('Report History'!UO12,""))</f>
        <v>VIOLET</v>
      </c>
      <c r="IH112" s="218" t="str">
        <f>IF('Report History'!UP12=0,"",IFERROR('Report History'!UP12,""))</f>
        <v/>
      </c>
      <c r="II112" s="222">
        <f>IF('Report History'!UQ12=0,"",IFERROR('Report History'!UQ12,""))</f>
        <v>2227.25</v>
      </c>
      <c r="IJ112" s="223" t="str">
        <f>IF('Report History'!UR12=0,"",IFERROR('Report History'!UR12,""))</f>
        <v/>
      </c>
      <c r="IK112" s="224" t="str">
        <f>IF('Report History'!US12=0,"",IFERROR('Report History'!US12,""))</f>
        <v/>
      </c>
      <c r="IL112" s="217" t="str">
        <f>IF('Report History'!UT12=0,"",IFERROR('Report History'!UT12,""))</f>
        <v>GREEN</v>
      </c>
      <c r="IM112" s="218" t="str">
        <f>IF('Report History'!UU12=0,"",IFERROR('Report History'!UU12,""))</f>
        <v/>
      </c>
      <c r="IN112" s="222">
        <f>IF('Report History'!UV12=0,"",IFERROR('Report History'!UV12,""))</f>
        <v>26727</v>
      </c>
      <c r="IO112" s="223" t="str">
        <f>IF('Report History'!UW12=0,"",IFERROR('Report History'!UW12,""))</f>
        <v/>
      </c>
      <c r="IP112" s="224" t="str">
        <f>IF('Report History'!UX12=0,"",IFERROR('Report History'!UX12,""))</f>
        <v/>
      </c>
    </row>
    <row r="113" spans="1:250" x14ac:dyDescent="0.25">
      <c r="A113" s="217" t="str">
        <f>IF('Report History'!LI13=0,"",IFERROR('Report History'!LI13,""))</f>
        <v/>
      </c>
      <c r="B113" s="218" t="str">
        <f>IF('Report History'!LJ13=0,"",IFERROR('Report History'!LJ13,""))</f>
        <v/>
      </c>
      <c r="C113" s="222" t="str">
        <f>IF('Report History'!LK13=0,"",IFERROR('Report History'!LK13,""))</f>
        <v/>
      </c>
      <c r="D113" s="223" t="str">
        <f>IF('Report History'!LL13=0,"",IFERROR('Report History'!LL13,""))</f>
        <v/>
      </c>
      <c r="E113" s="224" t="str">
        <f>IF('Report History'!LM13=0,"",IFERROR('Report History'!LM13,""))</f>
        <v/>
      </c>
      <c r="F113" s="217" t="str">
        <f>IF('Report History'!LN13=0,"",IFERROR('Report History'!LN13,""))</f>
        <v>PINK</v>
      </c>
      <c r="G113" s="218" t="str">
        <f>IF('Report History'!LO13=0,"",IFERROR('Report History'!LO13,""))</f>
        <v/>
      </c>
      <c r="H113" s="222" t="str">
        <f>IF('Report History'!LP13=0,"",IFERROR('Report History'!LP13,""))</f>
        <v/>
      </c>
      <c r="I113" s="223" t="str">
        <f>IF('Report History'!LQ13=0,"",IFERROR('Report History'!LQ13,""))</f>
        <v/>
      </c>
      <c r="J113" s="224" t="str">
        <f>IF('Report History'!LR13=0,"",IFERROR('Report History'!LR13,""))</f>
        <v/>
      </c>
      <c r="K113" s="217" t="str">
        <f>IF('Report History'!LS13=0,"",IFERROR('Report History'!LS13,""))</f>
        <v>YELLOW</v>
      </c>
      <c r="L113" s="218" t="str">
        <f>IF('Report History'!LT13=0,"",IFERROR('Report History'!LT13,""))</f>
        <v/>
      </c>
      <c r="M113" s="222">
        <f>IF('Report History'!LU13=0,"",IFERROR('Report History'!LU13,""))</f>
        <v>7740</v>
      </c>
      <c r="N113" s="223" t="str">
        <f>IF('Report History'!LV13=0,"",IFERROR('Report History'!LV13,""))</f>
        <v/>
      </c>
      <c r="O113" s="224" t="str">
        <f>IF('Report History'!LW13=0,"",IFERROR('Report History'!LW13,""))</f>
        <v/>
      </c>
      <c r="P113" s="217" t="str">
        <f>IF('Report History'!LX13=0,"",IFERROR('Report History'!LX13,""))</f>
        <v>VIOLET</v>
      </c>
      <c r="Q113" s="218" t="str">
        <f>IF('Report History'!LY13=0,"",IFERROR('Report History'!LY13,""))</f>
        <v/>
      </c>
      <c r="R113" s="222" t="str">
        <f>IF('Report History'!LZ13=0,"",IFERROR('Report History'!LZ13,""))</f>
        <v/>
      </c>
      <c r="S113" s="223" t="str">
        <f>IF('Report History'!MA13=0,"",IFERROR('Report History'!MA13,""))</f>
        <v/>
      </c>
      <c r="T113" s="224" t="str">
        <f>IF('Report History'!MB13=0,"",IFERROR('Report History'!MB13,""))</f>
        <v/>
      </c>
      <c r="U113" s="217" t="str">
        <f>IF('Report History'!MC13=0,"",IFERROR('Report History'!MC13,""))</f>
        <v>GREEN</v>
      </c>
      <c r="V113" s="218" t="str">
        <f>IF('Report History'!MD13=0,"",IFERROR('Report History'!MD13,""))</f>
        <v/>
      </c>
      <c r="W113" s="222">
        <f>IF('Report History'!ME13=0,"",IFERROR('Report History'!ME13,""))</f>
        <v>25558</v>
      </c>
      <c r="X113" s="223" t="str">
        <f>IF('Report History'!MF13=0,"",IFERROR('Report History'!MF13,""))</f>
        <v/>
      </c>
      <c r="Y113" s="224" t="str">
        <f>IF('Report History'!MG13=0,"",IFERROR('Report History'!MG13,""))</f>
        <v/>
      </c>
      <c r="Z113" s="217" t="str">
        <f>IF('Report History'!MH13=0,"",IFERROR('Report History'!MH13,""))</f>
        <v>ORANGE</v>
      </c>
      <c r="AA113" s="218" t="str">
        <f>IF('Report History'!MI13=0,"",IFERROR('Report History'!MI13,""))</f>
        <v/>
      </c>
      <c r="AB113" s="222">
        <f>IF('Report History'!MJ13=0,"",IFERROR('Report History'!MJ13,""))</f>
        <v>71272</v>
      </c>
      <c r="AC113" s="223" t="str">
        <f>IF('Report History'!MK13=0,"",IFERROR('Report History'!MK13,""))</f>
        <v/>
      </c>
      <c r="AD113" s="224" t="str">
        <f>IF('Report History'!ML13=0,"",IFERROR('Report History'!ML13,""))</f>
        <v/>
      </c>
      <c r="AE113" s="217" t="str">
        <f>IF('Report History'!MM13=0,"",IFERROR('Report History'!MM13,""))</f>
        <v>BLUE</v>
      </c>
      <c r="AF113" s="218" t="str">
        <f>IF('Report History'!MN13=0,"",IFERROR('Report History'!MN13,""))</f>
        <v/>
      </c>
      <c r="AG113" s="222">
        <f>IF('Report History'!MO13=0,"",IFERROR('Report History'!MO13,""))</f>
        <v>66817.5</v>
      </c>
      <c r="AH113" s="223" t="str">
        <f>IF('Report History'!MP13=0,"",IFERROR('Report History'!MP13,""))</f>
        <v/>
      </c>
      <c r="AI113" s="224" t="str">
        <f>IF('Report History'!MQ13=0,"",IFERROR('Report History'!MQ13,""))</f>
        <v/>
      </c>
      <c r="AJ113" s="217" t="str">
        <f>IF('Report History'!MR13=0,"",IFERROR('Report History'!MR13,""))</f>
        <v/>
      </c>
      <c r="AK113" s="218" t="str">
        <f>IF('Report History'!MS13=0,"",IFERROR('Report History'!MS13,""))</f>
        <v/>
      </c>
      <c r="AL113" s="222" t="str">
        <f>IF('Report History'!MT13=0,"",IFERROR('Report History'!MT13,""))</f>
        <v/>
      </c>
      <c r="AM113" s="223" t="str">
        <f>IF('Report History'!MU13=0,"",IFERROR('Report History'!MU13,""))</f>
        <v/>
      </c>
      <c r="AN113" s="224" t="str">
        <f>IF('Report History'!MV13=0,"",IFERROR('Report History'!MV13,""))</f>
        <v/>
      </c>
      <c r="AO113" s="217" t="str">
        <f>IF('Report History'!MW13=0,"",IFERROR('Report History'!MW13,""))</f>
        <v/>
      </c>
      <c r="AP113" s="218" t="str">
        <f>IF('Report History'!MX13=0,"",IFERROR('Report History'!MX13,""))</f>
        <v/>
      </c>
      <c r="AQ113" s="222" t="str">
        <f>IF('Report History'!MY13=0,"",IFERROR('Report History'!MY13,""))</f>
        <v/>
      </c>
      <c r="AR113" s="223" t="str">
        <f>IF('Report History'!MZ13=0,"",IFERROR('Report History'!MZ13,""))</f>
        <v/>
      </c>
      <c r="AS113" s="224" t="str">
        <f>IF('Report History'!NA13=0,"",IFERROR('Report History'!NA13,""))</f>
        <v/>
      </c>
      <c r="AT113" s="217" t="str">
        <f>IF('Report History'!NB13=0,"",IFERROR('Report History'!NB13,""))</f>
        <v>PINK</v>
      </c>
      <c r="AU113" s="218" t="str">
        <f>IF('Report History'!NC13=0,"",IFERROR('Report History'!NC13,""))</f>
        <v/>
      </c>
      <c r="AV113" s="222">
        <f>IF('Report History'!ND13=0,"",IFERROR('Report History'!ND13,""))</f>
        <v>5160</v>
      </c>
      <c r="AW113" s="223" t="str">
        <f>IF('Report History'!NE13=0,"",IFERROR('Report History'!NE13,""))</f>
        <v/>
      </c>
      <c r="AX113" s="224" t="str">
        <f>IF('Report History'!NF13=0,"",IFERROR('Report History'!NF13,""))</f>
        <v/>
      </c>
      <c r="AY113" s="217" t="str">
        <f>IF('Report History'!NG13=0,"",IFERROR('Report History'!NG13,""))</f>
        <v>YELLOW</v>
      </c>
      <c r="AZ113" s="218" t="str">
        <f>IF('Report History'!NH13=0,"",IFERROR('Report History'!NH13,""))</f>
        <v/>
      </c>
      <c r="BA113" s="222" t="str">
        <f>IF('Report History'!NI13=0,"",IFERROR('Report History'!NI13,""))</f>
        <v/>
      </c>
      <c r="BB113" s="223" t="str">
        <f>IF('Report History'!NJ13=0,"",IFERROR('Report History'!NJ13,""))</f>
        <v/>
      </c>
      <c r="BC113" s="224" t="str">
        <f>IF('Report History'!NK13=0,"",IFERROR('Report History'!NK13,""))</f>
        <v/>
      </c>
      <c r="BD113" s="217" t="str">
        <f>IF('Report History'!NL13=0,"",IFERROR('Report History'!NL13,""))</f>
        <v>VIOLET</v>
      </c>
      <c r="BE113" s="218" t="str">
        <f>IF('Report History'!NM13=0,"",IFERROR('Report History'!NM13,""))</f>
        <v/>
      </c>
      <c r="BF113" s="222">
        <f>IF('Report History'!NN13=0,"",IFERROR('Report History'!NN13,""))</f>
        <v>5160</v>
      </c>
      <c r="BG113" s="223" t="str">
        <f>IF('Report History'!NO13=0,"",IFERROR('Report History'!NO13,""))</f>
        <v/>
      </c>
      <c r="BH113" s="224" t="str">
        <f>IF('Report History'!NP13=0,"",IFERROR('Report History'!NP13,""))</f>
        <v/>
      </c>
      <c r="BI113" s="217" t="str">
        <f>IF('Report History'!NQ13=0,"",IFERROR('Report History'!NQ13,""))</f>
        <v>GREEN</v>
      </c>
      <c r="BJ113" s="218" t="str">
        <f>IF('Report History'!NR13=0,"",IFERROR('Report History'!NR13,""))</f>
        <v/>
      </c>
      <c r="BK113" s="222">
        <f>IF('Report History'!NS13=0,"",IFERROR('Report History'!NS13,""))</f>
        <v>31181.5</v>
      </c>
      <c r="BL113" s="223" t="str">
        <f>IF('Report History'!NT13=0,"",IFERROR('Report History'!NT13,""))</f>
        <v/>
      </c>
      <c r="BM113" s="224" t="str">
        <f>IF('Report History'!NU13=0,"",IFERROR('Report History'!NU13,""))</f>
        <v/>
      </c>
      <c r="BN113" s="217" t="str">
        <f>IF('Report History'!NV13=0,"",IFERROR('Report History'!NV13,""))</f>
        <v>ORANGE</v>
      </c>
      <c r="BO113" s="218" t="str">
        <f>IF('Report History'!NW13=0,"",IFERROR('Report History'!NW13,""))</f>
        <v/>
      </c>
      <c r="BP113" s="222">
        <f>IF('Report History'!NX13=0,"",IFERROR('Report History'!NX13,""))</f>
        <v>66817.5</v>
      </c>
      <c r="BQ113" s="223" t="str">
        <f>IF('Report History'!NY13=0,"",IFERROR('Report History'!NY13,""))</f>
        <v/>
      </c>
      <c r="BR113" s="224" t="str">
        <f>IF('Report History'!NZ13=0,"",IFERROR('Report History'!NZ13,""))</f>
        <v/>
      </c>
      <c r="BS113" s="217" t="str">
        <f>IF('Report History'!OA13=0,"",IFERROR('Report History'!OA13,""))</f>
        <v>BLUE</v>
      </c>
      <c r="BT113" s="218" t="str">
        <f>IF('Report History'!OB13=0,"",IFERROR('Report History'!OB13,""))</f>
        <v/>
      </c>
      <c r="BU113" s="222">
        <f>IF('Report History'!OC13=0,"",IFERROR('Report History'!OC13,""))</f>
        <v>40090.5</v>
      </c>
      <c r="BV113" s="223" t="str">
        <f>IF('Report History'!OD13=0,"",IFERROR('Report History'!OD13,""))</f>
        <v/>
      </c>
      <c r="BW113" s="224" t="str">
        <f>IF('Report History'!OE13=0,"",IFERROR('Report History'!OE13,""))</f>
        <v/>
      </c>
      <c r="BX113" s="217" t="str">
        <f>IF('Report History'!OF13=0,"",IFERROR('Report History'!OF13,""))</f>
        <v>BLUE</v>
      </c>
      <c r="BY113" s="218" t="str">
        <f>IF('Report History'!OG13=0,"",IFERROR('Report History'!OG13,""))</f>
        <v/>
      </c>
      <c r="BZ113" s="222">
        <f>IF('Report History'!OH13=0,"",IFERROR('Report History'!OH13,""))</f>
        <v>40090.5</v>
      </c>
      <c r="CA113" s="223" t="str">
        <f>IF('Report History'!OI13=0,"",IFERROR('Report History'!OI13,""))</f>
        <v/>
      </c>
      <c r="CB113" s="224" t="str">
        <f>IF('Report History'!OJ13=0,"",IFERROR('Report History'!OJ13,""))</f>
        <v/>
      </c>
      <c r="CC113" s="217" t="str">
        <f>IF('Report History'!OK13=0,"",IFERROR('Report History'!OK13,""))</f>
        <v/>
      </c>
      <c r="CD113" s="218" t="str">
        <f>IF('Report History'!OL13=0,"",IFERROR('Report History'!OL13,""))</f>
        <v/>
      </c>
      <c r="CE113" s="222" t="str">
        <f>IF('Report History'!OM13=0,"",IFERROR('Report History'!OM13,""))</f>
        <v/>
      </c>
      <c r="CF113" s="223" t="str">
        <f>IF('Report History'!ON13=0,"",IFERROR('Report History'!ON13,""))</f>
        <v/>
      </c>
      <c r="CG113" s="224" t="str">
        <f>IF('Report History'!OO13=0,"",IFERROR('Report History'!OO13,""))</f>
        <v/>
      </c>
      <c r="CH113" s="217" t="str">
        <f>IF('Report History'!OP13=0,"",IFERROR('Report History'!OP13,""))</f>
        <v>PINK</v>
      </c>
      <c r="CI113" s="218" t="str">
        <f>IF('Report History'!OQ13=0,"",IFERROR('Report History'!OQ13,""))</f>
        <v/>
      </c>
      <c r="CJ113" s="222" t="str">
        <f>IF('Report History'!OR13=0,"",IFERROR('Report History'!OR13,""))</f>
        <v/>
      </c>
      <c r="CK113" s="223" t="str">
        <f>IF('Report History'!OS13=0,"",IFERROR('Report History'!OS13,""))</f>
        <v/>
      </c>
      <c r="CL113" s="224" t="str">
        <f>IF('Report History'!OT13=0,"",IFERROR('Report History'!OT13,""))</f>
        <v/>
      </c>
      <c r="CM113" s="217" t="str">
        <f>IF('Report History'!OU13=0,"",IFERROR('Report History'!OU13,""))</f>
        <v>YELLOW</v>
      </c>
      <c r="CN113" s="218" t="str">
        <f>IF('Report History'!OV13=0,"",IFERROR('Report History'!OV13,""))</f>
        <v/>
      </c>
      <c r="CO113" s="222" t="str">
        <f>IF('Report History'!OW13=0,"",IFERROR('Report History'!OW13,""))</f>
        <v/>
      </c>
      <c r="CP113" s="223" t="str">
        <f>IF('Report History'!OX13=0,"",IFERROR('Report History'!OX13,""))</f>
        <v/>
      </c>
      <c r="CQ113" s="224" t="str">
        <f>IF('Report History'!OY13=0,"",IFERROR('Report History'!OY13,""))</f>
        <v/>
      </c>
      <c r="CR113" s="217" t="str">
        <f>IF('Report History'!OZ13=0,"",IFERROR('Report History'!OZ13,""))</f>
        <v>VIOLET</v>
      </c>
      <c r="CS113" s="218" t="str">
        <f>IF('Report History'!PA13=0,"",IFERROR('Report History'!PA13,""))</f>
        <v/>
      </c>
      <c r="CT113" s="222" t="str">
        <f>IF('Report History'!PB13=0,"",IFERROR('Report History'!PB13,""))</f>
        <v/>
      </c>
      <c r="CU113" s="223" t="str">
        <f>IF('Report History'!PC13=0,"",IFERROR('Report History'!PC13,""))</f>
        <v/>
      </c>
      <c r="CV113" s="224" t="str">
        <f>IF('Report History'!PD13=0,"",IFERROR('Report History'!PD13,""))</f>
        <v/>
      </c>
      <c r="CW113" s="217" t="str">
        <f>IF('Report History'!PE13=0,"",IFERROR('Report History'!PE13,""))</f>
        <v>GREEN</v>
      </c>
      <c r="CX113" s="218" t="str">
        <f>IF('Report History'!PF13=0,"",IFERROR('Report History'!PF13,""))</f>
        <v/>
      </c>
      <c r="CY113" s="222">
        <f>IF('Report History'!PG13=0,"",IFERROR('Report History'!PG13,""))</f>
        <v>51600</v>
      </c>
      <c r="CZ113" s="223" t="str">
        <f>IF('Report History'!PH13=0,"",IFERROR('Report History'!PH13,""))</f>
        <v/>
      </c>
      <c r="DA113" s="224" t="str">
        <f>IF('Report History'!PI13=0,"",IFERROR('Report History'!PI13,""))</f>
        <v/>
      </c>
      <c r="DB113" s="217" t="str">
        <f>IF('Report History'!PJ13=0,"",IFERROR('Report History'!PJ13,""))</f>
        <v>ORANGE</v>
      </c>
      <c r="DC113" s="218" t="str">
        <f>IF('Report History'!PK13=0,"",IFERROR('Report History'!PK13,""))</f>
        <v/>
      </c>
      <c r="DD113" s="222">
        <f>IF('Report History'!PL13=0,"",IFERROR('Report History'!PL13,""))</f>
        <v>53454</v>
      </c>
      <c r="DE113" s="223" t="str">
        <f>IF('Report History'!PM13=0,"",IFERROR('Report History'!PM13,""))</f>
        <v/>
      </c>
      <c r="DF113" s="224" t="str">
        <f>IF('Report History'!PN13=0,"",IFERROR('Report History'!PN13,""))</f>
        <v/>
      </c>
      <c r="DG113" s="217" t="str">
        <f>IF('Report History'!PO13=0,"",IFERROR('Report History'!PO13,""))</f>
        <v>BLUE</v>
      </c>
      <c r="DH113" s="218" t="str">
        <f>IF('Report History'!PP13=0,"",IFERROR('Report History'!PP13,""))</f>
        <v/>
      </c>
      <c r="DI113" s="222">
        <f>IF('Report History'!PQ13=0,"",IFERROR('Report History'!PQ13,""))</f>
        <v>28138</v>
      </c>
      <c r="DJ113" s="223" t="str">
        <f>IF('Report History'!PR13=0,"",IFERROR('Report History'!PR13,""))</f>
        <v/>
      </c>
      <c r="DK113" s="224" t="str">
        <f>IF('Report History'!PS13=0,"",IFERROR('Report History'!PS13,""))</f>
        <v/>
      </c>
      <c r="DL113" s="217" t="str">
        <f>IF('Report History'!PT13=0,"",IFERROR('Report History'!PT13,""))</f>
        <v/>
      </c>
      <c r="DM113" s="218" t="str">
        <f>IF('Report History'!PU13=0,"",IFERROR('Report History'!PU13,""))</f>
        <v/>
      </c>
      <c r="DN113" s="222" t="str">
        <f>IF('Report History'!PV13=0,"",IFERROR('Report History'!PV13,""))</f>
        <v/>
      </c>
      <c r="DO113" s="223" t="str">
        <f>IF('Report History'!PW13=0,"",IFERROR('Report History'!PW13,""))</f>
        <v/>
      </c>
      <c r="DP113" s="224" t="str">
        <f>IF('Report History'!PX13=0,"",IFERROR('Report History'!PX13,""))</f>
        <v/>
      </c>
      <c r="DQ113" s="217" t="str">
        <f>IF('Report History'!PY13=0,"",IFERROR('Report History'!PY13,""))</f>
        <v>PINK</v>
      </c>
      <c r="DR113" s="218" t="str">
        <f>IF('Report History'!PZ13=0,"",IFERROR('Report History'!PZ13,""))</f>
        <v/>
      </c>
      <c r="DS113" s="222" t="str">
        <f>IF('Report History'!QA13=0,"",IFERROR('Report History'!QA13,""))</f>
        <v/>
      </c>
      <c r="DT113" s="223" t="str">
        <f>IF('Report History'!QB13=0,"",IFERROR('Report History'!QB13,""))</f>
        <v/>
      </c>
      <c r="DU113" s="224" t="str">
        <f>IF('Report History'!QC13=0,"",IFERROR('Report History'!QC13,""))</f>
        <v/>
      </c>
      <c r="DV113" s="217" t="str">
        <f>IF('Report History'!QD13=0,"",IFERROR('Report History'!QD13,""))</f>
        <v>YELLOW</v>
      </c>
      <c r="DW113" s="218" t="str">
        <f>IF('Report History'!QE13=0,"",IFERROR('Report History'!QE13,""))</f>
        <v/>
      </c>
      <c r="DX113" s="222" t="str">
        <f>IF('Report History'!QF13=0,"",IFERROR('Report History'!QF13,""))</f>
        <v/>
      </c>
      <c r="DY113" s="223" t="str">
        <f>IF('Report History'!QG13=0,"",IFERROR('Report History'!QG13,""))</f>
        <v/>
      </c>
      <c r="DZ113" s="224" t="str">
        <f>IF('Report History'!QH13=0,"",IFERROR('Report History'!QH13,""))</f>
        <v/>
      </c>
      <c r="EA113" s="217" t="str">
        <f>IF('Report History'!QI13=0,"",IFERROR('Report History'!QI13,""))</f>
        <v>VIOLET</v>
      </c>
      <c r="EB113" s="218" t="str">
        <f>IF('Report History'!QJ13=0,"",IFERROR('Report History'!QJ13,""))</f>
        <v/>
      </c>
      <c r="EC113" s="222" t="str">
        <f>IF('Report History'!QK13=0,"",IFERROR('Report History'!QK13,""))</f>
        <v/>
      </c>
      <c r="ED113" s="223" t="str">
        <f>IF('Report History'!QL13=0,"",IFERROR('Report History'!QL13,""))</f>
        <v/>
      </c>
      <c r="EE113" s="224" t="str">
        <f>IF('Report History'!QM13=0,"",IFERROR('Report History'!QM13,""))</f>
        <v/>
      </c>
      <c r="EF113" s="217" t="str">
        <f>IF('Report History'!QN13=0,"",IFERROR('Report History'!QN13,""))</f>
        <v>VIOLET</v>
      </c>
      <c r="EG113" s="218" t="str">
        <f>IF('Report History'!QO13=0,"",IFERROR('Report History'!QO13,""))</f>
        <v/>
      </c>
      <c r="EH113" s="222" t="str">
        <f>IF('Report History'!QP13=0,"",IFERROR('Report History'!QP13,""))</f>
        <v/>
      </c>
      <c r="EI113" s="223" t="str">
        <f>IF('Report History'!QQ13=0,"",IFERROR('Report History'!QQ13,""))</f>
        <v/>
      </c>
      <c r="EJ113" s="224" t="str">
        <f>IF('Report History'!QR13=0,"",IFERROR('Report History'!QR13,""))</f>
        <v/>
      </c>
      <c r="EK113" s="217" t="str">
        <f>IF('Report History'!QS13=0,"",IFERROR('Report History'!QS13,""))</f>
        <v>GREEN</v>
      </c>
      <c r="EL113" s="218" t="str">
        <f>IF('Report History'!QT13=0,"",IFERROR('Report History'!QT13,""))</f>
        <v/>
      </c>
      <c r="EM113" s="222">
        <f>IF('Report History'!QU13=0,"",IFERROR('Report History'!QU13,""))</f>
        <v>87236</v>
      </c>
      <c r="EN113" s="223" t="str">
        <f>IF('Report History'!QV13=0,"",IFERROR('Report History'!QV13,""))</f>
        <v/>
      </c>
      <c r="EO113" s="224" t="str">
        <f>IF('Report History'!QW13=0,"",IFERROR('Report History'!QW13,""))</f>
        <v/>
      </c>
      <c r="EP113" s="217" t="str">
        <f>IF('Report History'!QX13=0,"",IFERROR('Report History'!QX13,""))</f>
        <v>ORANGE</v>
      </c>
      <c r="EQ113" s="218" t="str">
        <f>IF('Report History'!QY13=0,"",IFERROR('Report History'!QY13,""))</f>
        <v/>
      </c>
      <c r="ER113" s="222">
        <f>IF('Report History'!QZ13=0,"",IFERROR('Report History'!QZ13,""))</f>
        <v>89090</v>
      </c>
      <c r="ES113" s="223" t="str">
        <f>IF('Report History'!RA13=0,"",IFERROR('Report History'!RA13,""))</f>
        <v/>
      </c>
      <c r="ET113" s="224" t="str">
        <f>IF('Report History'!RB13=0,"",IFERROR('Report History'!RB13,""))</f>
        <v/>
      </c>
      <c r="EU113" s="217" t="str">
        <f>IF('Report History'!RC13=0,"",IFERROR('Report History'!RC13,""))</f>
        <v>BLUE</v>
      </c>
      <c r="EV113" s="218" t="str">
        <f>IF('Report History'!RD13=0,"",IFERROR('Report History'!RD13,""))</f>
        <v/>
      </c>
      <c r="EW113" s="222">
        <f>IF('Report History'!RE13=0,"",IFERROR('Report History'!RE13,""))</f>
        <v>32072.400000000001</v>
      </c>
      <c r="EX113" s="223" t="str">
        <f>IF('Report History'!RF13=0,"",IFERROR('Report History'!RF13,""))</f>
        <v/>
      </c>
      <c r="EY113" s="224" t="str">
        <f>IF('Report History'!RG13=0,"",IFERROR('Report History'!RG13,""))</f>
        <v/>
      </c>
      <c r="EZ113" s="217" t="str">
        <f>IF('Report History'!RH13=0,"",IFERROR('Report History'!RH13,""))</f>
        <v/>
      </c>
      <c r="FA113" s="218" t="str">
        <f>IF('Report History'!RI13=0,"",IFERROR('Report History'!RI13,""))</f>
        <v/>
      </c>
      <c r="FB113" s="222" t="str">
        <f>IF('Report History'!RJ13=0,"",IFERROR('Report History'!RJ13,""))</f>
        <v/>
      </c>
      <c r="FC113" s="223" t="str">
        <f>IF('Report History'!RK13=0,"",IFERROR('Report History'!RK13,""))</f>
        <v/>
      </c>
      <c r="FD113" s="224" t="str">
        <f>IF('Report History'!RL13=0,"",IFERROR('Report History'!RL13,""))</f>
        <v/>
      </c>
      <c r="FE113" s="217" t="str">
        <f>IF('Report History'!RM13=0,"",IFERROR('Report History'!RM13,""))</f>
        <v>PINK</v>
      </c>
      <c r="FF113" s="218" t="str">
        <f>IF('Report History'!RN13=0,"",IFERROR('Report History'!RN13,""))</f>
        <v/>
      </c>
      <c r="FG113" s="222" t="str">
        <f>IF('Report History'!RO13=0,"",IFERROR('Report History'!RO13,""))</f>
        <v/>
      </c>
      <c r="FH113" s="223" t="str">
        <f>IF('Report History'!RP13=0,"",IFERROR('Report History'!RP13,""))</f>
        <v/>
      </c>
      <c r="FI113" s="224" t="str">
        <f>IF('Report History'!RQ13=0,"",IFERROR('Report History'!RQ13,""))</f>
        <v/>
      </c>
      <c r="FJ113" s="217" t="str">
        <f>IF('Report History'!RR13=0,"",IFERROR('Report History'!RR13,""))</f>
        <v>YELLOW</v>
      </c>
      <c r="FK113" s="218" t="str">
        <f>IF('Report History'!RS13=0,"",IFERROR('Report History'!RS13,""))</f>
        <v/>
      </c>
      <c r="FL113" s="222" t="str">
        <f>IF('Report History'!RT13=0,"",IFERROR('Report History'!RT13,""))</f>
        <v/>
      </c>
      <c r="FM113" s="223" t="str">
        <f>IF('Report History'!RU13=0,"",IFERROR('Report History'!RU13,""))</f>
        <v/>
      </c>
      <c r="FN113" s="224" t="str">
        <f>IF('Report History'!RV13=0,"",IFERROR('Report History'!RV13,""))</f>
        <v/>
      </c>
      <c r="FO113" s="217" t="str">
        <f>IF('Report History'!RW13=0,"",IFERROR('Report History'!RW13,""))</f>
        <v>YELLOW</v>
      </c>
      <c r="FP113" s="218" t="str">
        <f>IF('Report History'!RX13=0,"",IFERROR('Report History'!RX13,""))</f>
        <v/>
      </c>
      <c r="FQ113" s="222" t="str">
        <f>IF('Report History'!RY13=0,"",IFERROR('Report History'!RY13,""))</f>
        <v/>
      </c>
      <c r="FR113" s="223" t="str">
        <f>IF('Report History'!RZ13=0,"",IFERROR('Report History'!RZ13,""))</f>
        <v/>
      </c>
      <c r="FS113" s="224" t="str">
        <f>IF('Report History'!SA13=0,"",IFERROR('Report History'!SA13,""))</f>
        <v/>
      </c>
      <c r="FT113" s="217" t="str">
        <f>IF('Report History'!SB13=0,"",IFERROR('Report History'!SB13,""))</f>
        <v>VIOLET</v>
      </c>
      <c r="FU113" s="218" t="str">
        <f>IF('Report History'!SC13=0,"",IFERROR('Report History'!SC13,""))</f>
        <v/>
      </c>
      <c r="FV113" s="222">
        <f>IF('Report History'!SD13=0,"",IFERROR('Report History'!SD13,""))</f>
        <v>12900</v>
      </c>
      <c r="FW113" s="223" t="str">
        <f>IF('Report History'!SE13=0,"",IFERROR('Report History'!SE13,""))</f>
        <v/>
      </c>
      <c r="FX113" s="224" t="str">
        <f>IF('Report History'!SF13=0,"",IFERROR('Report History'!SF13,""))</f>
        <v/>
      </c>
      <c r="FY113" s="217" t="str">
        <f>IF('Report History'!SG13=0,"",IFERROR('Report History'!SG13,""))</f>
        <v>GREEN</v>
      </c>
      <c r="FZ113" s="218" t="str">
        <f>IF('Report History'!SH13=0,"",IFERROR('Report History'!SH13,""))</f>
        <v/>
      </c>
      <c r="GA113" s="222">
        <f>IF('Report History'!SI13=0,"",IFERROR('Report History'!SI13,""))</f>
        <v>21103.5</v>
      </c>
      <c r="GB113" s="223" t="str">
        <f>IF('Report History'!SJ13=0,"",IFERROR('Report History'!SJ13,""))</f>
        <v/>
      </c>
      <c r="GC113" s="224" t="str">
        <f>IF('Report History'!SK13=0,"",IFERROR('Report History'!SK13,""))</f>
        <v/>
      </c>
      <c r="GD113" s="217" t="str">
        <f>IF('Report History'!SL13=0,"",IFERROR('Report History'!SL13,""))</f>
        <v>ORANGE</v>
      </c>
      <c r="GE113" s="218" t="str">
        <f>IF('Report History'!SM13=0,"",IFERROR('Report History'!SM13,""))</f>
        <v/>
      </c>
      <c r="GF113" s="222">
        <f>IF('Report History'!SN13=0,"",IFERROR('Report History'!SN13,""))</f>
        <v>44545</v>
      </c>
      <c r="GG113" s="223" t="str">
        <f>IF('Report History'!SO13=0,"",IFERROR('Report History'!SO13,""))</f>
        <v/>
      </c>
      <c r="GH113" s="224" t="str">
        <f>IF('Report History'!SP13=0,"",IFERROR('Report History'!SP13,""))</f>
        <v/>
      </c>
      <c r="GI113" s="217" t="str">
        <f>IF('Report History'!SQ13=0,"",IFERROR('Report History'!SQ13,""))</f>
        <v>BLUE</v>
      </c>
      <c r="GJ113" s="218" t="str">
        <f>IF('Report History'!SR13=0,"",IFERROR('Report History'!SR13,""))</f>
        <v/>
      </c>
      <c r="GK113" s="222">
        <f>IF('Report History'!SS13=0,"",IFERROR('Report History'!SS13,""))</f>
        <v>53454</v>
      </c>
      <c r="GL113" s="223" t="str">
        <f>IF('Report History'!ST13=0,"",IFERROR('Report History'!ST13,""))</f>
        <v/>
      </c>
      <c r="GM113" s="224" t="str">
        <f>IF('Report History'!SU13=0,"",IFERROR('Report History'!SU13,""))</f>
        <v/>
      </c>
      <c r="GN113" s="217" t="str">
        <f>IF('Report History'!SV13=0,"",IFERROR('Report History'!SV13,""))</f>
        <v/>
      </c>
      <c r="GO113" s="218" t="str">
        <f>IF('Report History'!SW13=0,"",IFERROR('Report History'!SW13,""))</f>
        <v/>
      </c>
      <c r="GP113" s="222" t="str">
        <f>IF('Report History'!SX13=0,"",IFERROR('Report History'!SX13,""))</f>
        <v/>
      </c>
      <c r="GQ113" s="223" t="str">
        <f>IF('Report History'!SY13=0,"",IFERROR('Report History'!SY13,""))</f>
        <v/>
      </c>
      <c r="GR113" s="224" t="str">
        <f>IF('Report History'!SZ13=0,"",IFERROR('Report History'!SZ13,""))</f>
        <v/>
      </c>
      <c r="GS113" s="217" t="str">
        <f>IF('Report History'!TA13=0,"",IFERROR('Report History'!TA13,""))</f>
        <v>PINK</v>
      </c>
      <c r="GT113" s="218" t="str">
        <f>IF('Report History'!TB13=0,"",IFERROR('Report History'!TB13,""))</f>
        <v/>
      </c>
      <c r="GU113" s="222" t="str">
        <f>IF('Report History'!TC13=0,"",IFERROR('Report History'!TC13,""))</f>
        <v/>
      </c>
      <c r="GV113" s="223" t="str">
        <f>IF('Report History'!TD13=0,"",IFERROR('Report History'!TD13,""))</f>
        <v/>
      </c>
      <c r="GW113" s="224" t="str">
        <f>IF('Report History'!TE13=0,"",IFERROR('Report History'!TE13,""))</f>
        <v/>
      </c>
      <c r="GX113" s="217" t="str">
        <f>IF('Report History'!TF13=0,"",IFERROR('Report History'!TF13,""))</f>
        <v>YELLOW</v>
      </c>
      <c r="GY113" s="218" t="str">
        <f>IF('Report History'!TG13=0,"",IFERROR('Report History'!TG13,""))</f>
        <v/>
      </c>
      <c r="GZ113" s="222">
        <f>IF('Report History'!TH13=0,"",IFERROR('Report History'!TH13,""))</f>
        <v>5160</v>
      </c>
      <c r="HA113" s="223" t="str">
        <f>IF('Report History'!TI13=0,"",IFERROR('Report History'!TI13,""))</f>
        <v/>
      </c>
      <c r="HB113" s="224" t="str">
        <f>IF('Report History'!TJ13=0,"",IFERROR('Report History'!TJ13,""))</f>
        <v/>
      </c>
      <c r="HC113" s="217" t="str">
        <f>IF('Report History'!TK13=0,"",IFERROR('Report History'!TK13,""))</f>
        <v>VIOLET</v>
      </c>
      <c r="HD113" s="218" t="str">
        <f>IF('Report History'!TL13=0,"",IFERROR('Report History'!TL13,""))</f>
        <v/>
      </c>
      <c r="HE113" s="222" t="str">
        <f>IF('Report History'!TM13=0,"",IFERROR('Report History'!TM13,""))</f>
        <v/>
      </c>
      <c r="HF113" s="223" t="str">
        <f>IF('Report History'!TN13=0,"",IFERROR('Report History'!TN13,""))</f>
        <v/>
      </c>
      <c r="HG113" s="224" t="str">
        <f>IF('Report History'!TO13=0,"",IFERROR('Report History'!TO13,""))</f>
        <v/>
      </c>
      <c r="HH113" s="217" t="str">
        <f>IF('Report History'!TP13=0,"",IFERROR('Report History'!TP13,""))</f>
        <v>GREEN</v>
      </c>
      <c r="HI113" s="218" t="str">
        <f>IF('Report History'!TQ13=0,"",IFERROR('Report History'!TQ13,""))</f>
        <v/>
      </c>
      <c r="HJ113" s="222">
        <f>IF('Report History'!TR13=0,"",IFERROR('Report History'!TR13,""))</f>
        <v>26969</v>
      </c>
      <c r="HK113" s="223" t="str">
        <f>IF('Report History'!TS13=0,"",IFERROR('Report History'!TS13,""))</f>
        <v/>
      </c>
      <c r="HL113" s="224" t="str">
        <f>IF('Report History'!TT13=0,"",IFERROR('Report History'!TT13,""))</f>
        <v/>
      </c>
      <c r="HM113" s="217" t="str">
        <f>IF('Report History'!TU13=0,"",IFERROR('Report History'!TU13,""))</f>
        <v>ORANGE</v>
      </c>
      <c r="HN113" s="218" t="str">
        <f>IF('Report History'!TV13=0,"",IFERROR('Report History'!TV13,""))</f>
        <v/>
      </c>
      <c r="HO113" s="222">
        <f>IF('Report History'!TW13=0,"",IFERROR('Report History'!TW13,""))</f>
        <v>44545</v>
      </c>
      <c r="HP113" s="223" t="str">
        <f>IF('Report History'!TX13=0,"",IFERROR('Report History'!TX13,""))</f>
        <v/>
      </c>
      <c r="HQ113" s="224" t="str">
        <f>IF('Report History'!TY13=0,"",IFERROR('Report History'!TY13,""))</f>
        <v/>
      </c>
      <c r="HR113" s="217" t="str">
        <f>IF('Report History'!TZ13=0,"",IFERROR('Report History'!TZ13,""))</f>
        <v>BLUE</v>
      </c>
      <c r="HS113" s="218" t="str">
        <f>IF('Report History'!UA13=0,"",IFERROR('Report History'!UA13,""))</f>
        <v/>
      </c>
      <c r="HT113" s="222">
        <f>IF('Report History'!UB13=0,"",IFERROR('Report History'!UB13,""))</f>
        <v>62363</v>
      </c>
      <c r="HU113" s="223" t="str">
        <f>IF('Report History'!UC13=0,"",IFERROR('Report History'!UC13,""))</f>
        <v/>
      </c>
      <c r="HV113" s="224" t="str">
        <f>IF('Report History'!UD13=0,"",IFERROR('Report History'!UD13,""))</f>
        <v/>
      </c>
      <c r="HW113" s="217" t="str">
        <f>IF('Report History'!UE13=0,"",IFERROR('Report History'!UE13,""))</f>
        <v/>
      </c>
      <c r="HX113" s="218" t="str">
        <f>IF('Report History'!UF13=0,"",IFERROR('Report History'!UF13,""))</f>
        <v/>
      </c>
      <c r="HY113" s="222" t="str">
        <f>IF('Report History'!UG13=0,"",IFERROR('Report History'!UG13,""))</f>
        <v/>
      </c>
      <c r="HZ113" s="223" t="str">
        <f>IF('Report History'!UH13=0,"",IFERROR('Report History'!UH13,""))</f>
        <v/>
      </c>
      <c r="IA113" s="224" t="str">
        <f>IF('Report History'!UI13=0,"",IFERROR('Report History'!UI13,""))</f>
        <v/>
      </c>
      <c r="IB113" s="217" t="str">
        <f>IF('Report History'!UJ13=0,"",IFERROR('Report History'!UJ13,""))</f>
        <v>PINK</v>
      </c>
      <c r="IC113" s="218" t="str">
        <f>IF('Report History'!UK13=0,"",IFERROR('Report History'!UK13,""))</f>
        <v/>
      </c>
      <c r="ID113" s="222">
        <f>IF('Report History'!UL13=0,"",IFERROR('Report History'!UL13,""))</f>
        <v>4454.5</v>
      </c>
      <c r="IE113" s="223" t="str">
        <f>IF('Report History'!UM13=0,"",IFERROR('Report History'!UM13,""))</f>
        <v/>
      </c>
      <c r="IF113" s="224" t="str">
        <f>IF('Report History'!UN13=0,"",IFERROR('Report History'!UN13,""))</f>
        <v/>
      </c>
      <c r="IG113" s="217" t="str">
        <f>IF('Report History'!UO13=0,"",IFERROR('Report History'!UO13,""))</f>
        <v>YELLOW</v>
      </c>
      <c r="IH113" s="218" t="str">
        <f>IF('Report History'!UP13=0,"",IFERROR('Report History'!UP13,""))</f>
        <v/>
      </c>
      <c r="II113" s="222" t="str">
        <f>IF('Report History'!UQ13=0,"",IFERROR('Report History'!UQ13,""))</f>
        <v/>
      </c>
      <c r="IJ113" s="223" t="str">
        <f>IF('Report History'!UR13=0,"",IFERROR('Report History'!UR13,""))</f>
        <v/>
      </c>
      <c r="IK113" s="224" t="str">
        <f>IF('Report History'!US13=0,"",IFERROR('Report History'!US13,""))</f>
        <v/>
      </c>
      <c r="IL113" s="217" t="str">
        <f>IF('Report History'!UT13=0,"",IFERROR('Report History'!UT13,""))</f>
        <v>VIOLET</v>
      </c>
      <c r="IM113" s="218" t="str">
        <f>IF('Report History'!UU13=0,"",IFERROR('Report History'!UU13,""))</f>
        <v/>
      </c>
      <c r="IN113" s="222" t="str">
        <f>IF('Report History'!UV13=0,"",IFERROR('Report History'!UV13,""))</f>
        <v/>
      </c>
      <c r="IO113" s="223" t="str">
        <f>IF('Report History'!UW13=0,"",IFERROR('Report History'!UW13,""))</f>
        <v/>
      </c>
      <c r="IP113" s="224" t="str">
        <f>IF('Report History'!UX13=0,"",IFERROR('Report History'!UX13,""))</f>
        <v/>
      </c>
    </row>
    <row r="114" spans="1:250" ht="14.4" thickBot="1" x14ac:dyDescent="0.3">
      <c r="A114" s="215" t="str">
        <f>IF('Report History'!LI14=0,"",IFERROR('Report History'!LI14,""))</f>
        <v>BLUE</v>
      </c>
      <c r="B114" s="216" t="str">
        <f>IF('Report History'!LJ14=0,"",IFERROR('Report History'!LJ14,""))</f>
        <v/>
      </c>
      <c r="C114" s="225">
        <f>IF('Report History'!LK14=0,"",IFERROR('Report History'!LK14,""))</f>
        <v>4454.5</v>
      </c>
      <c r="D114" s="226" t="str">
        <f>IF('Report History'!LL14=0,"",IFERROR('Report History'!LL14,""))</f>
        <v/>
      </c>
      <c r="E114" s="227" t="str">
        <f>IF('Report History'!LM14=0,"",IFERROR('Report History'!LM14,""))</f>
        <v/>
      </c>
      <c r="F114" s="215" t="str">
        <f>IF('Report History'!LN14=0,"",IFERROR('Report History'!LN14,""))</f>
        <v/>
      </c>
      <c r="G114" s="216" t="str">
        <f>IF('Report History'!LO14=0,"",IFERROR('Report History'!LO14,""))</f>
        <v/>
      </c>
      <c r="H114" s="225" t="str">
        <f>IF('Report History'!LP14=0,"",IFERROR('Report History'!LP14,""))</f>
        <v/>
      </c>
      <c r="I114" s="226" t="str">
        <f>IF('Report History'!LQ14=0,"",IFERROR('Report History'!LQ14,""))</f>
        <v/>
      </c>
      <c r="J114" s="227" t="str">
        <f>IF('Report History'!LR14=0,"",IFERROR('Report History'!LR14,""))</f>
        <v/>
      </c>
      <c r="K114" s="215" t="str">
        <f>IF('Report History'!LS14=0,"",IFERROR('Report History'!LS14,""))</f>
        <v>PINK</v>
      </c>
      <c r="L114" s="216" t="str">
        <f>IF('Report History'!LT14=0,"",IFERROR('Report History'!LT14,""))</f>
        <v/>
      </c>
      <c r="M114" s="225" t="str">
        <f>IF('Report History'!LU14=0,"",IFERROR('Report History'!LU14,""))</f>
        <v/>
      </c>
      <c r="N114" s="226" t="str">
        <f>IF('Report History'!LV14=0,"",IFERROR('Report History'!LV14,""))</f>
        <v/>
      </c>
      <c r="O114" s="227" t="str">
        <f>IF('Report History'!LW14=0,"",IFERROR('Report History'!LW14,""))</f>
        <v/>
      </c>
      <c r="P114" s="215" t="str">
        <f>IF('Report History'!LX14=0,"",IFERROR('Report History'!LX14,""))</f>
        <v>YELLOW</v>
      </c>
      <c r="Q114" s="216" t="str">
        <f>IF('Report History'!LY14=0,"",IFERROR('Report History'!LY14,""))</f>
        <v/>
      </c>
      <c r="R114" s="225" t="str">
        <f>IF('Report History'!LZ14=0,"",IFERROR('Report History'!LZ14,""))</f>
        <v/>
      </c>
      <c r="S114" s="226" t="str">
        <f>IF('Report History'!MA14=0,"",IFERROR('Report History'!MA14,""))</f>
        <v/>
      </c>
      <c r="T114" s="227" t="str">
        <f>IF('Report History'!MB14=0,"",IFERROR('Report History'!MB14,""))</f>
        <v/>
      </c>
      <c r="U114" s="215" t="str">
        <f>IF('Report History'!MC14=0,"",IFERROR('Report History'!MC14,""))</f>
        <v>VIOLET</v>
      </c>
      <c r="V114" s="216" t="str">
        <f>IF('Report History'!MD14=0,"",IFERROR('Report History'!MD14,""))</f>
        <v/>
      </c>
      <c r="W114" s="225" t="str">
        <f>IF('Report History'!ME14=0,"",IFERROR('Report History'!ME14,""))</f>
        <v/>
      </c>
      <c r="X114" s="226" t="str">
        <f>IF('Report History'!MF14=0,"",IFERROR('Report History'!MF14,""))</f>
        <v/>
      </c>
      <c r="Y114" s="227" t="str">
        <f>IF('Report History'!MG14=0,"",IFERROR('Report History'!MG14,""))</f>
        <v/>
      </c>
      <c r="Z114" s="215" t="str">
        <f>IF('Report History'!MH14=0,"",IFERROR('Report History'!MH14,""))</f>
        <v>GREEN</v>
      </c>
      <c r="AA114" s="216" t="str">
        <f>IF('Report History'!MI14=0,"",IFERROR('Report History'!MI14,""))</f>
        <v/>
      </c>
      <c r="AB114" s="225" t="str">
        <f>IF('Report History'!MJ14=0,"",IFERROR('Report History'!MJ14,""))</f>
        <v/>
      </c>
      <c r="AC114" s="226" t="str">
        <f>IF('Report History'!MK14=0,"",IFERROR('Report History'!MK14,""))</f>
        <v/>
      </c>
      <c r="AD114" s="227" t="str">
        <f>IF('Report History'!ML14=0,"",IFERROR('Report History'!ML14,""))</f>
        <v/>
      </c>
      <c r="AE114" s="215" t="str">
        <f>IF('Report History'!MM14=0,"",IFERROR('Report History'!MM14,""))</f>
        <v>ORANGE</v>
      </c>
      <c r="AF114" s="216" t="str">
        <f>IF('Report History'!MN14=0,"",IFERROR('Report History'!MN14,""))</f>
        <v/>
      </c>
      <c r="AG114" s="225">
        <f>IF('Report History'!MO14=0,"",IFERROR('Report History'!MO14,""))</f>
        <v>57908.5</v>
      </c>
      <c r="AH114" s="226" t="str">
        <f>IF('Report History'!MP14=0,"",IFERROR('Report History'!MP14,""))</f>
        <v/>
      </c>
      <c r="AI114" s="227" t="str">
        <f>IF('Report History'!MQ14=0,"",IFERROR('Report History'!MQ14,""))</f>
        <v/>
      </c>
      <c r="AJ114" s="215" t="str">
        <f>IF('Report History'!MR14=0,"",IFERROR('Report History'!MR14,""))</f>
        <v>BLUE</v>
      </c>
      <c r="AK114" s="216" t="str">
        <f>IF('Report History'!MS14=0,"",IFERROR('Report History'!MS14,""))</f>
        <v/>
      </c>
      <c r="AL114" s="225" t="str">
        <f>IF('Report History'!MT14=0,"",IFERROR('Report History'!MT14,""))</f>
        <v/>
      </c>
      <c r="AM114" s="226" t="str">
        <f>IF('Report History'!MU14=0,"",IFERROR('Report History'!MU14,""))</f>
        <v/>
      </c>
      <c r="AN114" s="227" t="str">
        <f>IF('Report History'!MV14=0,"",IFERROR('Report History'!MV14,""))</f>
        <v/>
      </c>
      <c r="AO114" s="215" t="str">
        <f>IF('Report History'!MW14=0,"",IFERROR('Report History'!MW14,""))</f>
        <v>BLUE</v>
      </c>
      <c r="AP114" s="216" t="str">
        <f>IF('Report History'!MX14=0,"",IFERROR('Report History'!MX14,""))</f>
        <v/>
      </c>
      <c r="AQ114" s="225" t="str">
        <f>IF('Report History'!MY14=0,"",IFERROR('Report History'!MY14,""))</f>
        <v/>
      </c>
      <c r="AR114" s="226" t="str">
        <f>IF('Report History'!MZ14=0,"",IFERROR('Report History'!MZ14,""))</f>
        <v/>
      </c>
      <c r="AS114" s="227" t="str">
        <f>IF('Report History'!NA14=0,"",IFERROR('Report History'!NA14,""))</f>
        <v/>
      </c>
      <c r="AT114" s="215" t="str">
        <f>IF('Report History'!NB14=0,"",IFERROR('Report History'!NB14,""))</f>
        <v/>
      </c>
      <c r="AU114" s="216" t="str">
        <f>IF('Report History'!NC14=0,"",IFERROR('Report History'!NC14,""))</f>
        <v/>
      </c>
      <c r="AV114" s="225" t="str">
        <f>IF('Report History'!ND14=0,"",IFERROR('Report History'!ND14,""))</f>
        <v/>
      </c>
      <c r="AW114" s="226" t="str">
        <f>IF('Report History'!NE14=0,"",IFERROR('Report History'!NE14,""))</f>
        <v/>
      </c>
      <c r="AX114" s="227" t="str">
        <f>IF('Report History'!NF14=0,"",IFERROR('Report History'!NF14,""))</f>
        <v/>
      </c>
      <c r="AY114" s="215" t="str">
        <f>IF('Report History'!NG14=0,"",IFERROR('Report History'!NG14,""))</f>
        <v>PINK</v>
      </c>
      <c r="AZ114" s="216" t="str">
        <f>IF('Report History'!NH14=0,"",IFERROR('Report History'!NH14,""))</f>
        <v/>
      </c>
      <c r="BA114" s="225" t="str">
        <f>IF('Report History'!NI14=0,"",IFERROR('Report History'!NI14,""))</f>
        <v/>
      </c>
      <c r="BB114" s="226" t="str">
        <f>IF('Report History'!NJ14=0,"",IFERROR('Report History'!NJ14,""))</f>
        <v/>
      </c>
      <c r="BC114" s="227" t="str">
        <f>IF('Report History'!NK14=0,"",IFERROR('Report History'!NK14,""))</f>
        <v/>
      </c>
      <c r="BD114" s="215" t="str">
        <f>IF('Report History'!NL14=0,"",IFERROR('Report History'!NL14,""))</f>
        <v>YELLOW</v>
      </c>
      <c r="BE114" s="216" t="str">
        <f>IF('Report History'!NM14=0,"",IFERROR('Report History'!NM14,""))</f>
        <v/>
      </c>
      <c r="BF114" s="225" t="str">
        <f>IF('Report History'!NN14=0,"",IFERROR('Report History'!NN14,""))</f>
        <v/>
      </c>
      <c r="BG114" s="226" t="str">
        <f>IF('Report History'!NO14=0,"",IFERROR('Report History'!NO14,""))</f>
        <v/>
      </c>
      <c r="BH114" s="227" t="str">
        <f>IF('Report History'!NP14=0,"",IFERROR('Report History'!NP14,""))</f>
        <v/>
      </c>
      <c r="BI114" s="215" t="str">
        <f>IF('Report History'!NQ14=0,"",IFERROR('Report History'!NQ14,""))</f>
        <v>VIOLET</v>
      </c>
      <c r="BJ114" s="216" t="str">
        <f>IF('Report History'!NR14=0,"",IFERROR('Report History'!NR14,""))</f>
        <v/>
      </c>
      <c r="BK114" s="225" t="str">
        <f>IF('Report History'!NS14=0,"",IFERROR('Report History'!NS14,""))</f>
        <v/>
      </c>
      <c r="BL114" s="226" t="str">
        <f>IF('Report History'!NT14=0,"",IFERROR('Report History'!NT14,""))</f>
        <v/>
      </c>
      <c r="BM114" s="227" t="str">
        <f>IF('Report History'!NU14=0,"",IFERROR('Report History'!NU14,""))</f>
        <v/>
      </c>
      <c r="BN114" s="215" t="str">
        <f>IF('Report History'!NV14=0,"",IFERROR('Report History'!NV14,""))</f>
        <v>GREEN</v>
      </c>
      <c r="BO114" s="216" t="str">
        <f>IF('Report History'!NW14=0,"",IFERROR('Report History'!NW14,""))</f>
        <v/>
      </c>
      <c r="BP114" s="225" t="str">
        <f>IF('Report History'!NX14=0,"",IFERROR('Report History'!NX14,""))</f>
        <v/>
      </c>
      <c r="BQ114" s="226" t="str">
        <f>IF('Report History'!NY14=0,"",IFERROR('Report History'!NY14,""))</f>
        <v/>
      </c>
      <c r="BR114" s="227" t="str">
        <f>IF('Report History'!NZ14=0,"",IFERROR('Report History'!NZ14,""))</f>
        <v/>
      </c>
      <c r="BS114" s="215" t="str">
        <f>IF('Report History'!OA14=0,"",IFERROR('Report History'!OA14,""))</f>
        <v>ORANGE</v>
      </c>
      <c r="BT114" s="216" t="str">
        <f>IF('Report History'!OB14=0,"",IFERROR('Report History'!OB14,""))</f>
        <v/>
      </c>
      <c r="BU114" s="225" t="str">
        <f>IF('Report History'!OC14=0,"",IFERROR('Report History'!OC14,""))</f>
        <v/>
      </c>
      <c r="BV114" s="226" t="str">
        <f>IF('Report History'!OD14=0,"",IFERROR('Report History'!OD14,""))</f>
        <v/>
      </c>
      <c r="BW114" s="227" t="str">
        <f>IF('Report History'!OE14=0,"",IFERROR('Report History'!OE14,""))</f>
        <v/>
      </c>
      <c r="BX114" s="215" t="str">
        <f>IF('Report History'!OF14=0,"",IFERROR('Report History'!OF14,""))</f>
        <v>ORANGE</v>
      </c>
      <c r="BY114" s="216" t="str">
        <f>IF('Report History'!OG14=0,"",IFERROR('Report History'!OG14,""))</f>
        <v/>
      </c>
      <c r="BZ114" s="225" t="str">
        <f>IF('Report History'!OH14=0,"",IFERROR('Report History'!OH14,""))</f>
        <v/>
      </c>
      <c r="CA114" s="226" t="str">
        <f>IF('Report History'!OI14=0,"",IFERROR('Report History'!OI14,""))</f>
        <v/>
      </c>
      <c r="CB114" s="227" t="str">
        <f>IF('Report History'!OJ14=0,"",IFERROR('Report History'!OJ14,""))</f>
        <v/>
      </c>
      <c r="CC114" s="215" t="str">
        <f>IF('Report History'!OK14=0,"",IFERROR('Report History'!OK14,""))</f>
        <v>BLUE</v>
      </c>
      <c r="CD114" s="216" t="str">
        <f>IF('Report History'!OL14=0,"",IFERROR('Report History'!OL14,""))</f>
        <v/>
      </c>
      <c r="CE114" s="225" t="str">
        <f>IF('Report History'!OM14=0,"",IFERROR('Report History'!OM14,""))</f>
        <v/>
      </c>
      <c r="CF114" s="226" t="str">
        <f>IF('Report History'!ON14=0,"",IFERROR('Report History'!ON14,""))</f>
        <v/>
      </c>
      <c r="CG114" s="227" t="str">
        <f>IF('Report History'!OO14=0,"",IFERROR('Report History'!OO14,""))</f>
        <v/>
      </c>
      <c r="CH114" s="215" t="str">
        <f>IF('Report History'!OP14=0,"",IFERROR('Report History'!OP14,""))</f>
        <v/>
      </c>
      <c r="CI114" s="216" t="str">
        <f>IF('Report History'!OQ14=0,"",IFERROR('Report History'!OQ14,""))</f>
        <v/>
      </c>
      <c r="CJ114" s="225" t="str">
        <f>IF('Report History'!OR14=0,"",IFERROR('Report History'!OR14,""))</f>
        <v/>
      </c>
      <c r="CK114" s="226" t="str">
        <f>IF('Report History'!OS14=0,"",IFERROR('Report History'!OS14,""))</f>
        <v/>
      </c>
      <c r="CL114" s="227" t="str">
        <f>IF('Report History'!OT14=0,"",IFERROR('Report History'!OT14,""))</f>
        <v/>
      </c>
      <c r="CM114" s="215" t="str">
        <f>IF('Report History'!OU14=0,"",IFERROR('Report History'!OU14,""))</f>
        <v>PINK</v>
      </c>
      <c r="CN114" s="216" t="str">
        <f>IF('Report History'!OV14=0,"",IFERROR('Report History'!OV14,""))</f>
        <v/>
      </c>
      <c r="CO114" s="225" t="str">
        <f>IF('Report History'!OW14=0,"",IFERROR('Report History'!OW14,""))</f>
        <v/>
      </c>
      <c r="CP114" s="226" t="str">
        <f>IF('Report History'!OX14=0,"",IFERROR('Report History'!OX14,""))</f>
        <v/>
      </c>
      <c r="CQ114" s="227" t="str">
        <f>IF('Report History'!OY14=0,"",IFERROR('Report History'!OY14,""))</f>
        <v/>
      </c>
      <c r="CR114" s="215" t="str">
        <f>IF('Report History'!OZ14=0,"",IFERROR('Report History'!OZ14,""))</f>
        <v>YELLOW</v>
      </c>
      <c r="CS114" s="216" t="str">
        <f>IF('Report History'!PA14=0,"",IFERROR('Report History'!PA14,""))</f>
        <v/>
      </c>
      <c r="CT114" s="225" t="str">
        <f>IF('Report History'!PB14=0,"",IFERROR('Report History'!PB14,""))</f>
        <v/>
      </c>
      <c r="CU114" s="226" t="str">
        <f>IF('Report History'!PC14=0,"",IFERROR('Report History'!PC14,""))</f>
        <v/>
      </c>
      <c r="CV114" s="227" t="str">
        <f>IF('Report History'!PD14=0,"",IFERROR('Report History'!PD14,""))</f>
        <v/>
      </c>
      <c r="CW114" s="215" t="str">
        <f>IF('Report History'!PE14=0,"",IFERROR('Report History'!PE14,""))</f>
        <v>VIOLET</v>
      </c>
      <c r="CX114" s="216" t="str">
        <f>IF('Report History'!PF14=0,"",IFERROR('Report History'!PF14,""))</f>
        <v/>
      </c>
      <c r="CY114" s="225" t="str">
        <f>IF('Report History'!PG14=0,"",IFERROR('Report History'!PG14,""))</f>
        <v/>
      </c>
      <c r="CZ114" s="226" t="str">
        <f>IF('Report History'!PH14=0,"",IFERROR('Report History'!PH14,""))</f>
        <v/>
      </c>
      <c r="DA114" s="227" t="str">
        <f>IF('Report History'!PI14=0,"",IFERROR('Report History'!PI14,""))</f>
        <v/>
      </c>
      <c r="DB114" s="215" t="str">
        <f>IF('Report History'!PJ14=0,"",IFERROR('Report History'!PJ14,""))</f>
        <v>GREEN</v>
      </c>
      <c r="DC114" s="216" t="str">
        <f>IF('Report History'!PK14=0,"",IFERROR('Report History'!PK14,""))</f>
        <v/>
      </c>
      <c r="DD114" s="225" t="str">
        <f>IF('Report History'!PL14=0,"",IFERROR('Report History'!PL14,""))</f>
        <v/>
      </c>
      <c r="DE114" s="226" t="str">
        <f>IF('Report History'!PM14=0,"",IFERROR('Report History'!PM14,""))</f>
        <v/>
      </c>
      <c r="DF114" s="227" t="str">
        <f>IF('Report History'!PN14=0,"",IFERROR('Report History'!PN14,""))</f>
        <v/>
      </c>
      <c r="DG114" s="215" t="str">
        <f>IF('Report History'!PO14=0,"",IFERROR('Report History'!PO14,""))</f>
        <v>ORANGE</v>
      </c>
      <c r="DH114" s="216" t="str">
        <f>IF('Report History'!PP14=0,"",IFERROR('Report History'!PP14,""))</f>
        <v/>
      </c>
      <c r="DI114" s="225">
        <f>IF('Report History'!PQ14=0,"",IFERROR('Report History'!PQ14,""))</f>
        <v>61920</v>
      </c>
      <c r="DJ114" s="226" t="str">
        <f>IF('Report History'!PR14=0,"",IFERROR('Report History'!PR14,""))</f>
        <v/>
      </c>
      <c r="DK114" s="227" t="str">
        <f>IF('Report History'!PS14=0,"",IFERROR('Report History'!PS14,""))</f>
        <v/>
      </c>
      <c r="DL114" s="215" t="str">
        <f>IF('Report History'!PT14=0,"",IFERROR('Report History'!PT14,""))</f>
        <v>BLUE</v>
      </c>
      <c r="DM114" s="216" t="str">
        <f>IF('Report History'!PU14=0,"",IFERROR('Report History'!PU14,""))</f>
        <v/>
      </c>
      <c r="DN114" s="225" t="str">
        <f>IF('Report History'!PV14=0,"",IFERROR('Report History'!PV14,""))</f>
        <v/>
      </c>
      <c r="DO114" s="226" t="str">
        <f>IF('Report History'!PW14=0,"",IFERROR('Report History'!PW14,""))</f>
        <v/>
      </c>
      <c r="DP114" s="227" t="str">
        <f>IF('Report History'!PX14=0,"",IFERROR('Report History'!PX14,""))</f>
        <v/>
      </c>
      <c r="DQ114" s="215" t="str">
        <f>IF('Report History'!PY14=0,"",IFERROR('Report History'!PY14,""))</f>
        <v/>
      </c>
      <c r="DR114" s="216" t="str">
        <f>IF('Report History'!PZ14=0,"",IFERROR('Report History'!PZ14,""))</f>
        <v/>
      </c>
      <c r="DS114" s="225" t="str">
        <f>IF('Report History'!QA14=0,"",IFERROR('Report History'!QA14,""))</f>
        <v/>
      </c>
      <c r="DT114" s="226" t="str">
        <f>IF('Report History'!QB14=0,"",IFERROR('Report History'!QB14,""))</f>
        <v/>
      </c>
      <c r="DU114" s="227" t="str">
        <f>IF('Report History'!QC14=0,"",IFERROR('Report History'!QC14,""))</f>
        <v/>
      </c>
      <c r="DV114" s="215" t="str">
        <f>IF('Report History'!QD14=0,"",IFERROR('Report History'!QD14,""))</f>
        <v>PINK</v>
      </c>
      <c r="DW114" s="216" t="str">
        <f>IF('Report History'!QE14=0,"",IFERROR('Report History'!QE14,""))</f>
        <v/>
      </c>
      <c r="DX114" s="225" t="str">
        <f>IF('Report History'!QF14=0,"",IFERROR('Report History'!QF14,""))</f>
        <v/>
      </c>
      <c r="DY114" s="226" t="str">
        <f>IF('Report History'!QG14=0,"",IFERROR('Report History'!QG14,""))</f>
        <v/>
      </c>
      <c r="DZ114" s="227" t="str">
        <f>IF('Report History'!QH14=0,"",IFERROR('Report History'!QH14,""))</f>
        <v/>
      </c>
      <c r="EA114" s="215" t="str">
        <f>IF('Report History'!QI14=0,"",IFERROR('Report History'!QI14,""))</f>
        <v>YELLOW</v>
      </c>
      <c r="EB114" s="216" t="str">
        <f>IF('Report History'!QJ14=0,"",IFERROR('Report History'!QJ14,""))</f>
        <v/>
      </c>
      <c r="EC114" s="225" t="str">
        <f>IF('Report History'!QK14=0,"",IFERROR('Report History'!QK14,""))</f>
        <v/>
      </c>
      <c r="ED114" s="226" t="str">
        <f>IF('Report History'!QL14=0,"",IFERROR('Report History'!QL14,""))</f>
        <v/>
      </c>
      <c r="EE114" s="227" t="str">
        <f>IF('Report History'!QM14=0,"",IFERROR('Report History'!QM14,""))</f>
        <v/>
      </c>
      <c r="EF114" s="215" t="str">
        <f>IF('Report History'!QN14=0,"",IFERROR('Report History'!QN14,""))</f>
        <v>YELLOW</v>
      </c>
      <c r="EG114" s="216" t="str">
        <f>IF('Report History'!QO14=0,"",IFERROR('Report History'!QO14,""))</f>
        <v/>
      </c>
      <c r="EH114" s="225" t="str">
        <f>IF('Report History'!QP14=0,"",IFERROR('Report History'!QP14,""))</f>
        <v/>
      </c>
      <c r="EI114" s="226" t="str">
        <f>IF('Report History'!QQ14=0,"",IFERROR('Report History'!QQ14,""))</f>
        <v/>
      </c>
      <c r="EJ114" s="227" t="str">
        <f>IF('Report History'!QR14=0,"",IFERROR('Report History'!QR14,""))</f>
        <v/>
      </c>
      <c r="EK114" s="215" t="str">
        <f>IF('Report History'!QS14=0,"",IFERROR('Report History'!QS14,""))</f>
        <v>VIOLET</v>
      </c>
      <c r="EL114" s="216" t="str">
        <f>IF('Report History'!QT14=0,"",IFERROR('Report History'!QT14,""))</f>
        <v/>
      </c>
      <c r="EM114" s="225" t="str">
        <f>IF('Report History'!QU14=0,"",IFERROR('Report History'!QU14,""))</f>
        <v/>
      </c>
      <c r="EN114" s="226" t="str">
        <f>IF('Report History'!QV14=0,"",IFERROR('Report History'!QV14,""))</f>
        <v/>
      </c>
      <c r="EO114" s="227" t="str">
        <f>IF('Report History'!QW14=0,"",IFERROR('Report History'!QW14,""))</f>
        <v/>
      </c>
      <c r="EP114" s="215" t="str">
        <f>IF('Report History'!QX14=0,"",IFERROR('Report History'!QX14,""))</f>
        <v>GREEN</v>
      </c>
      <c r="EQ114" s="216" t="str">
        <f>IF('Report History'!QY14=0,"",IFERROR('Report History'!QY14,""))</f>
        <v/>
      </c>
      <c r="ER114" s="225" t="str">
        <f>IF('Report History'!QZ14=0,"",IFERROR('Report History'!QZ14,""))</f>
        <v/>
      </c>
      <c r="ES114" s="226" t="str">
        <f>IF('Report History'!RA14=0,"",IFERROR('Report History'!RA14,""))</f>
        <v/>
      </c>
      <c r="ET114" s="227" t="str">
        <f>IF('Report History'!RB14=0,"",IFERROR('Report History'!RB14,""))</f>
        <v/>
      </c>
      <c r="EU114" s="215" t="str">
        <f>IF('Report History'!RC14=0,"",IFERROR('Report History'!RC14,""))</f>
        <v>ORANGE</v>
      </c>
      <c r="EV114" s="216" t="str">
        <f>IF('Report History'!RD14=0,"",IFERROR('Report History'!RD14,""))</f>
        <v/>
      </c>
      <c r="EW114" s="225">
        <f>IF('Report History'!RE14=0,"",IFERROR('Report History'!RE14,""))</f>
        <v>26727</v>
      </c>
      <c r="EX114" s="226" t="str">
        <f>IF('Report History'!RF14=0,"",IFERROR('Report History'!RF14,""))</f>
        <v/>
      </c>
      <c r="EY114" s="227" t="str">
        <f>IF('Report History'!RG14=0,"",IFERROR('Report History'!RG14,""))</f>
        <v/>
      </c>
      <c r="EZ114" s="215" t="str">
        <f>IF('Report History'!RH14=0,"",IFERROR('Report History'!RH14,""))</f>
        <v>BLUE</v>
      </c>
      <c r="FA114" s="216" t="str">
        <f>IF('Report History'!RI14=0,"",IFERROR('Report History'!RI14,""))</f>
        <v/>
      </c>
      <c r="FB114" s="225" t="str">
        <f>IF('Report History'!RJ14=0,"",IFERROR('Report History'!RJ14,""))</f>
        <v/>
      </c>
      <c r="FC114" s="226" t="str">
        <f>IF('Report History'!RK14=0,"",IFERROR('Report History'!RK14,""))</f>
        <v/>
      </c>
      <c r="FD114" s="227" t="str">
        <f>IF('Report History'!RL14=0,"",IFERROR('Report History'!RL14,""))</f>
        <v/>
      </c>
      <c r="FE114" s="215" t="str">
        <f>IF('Report History'!RM14=0,"",IFERROR('Report History'!RM14,""))</f>
        <v/>
      </c>
      <c r="FF114" s="216" t="str">
        <f>IF('Report History'!RN14=0,"",IFERROR('Report History'!RN14,""))</f>
        <v/>
      </c>
      <c r="FG114" s="225">
        <f>IF('Report History'!RO14=0,"",IFERROR('Report History'!RO14,""))</f>
        <v>57908.5</v>
      </c>
      <c r="FH114" s="226" t="str">
        <f>IF('Report History'!RP14=0,"",IFERROR('Report History'!RP14,""))</f>
        <v/>
      </c>
      <c r="FI114" s="227" t="str">
        <f>IF('Report History'!RQ14=0,"",IFERROR('Report History'!RQ14,""))</f>
        <v/>
      </c>
      <c r="FJ114" s="215" t="str">
        <f>IF('Report History'!RR14=0,"",IFERROR('Report History'!RR14,""))</f>
        <v>PINK</v>
      </c>
      <c r="FK114" s="216" t="str">
        <f>IF('Report History'!RS14=0,"",IFERROR('Report History'!RS14,""))</f>
        <v/>
      </c>
      <c r="FL114" s="225" t="str">
        <f>IF('Report History'!RT14=0,"",IFERROR('Report History'!RT14,""))</f>
        <v/>
      </c>
      <c r="FM114" s="226" t="str">
        <f>IF('Report History'!RU14=0,"",IFERROR('Report History'!RU14,""))</f>
        <v/>
      </c>
      <c r="FN114" s="227" t="str">
        <f>IF('Report History'!RV14=0,"",IFERROR('Report History'!RV14,""))</f>
        <v/>
      </c>
      <c r="FO114" s="215" t="str">
        <f>IF('Report History'!RW14=0,"",IFERROR('Report History'!RW14,""))</f>
        <v>PINK</v>
      </c>
      <c r="FP114" s="216" t="str">
        <f>IF('Report History'!RX14=0,"",IFERROR('Report History'!RX14,""))</f>
        <v/>
      </c>
      <c r="FQ114" s="225" t="str">
        <f>IF('Report History'!RY14=0,"",IFERROR('Report History'!RY14,""))</f>
        <v/>
      </c>
      <c r="FR114" s="226" t="str">
        <f>IF('Report History'!RZ14=0,"",IFERROR('Report History'!RZ14,""))</f>
        <v/>
      </c>
      <c r="FS114" s="227" t="str">
        <f>IF('Report History'!SA14=0,"",IFERROR('Report History'!SA14,""))</f>
        <v/>
      </c>
      <c r="FT114" s="215" t="str">
        <f>IF('Report History'!SB14=0,"",IFERROR('Report History'!SB14,""))</f>
        <v>YELLOW</v>
      </c>
      <c r="FU114" s="216" t="str">
        <f>IF('Report History'!SC14=0,"",IFERROR('Report History'!SC14,""))</f>
        <v/>
      </c>
      <c r="FV114" s="225" t="str">
        <f>IF('Report History'!SD14=0,"",IFERROR('Report History'!SD14,""))</f>
        <v/>
      </c>
      <c r="FW114" s="226" t="str">
        <f>IF('Report History'!SE14=0,"",IFERROR('Report History'!SE14,""))</f>
        <v/>
      </c>
      <c r="FX114" s="227" t="str">
        <f>IF('Report History'!SF14=0,"",IFERROR('Report History'!SF14,""))</f>
        <v/>
      </c>
      <c r="FY114" s="215" t="str">
        <f>IF('Report History'!SG14=0,"",IFERROR('Report History'!SG14,""))</f>
        <v>VIOLET</v>
      </c>
      <c r="FZ114" s="216" t="str">
        <f>IF('Report History'!SH14=0,"",IFERROR('Report History'!SH14,""))</f>
        <v/>
      </c>
      <c r="GA114" s="225" t="str">
        <f>IF('Report History'!SI14=0,"",IFERROR('Report History'!SI14,""))</f>
        <v/>
      </c>
      <c r="GB114" s="226" t="str">
        <f>IF('Report History'!SJ14=0,"",IFERROR('Report History'!SJ14,""))</f>
        <v/>
      </c>
      <c r="GC114" s="227" t="str">
        <f>IF('Report History'!SK14=0,"",IFERROR('Report History'!SK14,""))</f>
        <v/>
      </c>
      <c r="GD114" s="215" t="str">
        <f>IF('Report History'!SL14=0,"",IFERROR('Report History'!SL14,""))</f>
        <v>GREEN</v>
      </c>
      <c r="GE114" s="216" t="str">
        <f>IF('Report History'!SM14=0,"",IFERROR('Report History'!SM14,""))</f>
        <v/>
      </c>
      <c r="GF114" s="225">
        <f>IF('Report History'!SN14=0,"",IFERROR('Report History'!SN14,""))</f>
        <v>8909</v>
      </c>
      <c r="GG114" s="226" t="str">
        <f>IF('Report History'!SO14=0,"",IFERROR('Report History'!SO14,""))</f>
        <v/>
      </c>
      <c r="GH114" s="227" t="str">
        <f>IF('Report History'!SP14=0,"",IFERROR('Report History'!SP14,""))</f>
        <v/>
      </c>
      <c r="GI114" s="215" t="str">
        <f>IF('Report History'!SQ14=0,"",IFERROR('Report History'!SQ14,""))</f>
        <v>ORANGE</v>
      </c>
      <c r="GJ114" s="216" t="str">
        <f>IF('Report History'!SR14=0,"",IFERROR('Report History'!SR14,""))</f>
        <v/>
      </c>
      <c r="GK114" s="225" t="str">
        <f>IF('Report History'!SS14=0,"",IFERROR('Report History'!SS14,""))</f>
        <v/>
      </c>
      <c r="GL114" s="226" t="str">
        <f>IF('Report History'!ST14=0,"",IFERROR('Report History'!ST14,""))</f>
        <v/>
      </c>
      <c r="GM114" s="227" t="str">
        <f>IF('Report History'!SU14=0,"",IFERROR('Report History'!SU14,""))</f>
        <v/>
      </c>
      <c r="GN114" s="215" t="str">
        <f>IF('Report History'!SV14=0,"",IFERROR('Report History'!SV14,""))</f>
        <v>BLUE</v>
      </c>
      <c r="GO114" s="216" t="str">
        <f>IF('Report History'!SW14=0,"",IFERROR('Report History'!SW14,""))</f>
        <v/>
      </c>
      <c r="GP114" s="225">
        <f>IF('Report History'!SX14=0,"",IFERROR('Report History'!SX14,""))</f>
        <v>51600</v>
      </c>
      <c r="GQ114" s="226" t="str">
        <f>IF('Report History'!SY14=0,"",IFERROR('Report History'!SY14,""))</f>
        <v/>
      </c>
      <c r="GR114" s="227" t="str">
        <f>IF('Report History'!SZ14=0,"",IFERROR('Report History'!SZ14,""))</f>
        <v/>
      </c>
      <c r="GS114" s="215" t="str">
        <f>IF('Report History'!TA14=0,"",IFERROR('Report History'!TA14,""))</f>
        <v/>
      </c>
      <c r="GT114" s="216" t="str">
        <f>IF('Report History'!TB14=0,"",IFERROR('Report History'!TB14,""))</f>
        <v/>
      </c>
      <c r="GU114" s="225" t="str">
        <f>IF('Report History'!TC14=0,"",IFERROR('Report History'!TC14,""))</f>
        <v/>
      </c>
      <c r="GV114" s="226" t="str">
        <f>IF('Report History'!TD14=0,"",IFERROR('Report History'!TD14,""))</f>
        <v/>
      </c>
      <c r="GW114" s="227" t="str">
        <f>IF('Report History'!TE14=0,"",IFERROR('Report History'!TE14,""))</f>
        <v/>
      </c>
      <c r="GX114" s="215" t="str">
        <f>IF('Report History'!TF14=0,"",IFERROR('Report History'!TF14,""))</f>
        <v>PINK</v>
      </c>
      <c r="GY114" s="216" t="str">
        <f>IF('Report History'!TG14=0,"",IFERROR('Report History'!TG14,""))</f>
        <v/>
      </c>
      <c r="GZ114" s="225" t="str">
        <f>IF('Report History'!TH14=0,"",IFERROR('Report History'!TH14,""))</f>
        <v/>
      </c>
      <c r="HA114" s="226" t="str">
        <f>IF('Report History'!TI14=0,"",IFERROR('Report History'!TI14,""))</f>
        <v/>
      </c>
      <c r="HB114" s="227" t="str">
        <f>IF('Report History'!TJ14=0,"",IFERROR('Report History'!TJ14,""))</f>
        <v/>
      </c>
      <c r="HC114" s="215" t="str">
        <f>IF('Report History'!TK14=0,"",IFERROR('Report History'!TK14,""))</f>
        <v>YELLOW</v>
      </c>
      <c r="HD114" s="216" t="str">
        <f>IF('Report History'!TL14=0,"",IFERROR('Report History'!TL14,""))</f>
        <v/>
      </c>
      <c r="HE114" s="225" t="str">
        <f>IF('Report History'!TM14=0,"",IFERROR('Report History'!TM14,""))</f>
        <v/>
      </c>
      <c r="HF114" s="226" t="str">
        <f>IF('Report History'!TN14=0,"",IFERROR('Report History'!TN14,""))</f>
        <v/>
      </c>
      <c r="HG114" s="227" t="str">
        <f>IF('Report History'!TO14=0,"",IFERROR('Report History'!TO14,""))</f>
        <v/>
      </c>
      <c r="HH114" s="215" t="str">
        <f>IF('Report History'!TP14=0,"",IFERROR('Report History'!TP14,""))</f>
        <v>VIOLET</v>
      </c>
      <c r="HI114" s="216" t="str">
        <f>IF('Report History'!TQ14=0,"",IFERROR('Report History'!TQ14,""))</f>
        <v/>
      </c>
      <c r="HJ114" s="225" t="str">
        <f>IF('Report History'!TR14=0,"",IFERROR('Report History'!TR14,""))</f>
        <v/>
      </c>
      <c r="HK114" s="226" t="str">
        <f>IF('Report History'!TS14=0,"",IFERROR('Report History'!TS14,""))</f>
        <v/>
      </c>
      <c r="HL114" s="227" t="str">
        <f>IF('Report History'!TT14=0,"",IFERROR('Report History'!TT14,""))</f>
        <v/>
      </c>
      <c r="HM114" s="215" t="str">
        <f>IF('Report History'!TU14=0,"",IFERROR('Report History'!TU14,""))</f>
        <v>GREEN</v>
      </c>
      <c r="HN114" s="216" t="str">
        <f>IF('Report History'!TV14=0,"",IFERROR('Report History'!TV14,""))</f>
        <v/>
      </c>
      <c r="HO114" s="225">
        <f>IF('Report History'!TW14=0,"",IFERROR('Report History'!TW14,""))</f>
        <v>35636</v>
      </c>
      <c r="HP114" s="226" t="str">
        <f>IF('Report History'!TX14=0,"",IFERROR('Report History'!TX14,""))</f>
        <v/>
      </c>
      <c r="HQ114" s="227" t="str">
        <f>IF('Report History'!TY14=0,"",IFERROR('Report History'!TY14,""))</f>
        <v/>
      </c>
      <c r="HR114" s="215" t="str">
        <f>IF('Report History'!TZ14=0,"",IFERROR('Report History'!TZ14,""))</f>
        <v>ORANGE</v>
      </c>
      <c r="HS114" s="216" t="str">
        <f>IF('Report History'!UA14=0,"",IFERROR('Report History'!UA14,""))</f>
        <v/>
      </c>
      <c r="HT114" s="225" t="str">
        <f>IF('Report History'!UB14=0,"",IFERROR('Report History'!UB14,""))</f>
        <v/>
      </c>
      <c r="HU114" s="226" t="str">
        <f>IF('Report History'!UC14=0,"",IFERROR('Report History'!UC14,""))</f>
        <v/>
      </c>
      <c r="HV114" s="227" t="str">
        <f>IF('Report History'!UD14=0,"",IFERROR('Report History'!UD14,""))</f>
        <v/>
      </c>
      <c r="HW114" s="215" t="str">
        <f>IF('Report History'!UE14=0,"",IFERROR('Report History'!UE14,""))</f>
        <v>BLUE</v>
      </c>
      <c r="HX114" s="216" t="str">
        <f>IF('Report History'!UF14=0,"",IFERROR('Report History'!UF14,""))</f>
        <v/>
      </c>
      <c r="HY114" s="225" t="str">
        <f>IF('Report History'!UG14=0,"",IFERROR('Report History'!UG14,""))</f>
        <v/>
      </c>
      <c r="HZ114" s="226" t="str">
        <f>IF('Report History'!UH14=0,"",IFERROR('Report History'!UH14,""))</f>
        <v/>
      </c>
      <c r="IA114" s="227" t="str">
        <f>IF('Report History'!UI14=0,"",IFERROR('Report History'!UI14,""))</f>
        <v/>
      </c>
      <c r="IB114" s="215" t="str">
        <f>IF('Report History'!UJ14=0,"",IFERROR('Report History'!UJ14,""))</f>
        <v/>
      </c>
      <c r="IC114" s="216" t="str">
        <f>IF('Report History'!UK14=0,"",IFERROR('Report History'!UK14,""))</f>
        <v/>
      </c>
      <c r="ID114" s="225" t="str">
        <f>IF('Report History'!UL14=0,"",IFERROR('Report History'!UL14,""))</f>
        <v/>
      </c>
      <c r="IE114" s="226" t="str">
        <f>IF('Report History'!UM14=0,"",IFERROR('Report History'!UM14,""))</f>
        <v/>
      </c>
      <c r="IF114" s="227" t="str">
        <f>IF('Report History'!UN14=0,"",IFERROR('Report History'!UN14,""))</f>
        <v/>
      </c>
      <c r="IG114" s="215" t="str">
        <f>IF('Report History'!UO14=0,"",IFERROR('Report History'!UO14,""))</f>
        <v>PINK</v>
      </c>
      <c r="IH114" s="216" t="str">
        <f>IF('Report History'!UP14=0,"",IFERROR('Report History'!UP14,""))</f>
        <v/>
      </c>
      <c r="II114" s="225" t="str">
        <f>IF('Report History'!UQ14=0,"",IFERROR('Report History'!UQ14,""))</f>
        <v/>
      </c>
      <c r="IJ114" s="226" t="str">
        <f>IF('Report History'!UR14=0,"",IFERROR('Report History'!UR14,""))</f>
        <v/>
      </c>
      <c r="IK114" s="227" t="str">
        <f>IF('Report History'!US14=0,"",IFERROR('Report History'!US14,""))</f>
        <v/>
      </c>
      <c r="IL114" s="215" t="str">
        <f>IF('Report History'!UT14=0,"",IFERROR('Report History'!UT14,""))</f>
        <v>YELLOW</v>
      </c>
      <c r="IM114" s="216" t="str">
        <f>IF('Report History'!UU14=0,"",IFERROR('Report History'!UU14,""))</f>
        <v/>
      </c>
      <c r="IN114" s="225" t="str">
        <f>IF('Report History'!UV14=0,"",IFERROR('Report History'!UV14,""))</f>
        <v/>
      </c>
      <c r="IO114" s="226" t="str">
        <f>IF('Report History'!UW14=0,"",IFERROR('Report History'!UW14,""))</f>
        <v/>
      </c>
      <c r="IP114" s="227" t="str">
        <f>IF('Report History'!UX14=0,"",IFERROR('Report History'!UX14,""))</f>
        <v/>
      </c>
    </row>
    <row r="115" spans="1:250" x14ac:dyDescent="0.25">
      <c r="A115" s="267" t="str">
        <f>IF('Report History'!LI15=0,"",IFERROR('Report History'!LI15,""))</f>
        <v>Std Vol on Hand - Flats</v>
      </c>
      <c r="B115" s="268" t="str">
        <f>IF('Report History'!LJ15=0,"",IFERROR('Report History'!LJ15,""))</f>
        <v/>
      </c>
      <c r="C115" s="269" t="str">
        <f>IF('Report History'!LK15=0,"",IFERROR('Report History'!LK15,""))</f>
        <v/>
      </c>
      <c r="D115" s="239" t="str">
        <f>IF('Report History'!LL15=0,"",IFERROR('Report History'!LL15,""))</f>
        <v/>
      </c>
      <c r="E115" s="240" t="str">
        <f>IF('Report History'!LM15=0,"",IFERROR('Report History'!LM15,""))</f>
        <v/>
      </c>
      <c r="F115" s="267" t="str">
        <f>IF('Report History'!LN15=0,"",IFERROR('Report History'!LN15,""))</f>
        <v>Std Vol on Hand - Flats</v>
      </c>
      <c r="G115" s="268" t="str">
        <f>IF('Report History'!LO15=0,"",IFERROR('Report History'!LO15,""))</f>
        <v/>
      </c>
      <c r="H115" s="269" t="str">
        <f>IF('Report History'!LP15=0,"",IFERROR('Report History'!LP15,""))</f>
        <v/>
      </c>
      <c r="I115" s="239">
        <f>IF('Report History'!LQ15=0,"",IFERROR('Report History'!LQ15,""))</f>
        <v>3076</v>
      </c>
      <c r="J115" s="240" t="str">
        <f>IF('Report History'!LR15=0,"",IFERROR('Report History'!LR15,""))</f>
        <v/>
      </c>
      <c r="K115" s="267" t="str">
        <f>IF('Report History'!LS15=0,"",IFERROR('Report History'!LS15,""))</f>
        <v>Std Vol on Hand - Flats</v>
      </c>
      <c r="L115" s="268" t="str">
        <f>IF('Report History'!LT15=0,"",IFERROR('Report History'!LT15,""))</f>
        <v/>
      </c>
      <c r="M115" s="269" t="str">
        <f>IF('Report History'!LU15=0,"",IFERROR('Report History'!LU15,""))</f>
        <v/>
      </c>
      <c r="N115" s="239">
        <f>IF('Report History'!LV15=0,"",IFERROR('Report History'!LV15,""))</f>
        <v>3148</v>
      </c>
      <c r="O115" s="240" t="str">
        <f>IF('Report History'!LW15=0,"",IFERROR('Report History'!LW15,""))</f>
        <v/>
      </c>
      <c r="P115" s="267" t="str">
        <f>IF('Report History'!LX15=0,"",IFERROR('Report History'!LX15,""))</f>
        <v>Std Vol on Hand - Flats</v>
      </c>
      <c r="Q115" s="268" t="str">
        <f>IF('Report History'!LY15=0,"",IFERROR('Report History'!LY15,""))</f>
        <v/>
      </c>
      <c r="R115" s="269" t="str">
        <f>IF('Report History'!LZ15=0,"",IFERROR('Report History'!LZ15,""))</f>
        <v/>
      </c>
      <c r="S115" s="239">
        <f>IF('Report History'!MA15=0,"",IFERROR('Report History'!MA15,""))</f>
        <v>15094</v>
      </c>
      <c r="T115" s="240" t="str">
        <f>IF('Report History'!MB15=0,"",IFERROR('Report History'!MB15,""))</f>
        <v/>
      </c>
      <c r="U115" s="267" t="str">
        <f>IF('Report History'!MC15=0,"",IFERROR('Report History'!MC15,""))</f>
        <v>Std Vol on Hand - Flats</v>
      </c>
      <c r="V115" s="268" t="str">
        <f>IF('Report History'!MD15=0,"",IFERROR('Report History'!MD15,""))</f>
        <v/>
      </c>
      <c r="W115" s="269" t="str">
        <f>IF('Report History'!ME15=0,"",IFERROR('Report History'!ME15,""))</f>
        <v/>
      </c>
      <c r="X115" s="239">
        <f>IF('Report History'!MF15=0,"",IFERROR('Report History'!MF15,""))</f>
        <v>13421</v>
      </c>
      <c r="Y115" s="240" t="str">
        <f>IF('Report History'!MG15=0,"",IFERROR('Report History'!MG15,""))</f>
        <v/>
      </c>
      <c r="Z115" s="267" t="str">
        <f>IF('Report History'!MH15=0,"",IFERROR('Report History'!MH15,""))</f>
        <v>Std Vol on Hand - Flats</v>
      </c>
      <c r="AA115" s="268" t="str">
        <f>IF('Report History'!MI15=0,"",IFERROR('Report History'!MI15,""))</f>
        <v/>
      </c>
      <c r="AB115" s="269" t="str">
        <f>IF('Report History'!MJ15=0,"",IFERROR('Report History'!MJ15,""))</f>
        <v/>
      </c>
      <c r="AC115" s="239">
        <f>IF('Report History'!MK15=0,"",IFERROR('Report History'!MK15,""))</f>
        <v>15024</v>
      </c>
      <c r="AD115" s="240" t="str">
        <f>IF('Report History'!ML15=0,"",IFERROR('Report History'!ML15,""))</f>
        <v/>
      </c>
      <c r="AE115" s="267" t="str">
        <f>IF('Report History'!MM15=0,"",IFERROR('Report History'!MM15,""))</f>
        <v>Std Vol on Hand - Flats</v>
      </c>
      <c r="AF115" s="268" t="str">
        <f>IF('Report History'!MN15=0,"",IFERROR('Report History'!MN15,""))</f>
        <v/>
      </c>
      <c r="AG115" s="269" t="str">
        <f>IF('Report History'!MO15=0,"",IFERROR('Report History'!MO15,""))</f>
        <v/>
      </c>
      <c r="AH115" s="239">
        <f>IF('Report History'!MP15=0,"",IFERROR('Report History'!MP15,""))</f>
        <v>9013</v>
      </c>
      <c r="AI115" s="240" t="str">
        <f>IF('Report History'!MQ15=0,"",IFERROR('Report History'!MQ15,""))</f>
        <v/>
      </c>
      <c r="AJ115" s="267" t="str">
        <f>IF('Report History'!MR15=0,"",IFERROR('Report History'!MR15,""))</f>
        <v>Std Vol on Hand - Flats</v>
      </c>
      <c r="AK115" s="268" t="str">
        <f>IF('Report History'!MS15=0,"",IFERROR('Report History'!MS15,""))</f>
        <v/>
      </c>
      <c r="AL115" s="269" t="str">
        <f>IF('Report History'!MT15=0,"",IFERROR('Report History'!MT15,""))</f>
        <v/>
      </c>
      <c r="AM115" s="239" t="str">
        <f>IF('Report History'!MU15=0,"",IFERROR('Report History'!MU15,""))</f>
        <v/>
      </c>
      <c r="AN115" s="240" t="str">
        <f>IF('Report History'!MV15=0,"",IFERROR('Report History'!MV15,""))</f>
        <v/>
      </c>
      <c r="AO115" s="267" t="str">
        <f>IF('Report History'!MW15=0,"",IFERROR('Report History'!MW15,""))</f>
        <v>Std Vol on Hand - Flats</v>
      </c>
      <c r="AP115" s="268" t="str">
        <f>IF('Report History'!MX15=0,"",IFERROR('Report History'!MX15,""))</f>
        <v/>
      </c>
      <c r="AQ115" s="269" t="str">
        <f>IF('Report History'!MY15=0,"",IFERROR('Report History'!MY15,""))</f>
        <v/>
      </c>
      <c r="AR115" s="239" t="str">
        <f>IF('Report History'!MZ15=0,"",IFERROR('Report History'!MZ15,""))</f>
        <v/>
      </c>
      <c r="AS115" s="240" t="str">
        <f>IF('Report History'!NA15=0,"",IFERROR('Report History'!NA15,""))</f>
        <v/>
      </c>
      <c r="AT115" s="267" t="str">
        <f>IF('Report History'!NB15=0,"",IFERROR('Report History'!NB15,""))</f>
        <v>Std Vol on Hand - Flats</v>
      </c>
      <c r="AU115" s="268" t="str">
        <f>IF('Report History'!NC15=0,"",IFERROR('Report History'!NC15,""))</f>
        <v/>
      </c>
      <c r="AV115" s="269" t="str">
        <f>IF('Report History'!ND15=0,"",IFERROR('Report History'!ND15,""))</f>
        <v/>
      </c>
      <c r="AW115" s="239">
        <f>IF('Report History'!NE15=0,"",IFERROR('Report History'!NE15,""))</f>
        <v>3076</v>
      </c>
      <c r="AX115" s="240" t="str">
        <f>IF('Report History'!NF15=0,"",IFERROR('Report History'!NF15,""))</f>
        <v/>
      </c>
      <c r="AY115" s="267" t="str">
        <f>IF('Report History'!NG15=0,"",IFERROR('Report History'!NG15,""))</f>
        <v>Std Vol on Hand - Flats</v>
      </c>
      <c r="AZ115" s="268" t="str">
        <f>IF('Report History'!NH15=0,"",IFERROR('Report History'!NH15,""))</f>
        <v/>
      </c>
      <c r="BA115" s="269" t="str">
        <f>IF('Report History'!NI15=0,"",IFERROR('Report History'!NI15,""))</f>
        <v/>
      </c>
      <c r="BB115" s="239">
        <f>IF('Report History'!NJ15=0,"",IFERROR('Report History'!NJ15,""))</f>
        <v>4507</v>
      </c>
      <c r="BC115" s="240" t="str">
        <f>IF('Report History'!NK15=0,"",IFERROR('Report History'!NK15,""))</f>
        <v/>
      </c>
      <c r="BD115" s="267" t="str">
        <f>IF('Report History'!NL15=0,"",IFERROR('Report History'!NL15,""))</f>
        <v>Std Vol on Hand - Flats</v>
      </c>
      <c r="BE115" s="268" t="str">
        <f>IF('Report History'!NM15=0,"",IFERROR('Report History'!NM15,""))</f>
        <v/>
      </c>
      <c r="BF115" s="269" t="str">
        <f>IF('Report History'!NN15=0,"",IFERROR('Report History'!NN15,""))</f>
        <v/>
      </c>
      <c r="BG115" s="239">
        <f>IF('Report History'!NO15=0,"",IFERROR('Report History'!NO15,""))</f>
        <v>1574</v>
      </c>
      <c r="BH115" s="240" t="str">
        <f>IF('Report History'!NP15=0,"",IFERROR('Report History'!NP15,""))</f>
        <v/>
      </c>
      <c r="BI115" s="267" t="str">
        <f>IF('Report History'!NQ15=0,"",IFERROR('Report History'!NQ15,""))</f>
        <v>Std Vol on Hand - Flats</v>
      </c>
      <c r="BJ115" s="268" t="str">
        <f>IF('Report History'!NR15=0,"",IFERROR('Report History'!NR15,""))</f>
        <v/>
      </c>
      <c r="BK115" s="269" t="str">
        <f>IF('Report History'!NS15=0,"",IFERROR('Report History'!NS15,""))</f>
        <v/>
      </c>
      <c r="BL115" s="239">
        <f>IF('Report History'!NT15=0,"",IFERROR('Report History'!NT15,""))</f>
        <v>13423</v>
      </c>
      <c r="BM115" s="240" t="str">
        <f>IF('Report History'!NU15=0,"",IFERROR('Report History'!NU15,""))</f>
        <v/>
      </c>
      <c r="BN115" s="267" t="str">
        <f>IF('Report History'!NV15=0,"",IFERROR('Report History'!NV15,""))</f>
        <v>Std Vol on Hand - Flats</v>
      </c>
      <c r="BO115" s="268" t="str">
        <f>IF('Report History'!NW15=0,"",IFERROR('Report History'!NW15,""))</f>
        <v/>
      </c>
      <c r="BP115" s="269" t="str">
        <f>IF('Report History'!NX15=0,"",IFERROR('Report History'!NX15,""))</f>
        <v/>
      </c>
      <c r="BQ115" s="239">
        <f>IF('Report History'!NY15=0,"",IFERROR('Report History'!NY15,""))</f>
        <v>4033</v>
      </c>
      <c r="BR115" s="240" t="str">
        <f>IF('Report History'!NZ15=0,"",IFERROR('Report History'!NZ15,""))</f>
        <v/>
      </c>
      <c r="BS115" s="267" t="str">
        <f>IF('Report History'!OA15=0,"",IFERROR('Report History'!OA15,""))</f>
        <v>Std Vol on Hand - Flats</v>
      </c>
      <c r="BT115" s="268" t="str">
        <f>IF('Report History'!OB15=0,"",IFERROR('Report History'!OB15,""))</f>
        <v/>
      </c>
      <c r="BU115" s="269" t="str">
        <f>IF('Report History'!OC15=0,"",IFERROR('Report History'!OC15,""))</f>
        <v/>
      </c>
      <c r="BV115" s="239">
        <f>IF('Report History'!OD15=0,"",IFERROR('Report History'!OD15,""))</f>
        <v>14638.45</v>
      </c>
      <c r="BW115" s="240" t="str">
        <f>IF('Report History'!OE15=0,"",IFERROR('Report History'!OE15,""))</f>
        <v/>
      </c>
      <c r="BX115" s="267" t="str">
        <f>IF('Report History'!OF15=0,"",IFERROR('Report History'!OF15,""))</f>
        <v>Std Vol on Hand - Flats</v>
      </c>
      <c r="BY115" s="268" t="str">
        <f>IF('Report History'!OG15=0,"",IFERROR('Report History'!OG15,""))</f>
        <v/>
      </c>
      <c r="BZ115" s="269" t="str">
        <f>IF('Report History'!OH15=0,"",IFERROR('Report History'!OH15,""))</f>
        <v/>
      </c>
      <c r="CA115" s="239">
        <f>IF('Report History'!OI15=0,"",IFERROR('Report History'!OI15,""))</f>
        <v>14638.45</v>
      </c>
      <c r="CB115" s="240" t="str">
        <f>IF('Report History'!OJ15=0,"",IFERROR('Report History'!OJ15,""))</f>
        <v/>
      </c>
      <c r="CC115" s="267" t="str">
        <f>IF('Report History'!OK15=0,"",IFERROR('Report History'!OK15,""))</f>
        <v>Std Vol on Hand - Flats</v>
      </c>
      <c r="CD115" s="268" t="str">
        <f>IF('Report History'!OL15=0,"",IFERROR('Report History'!OL15,""))</f>
        <v/>
      </c>
      <c r="CE115" s="269" t="str">
        <f>IF('Report History'!OM15=0,"",IFERROR('Report History'!OM15,""))</f>
        <v/>
      </c>
      <c r="CF115" s="239" t="str">
        <f>IF('Report History'!ON15=0,"",IFERROR('Report History'!ON15,""))</f>
        <v/>
      </c>
      <c r="CG115" s="240" t="str">
        <f>IF('Report History'!OO15=0,"",IFERROR('Report History'!OO15,""))</f>
        <v/>
      </c>
      <c r="CH115" s="267" t="str">
        <f>IF('Report History'!OP15=0,"",IFERROR('Report History'!OP15,""))</f>
        <v>Std Vol on Hand - Flats</v>
      </c>
      <c r="CI115" s="268" t="str">
        <f>IF('Report History'!OQ15=0,"",IFERROR('Report History'!OQ15,""))</f>
        <v/>
      </c>
      <c r="CJ115" s="269" t="str">
        <f>IF('Report History'!OR15=0,"",IFERROR('Report History'!OR15,""))</f>
        <v/>
      </c>
      <c r="CK115" s="239" t="str">
        <f>IF('Report History'!OS15=0,"",IFERROR('Report History'!OS15,""))</f>
        <v/>
      </c>
      <c r="CL115" s="240" t="str">
        <f>IF('Report History'!OT15=0,"",IFERROR('Report History'!OT15,""))</f>
        <v/>
      </c>
      <c r="CM115" s="267" t="str">
        <f>IF('Report History'!OU15=0,"",IFERROR('Report History'!OU15,""))</f>
        <v>Std Vol on Hand - Flats</v>
      </c>
      <c r="CN115" s="268" t="str">
        <f>IF('Report History'!OV15=0,"",IFERROR('Report History'!OV15,""))</f>
        <v/>
      </c>
      <c r="CO115" s="269" t="str">
        <f>IF('Report History'!OW15=0,"",IFERROR('Report History'!OW15,""))</f>
        <v/>
      </c>
      <c r="CP115" s="239">
        <f>IF('Report History'!OX15=0,"",IFERROR('Report History'!OX15,""))</f>
        <v>3148</v>
      </c>
      <c r="CQ115" s="240" t="str">
        <f>IF('Report History'!OY15=0,"",IFERROR('Report History'!OY15,""))</f>
        <v/>
      </c>
      <c r="CR115" s="267" t="str">
        <f>IF('Report History'!OZ15=0,"",IFERROR('Report History'!OZ15,""))</f>
        <v>Std Vol on Hand - Flats</v>
      </c>
      <c r="CS115" s="268" t="str">
        <f>IF('Report History'!PA15=0,"",IFERROR('Report History'!PA15,""))</f>
        <v/>
      </c>
      <c r="CT115" s="269" t="str">
        <f>IF('Report History'!PB15=0,"",IFERROR('Report History'!PB15,""))</f>
        <v/>
      </c>
      <c r="CU115" s="239">
        <f>IF('Report History'!PC15=0,"",IFERROR('Report History'!PC15,""))</f>
        <v>27113</v>
      </c>
      <c r="CV115" s="240" t="str">
        <f>IF('Report History'!PD15=0,"",IFERROR('Report History'!PD15,""))</f>
        <v/>
      </c>
      <c r="CW115" s="267" t="str">
        <f>IF('Report History'!PE15=0,"",IFERROR('Report History'!PE15,""))</f>
        <v>Std Vol on Hand - Flats</v>
      </c>
      <c r="CX115" s="268" t="str">
        <f>IF('Report History'!PF15=0,"",IFERROR('Report History'!PF15,""))</f>
        <v/>
      </c>
      <c r="CY115" s="269" t="str">
        <f>IF('Report History'!PG15=0,"",IFERROR('Report History'!PG15,""))</f>
        <v/>
      </c>
      <c r="CZ115" s="239">
        <f>IF('Report History'!PH15=0,"",IFERROR('Report History'!PH15,""))</f>
        <v>58188</v>
      </c>
      <c r="DA115" s="240" t="str">
        <f>IF('Report History'!PI15=0,"",IFERROR('Report History'!PI15,""))</f>
        <v/>
      </c>
      <c r="DB115" s="267" t="str">
        <f>IF('Report History'!PJ15=0,"",IFERROR('Report History'!PJ15,""))</f>
        <v>Std Vol on Hand - Flats</v>
      </c>
      <c r="DC115" s="268" t="str">
        <f>IF('Report History'!PK15=0,"",IFERROR('Report History'!PK15,""))</f>
        <v/>
      </c>
      <c r="DD115" s="269" t="str">
        <f>IF('Report History'!PL15=0,"",IFERROR('Report History'!PL15,""))</f>
        <v/>
      </c>
      <c r="DE115" s="239">
        <f>IF('Report History'!PM15=0,"",IFERROR('Report History'!PM15,""))</f>
        <v>28540</v>
      </c>
      <c r="DF115" s="240" t="str">
        <f>IF('Report History'!PN15=0,"",IFERROR('Report History'!PN15,""))</f>
        <v/>
      </c>
      <c r="DG115" s="267" t="str">
        <f>IF('Report History'!PO15=0,"",IFERROR('Report History'!PO15,""))</f>
        <v>Std Vol on Hand - Flats</v>
      </c>
      <c r="DH115" s="268" t="str">
        <f>IF('Report History'!PP15=0,"",IFERROR('Report History'!PP15,""))</f>
        <v/>
      </c>
      <c r="DI115" s="269" t="str">
        <f>IF('Report History'!PQ15=0,"",IFERROR('Report History'!PQ15,""))</f>
        <v/>
      </c>
      <c r="DJ115" s="239">
        <f>IF('Report History'!PR15=0,"",IFERROR('Report History'!PR15,""))</f>
        <v>47757</v>
      </c>
      <c r="DK115" s="240" t="str">
        <f>IF('Report History'!PS15=0,"",IFERROR('Report History'!PS15,""))</f>
        <v/>
      </c>
      <c r="DL115" s="267" t="str">
        <f>IF('Report History'!PT15=0,"",IFERROR('Report History'!PT15,""))</f>
        <v>Std Vol on Hand - Flats</v>
      </c>
      <c r="DM115" s="268" t="str">
        <f>IF('Report History'!PU15=0,"",IFERROR('Report History'!PU15,""))</f>
        <v/>
      </c>
      <c r="DN115" s="269" t="str">
        <f>IF('Report History'!PV15=0,"",IFERROR('Report History'!PV15,""))</f>
        <v/>
      </c>
      <c r="DO115" s="239">
        <f>IF('Report History'!PW15=0,"",IFERROR('Report History'!PW15,""))</f>
        <v>16132</v>
      </c>
      <c r="DP115" s="240" t="str">
        <f>IF('Report History'!PX15=0,"",IFERROR('Report History'!PX15,""))</f>
        <v/>
      </c>
      <c r="DQ115" s="267" t="str">
        <f>IF('Report History'!PY15=0,"",IFERROR('Report History'!PY15,""))</f>
        <v>Std Vol on Hand - Flats</v>
      </c>
      <c r="DR115" s="268" t="str">
        <f>IF('Report History'!PZ15=0,"",IFERROR('Report History'!PZ15,""))</f>
        <v/>
      </c>
      <c r="DS115" s="269" t="str">
        <f>IF('Report History'!QA15=0,"",IFERROR('Report History'!QA15,""))</f>
        <v/>
      </c>
      <c r="DT115" s="239">
        <f>IF('Report History'!QB15=0,"",IFERROR('Report History'!QB15,""))</f>
        <v>1502</v>
      </c>
      <c r="DU115" s="240" t="str">
        <f>IF('Report History'!QC15=0,"",IFERROR('Report History'!QC15,""))</f>
        <v/>
      </c>
      <c r="DV115" s="267" t="str">
        <f>IF('Report History'!QD15=0,"",IFERROR('Report History'!QD15,""))</f>
        <v>Std Vol on Hand - Flats</v>
      </c>
      <c r="DW115" s="268" t="str">
        <f>IF('Report History'!QE15=0,"",IFERROR('Report History'!QE15,""))</f>
        <v/>
      </c>
      <c r="DX115" s="269" t="str">
        <f>IF('Report History'!QF15=0,"",IFERROR('Report History'!QF15,""))</f>
        <v/>
      </c>
      <c r="DY115" s="239">
        <f>IF('Report History'!QG15=0,"",IFERROR('Report History'!QG15,""))</f>
        <v>25982</v>
      </c>
      <c r="DZ115" s="240" t="str">
        <f>IF('Report History'!QH15=0,"",IFERROR('Report History'!QH15,""))</f>
        <v/>
      </c>
      <c r="EA115" s="267" t="str">
        <f>IF('Report History'!QI15=0,"",IFERROR('Report History'!QI15,""))</f>
        <v>Std Vol on Hand - Flats</v>
      </c>
      <c r="EB115" s="268" t="str">
        <f>IF('Report History'!QJ15=0,"",IFERROR('Report History'!QJ15,""))</f>
        <v/>
      </c>
      <c r="EC115" s="269" t="str">
        <f>IF('Report History'!QK15=0,"",IFERROR('Report History'!QK15,""))</f>
        <v/>
      </c>
      <c r="ED115" s="239">
        <f>IF('Report History'!QL15=0,"",IFERROR('Report History'!QL15,""))</f>
        <v>52721</v>
      </c>
      <c r="EE115" s="240" t="str">
        <f>IF('Report History'!QM15=0,"",IFERROR('Report History'!QM15,""))</f>
        <v/>
      </c>
      <c r="EF115" s="267" t="str">
        <f>IF('Report History'!QN15=0,"",IFERROR('Report History'!QN15,""))</f>
        <v>Std Vol on Hand - Flats</v>
      </c>
      <c r="EG115" s="268" t="str">
        <f>IF('Report History'!QO15=0,"",IFERROR('Report History'!QO15,""))</f>
        <v/>
      </c>
      <c r="EH115" s="269" t="str">
        <f>IF('Report History'!QP15=0,"",IFERROR('Report History'!QP15,""))</f>
        <v/>
      </c>
      <c r="EI115" s="239">
        <f>IF('Report History'!QQ15=0,"",IFERROR('Report History'!QQ15,""))</f>
        <v>52721</v>
      </c>
      <c r="EJ115" s="240" t="str">
        <f>IF('Report History'!QR15=0,"",IFERROR('Report History'!QR15,""))</f>
        <v/>
      </c>
      <c r="EK115" s="267" t="str">
        <f>IF('Report History'!QS15=0,"",IFERROR('Report History'!QS15,""))</f>
        <v>Std Vol on Hand - Flats</v>
      </c>
      <c r="EL115" s="268" t="str">
        <f>IF('Report History'!QT15=0,"",IFERROR('Report History'!QT15,""))</f>
        <v/>
      </c>
      <c r="EM115" s="269" t="str">
        <f>IF('Report History'!QU15=0,"",IFERROR('Report History'!QU15,""))</f>
        <v/>
      </c>
      <c r="EN115" s="239">
        <f>IF('Report History'!QV15=0,"",IFERROR('Report History'!QV15,""))</f>
        <v>70752</v>
      </c>
      <c r="EO115" s="240" t="str">
        <f>IF('Report History'!QW15=0,"",IFERROR('Report History'!QW15,""))</f>
        <v/>
      </c>
      <c r="EP115" s="267" t="str">
        <f>IF('Report History'!QX15=0,"",IFERROR('Report History'!QX15,""))</f>
        <v>Std Vol on Hand - Flats</v>
      </c>
      <c r="EQ115" s="268" t="str">
        <f>IF('Report History'!QY15=0,"",IFERROR('Report History'!QY15,""))</f>
        <v/>
      </c>
      <c r="ER115" s="269" t="str">
        <f>IF('Report History'!QZ15=0,"",IFERROR('Report History'!QZ15,""))</f>
        <v/>
      </c>
      <c r="ES115" s="239">
        <f>IF('Report History'!RA15=0,"",IFERROR('Report History'!RA15,""))</f>
        <v>67604</v>
      </c>
      <c r="ET115" s="240" t="str">
        <f>IF('Report History'!RB15=0,"",IFERROR('Report History'!RB15,""))</f>
        <v/>
      </c>
      <c r="EU115" s="267" t="str">
        <f>IF('Report History'!RC15=0,"",IFERROR('Report History'!RC15,""))</f>
        <v>Std Vol on Hand - Flats</v>
      </c>
      <c r="EV115" s="268" t="str">
        <f>IF('Report History'!RD15=0,"",IFERROR('Report History'!RD15,""))</f>
        <v/>
      </c>
      <c r="EW115" s="269" t="str">
        <f>IF('Report History'!RE15=0,"",IFERROR('Report History'!RE15,""))</f>
        <v/>
      </c>
      <c r="EX115" s="239">
        <f>IF('Report History'!RF15=0,"",IFERROR('Report History'!RF15,""))</f>
        <v>48073</v>
      </c>
      <c r="EY115" s="240" t="str">
        <f>IF('Report History'!RG15=0,"",IFERROR('Report History'!RG15,""))</f>
        <v/>
      </c>
      <c r="EZ115" s="267" t="str">
        <f>IF('Report History'!RH15=0,"",IFERROR('Report History'!RH15,""))</f>
        <v>Std Vol on Hand - Flats</v>
      </c>
      <c r="FA115" s="268" t="str">
        <f>IF('Report History'!RI15=0,"",IFERROR('Report History'!RI15,""))</f>
        <v/>
      </c>
      <c r="FB115" s="269" t="str">
        <f>IF('Report History'!RJ15=0,"",IFERROR('Report History'!RJ15,""))</f>
        <v/>
      </c>
      <c r="FC115" s="239">
        <f>IF('Report History'!RK15=0,"",IFERROR('Report History'!RK15,""))</f>
        <v>472.2</v>
      </c>
      <c r="FD115" s="240" t="str">
        <f>IF('Report History'!RL15=0,"",IFERROR('Report History'!RL15,""))</f>
        <v/>
      </c>
      <c r="FE115" s="267" t="str">
        <f>IF('Report History'!RM15=0,"",IFERROR('Report History'!RM15,""))</f>
        <v>Std Vol on Hand - Flats</v>
      </c>
      <c r="FF115" s="268" t="str">
        <f>IF('Report History'!RN15=0,"",IFERROR('Report History'!RN15,""))</f>
        <v/>
      </c>
      <c r="FG115" s="269" t="str">
        <f>IF('Report History'!RO15=0,"",IFERROR('Report History'!RO15,""))</f>
        <v/>
      </c>
      <c r="FH115" s="239">
        <f>IF('Report History'!RP15=0,"",IFERROR('Report History'!RP15,""))</f>
        <v>4033</v>
      </c>
      <c r="FI115" s="240" t="str">
        <f>IF('Report History'!RQ15=0,"",IFERROR('Report History'!RQ15,""))</f>
        <v/>
      </c>
      <c r="FJ115" s="267" t="str">
        <f>IF('Report History'!RR15=0,"",IFERROR('Report History'!RR15,""))</f>
        <v>Std Vol on Hand - Flats</v>
      </c>
      <c r="FK115" s="268" t="str">
        <f>IF('Report History'!RS15=0,"",IFERROR('Report History'!RS15,""))</f>
        <v/>
      </c>
      <c r="FL115" s="269" t="str">
        <f>IF('Report History'!RT15=0,"",IFERROR('Report History'!RT15,""))</f>
        <v/>
      </c>
      <c r="FM115" s="239">
        <f>IF('Report History'!RU15=0,"",IFERROR('Report History'!RU15,""))</f>
        <v>30188.5</v>
      </c>
      <c r="FN115" s="240" t="str">
        <f>IF('Report History'!RV15=0,"",IFERROR('Report History'!RV15,""))</f>
        <v/>
      </c>
      <c r="FO115" s="267" t="str">
        <f>IF('Report History'!RW15=0,"",IFERROR('Report History'!RW15,""))</f>
        <v>Std Vol on Hand - Flats</v>
      </c>
      <c r="FP115" s="268" t="str">
        <f>IF('Report History'!RX15=0,"",IFERROR('Report History'!RX15,""))</f>
        <v/>
      </c>
      <c r="FQ115" s="269" t="str">
        <f>IF('Report History'!RY15=0,"",IFERROR('Report History'!RY15,""))</f>
        <v/>
      </c>
      <c r="FR115" s="239">
        <f>IF('Report History'!RZ15=0,"",IFERROR('Report History'!RZ15,""))</f>
        <v>30188.5</v>
      </c>
      <c r="FS115" s="240" t="str">
        <f>IF('Report History'!SA15=0,"",IFERROR('Report History'!SA15,""))</f>
        <v/>
      </c>
      <c r="FT115" s="267" t="str">
        <f>IF('Report History'!SB15=0,"",IFERROR('Report History'!SB15,""))</f>
        <v>Std Vol on Hand - Flats</v>
      </c>
      <c r="FU115" s="268" t="str">
        <f>IF('Report History'!SC15=0,"",IFERROR('Report History'!SC15,""))</f>
        <v/>
      </c>
      <c r="FV115" s="269" t="str">
        <f>IF('Report History'!SD15=0,"",IFERROR('Report History'!SD15,""))</f>
        <v/>
      </c>
      <c r="FW115" s="239">
        <f>IF('Report History'!SE15=0,"",IFERROR('Report History'!SE15,""))</f>
        <v>37559</v>
      </c>
      <c r="FX115" s="240" t="str">
        <f>IF('Report History'!SF15=0,"",IFERROR('Report History'!SF15,""))</f>
        <v/>
      </c>
      <c r="FY115" s="267" t="str">
        <f>IF('Report History'!SG15=0,"",IFERROR('Report History'!SG15,""))</f>
        <v>Std Vol on Hand - Flats</v>
      </c>
      <c r="FZ115" s="268" t="str">
        <f>IF('Report History'!SH15=0,"",IFERROR('Report History'!SH15,""))</f>
        <v/>
      </c>
      <c r="GA115" s="269" t="str">
        <f>IF('Report History'!SI15=0,"",IFERROR('Report History'!SI15,""))</f>
        <v/>
      </c>
      <c r="GB115" s="239">
        <f>IF('Report History'!SJ15=0,"",IFERROR('Report History'!SJ15,""))</f>
        <v>18028</v>
      </c>
      <c r="GC115" s="240" t="str">
        <f>IF('Report History'!SK15=0,"",IFERROR('Report History'!SK15,""))</f>
        <v/>
      </c>
      <c r="GD115" s="267" t="str">
        <f>IF('Report History'!SL15=0,"",IFERROR('Report History'!SL15,""))</f>
        <v>Std Vol on Hand - Flats</v>
      </c>
      <c r="GE115" s="268" t="str">
        <f>IF('Report History'!SM15=0,"",IFERROR('Report History'!SM15,""))</f>
        <v/>
      </c>
      <c r="GF115" s="269" t="str">
        <f>IF('Report History'!SN15=0,"",IFERROR('Report History'!SN15,""))</f>
        <v/>
      </c>
      <c r="GG115" s="239" t="str">
        <f>IF('Report History'!SO15=0,"",IFERROR('Report History'!SO15,""))</f>
        <v/>
      </c>
      <c r="GH115" s="240" t="str">
        <f>IF('Report History'!SP15=0,"",IFERROR('Report History'!SP15,""))</f>
        <v/>
      </c>
      <c r="GI115" s="267" t="str">
        <f>IF('Report History'!SQ15=0,"",IFERROR('Report History'!SQ15,""))</f>
        <v>Std Vol on Hand - Flats</v>
      </c>
      <c r="GJ115" s="268" t="str">
        <f>IF('Report History'!SR15=0,"",IFERROR('Report History'!SR15,""))</f>
        <v/>
      </c>
      <c r="GK115" s="269" t="str">
        <f>IF('Report History'!SS15=0,"",IFERROR('Report History'!SS15,""))</f>
        <v/>
      </c>
      <c r="GL115" s="239">
        <f>IF('Report History'!ST15=0,"",IFERROR('Report History'!ST15,""))</f>
        <v>34554</v>
      </c>
      <c r="GM115" s="240" t="str">
        <f>IF('Report History'!SU15=0,"",IFERROR('Report History'!SU15,""))</f>
        <v/>
      </c>
      <c r="GN115" s="267" t="str">
        <f>IF('Report History'!SV15=0,"",IFERROR('Report History'!SV15,""))</f>
        <v>Std Vol on Hand - Flats</v>
      </c>
      <c r="GO115" s="268" t="str">
        <f>IF('Report History'!SW15=0,"",IFERROR('Report History'!SW15,""))</f>
        <v/>
      </c>
      <c r="GP115" s="269" t="str">
        <f>IF('Report History'!SX15=0,"",IFERROR('Report History'!SX15,""))</f>
        <v/>
      </c>
      <c r="GQ115" s="239">
        <f>IF('Report History'!SY15=0,"",IFERROR('Report History'!SY15,""))</f>
        <v>6009</v>
      </c>
      <c r="GR115" s="240" t="str">
        <f>IF('Report History'!SZ15=0,"",IFERROR('Report History'!SZ15,""))</f>
        <v/>
      </c>
      <c r="GS115" s="267" t="str">
        <f>IF('Report History'!TA15=0,"",IFERROR('Report History'!TA15,""))</f>
        <v>Std Vol on Hand - Flats</v>
      </c>
      <c r="GT115" s="268" t="str">
        <f>IF('Report History'!TB15=0,"",IFERROR('Report History'!TB15,""))</f>
        <v/>
      </c>
      <c r="GU115" s="269" t="str">
        <f>IF('Report History'!TC15=0,"",IFERROR('Report History'!TC15,""))</f>
        <v/>
      </c>
      <c r="GV115" s="239">
        <f>IF('Report History'!TD15=0,"",IFERROR('Report History'!TD15,""))</f>
        <v>16818.75</v>
      </c>
      <c r="GW115" s="240" t="str">
        <f>IF('Report History'!TE15=0,"",IFERROR('Report History'!TE15,""))</f>
        <v/>
      </c>
      <c r="GX115" s="267" t="str">
        <f>IF('Report History'!TF15=0,"",IFERROR('Report History'!TF15,""))</f>
        <v>Std Vol on Hand - Flats</v>
      </c>
      <c r="GY115" s="268" t="str">
        <f>IF('Report History'!TG15=0,"",IFERROR('Report History'!TG15,""))</f>
        <v/>
      </c>
      <c r="GZ115" s="269" t="str">
        <f>IF('Report History'!TH15=0,"",IFERROR('Report History'!TH15,""))</f>
        <v/>
      </c>
      <c r="HA115" s="239">
        <f>IF('Report History'!TI15=0,"",IFERROR('Report History'!TI15,""))</f>
        <v>11070</v>
      </c>
      <c r="HB115" s="240" t="str">
        <f>IF('Report History'!TJ15=0,"",IFERROR('Report History'!TJ15,""))</f>
        <v/>
      </c>
      <c r="HC115" s="267" t="str">
        <f>IF('Report History'!TK15=0,"",IFERROR('Report History'!TK15,""))</f>
        <v>Std Vol on Hand - Flats</v>
      </c>
      <c r="HD115" s="268" t="str">
        <f>IF('Report History'!TL15=0,"",IFERROR('Report History'!TL15,""))</f>
        <v/>
      </c>
      <c r="HE115" s="269" t="str">
        <f>IF('Report History'!TM15=0,"",IFERROR('Report History'!TM15,""))</f>
        <v/>
      </c>
      <c r="HF115" s="239">
        <f>IF('Report History'!TN15=0,"",IFERROR('Report History'!TN15,""))</f>
        <v>21626.5</v>
      </c>
      <c r="HG115" s="240" t="str">
        <f>IF('Report History'!TO15=0,"",IFERROR('Report History'!TO15,""))</f>
        <v/>
      </c>
      <c r="HH115" s="267" t="str">
        <f>IF('Report History'!TP15=0,"",IFERROR('Report History'!TP15,""))</f>
        <v>Std Vol on Hand - Flats</v>
      </c>
      <c r="HI115" s="268" t="str">
        <f>IF('Report History'!TQ15=0,"",IFERROR('Report History'!TQ15,""))</f>
        <v/>
      </c>
      <c r="HJ115" s="269" t="str">
        <f>IF('Report History'!TR15=0,"",IFERROR('Report History'!TR15,""))</f>
        <v/>
      </c>
      <c r="HK115" s="239">
        <f>IF('Report History'!TS15=0,"",IFERROR('Report History'!TS15,""))</f>
        <v>11763.5</v>
      </c>
      <c r="HL115" s="240" t="str">
        <f>IF('Report History'!TT15=0,"",IFERROR('Report History'!TT15,""))</f>
        <v/>
      </c>
      <c r="HM115" s="267" t="str">
        <f>IF('Report History'!TU15=0,"",IFERROR('Report History'!TU15,""))</f>
        <v>Std Vol on Hand - Flats</v>
      </c>
      <c r="HN115" s="268" t="str">
        <f>IF('Report History'!TV15=0,"",IFERROR('Report History'!TV15,""))</f>
        <v/>
      </c>
      <c r="HO115" s="269" t="str">
        <f>IF('Report History'!TW15=0,"",IFERROR('Report History'!TW15,""))</f>
        <v/>
      </c>
      <c r="HP115" s="239">
        <f>IF('Report History'!TX15=0,"",IFERROR('Report History'!TX15,""))</f>
        <v>18780</v>
      </c>
      <c r="HQ115" s="240" t="str">
        <f>IF('Report History'!TY15=0,"",IFERROR('Report History'!TY15,""))</f>
        <v/>
      </c>
      <c r="HR115" s="267" t="str">
        <f>IF('Report History'!TZ15=0,"",IFERROR('Report History'!TZ15,""))</f>
        <v>Std Vol on Hand - Flats</v>
      </c>
      <c r="HS115" s="268" t="str">
        <f>IF('Report History'!UA15=0,"",IFERROR('Report History'!UA15,""))</f>
        <v/>
      </c>
      <c r="HT115" s="269" t="str">
        <f>IF('Report History'!UB15=0,"",IFERROR('Report History'!UB15,""))</f>
        <v/>
      </c>
      <c r="HU115" s="239">
        <f>IF('Report History'!UC15=0,"",IFERROR('Report History'!UC15,""))</f>
        <v>37703</v>
      </c>
      <c r="HV115" s="240" t="str">
        <f>IF('Report History'!UD15=0,"",IFERROR('Report History'!UD15,""))</f>
        <v/>
      </c>
      <c r="HW115" s="267" t="str">
        <f>IF('Report History'!UE15=0,"",IFERROR('Report History'!UE15,""))</f>
        <v>Std Vol on Hand - Flats</v>
      </c>
      <c r="HX115" s="268" t="str">
        <f>IF('Report History'!UF15=0,"",IFERROR('Report History'!UF15,""))</f>
        <v/>
      </c>
      <c r="HY115" s="269" t="str">
        <f>IF('Report History'!UG15=0,"",IFERROR('Report History'!UG15,""))</f>
        <v/>
      </c>
      <c r="HZ115" s="239">
        <f>IF('Report History'!UH15=0,"",IFERROR('Report History'!UH15,""))</f>
        <v>36201</v>
      </c>
      <c r="IA115" s="240" t="str">
        <f>IF('Report History'!UI15=0,"",IFERROR('Report History'!UI15,""))</f>
        <v/>
      </c>
      <c r="IB115" s="267" t="str">
        <f>IF('Report History'!UJ15=0,"",IFERROR('Report History'!UJ15,""))</f>
        <v>Std Vol on Hand - Flats</v>
      </c>
      <c r="IC115" s="268" t="str">
        <f>IF('Report History'!UK15=0,"",IFERROR('Report History'!UK15,""))</f>
        <v/>
      </c>
      <c r="ID115" s="269" t="str">
        <f>IF('Report History'!UL15=0,"",IFERROR('Report History'!UL15,""))</f>
        <v/>
      </c>
      <c r="IE115" s="239">
        <f>IF('Report History'!UM15=0,"",IFERROR('Report History'!UM15,""))</f>
        <v>15024</v>
      </c>
      <c r="IF115" s="240" t="str">
        <f>IF('Report History'!UN15=0,"",IFERROR('Report History'!UN15,""))</f>
        <v/>
      </c>
      <c r="IG115" s="267" t="str">
        <f>IF('Report History'!UO15=0,"",IFERROR('Report History'!UO15,""))</f>
        <v>Std Vol on Hand - Flats</v>
      </c>
      <c r="IH115" s="268" t="str">
        <f>IF('Report History'!UP15=0,"",IFERROR('Report History'!UP15,""))</f>
        <v/>
      </c>
      <c r="II115" s="269" t="str">
        <f>IF('Report History'!UQ15=0,"",IFERROR('Report History'!UQ15,""))</f>
        <v/>
      </c>
      <c r="IJ115" s="239">
        <f>IF('Report History'!UR15=0,"",IFERROR('Report History'!UR15,""))</f>
        <v>12018</v>
      </c>
      <c r="IK115" s="240" t="str">
        <f>IF('Report History'!US15=0,"",IFERROR('Report History'!US15,""))</f>
        <v/>
      </c>
      <c r="IL115" s="267" t="str">
        <f>IF('Report History'!UT15=0,"",IFERROR('Report History'!UT15,""))</f>
        <v>Std Vol on Hand - Flats</v>
      </c>
      <c r="IM115" s="268" t="str">
        <f>IF('Report History'!UU15=0,"",IFERROR('Report History'!UU15,""))</f>
        <v/>
      </c>
      <c r="IN115" s="269" t="str">
        <f>IF('Report History'!UV15=0,"",IFERROR('Report History'!UV15,""))</f>
        <v/>
      </c>
      <c r="IO115" s="239">
        <f>IF('Report History'!UW15=0,"",IFERROR('Report History'!UW15,""))</f>
        <v>6009</v>
      </c>
      <c r="IP115" s="240" t="str">
        <f>IF('Report History'!UX15=0,"",IFERROR('Report History'!UX15,""))</f>
        <v/>
      </c>
    </row>
    <row r="116" spans="1:250" x14ac:dyDescent="0.25">
      <c r="A116" s="252" t="str">
        <f>IF('Report History'!LI16=0,"",IFERROR('Report History'!LI16,""))</f>
        <v>Color</v>
      </c>
      <c r="B116" s="253" t="str">
        <f>IF('Report History'!LJ16=0,"",IFERROR('Report History'!LJ16,""))</f>
        <v/>
      </c>
      <c r="C116" s="228" t="str">
        <f>IF('Report History'!LK16=0,"",IFERROR('Report History'!LK16,""))</f>
        <v/>
      </c>
      <c r="D116" s="229" t="str">
        <f>IF('Report History'!LL16=0,"",IFERROR('Report History'!LL16,""))</f>
        <v/>
      </c>
      <c r="E116" s="230" t="str">
        <f>IF('Report History'!LM16=0,"",IFERROR('Report History'!LM16,""))</f>
        <v/>
      </c>
      <c r="F116" s="252" t="str">
        <f>IF('Report History'!LN16=0,"",IFERROR('Report History'!LN16,""))</f>
        <v>Color</v>
      </c>
      <c r="G116" s="253" t="str">
        <f>IF('Report History'!LO16=0,"",IFERROR('Report History'!LO16,""))</f>
        <v/>
      </c>
      <c r="H116" s="228" t="str">
        <f>IF('Report History'!LP16=0,"",IFERROR('Report History'!LP16,""))</f>
        <v/>
      </c>
      <c r="I116" s="229" t="str">
        <f>IF('Report History'!LQ16=0,"",IFERROR('Report History'!LQ16,""))</f>
        <v/>
      </c>
      <c r="J116" s="230" t="str">
        <f>IF('Report History'!LR16=0,"",IFERROR('Report History'!LR16,""))</f>
        <v/>
      </c>
      <c r="K116" s="252" t="str">
        <f>IF('Report History'!LS16=0,"",IFERROR('Report History'!LS16,""))</f>
        <v>Color</v>
      </c>
      <c r="L116" s="253" t="str">
        <f>IF('Report History'!LT16=0,"",IFERROR('Report History'!LT16,""))</f>
        <v/>
      </c>
      <c r="M116" s="228" t="str">
        <f>IF('Report History'!LU16=0,"",IFERROR('Report History'!LU16,""))</f>
        <v/>
      </c>
      <c r="N116" s="229" t="str">
        <f>IF('Report History'!LV16=0,"",IFERROR('Report History'!LV16,""))</f>
        <v/>
      </c>
      <c r="O116" s="230" t="str">
        <f>IF('Report History'!LW16=0,"",IFERROR('Report History'!LW16,""))</f>
        <v/>
      </c>
      <c r="P116" s="252" t="str">
        <f>IF('Report History'!LX16=0,"",IFERROR('Report History'!LX16,""))</f>
        <v>Color</v>
      </c>
      <c r="Q116" s="253" t="str">
        <f>IF('Report History'!LY16=0,"",IFERROR('Report History'!LY16,""))</f>
        <v/>
      </c>
      <c r="R116" s="228" t="str">
        <f>IF('Report History'!LZ16=0,"",IFERROR('Report History'!LZ16,""))</f>
        <v/>
      </c>
      <c r="S116" s="229" t="str">
        <f>IF('Report History'!MA16=0,"",IFERROR('Report History'!MA16,""))</f>
        <v/>
      </c>
      <c r="T116" s="230" t="str">
        <f>IF('Report History'!MB16=0,"",IFERROR('Report History'!MB16,""))</f>
        <v/>
      </c>
      <c r="U116" s="252" t="str">
        <f>IF('Report History'!MC16=0,"",IFERROR('Report History'!MC16,""))</f>
        <v>Color</v>
      </c>
      <c r="V116" s="253" t="str">
        <f>IF('Report History'!MD16=0,"",IFERROR('Report History'!MD16,""))</f>
        <v/>
      </c>
      <c r="W116" s="228" t="str">
        <f>IF('Report History'!ME16=0,"",IFERROR('Report History'!ME16,""))</f>
        <v/>
      </c>
      <c r="X116" s="229" t="str">
        <f>IF('Report History'!MF16=0,"",IFERROR('Report History'!MF16,""))</f>
        <v/>
      </c>
      <c r="Y116" s="230" t="str">
        <f>IF('Report History'!MG16=0,"",IFERROR('Report History'!MG16,""))</f>
        <v/>
      </c>
      <c r="Z116" s="252" t="str">
        <f>IF('Report History'!MH16=0,"",IFERROR('Report History'!MH16,""))</f>
        <v>Color</v>
      </c>
      <c r="AA116" s="253" t="str">
        <f>IF('Report History'!MI16=0,"",IFERROR('Report History'!MI16,""))</f>
        <v/>
      </c>
      <c r="AB116" s="228" t="str">
        <f>IF('Report History'!MJ16=0,"",IFERROR('Report History'!MJ16,""))</f>
        <v/>
      </c>
      <c r="AC116" s="229" t="str">
        <f>IF('Report History'!MK16=0,"",IFERROR('Report History'!MK16,""))</f>
        <v/>
      </c>
      <c r="AD116" s="230" t="str">
        <f>IF('Report History'!ML16=0,"",IFERROR('Report History'!ML16,""))</f>
        <v/>
      </c>
      <c r="AE116" s="252" t="str">
        <f>IF('Report History'!MM16=0,"",IFERROR('Report History'!MM16,""))</f>
        <v>Color</v>
      </c>
      <c r="AF116" s="253" t="str">
        <f>IF('Report History'!MN16=0,"",IFERROR('Report History'!MN16,""))</f>
        <v/>
      </c>
      <c r="AG116" s="228" t="str">
        <f>IF('Report History'!MO16=0,"",IFERROR('Report History'!MO16,""))</f>
        <v/>
      </c>
      <c r="AH116" s="229" t="str">
        <f>IF('Report History'!MP16=0,"",IFERROR('Report History'!MP16,""))</f>
        <v/>
      </c>
      <c r="AI116" s="230" t="str">
        <f>IF('Report History'!MQ16=0,"",IFERROR('Report History'!MQ16,""))</f>
        <v/>
      </c>
      <c r="AJ116" s="252" t="str">
        <f>IF('Report History'!MR16=0,"",IFERROR('Report History'!MR16,""))</f>
        <v>Color</v>
      </c>
      <c r="AK116" s="253" t="str">
        <f>IF('Report History'!MS16=0,"",IFERROR('Report History'!MS16,""))</f>
        <v/>
      </c>
      <c r="AL116" s="228" t="str">
        <f>IF('Report History'!MT16=0,"",IFERROR('Report History'!MT16,""))</f>
        <v/>
      </c>
      <c r="AM116" s="229" t="str">
        <f>IF('Report History'!MU16=0,"",IFERROR('Report History'!MU16,""))</f>
        <v/>
      </c>
      <c r="AN116" s="230" t="str">
        <f>IF('Report History'!MV16=0,"",IFERROR('Report History'!MV16,""))</f>
        <v/>
      </c>
      <c r="AO116" s="252" t="str">
        <f>IF('Report History'!MW16=0,"",IFERROR('Report History'!MW16,""))</f>
        <v>Color</v>
      </c>
      <c r="AP116" s="253" t="str">
        <f>IF('Report History'!MX16=0,"",IFERROR('Report History'!MX16,""))</f>
        <v/>
      </c>
      <c r="AQ116" s="228" t="str">
        <f>IF('Report History'!MY16=0,"",IFERROR('Report History'!MY16,""))</f>
        <v/>
      </c>
      <c r="AR116" s="229" t="str">
        <f>IF('Report History'!MZ16=0,"",IFERROR('Report History'!MZ16,""))</f>
        <v/>
      </c>
      <c r="AS116" s="230" t="str">
        <f>IF('Report History'!NA16=0,"",IFERROR('Report History'!NA16,""))</f>
        <v/>
      </c>
      <c r="AT116" s="252" t="str">
        <f>IF('Report History'!NB16=0,"",IFERROR('Report History'!NB16,""))</f>
        <v>Color</v>
      </c>
      <c r="AU116" s="253" t="str">
        <f>IF('Report History'!NC16=0,"",IFERROR('Report History'!NC16,""))</f>
        <v/>
      </c>
      <c r="AV116" s="228" t="str">
        <f>IF('Report History'!ND16=0,"",IFERROR('Report History'!ND16,""))</f>
        <v/>
      </c>
      <c r="AW116" s="229" t="str">
        <f>IF('Report History'!NE16=0,"",IFERROR('Report History'!NE16,""))</f>
        <v/>
      </c>
      <c r="AX116" s="230" t="str">
        <f>IF('Report History'!NF16=0,"",IFERROR('Report History'!NF16,""))</f>
        <v/>
      </c>
      <c r="AY116" s="252" t="str">
        <f>IF('Report History'!NG16=0,"",IFERROR('Report History'!NG16,""))</f>
        <v>Color</v>
      </c>
      <c r="AZ116" s="253" t="str">
        <f>IF('Report History'!NH16=0,"",IFERROR('Report History'!NH16,""))</f>
        <v/>
      </c>
      <c r="BA116" s="228" t="str">
        <f>IF('Report History'!NI16=0,"",IFERROR('Report History'!NI16,""))</f>
        <v/>
      </c>
      <c r="BB116" s="229" t="str">
        <f>IF('Report History'!NJ16=0,"",IFERROR('Report History'!NJ16,""))</f>
        <v/>
      </c>
      <c r="BC116" s="230" t="str">
        <f>IF('Report History'!NK16=0,"",IFERROR('Report History'!NK16,""))</f>
        <v/>
      </c>
      <c r="BD116" s="252" t="str">
        <f>IF('Report History'!NL16=0,"",IFERROR('Report History'!NL16,""))</f>
        <v>Color</v>
      </c>
      <c r="BE116" s="253" t="str">
        <f>IF('Report History'!NM16=0,"",IFERROR('Report History'!NM16,""))</f>
        <v/>
      </c>
      <c r="BF116" s="228" t="str">
        <f>IF('Report History'!NN16=0,"",IFERROR('Report History'!NN16,""))</f>
        <v/>
      </c>
      <c r="BG116" s="229" t="str">
        <f>IF('Report History'!NO16=0,"",IFERROR('Report History'!NO16,""))</f>
        <v/>
      </c>
      <c r="BH116" s="230" t="str">
        <f>IF('Report History'!NP16=0,"",IFERROR('Report History'!NP16,""))</f>
        <v/>
      </c>
      <c r="BI116" s="252" t="str">
        <f>IF('Report History'!NQ16=0,"",IFERROR('Report History'!NQ16,""))</f>
        <v>Color</v>
      </c>
      <c r="BJ116" s="253" t="str">
        <f>IF('Report History'!NR16=0,"",IFERROR('Report History'!NR16,""))</f>
        <v/>
      </c>
      <c r="BK116" s="228" t="str">
        <f>IF('Report History'!NS16=0,"",IFERROR('Report History'!NS16,""))</f>
        <v/>
      </c>
      <c r="BL116" s="229" t="str">
        <f>IF('Report History'!NT16=0,"",IFERROR('Report History'!NT16,""))</f>
        <v/>
      </c>
      <c r="BM116" s="230" t="str">
        <f>IF('Report History'!NU16=0,"",IFERROR('Report History'!NU16,""))</f>
        <v/>
      </c>
      <c r="BN116" s="252" t="str">
        <f>IF('Report History'!NV16=0,"",IFERROR('Report History'!NV16,""))</f>
        <v>Color</v>
      </c>
      <c r="BO116" s="253" t="str">
        <f>IF('Report History'!NW16=0,"",IFERROR('Report History'!NW16,""))</f>
        <v/>
      </c>
      <c r="BP116" s="228" t="str">
        <f>IF('Report History'!NX16=0,"",IFERROR('Report History'!NX16,""))</f>
        <v/>
      </c>
      <c r="BQ116" s="229" t="str">
        <f>IF('Report History'!NY16=0,"",IFERROR('Report History'!NY16,""))</f>
        <v/>
      </c>
      <c r="BR116" s="230" t="str">
        <f>IF('Report History'!NZ16=0,"",IFERROR('Report History'!NZ16,""))</f>
        <v/>
      </c>
      <c r="BS116" s="252" t="str">
        <f>IF('Report History'!OA16=0,"",IFERROR('Report History'!OA16,""))</f>
        <v>Color</v>
      </c>
      <c r="BT116" s="253" t="str">
        <f>IF('Report History'!OB16=0,"",IFERROR('Report History'!OB16,""))</f>
        <v/>
      </c>
      <c r="BU116" s="228" t="str">
        <f>IF('Report History'!OC16=0,"",IFERROR('Report History'!OC16,""))</f>
        <v/>
      </c>
      <c r="BV116" s="229" t="str">
        <f>IF('Report History'!OD16=0,"",IFERROR('Report History'!OD16,""))</f>
        <v/>
      </c>
      <c r="BW116" s="230" t="str">
        <f>IF('Report History'!OE16=0,"",IFERROR('Report History'!OE16,""))</f>
        <v/>
      </c>
      <c r="BX116" s="252" t="str">
        <f>IF('Report History'!OF16=0,"",IFERROR('Report History'!OF16,""))</f>
        <v>Color</v>
      </c>
      <c r="BY116" s="253" t="str">
        <f>IF('Report History'!OG16=0,"",IFERROR('Report History'!OG16,""))</f>
        <v/>
      </c>
      <c r="BZ116" s="228" t="str">
        <f>IF('Report History'!OH16=0,"",IFERROR('Report History'!OH16,""))</f>
        <v/>
      </c>
      <c r="CA116" s="229" t="str">
        <f>IF('Report History'!OI16=0,"",IFERROR('Report History'!OI16,""))</f>
        <v/>
      </c>
      <c r="CB116" s="230" t="str">
        <f>IF('Report History'!OJ16=0,"",IFERROR('Report History'!OJ16,""))</f>
        <v/>
      </c>
      <c r="CC116" s="252" t="str">
        <f>IF('Report History'!OK16=0,"",IFERROR('Report History'!OK16,""))</f>
        <v>Color</v>
      </c>
      <c r="CD116" s="253" t="str">
        <f>IF('Report History'!OL16=0,"",IFERROR('Report History'!OL16,""))</f>
        <v/>
      </c>
      <c r="CE116" s="228" t="str">
        <f>IF('Report History'!OM16=0,"",IFERROR('Report History'!OM16,""))</f>
        <v/>
      </c>
      <c r="CF116" s="229" t="str">
        <f>IF('Report History'!ON16=0,"",IFERROR('Report History'!ON16,""))</f>
        <v/>
      </c>
      <c r="CG116" s="230" t="str">
        <f>IF('Report History'!OO16=0,"",IFERROR('Report History'!OO16,""))</f>
        <v/>
      </c>
      <c r="CH116" s="252" t="str">
        <f>IF('Report History'!OP16=0,"",IFERROR('Report History'!OP16,""))</f>
        <v>Color</v>
      </c>
      <c r="CI116" s="253" t="str">
        <f>IF('Report History'!OQ16=0,"",IFERROR('Report History'!OQ16,""))</f>
        <v/>
      </c>
      <c r="CJ116" s="228" t="str">
        <f>IF('Report History'!OR16=0,"",IFERROR('Report History'!OR16,""))</f>
        <v/>
      </c>
      <c r="CK116" s="229" t="str">
        <f>IF('Report History'!OS16=0,"",IFERROR('Report History'!OS16,""))</f>
        <v/>
      </c>
      <c r="CL116" s="230" t="str">
        <f>IF('Report History'!OT16=0,"",IFERROR('Report History'!OT16,""))</f>
        <v/>
      </c>
      <c r="CM116" s="252" t="str">
        <f>IF('Report History'!OU16=0,"",IFERROR('Report History'!OU16,""))</f>
        <v>Color</v>
      </c>
      <c r="CN116" s="253" t="str">
        <f>IF('Report History'!OV16=0,"",IFERROR('Report History'!OV16,""))</f>
        <v/>
      </c>
      <c r="CO116" s="228" t="str">
        <f>IF('Report History'!OW16=0,"",IFERROR('Report History'!OW16,""))</f>
        <v/>
      </c>
      <c r="CP116" s="229" t="str">
        <f>IF('Report History'!OX16=0,"",IFERROR('Report History'!OX16,""))</f>
        <v/>
      </c>
      <c r="CQ116" s="230" t="str">
        <f>IF('Report History'!OY16=0,"",IFERROR('Report History'!OY16,""))</f>
        <v/>
      </c>
      <c r="CR116" s="252" t="str">
        <f>IF('Report History'!OZ16=0,"",IFERROR('Report History'!OZ16,""))</f>
        <v>Color</v>
      </c>
      <c r="CS116" s="253" t="str">
        <f>IF('Report History'!PA16=0,"",IFERROR('Report History'!PA16,""))</f>
        <v/>
      </c>
      <c r="CT116" s="228" t="str">
        <f>IF('Report History'!PB16=0,"",IFERROR('Report History'!PB16,""))</f>
        <v/>
      </c>
      <c r="CU116" s="229" t="str">
        <f>IF('Report History'!PC16=0,"",IFERROR('Report History'!PC16,""))</f>
        <v/>
      </c>
      <c r="CV116" s="230" t="str">
        <f>IF('Report History'!PD16=0,"",IFERROR('Report History'!PD16,""))</f>
        <v/>
      </c>
      <c r="CW116" s="252" t="str">
        <f>IF('Report History'!PE16=0,"",IFERROR('Report History'!PE16,""))</f>
        <v>Color</v>
      </c>
      <c r="CX116" s="253" t="str">
        <f>IF('Report History'!PF16=0,"",IFERROR('Report History'!PF16,""))</f>
        <v/>
      </c>
      <c r="CY116" s="228" t="str">
        <f>IF('Report History'!PG16=0,"",IFERROR('Report History'!PG16,""))</f>
        <v/>
      </c>
      <c r="CZ116" s="229" t="str">
        <f>IF('Report History'!PH16=0,"",IFERROR('Report History'!PH16,""))</f>
        <v/>
      </c>
      <c r="DA116" s="230" t="str">
        <f>IF('Report History'!PI16=0,"",IFERROR('Report History'!PI16,""))</f>
        <v/>
      </c>
      <c r="DB116" s="252" t="str">
        <f>IF('Report History'!PJ16=0,"",IFERROR('Report History'!PJ16,""))</f>
        <v>Color</v>
      </c>
      <c r="DC116" s="253" t="str">
        <f>IF('Report History'!PK16=0,"",IFERROR('Report History'!PK16,""))</f>
        <v/>
      </c>
      <c r="DD116" s="228" t="str">
        <f>IF('Report History'!PL16=0,"",IFERROR('Report History'!PL16,""))</f>
        <v/>
      </c>
      <c r="DE116" s="229" t="str">
        <f>IF('Report History'!PM16=0,"",IFERROR('Report History'!PM16,""))</f>
        <v/>
      </c>
      <c r="DF116" s="230" t="str">
        <f>IF('Report History'!PN16=0,"",IFERROR('Report History'!PN16,""))</f>
        <v/>
      </c>
      <c r="DG116" s="252" t="str">
        <f>IF('Report History'!PO16=0,"",IFERROR('Report History'!PO16,""))</f>
        <v>Color</v>
      </c>
      <c r="DH116" s="253" t="str">
        <f>IF('Report History'!PP16=0,"",IFERROR('Report History'!PP16,""))</f>
        <v/>
      </c>
      <c r="DI116" s="228" t="str">
        <f>IF('Report History'!PQ16=0,"",IFERROR('Report History'!PQ16,""))</f>
        <v/>
      </c>
      <c r="DJ116" s="229" t="str">
        <f>IF('Report History'!PR16=0,"",IFERROR('Report History'!PR16,""))</f>
        <v/>
      </c>
      <c r="DK116" s="230" t="str">
        <f>IF('Report History'!PS16=0,"",IFERROR('Report History'!PS16,""))</f>
        <v/>
      </c>
      <c r="DL116" s="252" t="str">
        <f>IF('Report History'!PT16=0,"",IFERROR('Report History'!PT16,""))</f>
        <v>Color</v>
      </c>
      <c r="DM116" s="253" t="str">
        <f>IF('Report History'!PU16=0,"",IFERROR('Report History'!PU16,""))</f>
        <v/>
      </c>
      <c r="DN116" s="228" t="str">
        <f>IF('Report History'!PV16=0,"",IFERROR('Report History'!PV16,""))</f>
        <v/>
      </c>
      <c r="DO116" s="229" t="str">
        <f>IF('Report History'!PW16=0,"",IFERROR('Report History'!PW16,""))</f>
        <v/>
      </c>
      <c r="DP116" s="230" t="str">
        <f>IF('Report History'!PX16=0,"",IFERROR('Report History'!PX16,""))</f>
        <v/>
      </c>
      <c r="DQ116" s="252" t="str">
        <f>IF('Report History'!PY16=0,"",IFERROR('Report History'!PY16,""))</f>
        <v>Color</v>
      </c>
      <c r="DR116" s="253" t="str">
        <f>IF('Report History'!PZ16=0,"",IFERROR('Report History'!PZ16,""))</f>
        <v/>
      </c>
      <c r="DS116" s="228" t="str">
        <f>IF('Report History'!QA16=0,"",IFERROR('Report History'!QA16,""))</f>
        <v/>
      </c>
      <c r="DT116" s="229" t="str">
        <f>IF('Report History'!QB16=0,"",IFERROR('Report History'!QB16,""))</f>
        <v/>
      </c>
      <c r="DU116" s="230" t="str">
        <f>IF('Report History'!QC16=0,"",IFERROR('Report History'!QC16,""))</f>
        <v/>
      </c>
      <c r="DV116" s="252" t="str">
        <f>IF('Report History'!QD16=0,"",IFERROR('Report History'!QD16,""))</f>
        <v>Color</v>
      </c>
      <c r="DW116" s="253" t="str">
        <f>IF('Report History'!QE16=0,"",IFERROR('Report History'!QE16,""))</f>
        <v/>
      </c>
      <c r="DX116" s="228" t="str">
        <f>IF('Report History'!QF16=0,"",IFERROR('Report History'!QF16,""))</f>
        <v/>
      </c>
      <c r="DY116" s="229" t="str">
        <f>IF('Report History'!QG16=0,"",IFERROR('Report History'!QG16,""))</f>
        <v/>
      </c>
      <c r="DZ116" s="230" t="str">
        <f>IF('Report History'!QH16=0,"",IFERROR('Report History'!QH16,""))</f>
        <v/>
      </c>
      <c r="EA116" s="252" t="str">
        <f>IF('Report History'!QI16=0,"",IFERROR('Report History'!QI16,""))</f>
        <v>Color</v>
      </c>
      <c r="EB116" s="253" t="str">
        <f>IF('Report History'!QJ16=0,"",IFERROR('Report History'!QJ16,""))</f>
        <v/>
      </c>
      <c r="EC116" s="228" t="str">
        <f>IF('Report History'!QK16=0,"",IFERROR('Report History'!QK16,""))</f>
        <v/>
      </c>
      <c r="ED116" s="229" t="str">
        <f>IF('Report History'!QL16=0,"",IFERROR('Report History'!QL16,""))</f>
        <v/>
      </c>
      <c r="EE116" s="230" t="str">
        <f>IF('Report History'!QM16=0,"",IFERROR('Report History'!QM16,""))</f>
        <v/>
      </c>
      <c r="EF116" s="252" t="str">
        <f>IF('Report History'!QN16=0,"",IFERROR('Report History'!QN16,""))</f>
        <v>Color</v>
      </c>
      <c r="EG116" s="253" t="str">
        <f>IF('Report History'!QO16=0,"",IFERROR('Report History'!QO16,""))</f>
        <v/>
      </c>
      <c r="EH116" s="228" t="str">
        <f>IF('Report History'!QP16=0,"",IFERROR('Report History'!QP16,""))</f>
        <v/>
      </c>
      <c r="EI116" s="229" t="str">
        <f>IF('Report History'!QQ16=0,"",IFERROR('Report History'!QQ16,""))</f>
        <v/>
      </c>
      <c r="EJ116" s="230" t="str">
        <f>IF('Report History'!QR16=0,"",IFERROR('Report History'!QR16,""))</f>
        <v/>
      </c>
      <c r="EK116" s="252" t="str">
        <f>IF('Report History'!QS16=0,"",IFERROR('Report History'!QS16,""))</f>
        <v>Color</v>
      </c>
      <c r="EL116" s="253" t="str">
        <f>IF('Report History'!QT16=0,"",IFERROR('Report History'!QT16,""))</f>
        <v/>
      </c>
      <c r="EM116" s="228" t="str">
        <f>IF('Report History'!QU16=0,"",IFERROR('Report History'!QU16,""))</f>
        <v/>
      </c>
      <c r="EN116" s="229" t="str">
        <f>IF('Report History'!QV16=0,"",IFERROR('Report History'!QV16,""))</f>
        <v/>
      </c>
      <c r="EO116" s="230" t="str">
        <f>IF('Report History'!QW16=0,"",IFERROR('Report History'!QW16,""))</f>
        <v/>
      </c>
      <c r="EP116" s="252" t="str">
        <f>IF('Report History'!QX16=0,"",IFERROR('Report History'!QX16,""))</f>
        <v>Color</v>
      </c>
      <c r="EQ116" s="253" t="str">
        <f>IF('Report History'!QY16=0,"",IFERROR('Report History'!QY16,""))</f>
        <v/>
      </c>
      <c r="ER116" s="228" t="str">
        <f>IF('Report History'!QZ16=0,"",IFERROR('Report History'!QZ16,""))</f>
        <v/>
      </c>
      <c r="ES116" s="229" t="str">
        <f>IF('Report History'!RA16=0,"",IFERROR('Report History'!RA16,""))</f>
        <v/>
      </c>
      <c r="ET116" s="230" t="str">
        <f>IF('Report History'!RB16=0,"",IFERROR('Report History'!RB16,""))</f>
        <v/>
      </c>
      <c r="EU116" s="252" t="str">
        <f>IF('Report History'!RC16=0,"",IFERROR('Report History'!RC16,""))</f>
        <v>Color</v>
      </c>
      <c r="EV116" s="253" t="str">
        <f>IF('Report History'!RD16=0,"",IFERROR('Report History'!RD16,""))</f>
        <v/>
      </c>
      <c r="EW116" s="228" t="str">
        <f>IF('Report History'!RE16=0,"",IFERROR('Report History'!RE16,""))</f>
        <v/>
      </c>
      <c r="EX116" s="229" t="str">
        <f>IF('Report History'!RF16=0,"",IFERROR('Report History'!RF16,""))</f>
        <v/>
      </c>
      <c r="EY116" s="230" t="str">
        <f>IF('Report History'!RG16=0,"",IFERROR('Report History'!RG16,""))</f>
        <v/>
      </c>
      <c r="EZ116" s="252" t="str">
        <f>IF('Report History'!RH16=0,"",IFERROR('Report History'!RH16,""))</f>
        <v>Color</v>
      </c>
      <c r="FA116" s="253" t="str">
        <f>IF('Report History'!RI16=0,"",IFERROR('Report History'!RI16,""))</f>
        <v/>
      </c>
      <c r="FB116" s="228" t="str">
        <f>IF('Report History'!RJ16=0,"",IFERROR('Report History'!RJ16,""))</f>
        <v/>
      </c>
      <c r="FC116" s="229" t="str">
        <f>IF('Report History'!RK16=0,"",IFERROR('Report History'!RK16,""))</f>
        <v/>
      </c>
      <c r="FD116" s="230" t="str">
        <f>IF('Report History'!RL16=0,"",IFERROR('Report History'!RL16,""))</f>
        <v/>
      </c>
      <c r="FE116" s="252" t="str">
        <f>IF('Report History'!RM16=0,"",IFERROR('Report History'!RM16,""))</f>
        <v>Color</v>
      </c>
      <c r="FF116" s="253" t="str">
        <f>IF('Report History'!RN16=0,"",IFERROR('Report History'!RN16,""))</f>
        <v/>
      </c>
      <c r="FG116" s="228" t="str">
        <f>IF('Report History'!RO16=0,"",IFERROR('Report History'!RO16,""))</f>
        <v/>
      </c>
      <c r="FH116" s="229" t="str">
        <f>IF('Report History'!RP16=0,"",IFERROR('Report History'!RP16,""))</f>
        <v/>
      </c>
      <c r="FI116" s="230" t="str">
        <f>IF('Report History'!RQ16=0,"",IFERROR('Report History'!RQ16,""))</f>
        <v/>
      </c>
      <c r="FJ116" s="252" t="str">
        <f>IF('Report History'!RR16=0,"",IFERROR('Report History'!RR16,""))</f>
        <v>Color</v>
      </c>
      <c r="FK116" s="253" t="str">
        <f>IF('Report History'!RS16=0,"",IFERROR('Report History'!RS16,""))</f>
        <v/>
      </c>
      <c r="FL116" s="228" t="str">
        <f>IF('Report History'!RT16=0,"",IFERROR('Report History'!RT16,""))</f>
        <v/>
      </c>
      <c r="FM116" s="229" t="str">
        <f>IF('Report History'!RU16=0,"",IFERROR('Report History'!RU16,""))</f>
        <v/>
      </c>
      <c r="FN116" s="230" t="str">
        <f>IF('Report History'!RV16=0,"",IFERROR('Report History'!RV16,""))</f>
        <v/>
      </c>
      <c r="FO116" s="252" t="str">
        <f>IF('Report History'!RW16=0,"",IFERROR('Report History'!RW16,""))</f>
        <v>Color</v>
      </c>
      <c r="FP116" s="253" t="str">
        <f>IF('Report History'!RX16=0,"",IFERROR('Report History'!RX16,""))</f>
        <v/>
      </c>
      <c r="FQ116" s="228" t="str">
        <f>IF('Report History'!RY16=0,"",IFERROR('Report History'!RY16,""))</f>
        <v/>
      </c>
      <c r="FR116" s="229" t="str">
        <f>IF('Report History'!RZ16=0,"",IFERROR('Report History'!RZ16,""))</f>
        <v/>
      </c>
      <c r="FS116" s="230" t="str">
        <f>IF('Report History'!SA16=0,"",IFERROR('Report History'!SA16,""))</f>
        <v/>
      </c>
      <c r="FT116" s="252" t="str">
        <f>IF('Report History'!SB16=0,"",IFERROR('Report History'!SB16,""))</f>
        <v>Color</v>
      </c>
      <c r="FU116" s="253" t="str">
        <f>IF('Report History'!SC16=0,"",IFERROR('Report History'!SC16,""))</f>
        <v/>
      </c>
      <c r="FV116" s="228" t="str">
        <f>IF('Report History'!SD16=0,"",IFERROR('Report History'!SD16,""))</f>
        <v/>
      </c>
      <c r="FW116" s="229" t="str">
        <f>IF('Report History'!SE16=0,"",IFERROR('Report History'!SE16,""))</f>
        <v/>
      </c>
      <c r="FX116" s="230" t="str">
        <f>IF('Report History'!SF16=0,"",IFERROR('Report History'!SF16,""))</f>
        <v/>
      </c>
      <c r="FY116" s="252" t="str">
        <f>IF('Report History'!SG16=0,"",IFERROR('Report History'!SG16,""))</f>
        <v>Color</v>
      </c>
      <c r="FZ116" s="253" t="str">
        <f>IF('Report History'!SH16=0,"",IFERROR('Report History'!SH16,""))</f>
        <v/>
      </c>
      <c r="GA116" s="228" t="str">
        <f>IF('Report History'!SI16=0,"",IFERROR('Report History'!SI16,""))</f>
        <v/>
      </c>
      <c r="GB116" s="229" t="str">
        <f>IF('Report History'!SJ16=0,"",IFERROR('Report History'!SJ16,""))</f>
        <v/>
      </c>
      <c r="GC116" s="230" t="str">
        <f>IF('Report History'!SK16=0,"",IFERROR('Report History'!SK16,""))</f>
        <v/>
      </c>
      <c r="GD116" s="252" t="str">
        <f>IF('Report History'!SL16=0,"",IFERROR('Report History'!SL16,""))</f>
        <v>Color</v>
      </c>
      <c r="GE116" s="253" t="str">
        <f>IF('Report History'!SM16=0,"",IFERROR('Report History'!SM16,""))</f>
        <v/>
      </c>
      <c r="GF116" s="228" t="str">
        <f>IF('Report History'!SN16=0,"",IFERROR('Report History'!SN16,""))</f>
        <v/>
      </c>
      <c r="GG116" s="229" t="str">
        <f>IF('Report History'!SO16=0,"",IFERROR('Report History'!SO16,""))</f>
        <v/>
      </c>
      <c r="GH116" s="230" t="str">
        <f>IF('Report History'!SP16=0,"",IFERROR('Report History'!SP16,""))</f>
        <v/>
      </c>
      <c r="GI116" s="252" t="str">
        <f>IF('Report History'!SQ16=0,"",IFERROR('Report History'!SQ16,""))</f>
        <v>Color</v>
      </c>
      <c r="GJ116" s="253" t="str">
        <f>IF('Report History'!SR16=0,"",IFERROR('Report History'!SR16,""))</f>
        <v/>
      </c>
      <c r="GK116" s="228" t="str">
        <f>IF('Report History'!SS16=0,"",IFERROR('Report History'!SS16,""))</f>
        <v/>
      </c>
      <c r="GL116" s="229" t="str">
        <f>IF('Report History'!ST16=0,"",IFERROR('Report History'!ST16,""))</f>
        <v/>
      </c>
      <c r="GM116" s="230" t="str">
        <f>IF('Report History'!SU16=0,"",IFERROR('Report History'!SU16,""))</f>
        <v/>
      </c>
      <c r="GN116" s="252" t="str">
        <f>IF('Report History'!SV16=0,"",IFERROR('Report History'!SV16,""))</f>
        <v>Color</v>
      </c>
      <c r="GO116" s="253" t="str">
        <f>IF('Report History'!SW16=0,"",IFERROR('Report History'!SW16,""))</f>
        <v/>
      </c>
      <c r="GP116" s="228" t="str">
        <f>IF('Report History'!SX16=0,"",IFERROR('Report History'!SX16,""))</f>
        <v/>
      </c>
      <c r="GQ116" s="229" t="str">
        <f>IF('Report History'!SY16=0,"",IFERROR('Report History'!SY16,""))</f>
        <v/>
      </c>
      <c r="GR116" s="230" t="str">
        <f>IF('Report History'!SZ16=0,"",IFERROR('Report History'!SZ16,""))</f>
        <v/>
      </c>
      <c r="GS116" s="252" t="str">
        <f>IF('Report History'!TA16=0,"",IFERROR('Report History'!TA16,""))</f>
        <v>Color</v>
      </c>
      <c r="GT116" s="253" t="str">
        <f>IF('Report History'!TB16=0,"",IFERROR('Report History'!TB16,""))</f>
        <v/>
      </c>
      <c r="GU116" s="228" t="str">
        <f>IF('Report History'!TC16=0,"",IFERROR('Report History'!TC16,""))</f>
        <v/>
      </c>
      <c r="GV116" s="229" t="str">
        <f>IF('Report History'!TD16=0,"",IFERROR('Report History'!TD16,""))</f>
        <v/>
      </c>
      <c r="GW116" s="230" t="str">
        <f>IF('Report History'!TE16=0,"",IFERROR('Report History'!TE16,""))</f>
        <v/>
      </c>
      <c r="GX116" s="252" t="str">
        <f>IF('Report History'!TF16=0,"",IFERROR('Report History'!TF16,""))</f>
        <v>Color</v>
      </c>
      <c r="GY116" s="253" t="str">
        <f>IF('Report History'!TG16=0,"",IFERROR('Report History'!TG16,""))</f>
        <v/>
      </c>
      <c r="GZ116" s="228" t="str">
        <f>IF('Report History'!TH16=0,"",IFERROR('Report History'!TH16,""))</f>
        <v/>
      </c>
      <c r="HA116" s="229" t="str">
        <f>IF('Report History'!TI16=0,"",IFERROR('Report History'!TI16,""))</f>
        <v/>
      </c>
      <c r="HB116" s="230" t="str">
        <f>IF('Report History'!TJ16=0,"",IFERROR('Report History'!TJ16,""))</f>
        <v/>
      </c>
      <c r="HC116" s="252" t="str">
        <f>IF('Report History'!TK16=0,"",IFERROR('Report History'!TK16,""))</f>
        <v>Color</v>
      </c>
      <c r="HD116" s="253" t="str">
        <f>IF('Report History'!TL16=0,"",IFERROR('Report History'!TL16,""))</f>
        <v/>
      </c>
      <c r="HE116" s="228" t="str">
        <f>IF('Report History'!TM16=0,"",IFERROR('Report History'!TM16,""))</f>
        <v/>
      </c>
      <c r="HF116" s="229" t="str">
        <f>IF('Report History'!TN16=0,"",IFERROR('Report History'!TN16,""))</f>
        <v/>
      </c>
      <c r="HG116" s="230" t="str">
        <f>IF('Report History'!TO16=0,"",IFERROR('Report History'!TO16,""))</f>
        <v/>
      </c>
      <c r="HH116" s="252" t="str">
        <f>IF('Report History'!TP16=0,"",IFERROR('Report History'!TP16,""))</f>
        <v>Color</v>
      </c>
      <c r="HI116" s="253" t="str">
        <f>IF('Report History'!TQ16=0,"",IFERROR('Report History'!TQ16,""))</f>
        <v/>
      </c>
      <c r="HJ116" s="228" t="str">
        <f>IF('Report History'!TR16=0,"",IFERROR('Report History'!TR16,""))</f>
        <v/>
      </c>
      <c r="HK116" s="229" t="str">
        <f>IF('Report History'!TS16=0,"",IFERROR('Report History'!TS16,""))</f>
        <v/>
      </c>
      <c r="HL116" s="230" t="str">
        <f>IF('Report History'!TT16=0,"",IFERROR('Report History'!TT16,""))</f>
        <v/>
      </c>
      <c r="HM116" s="252" t="str">
        <f>IF('Report History'!TU16=0,"",IFERROR('Report History'!TU16,""))</f>
        <v>Color</v>
      </c>
      <c r="HN116" s="253" t="str">
        <f>IF('Report History'!TV16=0,"",IFERROR('Report History'!TV16,""))</f>
        <v/>
      </c>
      <c r="HO116" s="228" t="str">
        <f>IF('Report History'!TW16=0,"",IFERROR('Report History'!TW16,""))</f>
        <v/>
      </c>
      <c r="HP116" s="229" t="str">
        <f>IF('Report History'!TX16=0,"",IFERROR('Report History'!TX16,""))</f>
        <v/>
      </c>
      <c r="HQ116" s="230" t="str">
        <f>IF('Report History'!TY16=0,"",IFERROR('Report History'!TY16,""))</f>
        <v/>
      </c>
      <c r="HR116" s="252" t="str">
        <f>IF('Report History'!TZ16=0,"",IFERROR('Report History'!TZ16,""))</f>
        <v>Color</v>
      </c>
      <c r="HS116" s="253" t="str">
        <f>IF('Report History'!UA16=0,"",IFERROR('Report History'!UA16,""))</f>
        <v/>
      </c>
      <c r="HT116" s="228" t="str">
        <f>IF('Report History'!UB16=0,"",IFERROR('Report History'!UB16,""))</f>
        <v/>
      </c>
      <c r="HU116" s="229" t="str">
        <f>IF('Report History'!UC16=0,"",IFERROR('Report History'!UC16,""))</f>
        <v/>
      </c>
      <c r="HV116" s="230" t="str">
        <f>IF('Report History'!UD16=0,"",IFERROR('Report History'!UD16,""))</f>
        <v/>
      </c>
      <c r="HW116" s="252" t="str">
        <f>IF('Report History'!UE16=0,"",IFERROR('Report History'!UE16,""))</f>
        <v>Color</v>
      </c>
      <c r="HX116" s="253" t="str">
        <f>IF('Report History'!UF16=0,"",IFERROR('Report History'!UF16,""))</f>
        <v/>
      </c>
      <c r="HY116" s="228" t="str">
        <f>IF('Report History'!UG16=0,"",IFERROR('Report History'!UG16,""))</f>
        <v/>
      </c>
      <c r="HZ116" s="229" t="str">
        <f>IF('Report History'!UH16=0,"",IFERROR('Report History'!UH16,""))</f>
        <v/>
      </c>
      <c r="IA116" s="230" t="str">
        <f>IF('Report History'!UI16=0,"",IFERROR('Report History'!UI16,""))</f>
        <v/>
      </c>
      <c r="IB116" s="252" t="str">
        <f>IF('Report History'!UJ16=0,"",IFERROR('Report History'!UJ16,""))</f>
        <v>Color</v>
      </c>
      <c r="IC116" s="253" t="str">
        <f>IF('Report History'!UK16=0,"",IFERROR('Report History'!UK16,""))</f>
        <v/>
      </c>
      <c r="ID116" s="228" t="str">
        <f>IF('Report History'!UL16=0,"",IFERROR('Report History'!UL16,""))</f>
        <v/>
      </c>
      <c r="IE116" s="229" t="str">
        <f>IF('Report History'!UM16=0,"",IFERROR('Report History'!UM16,""))</f>
        <v/>
      </c>
      <c r="IF116" s="230" t="str">
        <f>IF('Report History'!UN16=0,"",IFERROR('Report History'!UN16,""))</f>
        <v/>
      </c>
      <c r="IG116" s="252" t="str">
        <f>IF('Report History'!UO16=0,"",IFERROR('Report History'!UO16,""))</f>
        <v>Color</v>
      </c>
      <c r="IH116" s="253" t="str">
        <f>IF('Report History'!UP16=0,"",IFERROR('Report History'!UP16,""))</f>
        <v/>
      </c>
      <c r="II116" s="228" t="str">
        <f>IF('Report History'!UQ16=0,"",IFERROR('Report History'!UQ16,""))</f>
        <v/>
      </c>
      <c r="IJ116" s="229" t="str">
        <f>IF('Report History'!UR16=0,"",IFERROR('Report History'!UR16,""))</f>
        <v/>
      </c>
      <c r="IK116" s="230" t="str">
        <f>IF('Report History'!US16=0,"",IFERROR('Report History'!US16,""))</f>
        <v/>
      </c>
      <c r="IL116" s="252" t="str">
        <f>IF('Report History'!UT16=0,"",IFERROR('Report History'!UT16,""))</f>
        <v>Color</v>
      </c>
      <c r="IM116" s="253" t="str">
        <f>IF('Report History'!UU16=0,"",IFERROR('Report History'!UU16,""))</f>
        <v/>
      </c>
      <c r="IN116" s="228" t="str">
        <f>IF('Report History'!UV16=0,"",IFERROR('Report History'!UV16,""))</f>
        <v/>
      </c>
      <c r="IO116" s="229" t="str">
        <f>IF('Report History'!UW16=0,"",IFERROR('Report History'!UW16,""))</f>
        <v/>
      </c>
      <c r="IP116" s="230" t="str">
        <f>IF('Report History'!UX16=0,"",IFERROR('Report History'!UX16,""))</f>
        <v/>
      </c>
    </row>
    <row r="117" spans="1:250" x14ac:dyDescent="0.25">
      <c r="A117" s="217" t="str">
        <f>IF('Report History'!LI17=0,"",IFERROR('Report History'!LI17,""))</f>
        <v>YELLOW</v>
      </c>
      <c r="B117" s="218" t="str">
        <f>IF('Report History'!LJ17=0,"",IFERROR('Report History'!LJ17,""))</f>
        <v/>
      </c>
      <c r="C117" s="222" t="str">
        <f>IF('Report History'!LK17=0,"",IFERROR('Report History'!LK17,""))</f>
        <v/>
      </c>
      <c r="D117" s="223" t="str">
        <f>IF('Report History'!LL17=0,"",IFERROR('Report History'!LL17,""))</f>
        <v/>
      </c>
      <c r="E117" s="224" t="str">
        <f>IF('Report History'!LM17=0,"",IFERROR('Report History'!LM17,""))</f>
        <v/>
      </c>
      <c r="F117" s="217" t="str">
        <f>IF('Report History'!LN17=0,"",IFERROR('Report History'!LN17,""))</f>
        <v>VIOLET</v>
      </c>
      <c r="G117" s="218" t="str">
        <f>IF('Report History'!LO17=0,"",IFERROR('Report History'!LO17,""))</f>
        <v/>
      </c>
      <c r="H117" s="222">
        <f>IF('Report History'!LP17=0,"",IFERROR('Report History'!LP17,""))</f>
        <v>1574</v>
      </c>
      <c r="I117" s="223" t="str">
        <f>IF('Report History'!LQ17=0,"",IFERROR('Report History'!LQ17,""))</f>
        <v/>
      </c>
      <c r="J117" s="224" t="str">
        <f>IF('Report History'!LR17=0,"",IFERROR('Report History'!LR17,""))</f>
        <v/>
      </c>
      <c r="K117" s="217" t="str">
        <f>IF('Report History'!LS17=0,"",IFERROR('Report History'!LS17,""))</f>
        <v>GREEN</v>
      </c>
      <c r="L117" s="218" t="str">
        <f>IF('Report History'!LT17=0,"",IFERROR('Report History'!LT17,""))</f>
        <v/>
      </c>
      <c r="M117" s="222">
        <f>IF('Report History'!LU17=0,"",IFERROR('Report History'!LU17,""))</f>
        <v>1574</v>
      </c>
      <c r="N117" s="223" t="str">
        <f>IF('Report History'!LV17=0,"",IFERROR('Report History'!LV17,""))</f>
        <v/>
      </c>
      <c r="O117" s="224" t="str">
        <f>IF('Report History'!LW17=0,"",IFERROR('Report History'!LW17,""))</f>
        <v/>
      </c>
      <c r="P117" s="217" t="str">
        <f>IF('Report History'!LX17=0,"",IFERROR('Report History'!LX17,""))</f>
        <v>ORANGE</v>
      </c>
      <c r="Q117" s="218" t="str">
        <f>IF('Report History'!LY17=0,"",IFERROR('Report History'!LY17,""))</f>
        <v/>
      </c>
      <c r="R117" s="222" t="str">
        <f>IF('Report History'!LZ17=0,"",IFERROR('Report History'!LZ17,""))</f>
        <v/>
      </c>
      <c r="S117" s="223" t="str">
        <f>IF('Report History'!MA17=0,"",IFERROR('Report History'!MA17,""))</f>
        <v/>
      </c>
      <c r="T117" s="224" t="str">
        <f>IF('Report History'!MB17=0,"",IFERROR('Report History'!MB17,""))</f>
        <v/>
      </c>
      <c r="U117" s="217" t="str">
        <f>IF('Report History'!MC17=0,"",IFERROR('Report History'!MC17,""))</f>
        <v>BLUE</v>
      </c>
      <c r="V117" s="218" t="str">
        <f>IF('Report History'!MD17=0,"",IFERROR('Report History'!MD17,""))</f>
        <v/>
      </c>
      <c r="W117" s="222" t="str">
        <f>IF('Report History'!ME17=0,"",IFERROR('Report History'!ME17,""))</f>
        <v/>
      </c>
      <c r="X117" s="223" t="str">
        <f>IF('Report History'!MF17=0,"",IFERROR('Report History'!MF17,""))</f>
        <v/>
      </c>
      <c r="Y117" s="224" t="str">
        <f>IF('Report History'!MG17=0,"",IFERROR('Report History'!MG17,""))</f>
        <v/>
      </c>
      <c r="Z117" s="217" t="str">
        <f>IF('Report History'!MH17=0,"",IFERROR('Report History'!MH17,""))</f>
        <v/>
      </c>
      <c r="AA117" s="218" t="str">
        <f>IF('Report History'!MI17=0,"",IFERROR('Report History'!MI17,""))</f>
        <v/>
      </c>
      <c r="AB117" s="222" t="str">
        <f>IF('Report History'!MJ17=0,"",IFERROR('Report History'!MJ17,""))</f>
        <v/>
      </c>
      <c r="AC117" s="223" t="str">
        <f>IF('Report History'!MK17=0,"",IFERROR('Report History'!MK17,""))</f>
        <v/>
      </c>
      <c r="AD117" s="224" t="str">
        <f>IF('Report History'!ML17=0,"",IFERROR('Report History'!ML17,""))</f>
        <v/>
      </c>
      <c r="AE117" s="217" t="str">
        <f>IF('Report History'!MM17=0,"",IFERROR('Report History'!MM17,""))</f>
        <v>PINK</v>
      </c>
      <c r="AF117" s="218" t="str">
        <f>IF('Report History'!MN17=0,"",IFERROR('Report History'!MN17,""))</f>
        <v/>
      </c>
      <c r="AG117" s="222" t="str">
        <f>IF('Report History'!MO17=0,"",IFERROR('Report History'!MO17,""))</f>
        <v/>
      </c>
      <c r="AH117" s="223" t="str">
        <f>IF('Report History'!MP17=0,"",IFERROR('Report History'!MP17,""))</f>
        <v/>
      </c>
      <c r="AI117" s="224" t="str">
        <f>IF('Report History'!MQ17=0,"",IFERROR('Report History'!MQ17,""))</f>
        <v/>
      </c>
      <c r="AJ117" s="217" t="str">
        <f>IF('Report History'!MR17=0,"",IFERROR('Report History'!MR17,""))</f>
        <v>YELLOW</v>
      </c>
      <c r="AK117" s="218" t="str">
        <f>IF('Report History'!MS17=0,"",IFERROR('Report History'!MS17,""))</f>
        <v/>
      </c>
      <c r="AL117" s="222" t="str">
        <f>IF('Report History'!MT17=0,"",IFERROR('Report History'!MT17,""))</f>
        <v/>
      </c>
      <c r="AM117" s="223" t="str">
        <f>IF('Report History'!MU17=0,"",IFERROR('Report History'!MU17,""))</f>
        <v/>
      </c>
      <c r="AN117" s="224" t="str">
        <f>IF('Report History'!MV17=0,"",IFERROR('Report History'!MV17,""))</f>
        <v/>
      </c>
      <c r="AO117" s="217" t="str">
        <f>IF('Report History'!MW17=0,"",IFERROR('Report History'!MW17,""))</f>
        <v>YELLOW</v>
      </c>
      <c r="AP117" s="218" t="str">
        <f>IF('Report History'!MX17=0,"",IFERROR('Report History'!MX17,""))</f>
        <v/>
      </c>
      <c r="AQ117" s="222" t="str">
        <f>IF('Report History'!MY17=0,"",IFERROR('Report History'!MY17,""))</f>
        <v/>
      </c>
      <c r="AR117" s="223" t="str">
        <f>IF('Report History'!MZ17=0,"",IFERROR('Report History'!MZ17,""))</f>
        <v/>
      </c>
      <c r="AS117" s="224" t="str">
        <f>IF('Report History'!NA17=0,"",IFERROR('Report History'!NA17,""))</f>
        <v/>
      </c>
      <c r="AT117" s="217" t="str">
        <f>IF('Report History'!NB17=0,"",IFERROR('Report History'!NB17,""))</f>
        <v>VIOLET</v>
      </c>
      <c r="AU117" s="218" t="str">
        <f>IF('Report History'!NC17=0,"",IFERROR('Report History'!NC17,""))</f>
        <v/>
      </c>
      <c r="AV117" s="222" t="str">
        <f>IF('Report History'!ND17=0,"",IFERROR('Report History'!ND17,""))</f>
        <v/>
      </c>
      <c r="AW117" s="223" t="str">
        <f>IF('Report History'!NE17=0,"",IFERROR('Report History'!NE17,""))</f>
        <v/>
      </c>
      <c r="AX117" s="224" t="str">
        <f>IF('Report History'!NF17=0,"",IFERROR('Report History'!NF17,""))</f>
        <v/>
      </c>
      <c r="AY117" s="217" t="str">
        <f>IF('Report History'!NG17=0,"",IFERROR('Report History'!NG17,""))</f>
        <v>GREEN</v>
      </c>
      <c r="AZ117" s="218" t="str">
        <f>IF('Report History'!NH17=0,"",IFERROR('Report History'!NH17,""))</f>
        <v/>
      </c>
      <c r="BA117" s="222" t="str">
        <f>IF('Report History'!NI17=0,"",IFERROR('Report History'!NI17,""))</f>
        <v/>
      </c>
      <c r="BB117" s="223" t="str">
        <f>IF('Report History'!NJ17=0,"",IFERROR('Report History'!NJ17,""))</f>
        <v/>
      </c>
      <c r="BC117" s="224" t="str">
        <f>IF('Report History'!NK17=0,"",IFERROR('Report History'!NK17,""))</f>
        <v/>
      </c>
      <c r="BD117" s="217" t="str">
        <f>IF('Report History'!NL17=0,"",IFERROR('Report History'!NL17,""))</f>
        <v>ORANGE</v>
      </c>
      <c r="BE117" s="218" t="str">
        <f>IF('Report History'!NM17=0,"",IFERROR('Report History'!NM17,""))</f>
        <v/>
      </c>
      <c r="BF117" s="222" t="str">
        <f>IF('Report History'!NN17=0,"",IFERROR('Report History'!NN17,""))</f>
        <v/>
      </c>
      <c r="BG117" s="223" t="str">
        <f>IF('Report History'!NO17=0,"",IFERROR('Report History'!NO17,""))</f>
        <v/>
      </c>
      <c r="BH117" s="224" t="str">
        <f>IF('Report History'!NP17=0,"",IFERROR('Report History'!NP17,""))</f>
        <v/>
      </c>
      <c r="BI117" s="217" t="str">
        <f>IF('Report History'!NQ17=0,"",IFERROR('Report History'!NQ17,""))</f>
        <v>BLUE</v>
      </c>
      <c r="BJ117" s="218" t="str">
        <f>IF('Report History'!NR17=0,"",IFERROR('Report History'!NR17,""))</f>
        <v/>
      </c>
      <c r="BK117" s="222">
        <f>IF('Report History'!NS17=0,"",IFERROR('Report History'!NS17,""))</f>
        <v>2835</v>
      </c>
      <c r="BL117" s="223" t="str">
        <f>IF('Report History'!NT17=0,"",IFERROR('Report History'!NT17,""))</f>
        <v/>
      </c>
      <c r="BM117" s="224" t="str">
        <f>IF('Report History'!NU17=0,"",IFERROR('Report History'!NU17,""))</f>
        <v/>
      </c>
      <c r="BN117" s="217" t="str">
        <f>IF('Report History'!NV17=0,"",IFERROR('Report History'!NV17,""))</f>
        <v/>
      </c>
      <c r="BO117" s="218" t="str">
        <f>IF('Report History'!NW17=0,"",IFERROR('Report History'!NW17,""))</f>
        <v/>
      </c>
      <c r="BP117" s="222" t="str">
        <f>IF('Report History'!NX17=0,"",IFERROR('Report History'!NX17,""))</f>
        <v/>
      </c>
      <c r="BQ117" s="223" t="str">
        <f>IF('Report History'!NY17=0,"",IFERROR('Report History'!NY17,""))</f>
        <v/>
      </c>
      <c r="BR117" s="224" t="str">
        <f>IF('Report History'!NZ17=0,"",IFERROR('Report History'!NZ17,""))</f>
        <v/>
      </c>
      <c r="BS117" s="217" t="str">
        <f>IF('Report History'!OA17=0,"",IFERROR('Report History'!OA17,""))</f>
        <v>PINK</v>
      </c>
      <c r="BT117" s="218" t="str">
        <f>IF('Report History'!OB17=0,"",IFERROR('Report History'!OB17,""))</f>
        <v/>
      </c>
      <c r="BU117" s="222" t="str">
        <f>IF('Report History'!OC17=0,"",IFERROR('Report History'!OC17,""))</f>
        <v/>
      </c>
      <c r="BV117" s="223" t="str">
        <f>IF('Report History'!OD17=0,"",IFERROR('Report History'!OD17,""))</f>
        <v/>
      </c>
      <c r="BW117" s="224" t="str">
        <f>IF('Report History'!OE17=0,"",IFERROR('Report History'!OE17,""))</f>
        <v/>
      </c>
      <c r="BX117" s="217" t="str">
        <f>IF('Report History'!OF17=0,"",IFERROR('Report History'!OF17,""))</f>
        <v>PINK</v>
      </c>
      <c r="BY117" s="218" t="str">
        <f>IF('Report History'!OG17=0,"",IFERROR('Report History'!OG17,""))</f>
        <v/>
      </c>
      <c r="BZ117" s="222" t="str">
        <f>IF('Report History'!OH17=0,"",IFERROR('Report History'!OH17,""))</f>
        <v/>
      </c>
      <c r="CA117" s="223" t="str">
        <f>IF('Report History'!OI17=0,"",IFERROR('Report History'!OI17,""))</f>
        <v/>
      </c>
      <c r="CB117" s="224" t="str">
        <f>IF('Report History'!OJ17=0,"",IFERROR('Report History'!OJ17,""))</f>
        <v/>
      </c>
      <c r="CC117" s="217" t="str">
        <f>IF('Report History'!OK17=0,"",IFERROR('Report History'!OK17,""))</f>
        <v>YELLOW</v>
      </c>
      <c r="CD117" s="218" t="str">
        <f>IF('Report History'!OL17=0,"",IFERROR('Report History'!OL17,""))</f>
        <v/>
      </c>
      <c r="CE117" s="222" t="str">
        <f>IF('Report History'!OM17=0,"",IFERROR('Report History'!OM17,""))</f>
        <v/>
      </c>
      <c r="CF117" s="223" t="str">
        <f>IF('Report History'!ON17=0,"",IFERROR('Report History'!ON17,""))</f>
        <v/>
      </c>
      <c r="CG117" s="224" t="str">
        <f>IF('Report History'!OO17=0,"",IFERROR('Report History'!OO17,""))</f>
        <v/>
      </c>
      <c r="CH117" s="217" t="str">
        <f>IF('Report History'!OP17=0,"",IFERROR('Report History'!OP17,""))</f>
        <v>VIOLET</v>
      </c>
      <c r="CI117" s="218" t="str">
        <f>IF('Report History'!OQ17=0,"",IFERROR('Report History'!OQ17,""))</f>
        <v/>
      </c>
      <c r="CJ117" s="222" t="str">
        <f>IF('Report History'!OR17=0,"",IFERROR('Report History'!OR17,""))</f>
        <v/>
      </c>
      <c r="CK117" s="223" t="str">
        <f>IF('Report History'!OS17=0,"",IFERROR('Report History'!OS17,""))</f>
        <v/>
      </c>
      <c r="CL117" s="224" t="str">
        <f>IF('Report History'!OT17=0,"",IFERROR('Report History'!OT17,""))</f>
        <v/>
      </c>
      <c r="CM117" s="217" t="str">
        <f>IF('Report History'!OU17=0,"",IFERROR('Report History'!OU17,""))</f>
        <v>GREEN</v>
      </c>
      <c r="CN117" s="218" t="str">
        <f>IF('Report History'!OV17=0,"",IFERROR('Report History'!OV17,""))</f>
        <v/>
      </c>
      <c r="CO117" s="222">
        <f>IF('Report History'!OW17=0,"",IFERROR('Report History'!OW17,""))</f>
        <v>1574</v>
      </c>
      <c r="CP117" s="223" t="str">
        <f>IF('Report History'!OX17=0,"",IFERROR('Report History'!OX17,""))</f>
        <v/>
      </c>
      <c r="CQ117" s="224" t="str">
        <f>IF('Report History'!OY17=0,"",IFERROR('Report History'!OY17,""))</f>
        <v/>
      </c>
      <c r="CR117" s="217" t="str">
        <f>IF('Report History'!OZ17=0,"",IFERROR('Report History'!OZ17,""))</f>
        <v>ORANGE</v>
      </c>
      <c r="CS117" s="218" t="str">
        <f>IF('Report History'!PA17=0,"",IFERROR('Report History'!PA17,""))</f>
        <v/>
      </c>
      <c r="CT117" s="222">
        <f>IF('Report History'!PB17=0,"",IFERROR('Report History'!PB17,""))</f>
        <v>13521</v>
      </c>
      <c r="CU117" s="223" t="str">
        <f>IF('Report History'!PC17=0,"",IFERROR('Report History'!PC17,""))</f>
        <v/>
      </c>
      <c r="CV117" s="224" t="str">
        <f>IF('Report History'!PD17=0,"",IFERROR('Report History'!PD17,""))</f>
        <v/>
      </c>
      <c r="CW117" s="217" t="str">
        <f>IF('Report History'!PE17=0,"",IFERROR('Report History'!PE17,""))</f>
        <v>BLUE</v>
      </c>
      <c r="CX117" s="218" t="str">
        <f>IF('Report History'!PF17=0,"",IFERROR('Report History'!PF17,""))</f>
        <v/>
      </c>
      <c r="CY117" s="222" t="str">
        <f>IF('Report History'!PG17=0,"",IFERROR('Report History'!PG17,""))</f>
        <v/>
      </c>
      <c r="CZ117" s="223" t="str">
        <f>IF('Report History'!PH17=0,"",IFERROR('Report History'!PH17,""))</f>
        <v/>
      </c>
      <c r="DA117" s="224" t="str">
        <f>IF('Report History'!PI17=0,"",IFERROR('Report History'!PI17,""))</f>
        <v/>
      </c>
      <c r="DB117" s="217" t="str">
        <f>IF('Report History'!PJ17=0,"",IFERROR('Report History'!PJ17,""))</f>
        <v/>
      </c>
      <c r="DC117" s="218" t="str">
        <f>IF('Report History'!PK17=0,"",IFERROR('Report History'!PK17,""))</f>
        <v/>
      </c>
      <c r="DD117" s="222" t="str">
        <f>IF('Report History'!PL17=0,"",IFERROR('Report History'!PL17,""))</f>
        <v/>
      </c>
      <c r="DE117" s="223" t="str">
        <f>IF('Report History'!PM17=0,"",IFERROR('Report History'!PM17,""))</f>
        <v/>
      </c>
      <c r="DF117" s="224" t="str">
        <f>IF('Report History'!PN17=0,"",IFERROR('Report History'!PN17,""))</f>
        <v/>
      </c>
      <c r="DG117" s="217" t="str">
        <f>IF('Report History'!PO17=0,"",IFERROR('Report History'!PO17,""))</f>
        <v>PINK</v>
      </c>
      <c r="DH117" s="218" t="str">
        <f>IF('Report History'!PP17=0,"",IFERROR('Report History'!PP17,""))</f>
        <v/>
      </c>
      <c r="DI117" s="222">
        <f>IF('Report History'!PQ17=0,"",IFERROR('Report History'!PQ17,""))</f>
        <v>5621</v>
      </c>
      <c r="DJ117" s="223" t="str">
        <f>IF('Report History'!PR17=0,"",IFERROR('Report History'!PR17,""))</f>
        <v/>
      </c>
      <c r="DK117" s="224" t="str">
        <f>IF('Report History'!PS17=0,"",IFERROR('Report History'!PS17,""))</f>
        <v/>
      </c>
      <c r="DL117" s="217" t="str">
        <f>IF('Report History'!PT17=0,"",IFERROR('Report History'!PT17,""))</f>
        <v>YELLOW</v>
      </c>
      <c r="DM117" s="218" t="str">
        <f>IF('Report History'!PU17=0,"",IFERROR('Report History'!PU17,""))</f>
        <v/>
      </c>
      <c r="DN117" s="222">
        <f>IF('Report History'!PV17=0,"",IFERROR('Report History'!PV17,""))</f>
        <v>16132</v>
      </c>
      <c r="DO117" s="223" t="str">
        <f>IF('Report History'!PW17=0,"",IFERROR('Report History'!PW17,""))</f>
        <v/>
      </c>
      <c r="DP117" s="224" t="str">
        <f>IF('Report History'!PX17=0,"",IFERROR('Report History'!PX17,""))</f>
        <v/>
      </c>
      <c r="DQ117" s="217" t="str">
        <f>IF('Report History'!PY17=0,"",IFERROR('Report History'!PY17,""))</f>
        <v>VIOLET</v>
      </c>
      <c r="DR117" s="218" t="str">
        <f>IF('Report History'!PZ17=0,"",IFERROR('Report History'!PZ17,""))</f>
        <v/>
      </c>
      <c r="DS117" s="222" t="str">
        <f>IF('Report History'!QA17=0,"",IFERROR('Report History'!QA17,""))</f>
        <v/>
      </c>
      <c r="DT117" s="223" t="str">
        <f>IF('Report History'!QB17=0,"",IFERROR('Report History'!QB17,""))</f>
        <v/>
      </c>
      <c r="DU117" s="224" t="str">
        <f>IF('Report History'!QC17=0,"",IFERROR('Report History'!QC17,""))</f>
        <v/>
      </c>
      <c r="DV117" s="217" t="str">
        <f>IF('Report History'!QD17=0,"",IFERROR('Report History'!QD17,""))</f>
        <v>GREEN</v>
      </c>
      <c r="DW117" s="218" t="str">
        <f>IF('Report History'!QE17=0,"",IFERROR('Report History'!QE17,""))</f>
        <v/>
      </c>
      <c r="DX117" s="222">
        <f>IF('Report History'!QF17=0,"",IFERROR('Report History'!QF17,""))</f>
        <v>6384</v>
      </c>
      <c r="DY117" s="223" t="str">
        <f>IF('Report History'!QG17=0,"",IFERROR('Report History'!QG17,""))</f>
        <v/>
      </c>
      <c r="DZ117" s="224" t="str">
        <f>IF('Report History'!QH17=0,"",IFERROR('Report History'!QH17,""))</f>
        <v/>
      </c>
      <c r="EA117" s="217" t="str">
        <f>IF('Report History'!QI17=0,"",IFERROR('Report History'!QI17,""))</f>
        <v>ORANGE</v>
      </c>
      <c r="EB117" s="218" t="str">
        <f>IF('Report History'!QJ17=0,"",IFERROR('Report History'!QJ17,""))</f>
        <v/>
      </c>
      <c r="EC117" s="222">
        <f>IF('Report History'!QK17=0,"",IFERROR('Report History'!QK17,""))</f>
        <v>24106</v>
      </c>
      <c r="ED117" s="223" t="str">
        <f>IF('Report History'!QL17=0,"",IFERROR('Report History'!QL17,""))</f>
        <v/>
      </c>
      <c r="EE117" s="224" t="str">
        <f>IF('Report History'!QM17=0,"",IFERROR('Report History'!QM17,""))</f>
        <v/>
      </c>
      <c r="EF117" s="217" t="str">
        <f>IF('Report History'!QN17=0,"",IFERROR('Report History'!QN17,""))</f>
        <v>ORANGE</v>
      </c>
      <c r="EG117" s="218" t="str">
        <f>IF('Report History'!QO17=0,"",IFERROR('Report History'!QO17,""))</f>
        <v/>
      </c>
      <c r="EH117" s="222">
        <f>IF('Report History'!QP17=0,"",IFERROR('Report History'!QP17,""))</f>
        <v>24106</v>
      </c>
      <c r="EI117" s="223" t="str">
        <f>IF('Report History'!QQ17=0,"",IFERROR('Report History'!QQ17,""))</f>
        <v/>
      </c>
      <c r="EJ117" s="224" t="str">
        <f>IF('Report History'!QR17=0,"",IFERROR('Report History'!QR17,""))</f>
        <v/>
      </c>
      <c r="EK117" s="217" t="str">
        <f>IF('Report History'!QS17=0,"",IFERROR('Report History'!QS17,""))</f>
        <v>BLUE</v>
      </c>
      <c r="EL117" s="218" t="str">
        <f>IF('Report History'!QT17=0,"",IFERROR('Report History'!QT17,""))</f>
        <v/>
      </c>
      <c r="EM117" s="222" t="str">
        <f>IF('Report History'!QU17=0,"",IFERROR('Report History'!QU17,""))</f>
        <v/>
      </c>
      <c r="EN117" s="223" t="str">
        <f>IF('Report History'!QV17=0,"",IFERROR('Report History'!QV17,""))</f>
        <v/>
      </c>
      <c r="EO117" s="224" t="str">
        <f>IF('Report History'!QW17=0,"",IFERROR('Report History'!QW17,""))</f>
        <v/>
      </c>
      <c r="EP117" s="217" t="str">
        <f>IF('Report History'!QX17=0,"",IFERROR('Report History'!QX17,""))</f>
        <v/>
      </c>
      <c r="EQ117" s="218" t="str">
        <f>IF('Report History'!QY17=0,"",IFERROR('Report History'!QY17,""))</f>
        <v/>
      </c>
      <c r="ER117" s="222" t="str">
        <f>IF('Report History'!QZ17=0,"",IFERROR('Report History'!QZ17,""))</f>
        <v/>
      </c>
      <c r="ES117" s="223" t="str">
        <f>IF('Report History'!RA17=0,"",IFERROR('Report History'!RA17,""))</f>
        <v/>
      </c>
      <c r="ET117" s="224" t="str">
        <f>IF('Report History'!RB17=0,"",IFERROR('Report History'!RB17,""))</f>
        <v/>
      </c>
      <c r="EU117" s="217" t="str">
        <f>IF('Report History'!RC17=0,"",IFERROR('Report History'!RC17,""))</f>
        <v>PINK</v>
      </c>
      <c r="EV117" s="218" t="str">
        <f>IF('Report History'!RD17=0,"",IFERROR('Report History'!RD17,""))</f>
        <v/>
      </c>
      <c r="EW117" s="222" t="str">
        <f>IF('Report History'!RE17=0,"",IFERROR('Report History'!RE17,""))</f>
        <v/>
      </c>
      <c r="EX117" s="223" t="str">
        <f>IF('Report History'!RF17=0,"",IFERROR('Report History'!RF17,""))</f>
        <v/>
      </c>
      <c r="EY117" s="224" t="str">
        <f>IF('Report History'!RG17=0,"",IFERROR('Report History'!RG17,""))</f>
        <v/>
      </c>
      <c r="EZ117" s="217" t="str">
        <f>IF('Report History'!RH17=0,"",IFERROR('Report History'!RH17,""))</f>
        <v>YELLOW</v>
      </c>
      <c r="FA117" s="218" t="str">
        <f>IF('Report History'!RI17=0,"",IFERROR('Report History'!RI17,""))</f>
        <v/>
      </c>
      <c r="FB117" s="222" t="str">
        <f>IF('Report History'!RJ17=0,"",IFERROR('Report History'!RJ17,""))</f>
        <v/>
      </c>
      <c r="FC117" s="223" t="str">
        <f>IF('Report History'!RK17=0,"",IFERROR('Report History'!RK17,""))</f>
        <v/>
      </c>
      <c r="FD117" s="224" t="str">
        <f>IF('Report History'!RL17=0,"",IFERROR('Report History'!RL17,""))</f>
        <v/>
      </c>
      <c r="FE117" s="217" t="str">
        <f>IF('Report History'!RM17=0,"",IFERROR('Report History'!RM17,""))</f>
        <v>VIOLET</v>
      </c>
      <c r="FF117" s="218" t="str">
        <f>IF('Report History'!RN17=0,"",IFERROR('Report History'!RN17,""))</f>
        <v/>
      </c>
      <c r="FG117" s="222" t="str">
        <f>IF('Report History'!RO17=0,"",IFERROR('Report History'!RO17,""))</f>
        <v/>
      </c>
      <c r="FH117" s="223" t="str">
        <f>IF('Report History'!RP17=0,"",IFERROR('Report History'!RP17,""))</f>
        <v/>
      </c>
      <c r="FI117" s="224" t="str">
        <f>IF('Report History'!RQ17=0,"",IFERROR('Report History'!RQ17,""))</f>
        <v/>
      </c>
      <c r="FJ117" s="217" t="str">
        <f>IF('Report History'!RR17=0,"",IFERROR('Report History'!RR17,""))</f>
        <v>GREEN</v>
      </c>
      <c r="FK117" s="218" t="str">
        <f>IF('Report History'!RS17=0,"",IFERROR('Report History'!RS17,""))</f>
        <v/>
      </c>
      <c r="FL117" s="222">
        <f>IF('Report History'!RT17=0,"",IFERROR('Report History'!RT17,""))</f>
        <v>12160.5</v>
      </c>
      <c r="FM117" s="223" t="str">
        <f>IF('Report History'!RU17=0,"",IFERROR('Report History'!RU17,""))</f>
        <v/>
      </c>
      <c r="FN117" s="224" t="str">
        <f>IF('Report History'!RV17=0,"",IFERROR('Report History'!RV17,""))</f>
        <v/>
      </c>
      <c r="FO117" s="217" t="str">
        <f>IF('Report History'!RW17=0,"",IFERROR('Report History'!RW17,""))</f>
        <v>GREEN</v>
      </c>
      <c r="FP117" s="218" t="str">
        <f>IF('Report History'!RX17=0,"",IFERROR('Report History'!RX17,""))</f>
        <v/>
      </c>
      <c r="FQ117" s="222">
        <f>IF('Report History'!RY17=0,"",IFERROR('Report History'!RY17,""))</f>
        <v>12160.5</v>
      </c>
      <c r="FR117" s="223" t="str">
        <f>IF('Report History'!RZ17=0,"",IFERROR('Report History'!RZ17,""))</f>
        <v/>
      </c>
      <c r="FS117" s="224" t="str">
        <f>IF('Report History'!SA17=0,"",IFERROR('Report History'!SA17,""))</f>
        <v/>
      </c>
      <c r="FT117" s="217" t="str">
        <f>IF('Report History'!SB17=0,"",IFERROR('Report History'!SB17,""))</f>
        <v>ORANGE</v>
      </c>
      <c r="FU117" s="218" t="str">
        <f>IF('Report History'!SC17=0,"",IFERROR('Report History'!SC17,""))</f>
        <v/>
      </c>
      <c r="FV117" s="222">
        <f>IF('Report History'!SD17=0,"",IFERROR('Report History'!SD17,""))</f>
        <v>6009</v>
      </c>
      <c r="FW117" s="223" t="str">
        <f>IF('Report History'!SE17=0,"",IFERROR('Report History'!SE17,""))</f>
        <v/>
      </c>
      <c r="FX117" s="224" t="str">
        <f>IF('Report History'!SF17=0,"",IFERROR('Report History'!SF17,""))</f>
        <v/>
      </c>
      <c r="FY117" s="217" t="str">
        <f>IF('Report History'!SG17=0,"",IFERROR('Report History'!SG17,""))</f>
        <v>BLUE</v>
      </c>
      <c r="FZ117" s="218" t="str">
        <f>IF('Report History'!SH17=0,"",IFERROR('Report History'!SH17,""))</f>
        <v/>
      </c>
      <c r="GA117" s="222">
        <f>IF('Report History'!SI17=0,"",IFERROR('Report History'!SI17,""))</f>
        <v>6009</v>
      </c>
      <c r="GB117" s="223" t="str">
        <f>IF('Report History'!SJ17=0,"",IFERROR('Report History'!SJ17,""))</f>
        <v/>
      </c>
      <c r="GC117" s="224" t="str">
        <f>IF('Report History'!SK17=0,"",IFERROR('Report History'!SK17,""))</f>
        <v/>
      </c>
      <c r="GD117" s="217" t="str">
        <f>IF('Report History'!SL17=0,"",IFERROR('Report History'!SL17,""))</f>
        <v/>
      </c>
      <c r="GE117" s="218" t="str">
        <f>IF('Report History'!SM17=0,"",IFERROR('Report History'!SM17,""))</f>
        <v/>
      </c>
      <c r="GF117" s="222" t="str">
        <f>IF('Report History'!SN17=0,"",IFERROR('Report History'!SN17,""))</f>
        <v/>
      </c>
      <c r="GG117" s="223" t="str">
        <f>IF('Report History'!SO17=0,"",IFERROR('Report History'!SO17,""))</f>
        <v/>
      </c>
      <c r="GH117" s="224" t="str">
        <f>IF('Report History'!SP17=0,"",IFERROR('Report History'!SP17,""))</f>
        <v/>
      </c>
      <c r="GI117" s="217" t="str">
        <f>IF('Report History'!SQ17=0,"",IFERROR('Report History'!SQ17,""))</f>
        <v>PINK</v>
      </c>
      <c r="GJ117" s="218" t="str">
        <f>IF('Report History'!SR17=0,"",IFERROR('Report History'!SR17,""))</f>
        <v/>
      </c>
      <c r="GK117" s="222" t="str">
        <f>IF('Report History'!SS17=0,"",IFERROR('Report History'!SS17,""))</f>
        <v/>
      </c>
      <c r="GL117" s="223" t="str">
        <f>IF('Report History'!ST17=0,"",IFERROR('Report History'!ST17,""))</f>
        <v/>
      </c>
      <c r="GM117" s="224" t="str">
        <f>IF('Report History'!SU17=0,"",IFERROR('Report History'!SU17,""))</f>
        <v/>
      </c>
      <c r="GN117" s="217" t="str">
        <f>IF('Report History'!SV17=0,"",IFERROR('Report History'!SV17,""))</f>
        <v>YELLOW</v>
      </c>
      <c r="GO117" s="218" t="str">
        <f>IF('Report History'!SW17=0,"",IFERROR('Report History'!SW17,""))</f>
        <v/>
      </c>
      <c r="GP117" s="222" t="str">
        <f>IF('Report History'!SX17=0,"",IFERROR('Report History'!SX17,""))</f>
        <v/>
      </c>
      <c r="GQ117" s="223" t="str">
        <f>IF('Report History'!SY17=0,"",IFERROR('Report History'!SY17,""))</f>
        <v/>
      </c>
      <c r="GR117" s="224" t="str">
        <f>IF('Report History'!SZ17=0,"",IFERROR('Report History'!SZ17,""))</f>
        <v/>
      </c>
      <c r="GS117" s="217" t="str">
        <f>IF('Report History'!TA17=0,"",IFERROR('Report History'!TA17,""))</f>
        <v>VIOLET</v>
      </c>
      <c r="GT117" s="218" t="str">
        <f>IF('Report History'!TB17=0,"",IFERROR('Report History'!TB17,""))</f>
        <v/>
      </c>
      <c r="GU117" s="222">
        <f>IF('Report History'!TC17=0,"",IFERROR('Report History'!TC17,""))</f>
        <v>5790.25</v>
      </c>
      <c r="GV117" s="223" t="str">
        <f>IF('Report History'!TD17=0,"",IFERROR('Report History'!TD17,""))</f>
        <v/>
      </c>
      <c r="GW117" s="224" t="str">
        <f>IF('Report History'!TE17=0,"",IFERROR('Report History'!TE17,""))</f>
        <v/>
      </c>
      <c r="GX117" s="217" t="str">
        <f>IF('Report History'!TF17=0,"",IFERROR('Report History'!TF17,""))</f>
        <v>GREEN</v>
      </c>
      <c r="GY117" s="218" t="str">
        <f>IF('Report History'!TG17=0,"",IFERROR('Report History'!TG17,""))</f>
        <v/>
      </c>
      <c r="GZ117" s="222">
        <f>IF('Report History'!TH17=0,"",IFERROR('Report History'!TH17,""))</f>
        <v>8066</v>
      </c>
      <c r="HA117" s="223" t="str">
        <f>IF('Report History'!TI17=0,"",IFERROR('Report History'!TI17,""))</f>
        <v/>
      </c>
      <c r="HB117" s="224" t="str">
        <f>IF('Report History'!TJ17=0,"",IFERROR('Report History'!TJ17,""))</f>
        <v/>
      </c>
      <c r="HC117" s="217" t="str">
        <f>IF('Report History'!TK17=0,"",IFERROR('Report History'!TK17,""))</f>
        <v>ORANGE</v>
      </c>
      <c r="HD117" s="218" t="str">
        <f>IF('Report History'!TL17=0,"",IFERROR('Report History'!TL17,""))</f>
        <v/>
      </c>
      <c r="HE117" s="222">
        <f>IF('Report History'!TM17=0,"",IFERROR('Report History'!TM17,""))</f>
        <v>21626.5</v>
      </c>
      <c r="HF117" s="223" t="str">
        <f>IF('Report History'!TN17=0,"",IFERROR('Report History'!TN17,""))</f>
        <v/>
      </c>
      <c r="HG117" s="224" t="str">
        <f>IF('Report History'!TO17=0,"",IFERROR('Report History'!TO17,""))</f>
        <v/>
      </c>
      <c r="HH117" s="217" t="str">
        <f>IF('Report History'!TP17=0,"",IFERROR('Report History'!TP17,""))</f>
        <v>BLUE</v>
      </c>
      <c r="HI117" s="218" t="str">
        <f>IF('Report History'!TQ17=0,"",IFERROR('Report History'!TQ17,""))</f>
        <v/>
      </c>
      <c r="HJ117" s="222">
        <f>IF('Report History'!TR17=0,"",IFERROR('Report History'!TR17,""))</f>
        <v>4252.5</v>
      </c>
      <c r="HK117" s="223" t="str">
        <f>IF('Report History'!TS17=0,"",IFERROR('Report History'!TS17,""))</f>
        <v/>
      </c>
      <c r="HL117" s="224" t="str">
        <f>IF('Report History'!TT17=0,"",IFERROR('Report History'!TT17,""))</f>
        <v/>
      </c>
      <c r="HM117" s="217" t="str">
        <f>IF('Report History'!TU17=0,"",IFERROR('Report History'!TU17,""))</f>
        <v/>
      </c>
      <c r="HN117" s="218" t="str">
        <f>IF('Report History'!TV17=0,"",IFERROR('Report History'!TV17,""))</f>
        <v/>
      </c>
      <c r="HO117" s="222" t="str">
        <f>IF('Report History'!TW17=0,"",IFERROR('Report History'!TW17,""))</f>
        <v/>
      </c>
      <c r="HP117" s="223" t="str">
        <f>IF('Report History'!TX17=0,"",IFERROR('Report History'!TX17,""))</f>
        <v/>
      </c>
      <c r="HQ117" s="224" t="str">
        <f>IF('Report History'!TY17=0,"",IFERROR('Report History'!TY17,""))</f>
        <v/>
      </c>
      <c r="HR117" s="217" t="str">
        <f>IF('Report History'!TZ17=0,"",IFERROR('Report History'!TZ17,""))</f>
        <v>PINK</v>
      </c>
      <c r="HS117" s="218" t="str">
        <f>IF('Report History'!UA17=0,"",IFERROR('Report History'!UA17,""))</f>
        <v/>
      </c>
      <c r="HT117" s="222">
        <f>IF('Report History'!UB17=0,"",IFERROR('Report History'!UB17,""))</f>
        <v>4507</v>
      </c>
      <c r="HU117" s="223" t="str">
        <f>IF('Report History'!UC17=0,"",IFERROR('Report History'!UC17,""))</f>
        <v/>
      </c>
      <c r="HV117" s="224" t="str">
        <f>IF('Report History'!UD17=0,"",IFERROR('Report History'!UD17,""))</f>
        <v/>
      </c>
      <c r="HW117" s="217" t="str">
        <f>IF('Report History'!UE17=0,"",IFERROR('Report History'!UE17,""))</f>
        <v>YELLOW</v>
      </c>
      <c r="HX117" s="218" t="str">
        <f>IF('Report History'!UF17=0,"",IFERROR('Report History'!UF17,""))</f>
        <v/>
      </c>
      <c r="HY117" s="222">
        <f>IF('Report History'!UG17=0,"",IFERROR('Report History'!UG17,""))</f>
        <v>4650</v>
      </c>
      <c r="HZ117" s="223" t="str">
        <f>IF('Report History'!UH17=0,"",IFERROR('Report History'!UH17,""))</f>
        <v/>
      </c>
      <c r="IA117" s="224" t="str">
        <f>IF('Report History'!UI17=0,"",IFERROR('Report History'!UI17,""))</f>
        <v/>
      </c>
      <c r="IB117" s="217" t="str">
        <f>IF('Report History'!UJ17=0,"",IFERROR('Report History'!UJ17,""))</f>
        <v>VIOLET</v>
      </c>
      <c r="IC117" s="218" t="str">
        <f>IF('Report History'!UK17=0,"",IFERROR('Report History'!UK17,""))</f>
        <v/>
      </c>
      <c r="ID117" s="222" t="str">
        <f>IF('Report History'!UL17=0,"",IFERROR('Report History'!UL17,""))</f>
        <v/>
      </c>
      <c r="IE117" s="223" t="str">
        <f>IF('Report History'!UM17=0,"",IFERROR('Report History'!UM17,""))</f>
        <v/>
      </c>
      <c r="IF117" s="224" t="str">
        <f>IF('Report History'!UN17=0,"",IFERROR('Report History'!UN17,""))</f>
        <v/>
      </c>
      <c r="IG117" s="217" t="str">
        <f>IF('Report History'!UO17=0,"",IFERROR('Report History'!UO17,""))</f>
        <v>GREEN</v>
      </c>
      <c r="IH117" s="218" t="str">
        <f>IF('Report History'!UP17=0,"",IFERROR('Report History'!UP17,""))</f>
        <v/>
      </c>
      <c r="II117" s="222" t="str">
        <f>IF('Report History'!UQ17=0,"",IFERROR('Report History'!UQ17,""))</f>
        <v/>
      </c>
      <c r="IJ117" s="223" t="str">
        <f>IF('Report History'!UR17=0,"",IFERROR('Report History'!UR17,""))</f>
        <v/>
      </c>
      <c r="IK117" s="224" t="str">
        <f>IF('Report History'!US17=0,"",IFERROR('Report History'!US17,""))</f>
        <v/>
      </c>
      <c r="IL117" s="217" t="str">
        <f>IF('Report History'!UT17=0,"",IFERROR('Report History'!UT17,""))</f>
        <v>ORANGE</v>
      </c>
      <c r="IM117" s="218" t="str">
        <f>IF('Report History'!UU17=0,"",IFERROR('Report History'!UU17,""))</f>
        <v/>
      </c>
      <c r="IN117" s="222" t="str">
        <f>IF('Report History'!UV17=0,"",IFERROR('Report History'!UV17,""))</f>
        <v/>
      </c>
      <c r="IO117" s="223" t="str">
        <f>IF('Report History'!UW17=0,"",IFERROR('Report History'!UW17,""))</f>
        <v/>
      </c>
      <c r="IP117" s="224" t="str">
        <f>IF('Report History'!UX17=0,"",IFERROR('Report History'!UX17,""))</f>
        <v/>
      </c>
    </row>
    <row r="118" spans="1:250" x14ac:dyDescent="0.25">
      <c r="A118" s="217" t="str">
        <f>IF('Report History'!LI18=0,"",IFERROR('Report History'!LI18,""))</f>
        <v>PINK</v>
      </c>
      <c r="B118" s="218" t="str">
        <f>IF('Report History'!LJ18=0,"",IFERROR('Report History'!LJ18,""))</f>
        <v/>
      </c>
      <c r="C118" s="222" t="str">
        <f>IF('Report History'!LK18=0,"",IFERROR('Report History'!LK18,""))</f>
        <v/>
      </c>
      <c r="D118" s="223" t="str">
        <f>IF('Report History'!LL18=0,"",IFERROR('Report History'!LL18,""))</f>
        <v/>
      </c>
      <c r="E118" s="224" t="str">
        <f>IF('Report History'!LM18=0,"",IFERROR('Report History'!LM18,""))</f>
        <v/>
      </c>
      <c r="F118" s="217" t="str">
        <f>IF('Report History'!LN18=0,"",IFERROR('Report History'!LN18,""))</f>
        <v>YELLOW</v>
      </c>
      <c r="G118" s="218" t="str">
        <f>IF('Report History'!LO18=0,"",IFERROR('Report History'!LO18,""))</f>
        <v/>
      </c>
      <c r="H118" s="222">
        <f>IF('Report History'!LP18=0,"",IFERROR('Report History'!LP18,""))</f>
        <v>1502</v>
      </c>
      <c r="I118" s="223" t="str">
        <f>IF('Report History'!LQ18=0,"",IFERROR('Report History'!LQ18,""))</f>
        <v/>
      </c>
      <c r="J118" s="224" t="str">
        <f>IF('Report History'!LR18=0,"",IFERROR('Report History'!LR18,""))</f>
        <v/>
      </c>
      <c r="K118" s="217" t="str">
        <f>IF('Report History'!LS18=0,"",IFERROR('Report History'!LS18,""))</f>
        <v>VIOLET</v>
      </c>
      <c r="L118" s="218" t="str">
        <f>IF('Report History'!LT18=0,"",IFERROR('Report History'!LT18,""))</f>
        <v/>
      </c>
      <c r="M118" s="222">
        <f>IF('Report History'!LU18=0,"",IFERROR('Report History'!LU18,""))</f>
        <v>1574</v>
      </c>
      <c r="N118" s="223" t="str">
        <f>IF('Report History'!LV18=0,"",IFERROR('Report History'!LV18,""))</f>
        <v/>
      </c>
      <c r="O118" s="224" t="str">
        <f>IF('Report History'!LW18=0,"",IFERROR('Report History'!LW18,""))</f>
        <v/>
      </c>
      <c r="P118" s="217" t="str">
        <f>IF('Report History'!LX18=0,"",IFERROR('Report History'!LX18,""))</f>
        <v>GREEN</v>
      </c>
      <c r="Q118" s="218" t="str">
        <f>IF('Report History'!LY18=0,"",IFERROR('Report History'!LY18,""))</f>
        <v/>
      </c>
      <c r="R118" s="222">
        <f>IF('Report History'!LZ18=0,"",IFERROR('Report History'!LZ18,""))</f>
        <v>15094</v>
      </c>
      <c r="S118" s="223" t="str">
        <f>IF('Report History'!MA18=0,"",IFERROR('Report History'!MA18,""))</f>
        <v/>
      </c>
      <c r="T118" s="224" t="str">
        <f>IF('Report History'!MB18=0,"",IFERROR('Report History'!MB18,""))</f>
        <v/>
      </c>
      <c r="U118" s="217" t="str">
        <f>IF('Report History'!MC18=0,"",IFERROR('Report History'!MC18,""))</f>
        <v>ORANGE</v>
      </c>
      <c r="V118" s="218" t="str">
        <f>IF('Report History'!MD18=0,"",IFERROR('Report History'!MD18,""))</f>
        <v/>
      </c>
      <c r="W118" s="222">
        <f>IF('Report History'!ME18=0,"",IFERROR('Report History'!ME18,""))</f>
        <v>2835</v>
      </c>
      <c r="X118" s="223" t="str">
        <f>IF('Report History'!MF18=0,"",IFERROR('Report History'!MF18,""))</f>
        <v/>
      </c>
      <c r="Y118" s="224" t="str">
        <f>IF('Report History'!MG18=0,"",IFERROR('Report History'!MG18,""))</f>
        <v/>
      </c>
      <c r="Z118" s="217" t="str">
        <f>IF('Report History'!MH18=0,"",IFERROR('Report History'!MH18,""))</f>
        <v>BLUE</v>
      </c>
      <c r="AA118" s="218" t="str">
        <f>IF('Report History'!MI18=0,"",IFERROR('Report History'!MI18,""))</f>
        <v/>
      </c>
      <c r="AB118" s="222" t="str">
        <f>IF('Report History'!MJ18=0,"",IFERROR('Report History'!MJ18,""))</f>
        <v/>
      </c>
      <c r="AC118" s="223" t="str">
        <f>IF('Report History'!MK18=0,"",IFERROR('Report History'!MK18,""))</f>
        <v/>
      </c>
      <c r="AD118" s="224" t="str">
        <f>IF('Report History'!ML18=0,"",IFERROR('Report History'!ML18,""))</f>
        <v/>
      </c>
      <c r="AE118" s="217" t="str">
        <f>IF('Report History'!MM18=0,"",IFERROR('Report History'!MM18,""))</f>
        <v/>
      </c>
      <c r="AF118" s="218" t="str">
        <f>IF('Report History'!MN18=0,"",IFERROR('Report History'!MN18,""))</f>
        <v/>
      </c>
      <c r="AG118" s="222" t="str">
        <f>IF('Report History'!MO18=0,"",IFERROR('Report History'!MO18,""))</f>
        <v/>
      </c>
      <c r="AH118" s="223" t="str">
        <f>IF('Report History'!MP18=0,"",IFERROR('Report History'!MP18,""))</f>
        <v/>
      </c>
      <c r="AI118" s="224" t="str">
        <f>IF('Report History'!MQ18=0,"",IFERROR('Report History'!MQ18,""))</f>
        <v/>
      </c>
      <c r="AJ118" s="217" t="str">
        <f>IF('Report History'!MR18=0,"",IFERROR('Report History'!MR18,""))</f>
        <v>PINK</v>
      </c>
      <c r="AK118" s="218" t="str">
        <f>IF('Report History'!MS18=0,"",IFERROR('Report History'!MS18,""))</f>
        <v/>
      </c>
      <c r="AL118" s="222" t="str">
        <f>IF('Report History'!MT18=0,"",IFERROR('Report History'!MT18,""))</f>
        <v/>
      </c>
      <c r="AM118" s="223" t="str">
        <f>IF('Report History'!MU18=0,"",IFERROR('Report History'!MU18,""))</f>
        <v/>
      </c>
      <c r="AN118" s="224" t="str">
        <f>IF('Report History'!MV18=0,"",IFERROR('Report History'!MV18,""))</f>
        <v/>
      </c>
      <c r="AO118" s="217" t="str">
        <f>IF('Report History'!MW18=0,"",IFERROR('Report History'!MW18,""))</f>
        <v>PINK</v>
      </c>
      <c r="AP118" s="218" t="str">
        <f>IF('Report History'!MX18=0,"",IFERROR('Report History'!MX18,""))</f>
        <v/>
      </c>
      <c r="AQ118" s="222" t="str">
        <f>IF('Report History'!MY18=0,"",IFERROR('Report History'!MY18,""))</f>
        <v/>
      </c>
      <c r="AR118" s="223" t="str">
        <f>IF('Report History'!MZ18=0,"",IFERROR('Report History'!MZ18,""))</f>
        <v/>
      </c>
      <c r="AS118" s="224" t="str">
        <f>IF('Report History'!NA18=0,"",IFERROR('Report History'!NA18,""))</f>
        <v/>
      </c>
      <c r="AT118" s="217" t="str">
        <f>IF('Report History'!NB18=0,"",IFERROR('Report History'!NB18,""))</f>
        <v>YELLOW</v>
      </c>
      <c r="AU118" s="218" t="str">
        <f>IF('Report History'!NC18=0,"",IFERROR('Report History'!NC18,""))</f>
        <v/>
      </c>
      <c r="AV118" s="222">
        <f>IF('Report History'!ND18=0,"",IFERROR('Report History'!ND18,""))</f>
        <v>3076</v>
      </c>
      <c r="AW118" s="223" t="str">
        <f>IF('Report History'!NE18=0,"",IFERROR('Report History'!NE18,""))</f>
        <v/>
      </c>
      <c r="AX118" s="224" t="str">
        <f>IF('Report History'!NF18=0,"",IFERROR('Report History'!NF18,""))</f>
        <v/>
      </c>
      <c r="AY118" s="217" t="str">
        <f>IF('Report History'!NG18=0,"",IFERROR('Report History'!NG18,""))</f>
        <v>VIOLET</v>
      </c>
      <c r="AZ118" s="218" t="str">
        <f>IF('Report History'!NH18=0,"",IFERROR('Report History'!NH18,""))</f>
        <v/>
      </c>
      <c r="BA118" s="222">
        <f>IF('Report History'!NI18=0,"",IFERROR('Report History'!NI18,""))</f>
        <v>4507</v>
      </c>
      <c r="BB118" s="223" t="str">
        <f>IF('Report History'!NJ18=0,"",IFERROR('Report History'!NJ18,""))</f>
        <v/>
      </c>
      <c r="BC118" s="224" t="str">
        <f>IF('Report History'!NK18=0,"",IFERROR('Report History'!NK18,""))</f>
        <v/>
      </c>
      <c r="BD118" s="217" t="str">
        <f>IF('Report History'!NL18=0,"",IFERROR('Report History'!NL18,""))</f>
        <v>GREEN</v>
      </c>
      <c r="BE118" s="218" t="str">
        <f>IF('Report History'!NM18=0,"",IFERROR('Report History'!NM18,""))</f>
        <v/>
      </c>
      <c r="BF118" s="222">
        <f>IF('Report History'!NN18=0,"",IFERROR('Report History'!NN18,""))</f>
        <v>1574</v>
      </c>
      <c r="BG118" s="223" t="str">
        <f>IF('Report History'!NO18=0,"",IFERROR('Report History'!NO18,""))</f>
        <v/>
      </c>
      <c r="BH118" s="224" t="str">
        <f>IF('Report History'!NP18=0,"",IFERROR('Report History'!NP18,""))</f>
        <v/>
      </c>
      <c r="BI118" s="217" t="str">
        <f>IF('Report History'!NQ18=0,"",IFERROR('Report History'!NQ18,""))</f>
        <v>ORANGE</v>
      </c>
      <c r="BJ118" s="218" t="str">
        <f>IF('Report History'!NR18=0,"",IFERROR('Report History'!NR18,""))</f>
        <v/>
      </c>
      <c r="BK118" s="222" t="str">
        <f>IF('Report History'!NS18=0,"",IFERROR('Report History'!NS18,""))</f>
        <v/>
      </c>
      <c r="BL118" s="223" t="str">
        <f>IF('Report History'!NT18=0,"",IFERROR('Report History'!NT18,""))</f>
        <v/>
      </c>
      <c r="BM118" s="224" t="str">
        <f>IF('Report History'!NU18=0,"",IFERROR('Report History'!NU18,""))</f>
        <v/>
      </c>
      <c r="BN118" s="217" t="str">
        <f>IF('Report History'!NV18=0,"",IFERROR('Report History'!NV18,""))</f>
        <v>BLUE</v>
      </c>
      <c r="BO118" s="218" t="str">
        <f>IF('Report History'!NW18=0,"",IFERROR('Report History'!NW18,""))</f>
        <v/>
      </c>
      <c r="BP118" s="222">
        <f>IF('Report History'!NX18=0,"",IFERROR('Report History'!NX18,""))</f>
        <v>4033</v>
      </c>
      <c r="BQ118" s="223" t="str">
        <f>IF('Report History'!NY18=0,"",IFERROR('Report History'!NY18,""))</f>
        <v/>
      </c>
      <c r="BR118" s="224" t="str">
        <f>IF('Report History'!NZ18=0,"",IFERROR('Report History'!NZ18,""))</f>
        <v/>
      </c>
      <c r="BS118" s="217" t="str">
        <f>IF('Report History'!OA18=0,"",IFERROR('Report History'!OA18,""))</f>
        <v/>
      </c>
      <c r="BT118" s="218" t="str">
        <f>IF('Report History'!OB18=0,"",IFERROR('Report History'!OB18,""))</f>
        <v/>
      </c>
      <c r="BU118" s="222">
        <f>IF('Report History'!OC18=0,"",IFERROR('Report History'!OC18,""))</f>
        <v>2621.4500000000003</v>
      </c>
      <c r="BV118" s="223" t="str">
        <f>IF('Report History'!OD18=0,"",IFERROR('Report History'!OD18,""))</f>
        <v/>
      </c>
      <c r="BW118" s="224" t="str">
        <f>IF('Report History'!OE18=0,"",IFERROR('Report History'!OE18,""))</f>
        <v/>
      </c>
      <c r="BX118" s="217" t="str">
        <f>IF('Report History'!OF18=0,"",IFERROR('Report History'!OF18,""))</f>
        <v/>
      </c>
      <c r="BY118" s="218" t="str">
        <f>IF('Report History'!OG18=0,"",IFERROR('Report History'!OG18,""))</f>
        <v/>
      </c>
      <c r="BZ118" s="222">
        <f>IF('Report History'!OH18=0,"",IFERROR('Report History'!OH18,""))</f>
        <v>2621.4500000000003</v>
      </c>
      <c r="CA118" s="223" t="str">
        <f>IF('Report History'!OI18=0,"",IFERROR('Report History'!OI18,""))</f>
        <v/>
      </c>
      <c r="CB118" s="224" t="str">
        <f>IF('Report History'!OJ18=0,"",IFERROR('Report History'!OJ18,""))</f>
        <v/>
      </c>
      <c r="CC118" s="217" t="str">
        <f>IF('Report History'!OK18=0,"",IFERROR('Report History'!OK18,""))</f>
        <v>PINK</v>
      </c>
      <c r="CD118" s="218" t="str">
        <f>IF('Report History'!OL18=0,"",IFERROR('Report History'!OL18,""))</f>
        <v/>
      </c>
      <c r="CE118" s="222" t="str">
        <f>IF('Report History'!OM18=0,"",IFERROR('Report History'!OM18,""))</f>
        <v/>
      </c>
      <c r="CF118" s="223" t="str">
        <f>IF('Report History'!ON18=0,"",IFERROR('Report History'!ON18,""))</f>
        <v/>
      </c>
      <c r="CG118" s="224" t="str">
        <f>IF('Report History'!OO18=0,"",IFERROR('Report History'!OO18,""))</f>
        <v/>
      </c>
      <c r="CH118" s="217" t="str">
        <f>IF('Report History'!OP18=0,"",IFERROR('Report History'!OP18,""))</f>
        <v>YELLOW</v>
      </c>
      <c r="CI118" s="218" t="str">
        <f>IF('Report History'!OQ18=0,"",IFERROR('Report History'!OQ18,""))</f>
        <v/>
      </c>
      <c r="CJ118" s="222" t="str">
        <f>IF('Report History'!OR18=0,"",IFERROR('Report History'!OR18,""))</f>
        <v/>
      </c>
      <c r="CK118" s="223" t="str">
        <f>IF('Report History'!OS18=0,"",IFERROR('Report History'!OS18,""))</f>
        <v/>
      </c>
      <c r="CL118" s="224" t="str">
        <f>IF('Report History'!OT18=0,"",IFERROR('Report History'!OT18,""))</f>
        <v/>
      </c>
      <c r="CM118" s="217" t="str">
        <f>IF('Report History'!OU18=0,"",IFERROR('Report History'!OU18,""))</f>
        <v>VIOLET</v>
      </c>
      <c r="CN118" s="218" t="str">
        <f>IF('Report History'!OV18=0,"",IFERROR('Report History'!OV18,""))</f>
        <v/>
      </c>
      <c r="CO118" s="222">
        <f>IF('Report History'!OW18=0,"",IFERROR('Report History'!OW18,""))</f>
        <v>1574</v>
      </c>
      <c r="CP118" s="223" t="str">
        <f>IF('Report History'!OX18=0,"",IFERROR('Report History'!OX18,""))</f>
        <v/>
      </c>
      <c r="CQ118" s="224" t="str">
        <f>IF('Report History'!OY18=0,"",IFERROR('Report History'!OY18,""))</f>
        <v/>
      </c>
      <c r="CR118" s="217" t="str">
        <f>IF('Report History'!OZ18=0,"",IFERROR('Report History'!OZ18,""))</f>
        <v>GREEN</v>
      </c>
      <c r="CS118" s="218" t="str">
        <f>IF('Report History'!PA18=0,"",IFERROR('Report History'!PA18,""))</f>
        <v/>
      </c>
      <c r="CT118" s="222">
        <f>IF('Report History'!PB18=0,"",IFERROR('Report History'!PB18,""))</f>
        <v>13592</v>
      </c>
      <c r="CU118" s="223" t="str">
        <f>IF('Report History'!PC18=0,"",IFERROR('Report History'!PC18,""))</f>
        <v/>
      </c>
      <c r="CV118" s="224" t="str">
        <f>IF('Report History'!PD18=0,"",IFERROR('Report History'!PD18,""))</f>
        <v/>
      </c>
      <c r="CW118" s="217" t="str">
        <f>IF('Report History'!PE18=0,"",IFERROR('Report History'!PE18,""))</f>
        <v>ORANGE</v>
      </c>
      <c r="CX118" s="218" t="str">
        <f>IF('Report History'!PF18=0,"",IFERROR('Report History'!PF18,""))</f>
        <v/>
      </c>
      <c r="CY118" s="222">
        <f>IF('Report History'!PG18=0,"",IFERROR('Report History'!PG18,""))</f>
        <v>44596</v>
      </c>
      <c r="CZ118" s="223" t="str">
        <f>IF('Report History'!PH18=0,"",IFERROR('Report History'!PH18,""))</f>
        <v/>
      </c>
      <c r="DA118" s="224" t="str">
        <f>IF('Report History'!PI18=0,"",IFERROR('Report History'!PI18,""))</f>
        <v/>
      </c>
      <c r="DB118" s="217" t="str">
        <f>IF('Report History'!PJ18=0,"",IFERROR('Report History'!PJ18,""))</f>
        <v>BLUE</v>
      </c>
      <c r="DC118" s="218" t="str">
        <f>IF('Report History'!PK18=0,"",IFERROR('Report History'!PK18,""))</f>
        <v/>
      </c>
      <c r="DD118" s="222">
        <f>IF('Report History'!PL18=0,"",IFERROR('Report History'!PL18,""))</f>
        <v>7510</v>
      </c>
      <c r="DE118" s="223" t="str">
        <f>IF('Report History'!PM18=0,"",IFERROR('Report History'!PM18,""))</f>
        <v/>
      </c>
      <c r="DF118" s="224" t="str">
        <f>IF('Report History'!PN18=0,"",IFERROR('Report History'!PN18,""))</f>
        <v/>
      </c>
      <c r="DG118" s="217" t="str">
        <f>IF('Report History'!PO18=0,"",IFERROR('Report History'!PO18,""))</f>
        <v/>
      </c>
      <c r="DH118" s="218" t="str">
        <f>IF('Report History'!PP18=0,"",IFERROR('Report History'!PP18,""))</f>
        <v/>
      </c>
      <c r="DI118" s="222" t="str">
        <f>IF('Report History'!PQ18=0,"",IFERROR('Report History'!PQ18,""))</f>
        <v/>
      </c>
      <c r="DJ118" s="223" t="str">
        <f>IF('Report History'!PR18=0,"",IFERROR('Report History'!PR18,""))</f>
        <v/>
      </c>
      <c r="DK118" s="224" t="str">
        <f>IF('Report History'!PS18=0,"",IFERROR('Report History'!PS18,""))</f>
        <v/>
      </c>
      <c r="DL118" s="217" t="str">
        <f>IF('Report History'!PT18=0,"",IFERROR('Report History'!PT18,""))</f>
        <v>PINK</v>
      </c>
      <c r="DM118" s="218" t="str">
        <f>IF('Report History'!PU18=0,"",IFERROR('Report History'!PU18,""))</f>
        <v/>
      </c>
      <c r="DN118" s="222" t="str">
        <f>IF('Report History'!PV18=0,"",IFERROR('Report History'!PV18,""))</f>
        <v/>
      </c>
      <c r="DO118" s="223" t="str">
        <f>IF('Report History'!PW18=0,"",IFERROR('Report History'!PW18,""))</f>
        <v/>
      </c>
      <c r="DP118" s="224" t="str">
        <f>IF('Report History'!PX18=0,"",IFERROR('Report History'!PX18,""))</f>
        <v/>
      </c>
      <c r="DQ118" s="217" t="str">
        <f>IF('Report History'!PY18=0,"",IFERROR('Report History'!PY18,""))</f>
        <v>YELLOW</v>
      </c>
      <c r="DR118" s="218" t="str">
        <f>IF('Report History'!PZ18=0,"",IFERROR('Report History'!PZ18,""))</f>
        <v/>
      </c>
      <c r="DS118" s="222">
        <f>IF('Report History'!QA18=0,"",IFERROR('Report History'!QA18,""))</f>
        <v>1502</v>
      </c>
      <c r="DT118" s="223" t="str">
        <f>IF('Report History'!QB18=0,"",IFERROR('Report History'!QB18,""))</f>
        <v/>
      </c>
      <c r="DU118" s="224" t="str">
        <f>IF('Report History'!QC18=0,"",IFERROR('Report History'!QC18,""))</f>
        <v/>
      </c>
      <c r="DV118" s="217" t="str">
        <f>IF('Report History'!QD18=0,"",IFERROR('Report History'!QD18,""))</f>
        <v>VIOLET</v>
      </c>
      <c r="DW118" s="218" t="str">
        <f>IF('Report History'!QE18=0,"",IFERROR('Report History'!QE18,""))</f>
        <v/>
      </c>
      <c r="DX118" s="222">
        <f>IF('Report History'!QF18=0,"",IFERROR('Report History'!QF18,""))</f>
        <v>15020</v>
      </c>
      <c r="DY118" s="223" t="str">
        <f>IF('Report History'!QG18=0,"",IFERROR('Report History'!QG18,""))</f>
        <v/>
      </c>
      <c r="DZ118" s="224" t="str">
        <f>IF('Report History'!QH18=0,"",IFERROR('Report History'!QH18,""))</f>
        <v/>
      </c>
      <c r="EA118" s="217" t="str">
        <f>IF('Report History'!QI18=0,"",IFERROR('Report History'!QI18,""))</f>
        <v>GREEN</v>
      </c>
      <c r="EB118" s="218" t="str">
        <f>IF('Report History'!QJ18=0,"",IFERROR('Report History'!QJ18,""))</f>
        <v/>
      </c>
      <c r="EC118" s="222">
        <f>IF('Report History'!QK18=0,"",IFERROR('Report History'!QK18,""))</f>
        <v>28615</v>
      </c>
      <c r="ED118" s="223" t="str">
        <f>IF('Report History'!QL18=0,"",IFERROR('Report History'!QL18,""))</f>
        <v/>
      </c>
      <c r="EE118" s="224" t="str">
        <f>IF('Report History'!QM18=0,"",IFERROR('Report History'!QM18,""))</f>
        <v/>
      </c>
      <c r="EF118" s="217" t="str">
        <f>IF('Report History'!QN18=0,"",IFERROR('Report History'!QN18,""))</f>
        <v>GREEN</v>
      </c>
      <c r="EG118" s="218" t="str">
        <f>IF('Report History'!QO18=0,"",IFERROR('Report History'!QO18,""))</f>
        <v/>
      </c>
      <c r="EH118" s="222">
        <f>IF('Report History'!QP18=0,"",IFERROR('Report History'!QP18,""))</f>
        <v>28615</v>
      </c>
      <c r="EI118" s="223" t="str">
        <f>IF('Report History'!QQ18=0,"",IFERROR('Report History'!QQ18,""))</f>
        <v/>
      </c>
      <c r="EJ118" s="224" t="str">
        <f>IF('Report History'!QR18=0,"",IFERROR('Report History'!QR18,""))</f>
        <v/>
      </c>
      <c r="EK118" s="217" t="str">
        <f>IF('Report History'!QS18=0,"",IFERROR('Report History'!QS18,""))</f>
        <v>ORANGE</v>
      </c>
      <c r="EL118" s="218" t="str">
        <f>IF('Report History'!QT18=0,"",IFERROR('Report History'!QT18,""))</f>
        <v/>
      </c>
      <c r="EM118" s="222">
        <f>IF('Report History'!QU18=0,"",IFERROR('Report History'!QU18,""))</f>
        <v>42137</v>
      </c>
      <c r="EN118" s="223" t="str">
        <f>IF('Report History'!QV18=0,"",IFERROR('Report History'!QV18,""))</f>
        <v/>
      </c>
      <c r="EO118" s="224" t="str">
        <f>IF('Report History'!QW18=0,"",IFERROR('Report History'!QW18,""))</f>
        <v/>
      </c>
      <c r="EP118" s="217" t="str">
        <f>IF('Report History'!QX18=0,"",IFERROR('Report History'!QX18,""))</f>
        <v>BLUE</v>
      </c>
      <c r="EQ118" s="218" t="str">
        <f>IF('Report History'!QY18=0,"",IFERROR('Report History'!QY18,""))</f>
        <v/>
      </c>
      <c r="ER118" s="222" t="str">
        <f>IF('Report History'!QZ18=0,"",IFERROR('Report History'!QZ18,""))</f>
        <v/>
      </c>
      <c r="ES118" s="223" t="str">
        <f>IF('Report History'!RA18=0,"",IFERROR('Report History'!RA18,""))</f>
        <v/>
      </c>
      <c r="ET118" s="224" t="str">
        <f>IF('Report History'!RB18=0,"",IFERROR('Report History'!RB18,""))</f>
        <v/>
      </c>
      <c r="EU118" s="217" t="str">
        <f>IF('Report History'!RC18=0,"",IFERROR('Report History'!RC18,""))</f>
        <v/>
      </c>
      <c r="EV118" s="218" t="str">
        <f>IF('Report History'!RD18=0,"",IFERROR('Report History'!RD18,""))</f>
        <v/>
      </c>
      <c r="EW118" s="222" t="str">
        <f>IF('Report History'!RE18=0,"",IFERROR('Report History'!RE18,""))</f>
        <v/>
      </c>
      <c r="EX118" s="223" t="str">
        <f>IF('Report History'!RF18=0,"",IFERROR('Report History'!RF18,""))</f>
        <v/>
      </c>
      <c r="EY118" s="224" t="str">
        <f>IF('Report History'!RG18=0,"",IFERROR('Report History'!RG18,""))</f>
        <v/>
      </c>
      <c r="EZ118" s="217" t="str">
        <f>IF('Report History'!RH18=0,"",IFERROR('Report History'!RH18,""))</f>
        <v>PINK</v>
      </c>
      <c r="FA118" s="218" t="str">
        <f>IF('Report History'!RI18=0,"",IFERROR('Report History'!RI18,""))</f>
        <v/>
      </c>
      <c r="FB118" s="222">
        <f>IF('Report History'!RJ18=0,"",IFERROR('Report History'!RJ18,""))</f>
        <v>472.2</v>
      </c>
      <c r="FC118" s="223" t="str">
        <f>IF('Report History'!RK18=0,"",IFERROR('Report History'!RK18,""))</f>
        <v/>
      </c>
      <c r="FD118" s="224" t="str">
        <f>IF('Report History'!RL18=0,"",IFERROR('Report History'!RL18,""))</f>
        <v/>
      </c>
      <c r="FE118" s="217" t="str">
        <f>IF('Report History'!RM18=0,"",IFERROR('Report History'!RM18,""))</f>
        <v>YELLOW</v>
      </c>
      <c r="FF118" s="218" t="str">
        <f>IF('Report History'!RN18=0,"",IFERROR('Report History'!RN18,""))</f>
        <v/>
      </c>
      <c r="FG118" s="222" t="str">
        <f>IF('Report History'!RO18=0,"",IFERROR('Report History'!RO18,""))</f>
        <v/>
      </c>
      <c r="FH118" s="223" t="str">
        <f>IF('Report History'!RP18=0,"",IFERROR('Report History'!RP18,""))</f>
        <v/>
      </c>
      <c r="FI118" s="224" t="str">
        <f>IF('Report History'!RQ18=0,"",IFERROR('Report History'!RQ18,""))</f>
        <v/>
      </c>
      <c r="FJ118" s="217" t="str">
        <f>IF('Report History'!RR18=0,"",IFERROR('Report History'!RR18,""))</f>
        <v>VIOLET</v>
      </c>
      <c r="FK118" s="218" t="str">
        <f>IF('Report History'!RS18=0,"",IFERROR('Report History'!RS18,""))</f>
        <v/>
      </c>
      <c r="FL118" s="222">
        <f>IF('Report History'!RT18=0,"",IFERROR('Report History'!RT18,""))</f>
        <v>18028</v>
      </c>
      <c r="FM118" s="223" t="str">
        <f>IF('Report History'!RU18=0,"",IFERROR('Report History'!RU18,""))</f>
        <v/>
      </c>
      <c r="FN118" s="224" t="str">
        <f>IF('Report History'!RV18=0,"",IFERROR('Report History'!RV18,""))</f>
        <v/>
      </c>
      <c r="FO118" s="217" t="str">
        <f>IF('Report History'!RW18=0,"",IFERROR('Report History'!RW18,""))</f>
        <v>VIOLET</v>
      </c>
      <c r="FP118" s="218" t="str">
        <f>IF('Report History'!RX18=0,"",IFERROR('Report History'!RX18,""))</f>
        <v/>
      </c>
      <c r="FQ118" s="222">
        <f>IF('Report History'!RY18=0,"",IFERROR('Report History'!RY18,""))</f>
        <v>18028</v>
      </c>
      <c r="FR118" s="223" t="str">
        <f>IF('Report History'!RZ18=0,"",IFERROR('Report History'!RZ18,""))</f>
        <v/>
      </c>
      <c r="FS118" s="224" t="str">
        <f>IF('Report History'!SA18=0,"",IFERROR('Report History'!SA18,""))</f>
        <v/>
      </c>
      <c r="FT118" s="217" t="str">
        <f>IF('Report History'!SB18=0,"",IFERROR('Report History'!SB18,""))</f>
        <v>GREEN</v>
      </c>
      <c r="FU118" s="218" t="str">
        <f>IF('Report History'!SC18=0,"",IFERROR('Report History'!SC18,""))</f>
        <v/>
      </c>
      <c r="FV118" s="222">
        <f>IF('Report History'!SD18=0,"",IFERROR('Report History'!SD18,""))</f>
        <v>10517</v>
      </c>
      <c r="FW118" s="223" t="str">
        <f>IF('Report History'!SE18=0,"",IFERROR('Report History'!SE18,""))</f>
        <v/>
      </c>
      <c r="FX118" s="224" t="str">
        <f>IF('Report History'!SF18=0,"",IFERROR('Report History'!SF18,""))</f>
        <v/>
      </c>
      <c r="FY118" s="217" t="str">
        <f>IF('Report History'!SG18=0,"",IFERROR('Report History'!SG18,""))</f>
        <v>ORANGE</v>
      </c>
      <c r="FZ118" s="218" t="str">
        <f>IF('Report History'!SH18=0,"",IFERROR('Report History'!SH18,""))</f>
        <v/>
      </c>
      <c r="GA118" s="222">
        <f>IF('Report History'!SI18=0,"",IFERROR('Report History'!SI18,""))</f>
        <v>3005</v>
      </c>
      <c r="GB118" s="223" t="str">
        <f>IF('Report History'!SJ18=0,"",IFERROR('Report History'!SJ18,""))</f>
        <v/>
      </c>
      <c r="GC118" s="224" t="str">
        <f>IF('Report History'!SK18=0,"",IFERROR('Report History'!SK18,""))</f>
        <v/>
      </c>
      <c r="GD118" s="217" t="str">
        <f>IF('Report History'!SL18=0,"",IFERROR('Report History'!SL18,""))</f>
        <v>BLUE</v>
      </c>
      <c r="GE118" s="218" t="str">
        <f>IF('Report History'!SM18=0,"",IFERROR('Report History'!SM18,""))</f>
        <v/>
      </c>
      <c r="GF118" s="222" t="str">
        <f>IF('Report History'!SN18=0,"",IFERROR('Report History'!SN18,""))</f>
        <v/>
      </c>
      <c r="GG118" s="223" t="str">
        <f>IF('Report History'!SO18=0,"",IFERROR('Report History'!SO18,""))</f>
        <v/>
      </c>
      <c r="GH118" s="224" t="str">
        <f>IF('Report History'!SP18=0,"",IFERROR('Report History'!SP18,""))</f>
        <v/>
      </c>
      <c r="GI118" s="217" t="str">
        <f>IF('Report History'!SQ18=0,"",IFERROR('Report History'!SQ18,""))</f>
        <v/>
      </c>
      <c r="GJ118" s="218" t="str">
        <f>IF('Report History'!SR18=0,"",IFERROR('Report History'!SR18,""))</f>
        <v/>
      </c>
      <c r="GK118" s="222" t="str">
        <f>IF('Report History'!SS18=0,"",IFERROR('Report History'!SS18,""))</f>
        <v/>
      </c>
      <c r="GL118" s="223" t="str">
        <f>IF('Report History'!ST18=0,"",IFERROR('Report History'!ST18,""))</f>
        <v/>
      </c>
      <c r="GM118" s="224" t="str">
        <f>IF('Report History'!SU18=0,"",IFERROR('Report History'!SU18,""))</f>
        <v/>
      </c>
      <c r="GN118" s="217" t="str">
        <f>IF('Report History'!SV18=0,"",IFERROR('Report History'!SV18,""))</f>
        <v>PINK</v>
      </c>
      <c r="GO118" s="218" t="str">
        <f>IF('Report History'!SW18=0,"",IFERROR('Report History'!SW18,""))</f>
        <v/>
      </c>
      <c r="GP118" s="222" t="str">
        <f>IF('Report History'!SX18=0,"",IFERROR('Report History'!SX18,""))</f>
        <v/>
      </c>
      <c r="GQ118" s="223" t="str">
        <f>IF('Report History'!SY18=0,"",IFERROR('Report History'!SY18,""))</f>
        <v/>
      </c>
      <c r="GR118" s="224" t="str">
        <f>IF('Report History'!SZ18=0,"",IFERROR('Report History'!SZ18,""))</f>
        <v/>
      </c>
      <c r="GS118" s="217" t="str">
        <f>IF('Report History'!TA18=0,"",IFERROR('Report History'!TA18,""))</f>
        <v>YELLOW</v>
      </c>
      <c r="GT118" s="218" t="str">
        <f>IF('Report History'!TB18=0,"",IFERROR('Report History'!TB18,""))</f>
        <v/>
      </c>
      <c r="GU118" s="222">
        <f>IF('Report History'!TC18=0,"",IFERROR('Report History'!TC18,""))</f>
        <v>7510</v>
      </c>
      <c r="GV118" s="223" t="str">
        <f>IF('Report History'!TD18=0,"",IFERROR('Report History'!TD18,""))</f>
        <v/>
      </c>
      <c r="GW118" s="224" t="str">
        <f>IF('Report History'!TE18=0,"",IFERROR('Report History'!TE18,""))</f>
        <v/>
      </c>
      <c r="GX118" s="217" t="str">
        <f>IF('Report History'!TF18=0,"",IFERROR('Report History'!TF18,""))</f>
        <v>VIOLET</v>
      </c>
      <c r="GY118" s="218" t="str">
        <f>IF('Report History'!TG18=0,"",IFERROR('Report History'!TG18,""))</f>
        <v/>
      </c>
      <c r="GZ118" s="222">
        <f>IF('Report History'!TH18=0,"",IFERROR('Report History'!TH18,""))</f>
        <v>1502</v>
      </c>
      <c r="HA118" s="223" t="str">
        <f>IF('Report History'!TI18=0,"",IFERROR('Report History'!TI18,""))</f>
        <v/>
      </c>
      <c r="HB118" s="224" t="str">
        <f>IF('Report History'!TJ18=0,"",IFERROR('Report History'!TJ18,""))</f>
        <v/>
      </c>
      <c r="HC118" s="217" t="str">
        <f>IF('Report History'!TK18=0,"",IFERROR('Report History'!TK18,""))</f>
        <v>GREEN</v>
      </c>
      <c r="HD118" s="218" t="str">
        <f>IF('Report History'!TL18=0,"",IFERROR('Report History'!TL18,""))</f>
        <v/>
      </c>
      <c r="HE118" s="222" t="str">
        <f>IF('Report History'!TM18=0,"",IFERROR('Report History'!TM18,""))</f>
        <v/>
      </c>
      <c r="HF118" s="223" t="str">
        <f>IF('Report History'!TN18=0,"",IFERROR('Report History'!TN18,""))</f>
        <v/>
      </c>
      <c r="HG118" s="224" t="str">
        <f>IF('Report History'!TO18=0,"",IFERROR('Report History'!TO18,""))</f>
        <v/>
      </c>
      <c r="HH118" s="217" t="str">
        <f>IF('Report History'!TP18=0,"",IFERROR('Report History'!TP18,""))</f>
        <v>ORANGE</v>
      </c>
      <c r="HI118" s="218" t="str">
        <f>IF('Report History'!TQ18=0,"",IFERROR('Report History'!TQ18,""))</f>
        <v/>
      </c>
      <c r="HJ118" s="222">
        <f>IF('Report History'!TR18=0,"",IFERROR('Report History'!TR18,""))</f>
        <v>7511</v>
      </c>
      <c r="HK118" s="223" t="str">
        <f>IF('Report History'!TS18=0,"",IFERROR('Report History'!TS18,""))</f>
        <v/>
      </c>
      <c r="HL118" s="224" t="str">
        <f>IF('Report History'!TT18=0,"",IFERROR('Report History'!TT18,""))</f>
        <v/>
      </c>
      <c r="HM118" s="217" t="str">
        <f>IF('Report History'!TU18=0,"",IFERROR('Report History'!TU18,""))</f>
        <v>BLUE</v>
      </c>
      <c r="HN118" s="218" t="str">
        <f>IF('Report History'!TV18=0,"",IFERROR('Report History'!TV18,""))</f>
        <v/>
      </c>
      <c r="HO118" s="222">
        <f>IF('Report History'!TW18=0,"",IFERROR('Report History'!TW18,""))</f>
        <v>18780</v>
      </c>
      <c r="HP118" s="223" t="str">
        <f>IF('Report History'!TX18=0,"",IFERROR('Report History'!TX18,""))</f>
        <v/>
      </c>
      <c r="HQ118" s="224" t="str">
        <f>IF('Report History'!TY18=0,"",IFERROR('Report History'!TY18,""))</f>
        <v/>
      </c>
      <c r="HR118" s="217" t="str">
        <f>IF('Report History'!TZ18=0,"",IFERROR('Report History'!TZ18,""))</f>
        <v/>
      </c>
      <c r="HS118" s="218" t="str">
        <f>IF('Report History'!UA18=0,"",IFERROR('Report History'!UA18,""))</f>
        <v/>
      </c>
      <c r="HT118" s="222" t="str">
        <f>IF('Report History'!UB18=0,"",IFERROR('Report History'!UB18,""))</f>
        <v/>
      </c>
      <c r="HU118" s="223" t="str">
        <f>IF('Report History'!UC18=0,"",IFERROR('Report History'!UC18,""))</f>
        <v/>
      </c>
      <c r="HV118" s="224" t="str">
        <f>IF('Report History'!UD18=0,"",IFERROR('Report History'!UD18,""))</f>
        <v/>
      </c>
      <c r="HW118" s="217" t="str">
        <f>IF('Report History'!UE18=0,"",IFERROR('Report History'!UE18,""))</f>
        <v>PINK</v>
      </c>
      <c r="HX118" s="218" t="str">
        <f>IF('Report History'!UF18=0,"",IFERROR('Report History'!UF18,""))</f>
        <v/>
      </c>
      <c r="HY118" s="222">
        <f>IF('Report History'!UG18=0,"",IFERROR('Report History'!UG18,""))</f>
        <v>22536</v>
      </c>
      <c r="HZ118" s="223" t="str">
        <f>IF('Report History'!UH18=0,"",IFERROR('Report History'!UH18,""))</f>
        <v/>
      </c>
      <c r="IA118" s="224" t="str">
        <f>IF('Report History'!UI18=0,"",IFERROR('Report History'!UI18,""))</f>
        <v/>
      </c>
      <c r="IB118" s="217" t="str">
        <f>IF('Report History'!UJ18=0,"",IFERROR('Report History'!UJ18,""))</f>
        <v>YELLOW</v>
      </c>
      <c r="IC118" s="218" t="str">
        <f>IF('Report History'!UK18=0,"",IFERROR('Report History'!UK18,""))</f>
        <v/>
      </c>
      <c r="ID118" s="222">
        <f>IF('Report History'!UL18=0,"",IFERROR('Report History'!UL18,""))</f>
        <v>15024</v>
      </c>
      <c r="IE118" s="223" t="str">
        <f>IF('Report History'!UM18=0,"",IFERROR('Report History'!UM18,""))</f>
        <v/>
      </c>
      <c r="IF118" s="224" t="str">
        <f>IF('Report History'!UN18=0,"",IFERROR('Report History'!UN18,""))</f>
        <v/>
      </c>
      <c r="IG118" s="217" t="str">
        <f>IF('Report History'!UO18=0,"",IFERROR('Report History'!UO18,""))</f>
        <v>VIOLET</v>
      </c>
      <c r="IH118" s="218" t="str">
        <f>IF('Report History'!UP18=0,"",IFERROR('Report History'!UP18,""))</f>
        <v/>
      </c>
      <c r="II118" s="222">
        <f>IF('Report History'!UQ18=0,"",IFERROR('Report History'!UQ18,""))</f>
        <v>12018</v>
      </c>
      <c r="IJ118" s="223" t="str">
        <f>IF('Report History'!UR18=0,"",IFERROR('Report History'!UR18,""))</f>
        <v/>
      </c>
      <c r="IK118" s="224" t="str">
        <f>IF('Report History'!US18=0,"",IFERROR('Report History'!US18,""))</f>
        <v/>
      </c>
      <c r="IL118" s="217" t="str">
        <f>IF('Report History'!UT18=0,"",IFERROR('Report History'!UT18,""))</f>
        <v>GREEN</v>
      </c>
      <c r="IM118" s="218" t="str">
        <f>IF('Report History'!UU18=0,"",IFERROR('Report History'!UU18,""))</f>
        <v/>
      </c>
      <c r="IN118" s="222" t="str">
        <f>IF('Report History'!UV18=0,"",IFERROR('Report History'!UV18,""))</f>
        <v/>
      </c>
      <c r="IO118" s="223" t="str">
        <f>IF('Report History'!UW18=0,"",IFERROR('Report History'!UW18,""))</f>
        <v/>
      </c>
      <c r="IP118" s="224" t="str">
        <f>IF('Report History'!UX18=0,"",IFERROR('Report History'!UX18,""))</f>
        <v/>
      </c>
    </row>
    <row r="119" spans="1:250" x14ac:dyDescent="0.25">
      <c r="A119" s="217" t="str">
        <f>IF('Report History'!LI19=0,"",IFERROR('Report History'!LI19,""))</f>
        <v/>
      </c>
      <c r="B119" s="218" t="str">
        <f>IF('Report History'!LJ19=0,"",IFERROR('Report History'!LJ19,""))</f>
        <v/>
      </c>
      <c r="C119" s="219" t="str">
        <f>IF('Report History'!LK19=0,"",IFERROR('Report History'!LK19,""))</f>
        <v/>
      </c>
      <c r="D119" s="220" t="str">
        <f>IF('Report History'!LL19=0,"",IFERROR('Report History'!LL19,""))</f>
        <v/>
      </c>
      <c r="E119" s="221" t="str">
        <f>IF('Report History'!LM19=0,"",IFERROR('Report History'!LM19,""))</f>
        <v/>
      </c>
      <c r="F119" s="217" t="str">
        <f>IF('Report History'!LN19=0,"",IFERROR('Report History'!LN19,""))</f>
        <v>PINK</v>
      </c>
      <c r="G119" s="218" t="str">
        <f>IF('Report History'!LO19=0,"",IFERROR('Report History'!LO19,""))</f>
        <v/>
      </c>
      <c r="H119" s="219" t="str">
        <f>IF('Report History'!LP19=0,"",IFERROR('Report History'!LP19,""))</f>
        <v/>
      </c>
      <c r="I119" s="220" t="str">
        <f>IF('Report History'!LQ19=0,"",IFERROR('Report History'!LQ19,""))</f>
        <v/>
      </c>
      <c r="J119" s="221" t="str">
        <f>IF('Report History'!LR19=0,"",IFERROR('Report History'!LR19,""))</f>
        <v/>
      </c>
      <c r="K119" s="217" t="str">
        <f>IF('Report History'!LS19=0,"",IFERROR('Report History'!LS19,""))</f>
        <v>YELLOW</v>
      </c>
      <c r="L119" s="218" t="str">
        <f>IF('Report History'!LT19=0,"",IFERROR('Report History'!LT19,""))</f>
        <v/>
      </c>
      <c r="M119" s="219" t="str">
        <f>IF('Report History'!LU19=0,"",IFERROR('Report History'!LU19,""))</f>
        <v/>
      </c>
      <c r="N119" s="220" t="str">
        <f>IF('Report History'!LV19=0,"",IFERROR('Report History'!LV19,""))</f>
        <v/>
      </c>
      <c r="O119" s="221" t="str">
        <f>IF('Report History'!LW19=0,"",IFERROR('Report History'!LW19,""))</f>
        <v/>
      </c>
      <c r="P119" s="217" t="str">
        <f>IF('Report History'!LX19=0,"",IFERROR('Report History'!LX19,""))</f>
        <v>VIOLET</v>
      </c>
      <c r="Q119" s="218" t="str">
        <f>IF('Report History'!LY19=0,"",IFERROR('Report History'!LY19,""))</f>
        <v/>
      </c>
      <c r="R119" s="219" t="str">
        <f>IF('Report History'!LZ19=0,"",IFERROR('Report History'!LZ19,""))</f>
        <v/>
      </c>
      <c r="S119" s="220" t="str">
        <f>IF('Report History'!MA19=0,"",IFERROR('Report History'!MA19,""))</f>
        <v/>
      </c>
      <c r="T119" s="221" t="str">
        <f>IF('Report History'!MB19=0,"",IFERROR('Report History'!MB19,""))</f>
        <v/>
      </c>
      <c r="U119" s="217" t="str">
        <f>IF('Report History'!MC19=0,"",IFERROR('Report History'!MC19,""))</f>
        <v>GREEN</v>
      </c>
      <c r="V119" s="218" t="str">
        <f>IF('Report History'!MD19=0,"",IFERROR('Report History'!MD19,""))</f>
        <v/>
      </c>
      <c r="W119" s="219">
        <f>IF('Report History'!ME19=0,"",IFERROR('Report History'!ME19,""))</f>
        <v>10586</v>
      </c>
      <c r="X119" s="220" t="str">
        <f>IF('Report History'!MF19=0,"",IFERROR('Report History'!MF19,""))</f>
        <v/>
      </c>
      <c r="Y119" s="221" t="str">
        <f>IF('Report History'!MG19=0,"",IFERROR('Report History'!MG19,""))</f>
        <v/>
      </c>
      <c r="Z119" s="217" t="str">
        <f>IF('Report History'!MH19=0,"",IFERROR('Report History'!MH19,""))</f>
        <v>ORANGE</v>
      </c>
      <c r="AA119" s="218" t="str">
        <f>IF('Report History'!MI19=0,"",IFERROR('Report History'!MI19,""))</f>
        <v/>
      </c>
      <c r="AB119" s="219">
        <f>IF('Report History'!MJ19=0,"",IFERROR('Report History'!MJ19,""))</f>
        <v>15024</v>
      </c>
      <c r="AC119" s="220" t="str">
        <f>IF('Report History'!MK19=0,"",IFERROR('Report History'!MK19,""))</f>
        <v/>
      </c>
      <c r="AD119" s="221" t="str">
        <f>IF('Report History'!ML19=0,"",IFERROR('Report History'!ML19,""))</f>
        <v/>
      </c>
      <c r="AE119" s="217" t="str">
        <f>IF('Report History'!MM19=0,"",IFERROR('Report History'!MM19,""))</f>
        <v>BLUE</v>
      </c>
      <c r="AF119" s="218" t="str">
        <f>IF('Report History'!MN19=0,"",IFERROR('Report History'!MN19,""))</f>
        <v/>
      </c>
      <c r="AG119" s="219">
        <f>IF('Report History'!MO19=0,"",IFERROR('Report History'!MO19,""))</f>
        <v>6009</v>
      </c>
      <c r="AH119" s="220" t="str">
        <f>IF('Report History'!MP19=0,"",IFERROR('Report History'!MP19,""))</f>
        <v/>
      </c>
      <c r="AI119" s="221" t="str">
        <f>IF('Report History'!MQ19=0,"",IFERROR('Report History'!MQ19,""))</f>
        <v/>
      </c>
      <c r="AJ119" s="217" t="str">
        <f>IF('Report History'!MR19=0,"",IFERROR('Report History'!MR19,""))</f>
        <v/>
      </c>
      <c r="AK119" s="218" t="str">
        <f>IF('Report History'!MS19=0,"",IFERROR('Report History'!MS19,""))</f>
        <v/>
      </c>
      <c r="AL119" s="219" t="str">
        <f>IF('Report History'!MT19=0,"",IFERROR('Report History'!MT19,""))</f>
        <v/>
      </c>
      <c r="AM119" s="220" t="str">
        <f>IF('Report History'!MU19=0,"",IFERROR('Report History'!MU19,""))</f>
        <v/>
      </c>
      <c r="AN119" s="221" t="str">
        <f>IF('Report History'!MV19=0,"",IFERROR('Report History'!MV19,""))</f>
        <v/>
      </c>
      <c r="AO119" s="217" t="str">
        <f>IF('Report History'!MW19=0,"",IFERROR('Report History'!MW19,""))</f>
        <v/>
      </c>
      <c r="AP119" s="218" t="str">
        <f>IF('Report History'!MX19=0,"",IFERROR('Report History'!MX19,""))</f>
        <v/>
      </c>
      <c r="AQ119" s="219" t="str">
        <f>IF('Report History'!MY19=0,"",IFERROR('Report History'!MY19,""))</f>
        <v/>
      </c>
      <c r="AR119" s="220" t="str">
        <f>IF('Report History'!MZ19=0,"",IFERROR('Report History'!MZ19,""))</f>
        <v/>
      </c>
      <c r="AS119" s="221" t="str">
        <f>IF('Report History'!NA19=0,"",IFERROR('Report History'!NA19,""))</f>
        <v/>
      </c>
      <c r="AT119" s="217" t="str">
        <f>IF('Report History'!NB19=0,"",IFERROR('Report History'!NB19,""))</f>
        <v>PINK</v>
      </c>
      <c r="AU119" s="218" t="str">
        <f>IF('Report History'!NC19=0,"",IFERROR('Report History'!NC19,""))</f>
        <v/>
      </c>
      <c r="AV119" s="219" t="str">
        <f>IF('Report History'!ND19=0,"",IFERROR('Report History'!ND19,""))</f>
        <v/>
      </c>
      <c r="AW119" s="220" t="str">
        <f>IF('Report History'!NE19=0,"",IFERROR('Report History'!NE19,""))</f>
        <v/>
      </c>
      <c r="AX119" s="221" t="str">
        <f>IF('Report History'!NF19=0,"",IFERROR('Report History'!NF19,""))</f>
        <v/>
      </c>
      <c r="AY119" s="217" t="str">
        <f>IF('Report History'!NG19=0,"",IFERROR('Report History'!NG19,""))</f>
        <v>YELLOW</v>
      </c>
      <c r="AZ119" s="218" t="str">
        <f>IF('Report History'!NH19=0,"",IFERROR('Report History'!NH19,""))</f>
        <v/>
      </c>
      <c r="BA119" s="219" t="str">
        <f>IF('Report History'!NI19=0,"",IFERROR('Report History'!NI19,""))</f>
        <v/>
      </c>
      <c r="BB119" s="220" t="str">
        <f>IF('Report History'!NJ19=0,"",IFERROR('Report History'!NJ19,""))</f>
        <v/>
      </c>
      <c r="BC119" s="221" t="str">
        <f>IF('Report History'!NK19=0,"",IFERROR('Report History'!NK19,""))</f>
        <v/>
      </c>
      <c r="BD119" s="217" t="str">
        <f>IF('Report History'!NL19=0,"",IFERROR('Report History'!NL19,""))</f>
        <v>VIOLET</v>
      </c>
      <c r="BE119" s="218" t="str">
        <f>IF('Report History'!NM19=0,"",IFERROR('Report History'!NM19,""))</f>
        <v/>
      </c>
      <c r="BF119" s="219" t="str">
        <f>IF('Report History'!NN19=0,"",IFERROR('Report History'!NN19,""))</f>
        <v/>
      </c>
      <c r="BG119" s="220" t="str">
        <f>IF('Report History'!NO19=0,"",IFERROR('Report History'!NO19,""))</f>
        <v/>
      </c>
      <c r="BH119" s="221" t="str">
        <f>IF('Report History'!NP19=0,"",IFERROR('Report History'!NP19,""))</f>
        <v/>
      </c>
      <c r="BI119" s="217" t="str">
        <f>IF('Report History'!NQ19=0,"",IFERROR('Report History'!NQ19,""))</f>
        <v>GREEN</v>
      </c>
      <c r="BJ119" s="218" t="str">
        <f>IF('Report History'!NR19=0,"",IFERROR('Report History'!NR19,""))</f>
        <v/>
      </c>
      <c r="BK119" s="219">
        <f>IF('Report History'!NS19=0,"",IFERROR('Report History'!NS19,""))</f>
        <v>10588</v>
      </c>
      <c r="BL119" s="220" t="str">
        <f>IF('Report History'!NT19=0,"",IFERROR('Report History'!NT19,""))</f>
        <v/>
      </c>
      <c r="BM119" s="221" t="str">
        <f>IF('Report History'!NU19=0,"",IFERROR('Report History'!NU19,""))</f>
        <v/>
      </c>
      <c r="BN119" s="217" t="str">
        <f>IF('Report History'!NV19=0,"",IFERROR('Report History'!NV19,""))</f>
        <v>ORANGE</v>
      </c>
      <c r="BO119" s="218" t="str">
        <f>IF('Report History'!NW19=0,"",IFERROR('Report History'!NW19,""))</f>
        <v/>
      </c>
      <c r="BP119" s="219" t="str">
        <f>IF('Report History'!NX19=0,"",IFERROR('Report History'!NX19,""))</f>
        <v/>
      </c>
      <c r="BQ119" s="220" t="str">
        <f>IF('Report History'!NY19=0,"",IFERROR('Report History'!NY19,""))</f>
        <v/>
      </c>
      <c r="BR119" s="221" t="str">
        <f>IF('Report History'!NZ19=0,"",IFERROR('Report History'!NZ19,""))</f>
        <v/>
      </c>
      <c r="BS119" s="217" t="str">
        <f>IF('Report History'!OA19=0,"",IFERROR('Report History'!OA19,""))</f>
        <v>BLUE</v>
      </c>
      <c r="BT119" s="218" t="str">
        <f>IF('Report History'!OB19=0,"",IFERROR('Report History'!OB19,""))</f>
        <v/>
      </c>
      <c r="BU119" s="219">
        <f>IF('Report History'!OC19=0,"",IFERROR('Report History'!OC19,""))</f>
        <v>6009</v>
      </c>
      <c r="BV119" s="220" t="str">
        <f>IF('Report History'!OD19=0,"",IFERROR('Report History'!OD19,""))</f>
        <v/>
      </c>
      <c r="BW119" s="221" t="str">
        <f>IF('Report History'!OE19=0,"",IFERROR('Report History'!OE19,""))</f>
        <v/>
      </c>
      <c r="BX119" s="217" t="str">
        <f>IF('Report History'!OF19=0,"",IFERROR('Report History'!OF19,""))</f>
        <v>BLUE</v>
      </c>
      <c r="BY119" s="218" t="str">
        <f>IF('Report History'!OG19=0,"",IFERROR('Report History'!OG19,""))</f>
        <v/>
      </c>
      <c r="BZ119" s="219">
        <f>IF('Report History'!OH19=0,"",IFERROR('Report History'!OH19,""))</f>
        <v>6009</v>
      </c>
      <c r="CA119" s="220" t="str">
        <f>IF('Report History'!OI19=0,"",IFERROR('Report History'!OI19,""))</f>
        <v/>
      </c>
      <c r="CB119" s="221" t="str">
        <f>IF('Report History'!OJ19=0,"",IFERROR('Report History'!OJ19,""))</f>
        <v/>
      </c>
      <c r="CC119" s="217" t="str">
        <f>IF('Report History'!OK19=0,"",IFERROR('Report History'!OK19,""))</f>
        <v/>
      </c>
      <c r="CD119" s="218" t="str">
        <f>IF('Report History'!OL19=0,"",IFERROR('Report History'!OL19,""))</f>
        <v/>
      </c>
      <c r="CE119" s="219" t="str">
        <f>IF('Report History'!OM19=0,"",IFERROR('Report History'!OM19,""))</f>
        <v/>
      </c>
      <c r="CF119" s="220" t="str">
        <f>IF('Report History'!ON19=0,"",IFERROR('Report History'!ON19,""))</f>
        <v/>
      </c>
      <c r="CG119" s="221" t="str">
        <f>IF('Report History'!OO19=0,"",IFERROR('Report History'!OO19,""))</f>
        <v/>
      </c>
      <c r="CH119" s="217" t="str">
        <f>IF('Report History'!OP19=0,"",IFERROR('Report History'!OP19,""))</f>
        <v>PINK</v>
      </c>
      <c r="CI119" s="218" t="str">
        <f>IF('Report History'!OQ19=0,"",IFERROR('Report History'!OQ19,""))</f>
        <v/>
      </c>
      <c r="CJ119" s="219" t="str">
        <f>IF('Report History'!OR19=0,"",IFERROR('Report History'!OR19,""))</f>
        <v/>
      </c>
      <c r="CK119" s="220" t="str">
        <f>IF('Report History'!OS19=0,"",IFERROR('Report History'!OS19,""))</f>
        <v/>
      </c>
      <c r="CL119" s="221" t="str">
        <f>IF('Report History'!OT19=0,"",IFERROR('Report History'!OT19,""))</f>
        <v/>
      </c>
      <c r="CM119" s="217" t="str">
        <f>IF('Report History'!OU19=0,"",IFERROR('Report History'!OU19,""))</f>
        <v>YELLOW</v>
      </c>
      <c r="CN119" s="218" t="str">
        <f>IF('Report History'!OV19=0,"",IFERROR('Report History'!OV19,""))</f>
        <v/>
      </c>
      <c r="CO119" s="219" t="str">
        <f>IF('Report History'!OW19=0,"",IFERROR('Report History'!OW19,""))</f>
        <v/>
      </c>
      <c r="CP119" s="220" t="str">
        <f>IF('Report History'!OX19=0,"",IFERROR('Report History'!OX19,""))</f>
        <v/>
      </c>
      <c r="CQ119" s="221" t="str">
        <f>IF('Report History'!OY19=0,"",IFERROR('Report History'!OY19,""))</f>
        <v/>
      </c>
      <c r="CR119" s="217" t="str">
        <f>IF('Report History'!OZ19=0,"",IFERROR('Report History'!OZ19,""))</f>
        <v>VIOLET</v>
      </c>
      <c r="CS119" s="218" t="str">
        <f>IF('Report History'!PA19=0,"",IFERROR('Report History'!PA19,""))</f>
        <v/>
      </c>
      <c r="CT119" s="219" t="str">
        <f>IF('Report History'!PB19=0,"",IFERROR('Report History'!PB19,""))</f>
        <v/>
      </c>
      <c r="CU119" s="220" t="str">
        <f>IF('Report History'!PC19=0,"",IFERROR('Report History'!PC19,""))</f>
        <v/>
      </c>
      <c r="CV119" s="221" t="str">
        <f>IF('Report History'!PD19=0,"",IFERROR('Report History'!PD19,""))</f>
        <v/>
      </c>
      <c r="CW119" s="217" t="str">
        <f>IF('Report History'!PE19=0,"",IFERROR('Report History'!PE19,""))</f>
        <v>GREEN</v>
      </c>
      <c r="CX119" s="218" t="str">
        <f>IF('Report History'!PF19=0,"",IFERROR('Report History'!PF19,""))</f>
        <v/>
      </c>
      <c r="CY119" s="219">
        <f>IF('Report History'!PG19=0,"",IFERROR('Report History'!PG19,""))</f>
        <v>13592</v>
      </c>
      <c r="CZ119" s="220" t="str">
        <f>IF('Report History'!PH19=0,"",IFERROR('Report History'!PH19,""))</f>
        <v/>
      </c>
      <c r="DA119" s="221" t="str">
        <f>IF('Report History'!PI19=0,"",IFERROR('Report History'!PI19,""))</f>
        <v/>
      </c>
      <c r="DB119" s="217" t="str">
        <f>IF('Report History'!PJ19=0,"",IFERROR('Report History'!PJ19,""))</f>
        <v>ORANGE</v>
      </c>
      <c r="DC119" s="218" t="str">
        <f>IF('Report History'!PK19=0,"",IFERROR('Report History'!PK19,""))</f>
        <v/>
      </c>
      <c r="DD119" s="219">
        <f>IF('Report History'!PL19=0,"",IFERROR('Report History'!PL19,""))</f>
        <v>21030</v>
      </c>
      <c r="DE119" s="220" t="str">
        <f>IF('Report History'!PM19=0,"",IFERROR('Report History'!PM19,""))</f>
        <v/>
      </c>
      <c r="DF119" s="221" t="str">
        <f>IF('Report History'!PN19=0,"",IFERROR('Report History'!PN19,""))</f>
        <v/>
      </c>
      <c r="DG119" s="217" t="str">
        <f>IF('Report History'!PO19=0,"",IFERROR('Report History'!PO19,""))</f>
        <v>BLUE</v>
      </c>
      <c r="DH119" s="218" t="str">
        <f>IF('Report History'!PP19=0,"",IFERROR('Report History'!PP19,""))</f>
        <v/>
      </c>
      <c r="DI119" s="219">
        <f>IF('Report History'!PQ19=0,"",IFERROR('Report History'!PQ19,""))</f>
        <v>33122</v>
      </c>
      <c r="DJ119" s="220" t="str">
        <f>IF('Report History'!PR19=0,"",IFERROR('Report History'!PR19,""))</f>
        <v/>
      </c>
      <c r="DK119" s="221" t="str">
        <f>IF('Report History'!PS19=0,"",IFERROR('Report History'!PS19,""))</f>
        <v/>
      </c>
      <c r="DL119" s="217" t="str">
        <f>IF('Report History'!PT19=0,"",IFERROR('Report History'!PT19,""))</f>
        <v/>
      </c>
      <c r="DM119" s="218" t="str">
        <f>IF('Report History'!PU19=0,"",IFERROR('Report History'!PU19,""))</f>
        <v/>
      </c>
      <c r="DN119" s="219" t="str">
        <f>IF('Report History'!PV19=0,"",IFERROR('Report History'!PV19,""))</f>
        <v/>
      </c>
      <c r="DO119" s="220" t="str">
        <f>IF('Report History'!PW19=0,"",IFERROR('Report History'!PW19,""))</f>
        <v/>
      </c>
      <c r="DP119" s="221" t="str">
        <f>IF('Report History'!PX19=0,"",IFERROR('Report History'!PX19,""))</f>
        <v/>
      </c>
      <c r="DQ119" s="217" t="str">
        <f>IF('Report History'!PY19=0,"",IFERROR('Report History'!PY19,""))</f>
        <v>PINK</v>
      </c>
      <c r="DR119" s="218" t="str">
        <f>IF('Report History'!PZ19=0,"",IFERROR('Report History'!PZ19,""))</f>
        <v/>
      </c>
      <c r="DS119" s="219" t="str">
        <f>IF('Report History'!QA19=0,"",IFERROR('Report History'!QA19,""))</f>
        <v/>
      </c>
      <c r="DT119" s="220" t="str">
        <f>IF('Report History'!QB19=0,"",IFERROR('Report History'!QB19,""))</f>
        <v/>
      </c>
      <c r="DU119" s="221" t="str">
        <f>IF('Report History'!QC19=0,"",IFERROR('Report History'!QC19,""))</f>
        <v/>
      </c>
      <c r="DV119" s="217" t="str">
        <f>IF('Report History'!QD19=0,"",IFERROR('Report History'!QD19,""))</f>
        <v>YELLOW</v>
      </c>
      <c r="DW119" s="218" t="str">
        <f>IF('Report History'!QE19=0,"",IFERROR('Report History'!QE19,""))</f>
        <v/>
      </c>
      <c r="DX119" s="219">
        <f>IF('Report History'!QF19=0,"",IFERROR('Report History'!QF19,""))</f>
        <v>4578</v>
      </c>
      <c r="DY119" s="220" t="str">
        <f>IF('Report History'!QG19=0,"",IFERROR('Report History'!QG19,""))</f>
        <v/>
      </c>
      <c r="DZ119" s="221" t="str">
        <f>IF('Report History'!QH19=0,"",IFERROR('Report History'!QH19,""))</f>
        <v/>
      </c>
      <c r="EA119" s="217" t="str">
        <f>IF('Report History'!QI19=0,"",IFERROR('Report History'!QI19,""))</f>
        <v>VIOLET</v>
      </c>
      <c r="EB119" s="218" t="str">
        <f>IF('Report History'!QJ19=0,"",IFERROR('Report History'!QJ19,""))</f>
        <v/>
      </c>
      <c r="EC119" s="219" t="str">
        <f>IF('Report History'!QK19=0,"",IFERROR('Report History'!QK19,""))</f>
        <v/>
      </c>
      <c r="ED119" s="220" t="str">
        <f>IF('Report History'!QL19=0,"",IFERROR('Report History'!QL19,""))</f>
        <v/>
      </c>
      <c r="EE119" s="221" t="str">
        <f>IF('Report History'!QM19=0,"",IFERROR('Report History'!QM19,""))</f>
        <v/>
      </c>
      <c r="EF119" s="217" t="str">
        <f>IF('Report History'!QN19=0,"",IFERROR('Report History'!QN19,""))</f>
        <v>VIOLET</v>
      </c>
      <c r="EG119" s="218" t="str">
        <f>IF('Report History'!QO19=0,"",IFERROR('Report History'!QO19,""))</f>
        <v/>
      </c>
      <c r="EH119" s="219" t="str">
        <f>IF('Report History'!QP19=0,"",IFERROR('Report History'!QP19,""))</f>
        <v/>
      </c>
      <c r="EI119" s="220" t="str">
        <f>IF('Report History'!QQ19=0,"",IFERROR('Report History'!QQ19,""))</f>
        <v/>
      </c>
      <c r="EJ119" s="221" t="str">
        <f>IF('Report History'!QR19=0,"",IFERROR('Report History'!QR19,""))</f>
        <v/>
      </c>
      <c r="EK119" s="217" t="str">
        <f>IF('Report History'!QS19=0,"",IFERROR('Report History'!QS19,""))</f>
        <v>GREEN</v>
      </c>
      <c r="EL119" s="218" t="str">
        <f>IF('Report History'!QT19=0,"",IFERROR('Report History'!QT19,""))</f>
        <v/>
      </c>
      <c r="EM119" s="219">
        <f>IF('Report History'!QU19=0,"",IFERROR('Report History'!QU19,""))</f>
        <v>28615</v>
      </c>
      <c r="EN119" s="220" t="str">
        <f>IF('Report History'!QV19=0,"",IFERROR('Report History'!QV19,""))</f>
        <v/>
      </c>
      <c r="EO119" s="221" t="str">
        <f>IF('Report History'!QW19=0,"",IFERROR('Report History'!QW19,""))</f>
        <v/>
      </c>
      <c r="EP119" s="217" t="str">
        <f>IF('Report History'!QX19=0,"",IFERROR('Report History'!QX19,""))</f>
        <v>ORANGE</v>
      </c>
      <c r="EQ119" s="218" t="str">
        <f>IF('Report History'!QY19=0,"",IFERROR('Report History'!QY19,""))</f>
        <v/>
      </c>
      <c r="ER119" s="219">
        <f>IF('Report History'!QZ19=0,"",IFERROR('Report History'!QZ19,""))</f>
        <v>45069</v>
      </c>
      <c r="ES119" s="220" t="str">
        <f>IF('Report History'!RA19=0,"",IFERROR('Report History'!RA19,""))</f>
        <v/>
      </c>
      <c r="ET119" s="221" t="str">
        <f>IF('Report History'!RB19=0,"",IFERROR('Report History'!RB19,""))</f>
        <v/>
      </c>
      <c r="EU119" s="217" t="str">
        <f>IF('Report History'!RC19=0,"",IFERROR('Report History'!RC19,""))</f>
        <v>BLUE</v>
      </c>
      <c r="EV119" s="218" t="str">
        <f>IF('Report History'!RD19=0,"",IFERROR('Report History'!RD19,""))</f>
        <v/>
      </c>
      <c r="EW119" s="219">
        <f>IF('Report History'!RE19=0,"",IFERROR('Report History'!RE19,""))</f>
        <v>30047</v>
      </c>
      <c r="EX119" s="220" t="str">
        <f>IF('Report History'!RF19=0,"",IFERROR('Report History'!RF19,""))</f>
        <v/>
      </c>
      <c r="EY119" s="221" t="str">
        <f>IF('Report History'!RG19=0,"",IFERROR('Report History'!RG19,""))</f>
        <v/>
      </c>
      <c r="EZ119" s="217" t="str">
        <f>IF('Report History'!RH19=0,"",IFERROR('Report History'!RH19,""))</f>
        <v/>
      </c>
      <c r="FA119" s="218" t="str">
        <f>IF('Report History'!RI19=0,"",IFERROR('Report History'!RI19,""))</f>
        <v/>
      </c>
      <c r="FB119" s="219" t="str">
        <f>IF('Report History'!RJ19=0,"",IFERROR('Report History'!RJ19,""))</f>
        <v/>
      </c>
      <c r="FC119" s="220" t="str">
        <f>IF('Report History'!RK19=0,"",IFERROR('Report History'!RK19,""))</f>
        <v/>
      </c>
      <c r="FD119" s="221" t="str">
        <f>IF('Report History'!RL19=0,"",IFERROR('Report History'!RL19,""))</f>
        <v/>
      </c>
      <c r="FE119" s="217" t="str">
        <f>IF('Report History'!RM19=0,"",IFERROR('Report History'!RM19,""))</f>
        <v>PINK</v>
      </c>
      <c r="FF119" s="218" t="str">
        <f>IF('Report History'!RN19=0,"",IFERROR('Report History'!RN19,""))</f>
        <v/>
      </c>
      <c r="FG119" s="219" t="str">
        <f>IF('Report History'!RO19=0,"",IFERROR('Report History'!RO19,""))</f>
        <v/>
      </c>
      <c r="FH119" s="220" t="str">
        <f>IF('Report History'!RP19=0,"",IFERROR('Report History'!RP19,""))</f>
        <v/>
      </c>
      <c r="FI119" s="221" t="str">
        <f>IF('Report History'!RQ19=0,"",IFERROR('Report History'!RQ19,""))</f>
        <v/>
      </c>
      <c r="FJ119" s="217" t="str">
        <f>IF('Report History'!RR19=0,"",IFERROR('Report History'!RR19,""))</f>
        <v>YELLOW</v>
      </c>
      <c r="FK119" s="218" t="str">
        <f>IF('Report History'!RS19=0,"",IFERROR('Report History'!RS19,""))</f>
        <v/>
      </c>
      <c r="FL119" s="219" t="str">
        <f>IF('Report History'!RT19=0,"",IFERROR('Report History'!RT19,""))</f>
        <v/>
      </c>
      <c r="FM119" s="220" t="str">
        <f>IF('Report History'!RU19=0,"",IFERROR('Report History'!RU19,""))</f>
        <v/>
      </c>
      <c r="FN119" s="221" t="str">
        <f>IF('Report History'!RV19=0,"",IFERROR('Report History'!RV19,""))</f>
        <v/>
      </c>
      <c r="FO119" s="217" t="str">
        <f>IF('Report History'!RW19=0,"",IFERROR('Report History'!RW19,""))</f>
        <v>YELLOW</v>
      </c>
      <c r="FP119" s="218" t="str">
        <f>IF('Report History'!RX19=0,"",IFERROR('Report History'!RX19,""))</f>
        <v/>
      </c>
      <c r="FQ119" s="219" t="str">
        <f>IF('Report History'!RY19=0,"",IFERROR('Report History'!RY19,""))</f>
        <v/>
      </c>
      <c r="FR119" s="220" t="str">
        <f>IF('Report History'!RZ19=0,"",IFERROR('Report History'!RZ19,""))</f>
        <v/>
      </c>
      <c r="FS119" s="221" t="str">
        <f>IF('Report History'!SA19=0,"",IFERROR('Report History'!SA19,""))</f>
        <v/>
      </c>
      <c r="FT119" s="217" t="str">
        <f>IF('Report History'!SB19=0,"",IFERROR('Report History'!SB19,""))</f>
        <v>VIOLET</v>
      </c>
      <c r="FU119" s="218" t="str">
        <f>IF('Report History'!SC19=0,"",IFERROR('Report History'!SC19,""))</f>
        <v/>
      </c>
      <c r="FV119" s="219">
        <f>IF('Report History'!SD19=0,"",IFERROR('Report History'!SD19,""))</f>
        <v>21033</v>
      </c>
      <c r="FW119" s="220" t="str">
        <f>IF('Report History'!SE19=0,"",IFERROR('Report History'!SE19,""))</f>
        <v/>
      </c>
      <c r="FX119" s="221" t="str">
        <f>IF('Report History'!SF19=0,"",IFERROR('Report History'!SF19,""))</f>
        <v/>
      </c>
      <c r="FY119" s="217" t="str">
        <f>IF('Report History'!SG19=0,"",IFERROR('Report History'!SG19,""))</f>
        <v>GREEN</v>
      </c>
      <c r="FZ119" s="218" t="str">
        <f>IF('Report History'!SH19=0,"",IFERROR('Report History'!SH19,""))</f>
        <v/>
      </c>
      <c r="GA119" s="219">
        <f>IF('Report History'!SI19=0,"",IFERROR('Report History'!SI19,""))</f>
        <v>9014</v>
      </c>
      <c r="GB119" s="220" t="str">
        <f>IF('Report History'!SJ19=0,"",IFERROR('Report History'!SJ19,""))</f>
        <v/>
      </c>
      <c r="GC119" s="221" t="str">
        <f>IF('Report History'!SK19=0,"",IFERROR('Report History'!SK19,""))</f>
        <v/>
      </c>
      <c r="GD119" s="217" t="str">
        <f>IF('Report History'!SL19=0,"",IFERROR('Report History'!SL19,""))</f>
        <v>ORANGE</v>
      </c>
      <c r="GE119" s="218" t="str">
        <f>IF('Report History'!SM19=0,"",IFERROR('Report History'!SM19,""))</f>
        <v/>
      </c>
      <c r="GF119" s="219" t="str">
        <f>IF('Report History'!SN19=0,"",IFERROR('Report History'!SN19,""))</f>
        <v/>
      </c>
      <c r="GG119" s="220" t="str">
        <f>IF('Report History'!SO19=0,"",IFERROR('Report History'!SO19,""))</f>
        <v/>
      </c>
      <c r="GH119" s="221" t="str">
        <f>IF('Report History'!SP19=0,"",IFERROR('Report History'!SP19,""))</f>
        <v/>
      </c>
      <c r="GI119" s="217" t="str">
        <f>IF('Report History'!SQ19=0,"",IFERROR('Report History'!SQ19,""))</f>
        <v>BLUE</v>
      </c>
      <c r="GJ119" s="218" t="str">
        <f>IF('Report History'!SR19=0,"",IFERROR('Report History'!SR19,""))</f>
        <v/>
      </c>
      <c r="GK119" s="219">
        <f>IF('Report History'!SS19=0,"",IFERROR('Report History'!SS19,""))</f>
        <v>34554</v>
      </c>
      <c r="GL119" s="220" t="str">
        <f>IF('Report History'!ST19=0,"",IFERROR('Report History'!ST19,""))</f>
        <v/>
      </c>
      <c r="GM119" s="221" t="str">
        <f>IF('Report History'!SU19=0,"",IFERROR('Report History'!SU19,""))</f>
        <v/>
      </c>
      <c r="GN119" s="217" t="str">
        <f>IF('Report History'!SV19=0,"",IFERROR('Report History'!SV19,""))</f>
        <v/>
      </c>
      <c r="GO119" s="218" t="str">
        <f>IF('Report History'!SW19=0,"",IFERROR('Report History'!SW19,""))</f>
        <v/>
      </c>
      <c r="GP119" s="219" t="str">
        <f>IF('Report History'!SX19=0,"",IFERROR('Report History'!SX19,""))</f>
        <v/>
      </c>
      <c r="GQ119" s="220" t="str">
        <f>IF('Report History'!SY19=0,"",IFERROR('Report History'!SY19,""))</f>
        <v/>
      </c>
      <c r="GR119" s="221" t="str">
        <f>IF('Report History'!SZ19=0,"",IFERROR('Report History'!SZ19,""))</f>
        <v/>
      </c>
      <c r="GS119" s="217" t="str">
        <f>IF('Report History'!TA19=0,"",IFERROR('Report History'!TA19,""))</f>
        <v>PINK</v>
      </c>
      <c r="GT119" s="218" t="str">
        <f>IF('Report History'!TB19=0,"",IFERROR('Report History'!TB19,""))</f>
        <v/>
      </c>
      <c r="GU119" s="219">
        <f>IF('Report History'!TC19=0,"",IFERROR('Report History'!TC19,""))</f>
        <v>3518.5</v>
      </c>
      <c r="GV119" s="220" t="str">
        <f>IF('Report History'!TD19=0,"",IFERROR('Report History'!TD19,""))</f>
        <v/>
      </c>
      <c r="GW119" s="221" t="str">
        <f>IF('Report History'!TE19=0,"",IFERROR('Report History'!TE19,""))</f>
        <v/>
      </c>
      <c r="GX119" s="217" t="str">
        <f>IF('Report History'!TF19=0,"",IFERROR('Report History'!TF19,""))</f>
        <v>YELLOW</v>
      </c>
      <c r="GY119" s="218" t="str">
        <f>IF('Report History'!TG19=0,"",IFERROR('Report History'!TG19,""))</f>
        <v/>
      </c>
      <c r="GZ119" s="219">
        <f>IF('Report History'!TH19=0,"",IFERROR('Report History'!TH19,""))</f>
        <v>1502</v>
      </c>
      <c r="HA119" s="220" t="str">
        <f>IF('Report History'!TI19=0,"",IFERROR('Report History'!TI19,""))</f>
        <v/>
      </c>
      <c r="HB119" s="221" t="str">
        <f>IF('Report History'!TJ19=0,"",IFERROR('Report History'!TJ19,""))</f>
        <v/>
      </c>
      <c r="HC119" s="217" t="str">
        <f>IF('Report History'!TK19=0,"",IFERROR('Report History'!TK19,""))</f>
        <v>VIOLET</v>
      </c>
      <c r="HD119" s="218" t="str">
        <f>IF('Report History'!TL19=0,"",IFERROR('Report History'!TL19,""))</f>
        <v/>
      </c>
      <c r="HE119" s="219" t="str">
        <f>IF('Report History'!TM19=0,"",IFERROR('Report History'!TM19,""))</f>
        <v/>
      </c>
      <c r="HF119" s="220" t="str">
        <f>IF('Report History'!TN19=0,"",IFERROR('Report History'!TN19,""))</f>
        <v/>
      </c>
      <c r="HG119" s="221" t="str">
        <f>IF('Report History'!TO19=0,"",IFERROR('Report History'!TO19,""))</f>
        <v/>
      </c>
      <c r="HH119" s="217" t="str">
        <f>IF('Report History'!TP19=0,"",IFERROR('Report History'!TP19,""))</f>
        <v>GREEN</v>
      </c>
      <c r="HI119" s="218" t="str">
        <f>IF('Report History'!TQ19=0,"",IFERROR('Report History'!TQ19,""))</f>
        <v/>
      </c>
      <c r="HJ119" s="219" t="str">
        <f>IF('Report History'!TR19=0,"",IFERROR('Report History'!TR19,""))</f>
        <v/>
      </c>
      <c r="HK119" s="220" t="str">
        <f>IF('Report History'!TS19=0,"",IFERROR('Report History'!TS19,""))</f>
        <v/>
      </c>
      <c r="HL119" s="221" t="str">
        <f>IF('Report History'!TT19=0,"",IFERROR('Report History'!TT19,""))</f>
        <v/>
      </c>
      <c r="HM119" s="217" t="str">
        <f>IF('Report History'!TU19=0,"",IFERROR('Report History'!TU19,""))</f>
        <v>ORANGE</v>
      </c>
      <c r="HN119" s="218" t="str">
        <f>IF('Report History'!TV19=0,"",IFERROR('Report History'!TV19,""))</f>
        <v/>
      </c>
      <c r="HO119" s="219" t="str">
        <f>IF('Report History'!TW19=0,"",IFERROR('Report History'!TW19,""))</f>
        <v/>
      </c>
      <c r="HP119" s="220" t="str">
        <f>IF('Report History'!TX19=0,"",IFERROR('Report History'!TX19,""))</f>
        <v/>
      </c>
      <c r="HQ119" s="221" t="str">
        <f>IF('Report History'!TY19=0,"",IFERROR('Report History'!TY19,""))</f>
        <v/>
      </c>
      <c r="HR119" s="217" t="str">
        <f>IF('Report History'!TZ19=0,"",IFERROR('Report History'!TZ19,""))</f>
        <v>BLUE</v>
      </c>
      <c r="HS119" s="218" t="str">
        <f>IF('Report History'!UA19=0,"",IFERROR('Report History'!UA19,""))</f>
        <v/>
      </c>
      <c r="HT119" s="219">
        <f>IF('Report History'!UB19=0,"",IFERROR('Report History'!UB19,""))</f>
        <v>30048</v>
      </c>
      <c r="HU119" s="220" t="str">
        <f>IF('Report History'!UC19=0,"",IFERROR('Report History'!UC19,""))</f>
        <v/>
      </c>
      <c r="HV119" s="221" t="str">
        <f>IF('Report History'!UD19=0,"",IFERROR('Report History'!UD19,""))</f>
        <v/>
      </c>
      <c r="HW119" s="217" t="str">
        <f>IF('Report History'!UE19=0,"",IFERROR('Report History'!UE19,""))</f>
        <v/>
      </c>
      <c r="HX119" s="218" t="str">
        <f>IF('Report History'!UF19=0,"",IFERROR('Report History'!UF19,""))</f>
        <v/>
      </c>
      <c r="HY119" s="219" t="str">
        <f>IF('Report History'!UG19=0,"",IFERROR('Report History'!UG19,""))</f>
        <v/>
      </c>
      <c r="HZ119" s="220" t="str">
        <f>IF('Report History'!UH19=0,"",IFERROR('Report History'!UH19,""))</f>
        <v/>
      </c>
      <c r="IA119" s="221" t="str">
        <f>IF('Report History'!UI19=0,"",IFERROR('Report History'!UI19,""))</f>
        <v/>
      </c>
      <c r="IB119" s="217" t="str">
        <f>IF('Report History'!UJ19=0,"",IFERROR('Report History'!UJ19,""))</f>
        <v>PINK</v>
      </c>
      <c r="IC119" s="218" t="str">
        <f>IF('Report History'!UK19=0,"",IFERROR('Report History'!UK19,""))</f>
        <v/>
      </c>
      <c r="ID119" s="219" t="str">
        <f>IF('Report History'!UL19=0,"",IFERROR('Report History'!UL19,""))</f>
        <v/>
      </c>
      <c r="IE119" s="220" t="str">
        <f>IF('Report History'!UM19=0,"",IFERROR('Report History'!UM19,""))</f>
        <v/>
      </c>
      <c r="IF119" s="221" t="str">
        <f>IF('Report History'!UN19=0,"",IFERROR('Report History'!UN19,""))</f>
        <v/>
      </c>
      <c r="IG119" s="217" t="str">
        <f>IF('Report History'!UO19=0,"",IFERROR('Report History'!UO19,""))</f>
        <v>YELLOW</v>
      </c>
      <c r="IH119" s="218" t="str">
        <f>IF('Report History'!UP19=0,"",IFERROR('Report History'!UP19,""))</f>
        <v/>
      </c>
      <c r="II119" s="219" t="str">
        <f>IF('Report History'!UQ19=0,"",IFERROR('Report History'!UQ19,""))</f>
        <v/>
      </c>
      <c r="IJ119" s="220" t="str">
        <f>IF('Report History'!UR19=0,"",IFERROR('Report History'!UR19,""))</f>
        <v/>
      </c>
      <c r="IK119" s="221" t="str">
        <f>IF('Report History'!US19=0,"",IFERROR('Report History'!US19,""))</f>
        <v/>
      </c>
      <c r="IL119" s="217" t="str">
        <f>IF('Report History'!UT19=0,"",IFERROR('Report History'!UT19,""))</f>
        <v>VIOLET</v>
      </c>
      <c r="IM119" s="218" t="str">
        <f>IF('Report History'!UU19=0,"",IFERROR('Report History'!UU19,""))</f>
        <v/>
      </c>
      <c r="IN119" s="219">
        <f>IF('Report History'!UV19=0,"",IFERROR('Report History'!UV19,""))</f>
        <v>6009</v>
      </c>
      <c r="IO119" s="220" t="str">
        <f>IF('Report History'!UW19=0,"",IFERROR('Report History'!UW19,""))</f>
        <v/>
      </c>
      <c r="IP119" s="221" t="str">
        <f>IF('Report History'!UX19=0,"",IFERROR('Report History'!UX19,""))</f>
        <v/>
      </c>
    </row>
    <row r="120" spans="1:250" ht="14.4" thickBot="1" x14ac:dyDescent="0.3">
      <c r="A120" s="215" t="str">
        <f>IF('Report History'!LI20=0,"",IFERROR('Report History'!LI20,""))</f>
        <v>BLUE</v>
      </c>
      <c r="B120" s="216" t="str">
        <f>IF('Report History'!LJ20=0,"",IFERROR('Report History'!LJ20,""))</f>
        <v/>
      </c>
      <c r="C120" s="225" t="str">
        <f>IF('Report History'!LK20=0,"",IFERROR('Report History'!LK20,""))</f>
        <v/>
      </c>
      <c r="D120" s="226" t="str">
        <f>IF('Report History'!LL20=0,"",IFERROR('Report History'!LL20,""))</f>
        <v/>
      </c>
      <c r="E120" s="227" t="str">
        <f>IF('Report History'!LM20=0,"",IFERROR('Report History'!LM20,""))</f>
        <v/>
      </c>
      <c r="F120" s="215" t="str">
        <f>IF('Report History'!LN20=0,"",IFERROR('Report History'!LN20,""))</f>
        <v/>
      </c>
      <c r="G120" s="216" t="str">
        <f>IF('Report History'!LO20=0,"",IFERROR('Report History'!LO20,""))</f>
        <v/>
      </c>
      <c r="H120" s="225" t="str">
        <f>IF('Report History'!LP20=0,"",IFERROR('Report History'!LP20,""))</f>
        <v/>
      </c>
      <c r="I120" s="226" t="str">
        <f>IF('Report History'!LQ20=0,"",IFERROR('Report History'!LQ20,""))</f>
        <v/>
      </c>
      <c r="J120" s="227" t="str">
        <f>IF('Report History'!LR20=0,"",IFERROR('Report History'!LR20,""))</f>
        <v/>
      </c>
      <c r="K120" s="215" t="str">
        <f>IF('Report History'!LS20=0,"",IFERROR('Report History'!LS20,""))</f>
        <v>PINK</v>
      </c>
      <c r="L120" s="216" t="str">
        <f>IF('Report History'!LT20=0,"",IFERROR('Report History'!LT20,""))</f>
        <v/>
      </c>
      <c r="M120" s="225" t="str">
        <f>IF('Report History'!LU20=0,"",IFERROR('Report History'!LU20,""))</f>
        <v/>
      </c>
      <c r="N120" s="226" t="str">
        <f>IF('Report History'!LV20=0,"",IFERROR('Report History'!LV20,""))</f>
        <v/>
      </c>
      <c r="O120" s="227" t="str">
        <f>IF('Report History'!LW20=0,"",IFERROR('Report History'!LW20,""))</f>
        <v/>
      </c>
      <c r="P120" s="215" t="str">
        <f>IF('Report History'!LX20=0,"",IFERROR('Report History'!LX20,""))</f>
        <v>YELLOW</v>
      </c>
      <c r="Q120" s="216" t="str">
        <f>IF('Report History'!LY20=0,"",IFERROR('Report History'!LY20,""))</f>
        <v/>
      </c>
      <c r="R120" s="225" t="str">
        <f>IF('Report History'!LZ20=0,"",IFERROR('Report History'!LZ20,""))</f>
        <v/>
      </c>
      <c r="S120" s="226" t="str">
        <f>IF('Report History'!MA20=0,"",IFERROR('Report History'!MA20,""))</f>
        <v/>
      </c>
      <c r="T120" s="227" t="str">
        <f>IF('Report History'!MB20=0,"",IFERROR('Report History'!MB20,""))</f>
        <v/>
      </c>
      <c r="U120" s="215" t="str">
        <f>IF('Report History'!MC20=0,"",IFERROR('Report History'!MC20,""))</f>
        <v>VIOLET</v>
      </c>
      <c r="V120" s="216" t="str">
        <f>IF('Report History'!MD20=0,"",IFERROR('Report History'!MD20,""))</f>
        <v/>
      </c>
      <c r="W120" s="225" t="str">
        <f>IF('Report History'!ME20=0,"",IFERROR('Report History'!ME20,""))</f>
        <v/>
      </c>
      <c r="X120" s="226" t="str">
        <f>IF('Report History'!MF20=0,"",IFERROR('Report History'!MF20,""))</f>
        <v/>
      </c>
      <c r="Y120" s="227" t="str">
        <f>IF('Report History'!MG20=0,"",IFERROR('Report History'!MG20,""))</f>
        <v/>
      </c>
      <c r="Z120" s="215" t="str">
        <f>IF('Report History'!MH20=0,"",IFERROR('Report History'!MH20,""))</f>
        <v>GREEN</v>
      </c>
      <c r="AA120" s="216" t="str">
        <f>IF('Report History'!MI20=0,"",IFERROR('Report History'!MI20,""))</f>
        <v/>
      </c>
      <c r="AB120" s="225" t="str">
        <f>IF('Report History'!MJ20=0,"",IFERROR('Report History'!MJ20,""))</f>
        <v/>
      </c>
      <c r="AC120" s="226" t="str">
        <f>IF('Report History'!MK20=0,"",IFERROR('Report History'!MK20,""))</f>
        <v/>
      </c>
      <c r="AD120" s="227" t="str">
        <f>IF('Report History'!ML20=0,"",IFERROR('Report History'!ML20,""))</f>
        <v/>
      </c>
      <c r="AE120" s="215" t="str">
        <f>IF('Report History'!MM20=0,"",IFERROR('Report History'!MM20,""))</f>
        <v>ORANGE</v>
      </c>
      <c r="AF120" s="216" t="str">
        <f>IF('Report History'!MN20=0,"",IFERROR('Report History'!MN20,""))</f>
        <v/>
      </c>
      <c r="AG120" s="225">
        <f>IF('Report History'!MO20=0,"",IFERROR('Report History'!MO20,""))</f>
        <v>3004</v>
      </c>
      <c r="AH120" s="226" t="str">
        <f>IF('Report History'!MP20=0,"",IFERROR('Report History'!MP20,""))</f>
        <v/>
      </c>
      <c r="AI120" s="227" t="str">
        <f>IF('Report History'!MQ20=0,"",IFERROR('Report History'!MQ20,""))</f>
        <v/>
      </c>
      <c r="AJ120" s="215" t="str">
        <f>IF('Report History'!MR20=0,"",IFERROR('Report History'!MR20,""))</f>
        <v>BLUE</v>
      </c>
      <c r="AK120" s="216" t="str">
        <f>IF('Report History'!MS20=0,"",IFERROR('Report History'!MS20,""))</f>
        <v/>
      </c>
      <c r="AL120" s="225" t="str">
        <f>IF('Report History'!MT20=0,"",IFERROR('Report History'!MT20,""))</f>
        <v/>
      </c>
      <c r="AM120" s="226" t="str">
        <f>IF('Report History'!MU20=0,"",IFERROR('Report History'!MU20,""))</f>
        <v/>
      </c>
      <c r="AN120" s="227" t="str">
        <f>IF('Report History'!MV20=0,"",IFERROR('Report History'!MV20,""))</f>
        <v/>
      </c>
      <c r="AO120" s="215" t="str">
        <f>IF('Report History'!MW20=0,"",IFERROR('Report History'!MW20,""))</f>
        <v>BLUE</v>
      </c>
      <c r="AP120" s="216" t="str">
        <f>IF('Report History'!MX20=0,"",IFERROR('Report History'!MX20,""))</f>
        <v/>
      </c>
      <c r="AQ120" s="225" t="str">
        <f>IF('Report History'!MY20=0,"",IFERROR('Report History'!MY20,""))</f>
        <v/>
      </c>
      <c r="AR120" s="226" t="str">
        <f>IF('Report History'!MZ20=0,"",IFERROR('Report History'!MZ20,""))</f>
        <v/>
      </c>
      <c r="AS120" s="227" t="str">
        <f>IF('Report History'!NA20=0,"",IFERROR('Report History'!NA20,""))</f>
        <v/>
      </c>
      <c r="AT120" s="215" t="str">
        <f>IF('Report History'!NB20=0,"",IFERROR('Report History'!NB20,""))</f>
        <v/>
      </c>
      <c r="AU120" s="216" t="str">
        <f>IF('Report History'!NC20=0,"",IFERROR('Report History'!NC20,""))</f>
        <v/>
      </c>
      <c r="AV120" s="225" t="str">
        <f>IF('Report History'!ND20=0,"",IFERROR('Report History'!ND20,""))</f>
        <v/>
      </c>
      <c r="AW120" s="226" t="str">
        <f>IF('Report History'!NE20=0,"",IFERROR('Report History'!NE20,""))</f>
        <v/>
      </c>
      <c r="AX120" s="227" t="str">
        <f>IF('Report History'!NF20=0,"",IFERROR('Report History'!NF20,""))</f>
        <v/>
      </c>
      <c r="AY120" s="215" t="str">
        <f>IF('Report History'!NG20=0,"",IFERROR('Report History'!NG20,""))</f>
        <v>PINK</v>
      </c>
      <c r="AZ120" s="216" t="str">
        <f>IF('Report History'!NH20=0,"",IFERROR('Report History'!NH20,""))</f>
        <v/>
      </c>
      <c r="BA120" s="225" t="str">
        <f>IF('Report History'!NI20=0,"",IFERROR('Report History'!NI20,""))</f>
        <v/>
      </c>
      <c r="BB120" s="226" t="str">
        <f>IF('Report History'!NJ20=0,"",IFERROR('Report History'!NJ20,""))</f>
        <v/>
      </c>
      <c r="BC120" s="227" t="str">
        <f>IF('Report History'!NK20=0,"",IFERROR('Report History'!NK20,""))</f>
        <v/>
      </c>
      <c r="BD120" s="215" t="str">
        <f>IF('Report History'!NL20=0,"",IFERROR('Report History'!NL20,""))</f>
        <v>YELLOW</v>
      </c>
      <c r="BE120" s="216" t="str">
        <f>IF('Report History'!NM20=0,"",IFERROR('Report History'!NM20,""))</f>
        <v/>
      </c>
      <c r="BF120" s="225" t="str">
        <f>IF('Report History'!NN20=0,"",IFERROR('Report History'!NN20,""))</f>
        <v/>
      </c>
      <c r="BG120" s="226" t="str">
        <f>IF('Report History'!NO20=0,"",IFERROR('Report History'!NO20,""))</f>
        <v/>
      </c>
      <c r="BH120" s="227" t="str">
        <f>IF('Report History'!NP20=0,"",IFERROR('Report History'!NP20,""))</f>
        <v/>
      </c>
      <c r="BI120" s="215" t="str">
        <f>IF('Report History'!NQ20=0,"",IFERROR('Report History'!NQ20,""))</f>
        <v>VIOLET</v>
      </c>
      <c r="BJ120" s="216" t="str">
        <f>IF('Report History'!NR20=0,"",IFERROR('Report History'!NR20,""))</f>
        <v/>
      </c>
      <c r="BK120" s="225" t="str">
        <f>IF('Report History'!NS20=0,"",IFERROR('Report History'!NS20,""))</f>
        <v/>
      </c>
      <c r="BL120" s="226" t="str">
        <f>IF('Report History'!NT20=0,"",IFERROR('Report History'!NT20,""))</f>
        <v/>
      </c>
      <c r="BM120" s="227" t="str">
        <f>IF('Report History'!NU20=0,"",IFERROR('Report History'!NU20,""))</f>
        <v/>
      </c>
      <c r="BN120" s="215" t="str">
        <f>IF('Report History'!NV20=0,"",IFERROR('Report History'!NV20,""))</f>
        <v>GREEN</v>
      </c>
      <c r="BO120" s="216" t="str">
        <f>IF('Report History'!NW20=0,"",IFERROR('Report History'!NW20,""))</f>
        <v/>
      </c>
      <c r="BP120" s="225" t="str">
        <f>IF('Report History'!NX20=0,"",IFERROR('Report History'!NX20,""))</f>
        <v/>
      </c>
      <c r="BQ120" s="226" t="str">
        <f>IF('Report History'!NY20=0,"",IFERROR('Report History'!NY20,""))</f>
        <v/>
      </c>
      <c r="BR120" s="227" t="str">
        <f>IF('Report History'!NZ20=0,"",IFERROR('Report History'!NZ20,""))</f>
        <v/>
      </c>
      <c r="BS120" s="215" t="str">
        <f>IF('Report History'!OA20=0,"",IFERROR('Report History'!OA20,""))</f>
        <v>ORANGE</v>
      </c>
      <c r="BT120" s="216" t="str">
        <f>IF('Report History'!OB20=0,"",IFERROR('Report History'!OB20,""))</f>
        <v/>
      </c>
      <c r="BU120" s="225">
        <f>IF('Report History'!OC20=0,"",IFERROR('Report History'!OC20,""))</f>
        <v>6008</v>
      </c>
      <c r="BV120" s="226" t="str">
        <f>IF('Report History'!OD20=0,"",IFERROR('Report History'!OD20,""))</f>
        <v/>
      </c>
      <c r="BW120" s="227" t="str">
        <f>IF('Report History'!OE20=0,"",IFERROR('Report History'!OE20,""))</f>
        <v/>
      </c>
      <c r="BX120" s="215" t="str">
        <f>IF('Report History'!OF20=0,"",IFERROR('Report History'!OF20,""))</f>
        <v>ORANGE</v>
      </c>
      <c r="BY120" s="216" t="str">
        <f>IF('Report History'!OG20=0,"",IFERROR('Report History'!OG20,""))</f>
        <v/>
      </c>
      <c r="BZ120" s="225">
        <f>IF('Report History'!OH20=0,"",IFERROR('Report History'!OH20,""))</f>
        <v>6008</v>
      </c>
      <c r="CA120" s="226" t="str">
        <f>IF('Report History'!OI20=0,"",IFERROR('Report History'!OI20,""))</f>
        <v/>
      </c>
      <c r="CB120" s="227" t="str">
        <f>IF('Report History'!OJ20=0,"",IFERROR('Report History'!OJ20,""))</f>
        <v/>
      </c>
      <c r="CC120" s="215" t="str">
        <f>IF('Report History'!OK20=0,"",IFERROR('Report History'!OK20,""))</f>
        <v>BLUE</v>
      </c>
      <c r="CD120" s="216" t="str">
        <f>IF('Report History'!OL20=0,"",IFERROR('Report History'!OL20,""))</f>
        <v/>
      </c>
      <c r="CE120" s="225" t="str">
        <f>IF('Report History'!OM20=0,"",IFERROR('Report History'!OM20,""))</f>
        <v/>
      </c>
      <c r="CF120" s="226" t="str">
        <f>IF('Report History'!ON20=0,"",IFERROR('Report History'!ON20,""))</f>
        <v/>
      </c>
      <c r="CG120" s="227" t="str">
        <f>IF('Report History'!OO20=0,"",IFERROR('Report History'!OO20,""))</f>
        <v/>
      </c>
      <c r="CH120" s="215" t="str">
        <f>IF('Report History'!OP20=0,"",IFERROR('Report History'!OP20,""))</f>
        <v/>
      </c>
      <c r="CI120" s="216" t="str">
        <f>IF('Report History'!OQ20=0,"",IFERROR('Report History'!OQ20,""))</f>
        <v/>
      </c>
      <c r="CJ120" s="225" t="str">
        <f>IF('Report History'!OR20=0,"",IFERROR('Report History'!OR20,""))</f>
        <v/>
      </c>
      <c r="CK120" s="226" t="str">
        <f>IF('Report History'!OS20=0,"",IFERROR('Report History'!OS20,""))</f>
        <v/>
      </c>
      <c r="CL120" s="227" t="str">
        <f>IF('Report History'!OT20=0,"",IFERROR('Report History'!OT20,""))</f>
        <v/>
      </c>
      <c r="CM120" s="215" t="str">
        <f>IF('Report History'!OU20=0,"",IFERROR('Report History'!OU20,""))</f>
        <v>PINK</v>
      </c>
      <c r="CN120" s="216" t="str">
        <f>IF('Report History'!OV20=0,"",IFERROR('Report History'!OV20,""))</f>
        <v/>
      </c>
      <c r="CO120" s="225" t="str">
        <f>IF('Report History'!OW20=0,"",IFERROR('Report History'!OW20,""))</f>
        <v/>
      </c>
      <c r="CP120" s="226" t="str">
        <f>IF('Report History'!OX20=0,"",IFERROR('Report History'!OX20,""))</f>
        <v/>
      </c>
      <c r="CQ120" s="227" t="str">
        <f>IF('Report History'!OY20=0,"",IFERROR('Report History'!OY20,""))</f>
        <v/>
      </c>
      <c r="CR120" s="215" t="str">
        <f>IF('Report History'!OZ20=0,"",IFERROR('Report History'!OZ20,""))</f>
        <v>YELLOW</v>
      </c>
      <c r="CS120" s="216" t="str">
        <f>IF('Report History'!PA20=0,"",IFERROR('Report History'!PA20,""))</f>
        <v/>
      </c>
      <c r="CT120" s="225" t="str">
        <f>IF('Report History'!PB20=0,"",IFERROR('Report History'!PB20,""))</f>
        <v/>
      </c>
      <c r="CU120" s="226" t="str">
        <f>IF('Report History'!PC20=0,"",IFERROR('Report History'!PC20,""))</f>
        <v/>
      </c>
      <c r="CV120" s="227" t="str">
        <f>IF('Report History'!PD20=0,"",IFERROR('Report History'!PD20,""))</f>
        <v/>
      </c>
      <c r="CW120" s="215" t="str">
        <f>IF('Report History'!PE20=0,"",IFERROR('Report History'!PE20,""))</f>
        <v>VIOLET</v>
      </c>
      <c r="CX120" s="216" t="str">
        <f>IF('Report History'!PF20=0,"",IFERROR('Report History'!PF20,""))</f>
        <v/>
      </c>
      <c r="CY120" s="225" t="str">
        <f>IF('Report History'!PG20=0,"",IFERROR('Report History'!PG20,""))</f>
        <v/>
      </c>
      <c r="CZ120" s="226" t="str">
        <f>IF('Report History'!PH20=0,"",IFERROR('Report History'!PH20,""))</f>
        <v/>
      </c>
      <c r="DA120" s="227" t="str">
        <f>IF('Report History'!PI20=0,"",IFERROR('Report History'!PI20,""))</f>
        <v/>
      </c>
      <c r="DB120" s="215" t="str">
        <f>IF('Report History'!PJ20=0,"",IFERROR('Report History'!PJ20,""))</f>
        <v>GREEN</v>
      </c>
      <c r="DC120" s="216" t="str">
        <f>IF('Report History'!PK20=0,"",IFERROR('Report History'!PK20,""))</f>
        <v/>
      </c>
      <c r="DD120" s="225" t="str">
        <f>IF('Report History'!PL20=0,"",IFERROR('Report History'!PL20,""))</f>
        <v/>
      </c>
      <c r="DE120" s="226" t="str">
        <f>IF('Report History'!PM20=0,"",IFERROR('Report History'!PM20,""))</f>
        <v/>
      </c>
      <c r="DF120" s="227" t="str">
        <f>IF('Report History'!PN20=0,"",IFERROR('Report History'!PN20,""))</f>
        <v/>
      </c>
      <c r="DG120" s="215" t="str">
        <f>IF('Report History'!PO20=0,"",IFERROR('Report History'!PO20,""))</f>
        <v>ORANGE</v>
      </c>
      <c r="DH120" s="216" t="str">
        <f>IF('Report History'!PP20=0,"",IFERROR('Report History'!PP20,""))</f>
        <v/>
      </c>
      <c r="DI120" s="225">
        <f>IF('Report History'!PQ20=0,"",IFERROR('Report History'!PQ20,""))</f>
        <v>9014</v>
      </c>
      <c r="DJ120" s="226" t="str">
        <f>IF('Report History'!PR20=0,"",IFERROR('Report History'!PR20,""))</f>
        <v/>
      </c>
      <c r="DK120" s="227" t="str">
        <f>IF('Report History'!PS20=0,"",IFERROR('Report History'!PS20,""))</f>
        <v/>
      </c>
      <c r="DL120" s="215" t="str">
        <f>IF('Report History'!PT20=0,"",IFERROR('Report History'!PT20,""))</f>
        <v>BLUE</v>
      </c>
      <c r="DM120" s="216" t="str">
        <f>IF('Report History'!PU20=0,"",IFERROR('Report History'!PU20,""))</f>
        <v/>
      </c>
      <c r="DN120" s="225" t="str">
        <f>IF('Report History'!PV20=0,"",IFERROR('Report History'!PV20,""))</f>
        <v/>
      </c>
      <c r="DO120" s="226" t="str">
        <f>IF('Report History'!PW20=0,"",IFERROR('Report History'!PW20,""))</f>
        <v/>
      </c>
      <c r="DP120" s="227" t="str">
        <f>IF('Report History'!PX20=0,"",IFERROR('Report History'!PX20,""))</f>
        <v/>
      </c>
      <c r="DQ120" s="215" t="str">
        <f>IF('Report History'!PY20=0,"",IFERROR('Report History'!PY20,""))</f>
        <v/>
      </c>
      <c r="DR120" s="216" t="str">
        <f>IF('Report History'!PZ20=0,"",IFERROR('Report History'!PZ20,""))</f>
        <v/>
      </c>
      <c r="DS120" s="225" t="str">
        <f>IF('Report History'!QA20=0,"",IFERROR('Report History'!QA20,""))</f>
        <v/>
      </c>
      <c r="DT120" s="226" t="str">
        <f>IF('Report History'!QB20=0,"",IFERROR('Report History'!QB20,""))</f>
        <v/>
      </c>
      <c r="DU120" s="227" t="str">
        <f>IF('Report History'!QC20=0,"",IFERROR('Report History'!QC20,""))</f>
        <v/>
      </c>
      <c r="DV120" s="215" t="str">
        <f>IF('Report History'!QD20=0,"",IFERROR('Report History'!QD20,""))</f>
        <v>PINK</v>
      </c>
      <c r="DW120" s="216" t="str">
        <f>IF('Report History'!QE20=0,"",IFERROR('Report History'!QE20,""))</f>
        <v/>
      </c>
      <c r="DX120" s="225" t="str">
        <f>IF('Report History'!QF20=0,"",IFERROR('Report History'!QF20,""))</f>
        <v/>
      </c>
      <c r="DY120" s="226" t="str">
        <f>IF('Report History'!QG20=0,"",IFERROR('Report History'!QG20,""))</f>
        <v/>
      </c>
      <c r="DZ120" s="227" t="str">
        <f>IF('Report History'!QH20=0,"",IFERROR('Report History'!QH20,""))</f>
        <v/>
      </c>
      <c r="EA120" s="215" t="str">
        <f>IF('Report History'!QI20=0,"",IFERROR('Report History'!QI20,""))</f>
        <v>YELLOW</v>
      </c>
      <c r="EB120" s="216" t="str">
        <f>IF('Report History'!QJ20=0,"",IFERROR('Report History'!QJ20,""))</f>
        <v/>
      </c>
      <c r="EC120" s="225" t="str">
        <f>IF('Report History'!QK20=0,"",IFERROR('Report History'!QK20,""))</f>
        <v/>
      </c>
      <c r="ED120" s="226" t="str">
        <f>IF('Report History'!QL20=0,"",IFERROR('Report History'!QL20,""))</f>
        <v/>
      </c>
      <c r="EE120" s="227" t="str">
        <f>IF('Report History'!QM20=0,"",IFERROR('Report History'!QM20,""))</f>
        <v/>
      </c>
      <c r="EF120" s="215" t="str">
        <f>IF('Report History'!QN20=0,"",IFERROR('Report History'!QN20,""))</f>
        <v>YELLOW</v>
      </c>
      <c r="EG120" s="216" t="str">
        <f>IF('Report History'!QO20=0,"",IFERROR('Report History'!QO20,""))</f>
        <v/>
      </c>
      <c r="EH120" s="225" t="str">
        <f>IF('Report History'!QP20=0,"",IFERROR('Report History'!QP20,""))</f>
        <v/>
      </c>
      <c r="EI120" s="226" t="str">
        <f>IF('Report History'!QQ20=0,"",IFERROR('Report History'!QQ20,""))</f>
        <v/>
      </c>
      <c r="EJ120" s="227" t="str">
        <f>IF('Report History'!QR20=0,"",IFERROR('Report History'!QR20,""))</f>
        <v/>
      </c>
      <c r="EK120" s="215" t="str">
        <f>IF('Report History'!QS20=0,"",IFERROR('Report History'!QS20,""))</f>
        <v>VIOLET</v>
      </c>
      <c r="EL120" s="216" t="str">
        <f>IF('Report History'!QT20=0,"",IFERROR('Report History'!QT20,""))</f>
        <v/>
      </c>
      <c r="EM120" s="225" t="str">
        <f>IF('Report History'!QU20=0,"",IFERROR('Report History'!QU20,""))</f>
        <v/>
      </c>
      <c r="EN120" s="226" t="str">
        <f>IF('Report History'!QV20=0,"",IFERROR('Report History'!QV20,""))</f>
        <v/>
      </c>
      <c r="EO120" s="227" t="str">
        <f>IF('Report History'!QW20=0,"",IFERROR('Report History'!QW20,""))</f>
        <v/>
      </c>
      <c r="EP120" s="215" t="str">
        <f>IF('Report History'!QX20=0,"",IFERROR('Report History'!QX20,""))</f>
        <v>GREEN</v>
      </c>
      <c r="EQ120" s="216" t="str">
        <f>IF('Report History'!QY20=0,"",IFERROR('Report History'!QY20,""))</f>
        <v/>
      </c>
      <c r="ER120" s="225">
        <f>IF('Report History'!QZ20=0,"",IFERROR('Report History'!QZ20,""))</f>
        <v>22535</v>
      </c>
      <c r="ES120" s="226" t="str">
        <f>IF('Report History'!RA20=0,"",IFERROR('Report History'!RA20,""))</f>
        <v/>
      </c>
      <c r="ET120" s="227" t="str">
        <f>IF('Report History'!RB20=0,"",IFERROR('Report History'!RB20,""))</f>
        <v/>
      </c>
      <c r="EU120" s="215" t="str">
        <f>IF('Report History'!RC20=0,"",IFERROR('Report History'!RC20,""))</f>
        <v>ORANGE</v>
      </c>
      <c r="EV120" s="216" t="str">
        <f>IF('Report History'!RD20=0,"",IFERROR('Report History'!RD20,""))</f>
        <v/>
      </c>
      <c r="EW120" s="225">
        <f>IF('Report History'!RE20=0,"",IFERROR('Report History'!RE20,""))</f>
        <v>18026</v>
      </c>
      <c r="EX120" s="226" t="str">
        <f>IF('Report History'!RF20=0,"",IFERROR('Report History'!RF20,""))</f>
        <v/>
      </c>
      <c r="EY120" s="227" t="str">
        <f>IF('Report History'!RG20=0,"",IFERROR('Report History'!RG20,""))</f>
        <v/>
      </c>
      <c r="EZ120" s="215" t="str">
        <f>IF('Report History'!RH20=0,"",IFERROR('Report History'!RH20,""))</f>
        <v>BLUE</v>
      </c>
      <c r="FA120" s="216" t="str">
        <f>IF('Report History'!RI20=0,"",IFERROR('Report History'!RI20,""))</f>
        <v/>
      </c>
      <c r="FB120" s="225" t="str">
        <f>IF('Report History'!RJ20=0,"",IFERROR('Report History'!RJ20,""))</f>
        <v/>
      </c>
      <c r="FC120" s="226" t="str">
        <f>IF('Report History'!RK20=0,"",IFERROR('Report History'!RK20,""))</f>
        <v/>
      </c>
      <c r="FD120" s="227" t="str">
        <f>IF('Report History'!RL20=0,"",IFERROR('Report History'!RL20,""))</f>
        <v/>
      </c>
      <c r="FE120" s="215" t="str">
        <f>IF('Report History'!RM20=0,"",IFERROR('Report History'!RM20,""))</f>
        <v/>
      </c>
      <c r="FF120" s="216" t="str">
        <f>IF('Report History'!RN20=0,"",IFERROR('Report History'!RN20,""))</f>
        <v/>
      </c>
      <c r="FG120" s="225">
        <f>IF('Report History'!RO20=0,"",IFERROR('Report History'!RO20,""))</f>
        <v>4033</v>
      </c>
      <c r="FH120" s="226" t="str">
        <f>IF('Report History'!RP20=0,"",IFERROR('Report History'!RP20,""))</f>
        <v/>
      </c>
      <c r="FI120" s="227" t="str">
        <f>IF('Report History'!RQ20=0,"",IFERROR('Report History'!RQ20,""))</f>
        <v/>
      </c>
      <c r="FJ120" s="215" t="str">
        <f>IF('Report History'!RR20=0,"",IFERROR('Report History'!RR20,""))</f>
        <v>PINK</v>
      </c>
      <c r="FK120" s="216" t="str">
        <f>IF('Report History'!RS20=0,"",IFERROR('Report History'!RS20,""))</f>
        <v/>
      </c>
      <c r="FL120" s="225" t="str">
        <f>IF('Report History'!RT20=0,"",IFERROR('Report History'!RT20,""))</f>
        <v/>
      </c>
      <c r="FM120" s="226" t="str">
        <f>IF('Report History'!RU20=0,"",IFERROR('Report History'!RU20,""))</f>
        <v/>
      </c>
      <c r="FN120" s="227" t="str">
        <f>IF('Report History'!RV20=0,"",IFERROR('Report History'!RV20,""))</f>
        <v/>
      </c>
      <c r="FO120" s="215" t="str">
        <f>IF('Report History'!RW20=0,"",IFERROR('Report History'!RW20,""))</f>
        <v>PINK</v>
      </c>
      <c r="FP120" s="216" t="str">
        <f>IF('Report History'!RX20=0,"",IFERROR('Report History'!RX20,""))</f>
        <v/>
      </c>
      <c r="FQ120" s="225" t="str">
        <f>IF('Report History'!RY20=0,"",IFERROR('Report History'!RY20,""))</f>
        <v/>
      </c>
      <c r="FR120" s="226" t="str">
        <f>IF('Report History'!RZ20=0,"",IFERROR('Report History'!RZ20,""))</f>
        <v/>
      </c>
      <c r="FS120" s="227" t="str">
        <f>IF('Report History'!SA20=0,"",IFERROR('Report History'!SA20,""))</f>
        <v/>
      </c>
      <c r="FT120" s="215" t="str">
        <f>IF('Report History'!SB20=0,"",IFERROR('Report History'!SB20,""))</f>
        <v>YELLOW</v>
      </c>
      <c r="FU120" s="216" t="str">
        <f>IF('Report History'!SC20=0,"",IFERROR('Report History'!SC20,""))</f>
        <v/>
      </c>
      <c r="FV120" s="225" t="str">
        <f>IF('Report History'!SD20=0,"",IFERROR('Report History'!SD20,""))</f>
        <v/>
      </c>
      <c r="FW120" s="226" t="str">
        <f>IF('Report History'!SE20=0,"",IFERROR('Report History'!SE20,""))</f>
        <v/>
      </c>
      <c r="FX120" s="227" t="str">
        <f>IF('Report History'!SF20=0,"",IFERROR('Report History'!SF20,""))</f>
        <v/>
      </c>
      <c r="FY120" s="215" t="str">
        <f>IF('Report History'!SG20=0,"",IFERROR('Report History'!SG20,""))</f>
        <v>VIOLET</v>
      </c>
      <c r="FZ120" s="216" t="str">
        <f>IF('Report History'!SH20=0,"",IFERROR('Report History'!SH20,""))</f>
        <v/>
      </c>
      <c r="GA120" s="225" t="str">
        <f>IF('Report History'!SI20=0,"",IFERROR('Report History'!SI20,""))</f>
        <v/>
      </c>
      <c r="GB120" s="226" t="str">
        <f>IF('Report History'!SJ20=0,"",IFERROR('Report History'!SJ20,""))</f>
        <v/>
      </c>
      <c r="GC120" s="227" t="str">
        <f>IF('Report History'!SK20=0,"",IFERROR('Report History'!SK20,""))</f>
        <v/>
      </c>
      <c r="GD120" s="215" t="str">
        <f>IF('Report History'!SL20=0,"",IFERROR('Report History'!SL20,""))</f>
        <v>GREEN</v>
      </c>
      <c r="GE120" s="216" t="str">
        <f>IF('Report History'!SM20=0,"",IFERROR('Report History'!SM20,""))</f>
        <v/>
      </c>
      <c r="GF120" s="225" t="str">
        <f>IF('Report History'!SN20=0,"",IFERROR('Report History'!SN20,""))</f>
        <v/>
      </c>
      <c r="GG120" s="226" t="str">
        <f>IF('Report History'!SO20=0,"",IFERROR('Report History'!SO20,""))</f>
        <v/>
      </c>
      <c r="GH120" s="227" t="str">
        <f>IF('Report History'!SP20=0,"",IFERROR('Report History'!SP20,""))</f>
        <v/>
      </c>
      <c r="GI120" s="215" t="str">
        <f>IF('Report History'!SQ20=0,"",IFERROR('Report History'!SQ20,""))</f>
        <v>ORANGE</v>
      </c>
      <c r="GJ120" s="216" t="str">
        <f>IF('Report History'!SR20=0,"",IFERROR('Report History'!SR20,""))</f>
        <v/>
      </c>
      <c r="GK120" s="225" t="str">
        <f>IF('Report History'!SS20=0,"",IFERROR('Report History'!SS20,""))</f>
        <v/>
      </c>
      <c r="GL120" s="226" t="str">
        <f>IF('Report History'!ST20=0,"",IFERROR('Report History'!ST20,""))</f>
        <v/>
      </c>
      <c r="GM120" s="227" t="str">
        <f>IF('Report History'!SU20=0,"",IFERROR('Report History'!SU20,""))</f>
        <v/>
      </c>
      <c r="GN120" s="215" t="str">
        <f>IF('Report History'!SV20=0,"",IFERROR('Report History'!SV20,""))</f>
        <v>BLUE</v>
      </c>
      <c r="GO120" s="216" t="str">
        <f>IF('Report History'!SW20=0,"",IFERROR('Report History'!SW20,""))</f>
        <v/>
      </c>
      <c r="GP120" s="225">
        <f>IF('Report History'!SX20=0,"",IFERROR('Report History'!SX20,""))</f>
        <v>6009</v>
      </c>
      <c r="GQ120" s="226" t="str">
        <f>IF('Report History'!SY20=0,"",IFERROR('Report History'!SY20,""))</f>
        <v/>
      </c>
      <c r="GR120" s="227" t="str">
        <f>IF('Report History'!SZ20=0,"",IFERROR('Report History'!SZ20,""))</f>
        <v/>
      </c>
      <c r="GS120" s="215" t="str">
        <f>IF('Report History'!TA20=0,"",IFERROR('Report History'!TA20,""))</f>
        <v/>
      </c>
      <c r="GT120" s="216" t="str">
        <f>IF('Report History'!TB20=0,"",IFERROR('Report History'!TB20,""))</f>
        <v/>
      </c>
      <c r="GU120" s="225" t="str">
        <f>IF('Report History'!TC20=0,"",IFERROR('Report History'!TC20,""))</f>
        <v/>
      </c>
      <c r="GV120" s="226" t="str">
        <f>IF('Report History'!TD20=0,"",IFERROR('Report History'!TD20,""))</f>
        <v/>
      </c>
      <c r="GW120" s="227" t="str">
        <f>IF('Report History'!TE20=0,"",IFERROR('Report History'!TE20,""))</f>
        <v/>
      </c>
      <c r="GX120" s="215" t="str">
        <f>IF('Report History'!TF20=0,"",IFERROR('Report History'!TF20,""))</f>
        <v>PINK</v>
      </c>
      <c r="GY120" s="216" t="str">
        <f>IF('Report History'!TG20=0,"",IFERROR('Report History'!TG20,""))</f>
        <v/>
      </c>
      <c r="GZ120" s="225" t="str">
        <f>IF('Report History'!TH20=0,"",IFERROR('Report History'!TH20,""))</f>
        <v/>
      </c>
      <c r="HA120" s="226" t="str">
        <f>IF('Report History'!TI20=0,"",IFERROR('Report History'!TI20,""))</f>
        <v/>
      </c>
      <c r="HB120" s="227" t="str">
        <f>IF('Report History'!TJ20=0,"",IFERROR('Report History'!TJ20,""))</f>
        <v/>
      </c>
      <c r="HC120" s="215" t="str">
        <f>IF('Report History'!TK20=0,"",IFERROR('Report History'!TK20,""))</f>
        <v>YELLOW</v>
      </c>
      <c r="HD120" s="216" t="str">
        <f>IF('Report History'!TL20=0,"",IFERROR('Report History'!TL20,""))</f>
        <v/>
      </c>
      <c r="HE120" s="225" t="str">
        <f>IF('Report History'!TM20=0,"",IFERROR('Report History'!TM20,""))</f>
        <v/>
      </c>
      <c r="HF120" s="226" t="str">
        <f>IF('Report History'!TN20=0,"",IFERROR('Report History'!TN20,""))</f>
        <v/>
      </c>
      <c r="HG120" s="227" t="str">
        <f>IF('Report History'!TO20=0,"",IFERROR('Report History'!TO20,""))</f>
        <v/>
      </c>
      <c r="HH120" s="215" t="str">
        <f>IF('Report History'!TP20=0,"",IFERROR('Report History'!TP20,""))</f>
        <v>VIOLET</v>
      </c>
      <c r="HI120" s="216" t="str">
        <f>IF('Report History'!TQ20=0,"",IFERROR('Report History'!TQ20,""))</f>
        <v/>
      </c>
      <c r="HJ120" s="225" t="str">
        <f>IF('Report History'!TR20=0,"",IFERROR('Report History'!TR20,""))</f>
        <v/>
      </c>
      <c r="HK120" s="226" t="str">
        <f>IF('Report History'!TS20=0,"",IFERROR('Report History'!TS20,""))</f>
        <v/>
      </c>
      <c r="HL120" s="227" t="str">
        <f>IF('Report History'!TT20=0,"",IFERROR('Report History'!TT20,""))</f>
        <v/>
      </c>
      <c r="HM120" s="215" t="str">
        <f>IF('Report History'!TU20=0,"",IFERROR('Report History'!TU20,""))</f>
        <v>GREEN</v>
      </c>
      <c r="HN120" s="216" t="str">
        <f>IF('Report History'!TV20=0,"",IFERROR('Report History'!TV20,""))</f>
        <v/>
      </c>
      <c r="HO120" s="225" t="str">
        <f>IF('Report History'!TW20=0,"",IFERROR('Report History'!TW20,""))</f>
        <v/>
      </c>
      <c r="HP120" s="226" t="str">
        <f>IF('Report History'!TX20=0,"",IFERROR('Report History'!TX20,""))</f>
        <v/>
      </c>
      <c r="HQ120" s="227" t="str">
        <f>IF('Report History'!TY20=0,"",IFERROR('Report History'!TY20,""))</f>
        <v/>
      </c>
      <c r="HR120" s="215" t="str">
        <f>IF('Report History'!TZ20=0,"",IFERROR('Report History'!TZ20,""))</f>
        <v>ORANGE</v>
      </c>
      <c r="HS120" s="216" t="str">
        <f>IF('Report History'!UA20=0,"",IFERROR('Report History'!UA20,""))</f>
        <v/>
      </c>
      <c r="HT120" s="225">
        <f>IF('Report History'!UB20=0,"",IFERROR('Report History'!UB20,""))</f>
        <v>3148</v>
      </c>
      <c r="HU120" s="226" t="str">
        <f>IF('Report History'!UC20=0,"",IFERROR('Report History'!UC20,""))</f>
        <v/>
      </c>
      <c r="HV120" s="227" t="str">
        <f>IF('Report History'!UD20=0,"",IFERROR('Report History'!UD20,""))</f>
        <v/>
      </c>
      <c r="HW120" s="215" t="str">
        <f>IF('Report History'!UE20=0,"",IFERROR('Report History'!UE20,""))</f>
        <v>BLUE</v>
      </c>
      <c r="HX120" s="216" t="str">
        <f>IF('Report History'!UF20=0,"",IFERROR('Report History'!UF20,""))</f>
        <v/>
      </c>
      <c r="HY120" s="225">
        <f>IF('Report History'!UG20=0,"",IFERROR('Report History'!UG20,""))</f>
        <v>9015</v>
      </c>
      <c r="HZ120" s="226" t="str">
        <f>IF('Report History'!UH20=0,"",IFERROR('Report History'!UH20,""))</f>
        <v/>
      </c>
      <c r="IA120" s="227" t="str">
        <f>IF('Report History'!UI20=0,"",IFERROR('Report History'!UI20,""))</f>
        <v/>
      </c>
      <c r="IB120" s="215" t="str">
        <f>IF('Report History'!UJ20=0,"",IFERROR('Report History'!UJ20,""))</f>
        <v/>
      </c>
      <c r="IC120" s="216" t="str">
        <f>IF('Report History'!UK20=0,"",IFERROR('Report History'!UK20,""))</f>
        <v/>
      </c>
      <c r="ID120" s="225" t="str">
        <f>IF('Report History'!UL20=0,"",IFERROR('Report History'!UL20,""))</f>
        <v/>
      </c>
      <c r="IE120" s="226" t="str">
        <f>IF('Report History'!UM20=0,"",IFERROR('Report History'!UM20,""))</f>
        <v/>
      </c>
      <c r="IF120" s="227" t="str">
        <f>IF('Report History'!UN20=0,"",IFERROR('Report History'!UN20,""))</f>
        <v/>
      </c>
      <c r="IG120" s="215" t="str">
        <f>IF('Report History'!UO20=0,"",IFERROR('Report History'!UO20,""))</f>
        <v>PINK</v>
      </c>
      <c r="IH120" s="216" t="str">
        <f>IF('Report History'!UP20=0,"",IFERROR('Report History'!UP20,""))</f>
        <v/>
      </c>
      <c r="II120" s="225" t="str">
        <f>IF('Report History'!UQ20=0,"",IFERROR('Report History'!UQ20,""))</f>
        <v/>
      </c>
      <c r="IJ120" s="226" t="str">
        <f>IF('Report History'!UR20=0,"",IFERROR('Report History'!UR20,""))</f>
        <v/>
      </c>
      <c r="IK120" s="227" t="str">
        <f>IF('Report History'!US20=0,"",IFERROR('Report History'!US20,""))</f>
        <v/>
      </c>
      <c r="IL120" s="215" t="str">
        <f>IF('Report History'!UT20=0,"",IFERROR('Report History'!UT20,""))</f>
        <v>YELLOW</v>
      </c>
      <c r="IM120" s="216" t="str">
        <f>IF('Report History'!UU20=0,"",IFERROR('Report History'!UU20,""))</f>
        <v/>
      </c>
      <c r="IN120" s="225" t="str">
        <f>IF('Report History'!UV20=0,"",IFERROR('Report History'!UV20,""))</f>
        <v/>
      </c>
      <c r="IO120" s="226" t="str">
        <f>IF('Report History'!UW20=0,"",IFERROR('Report History'!UW20,""))</f>
        <v/>
      </c>
      <c r="IP120" s="227" t="str">
        <f>IF('Report History'!UX20=0,"",IFERROR('Report History'!UX20,""))</f>
        <v/>
      </c>
    </row>
    <row r="121" spans="1:250" ht="15.6" x14ac:dyDescent="0.3">
      <c r="A121" s="133" t="str">
        <f>IF('Report History'!LI21=0,"",IFERROR('Report History'!LI21,""))</f>
        <v>MCV/Yard Check/Political done?</v>
      </c>
      <c r="B121" s="65"/>
      <c r="C121" s="66"/>
      <c r="D121" s="256" t="str">
        <f>IF('Report History'!LL21=0,"",IFERROR('Report History'!LL21,""))</f>
        <v>YES</v>
      </c>
      <c r="E121" s="257" t="str">
        <f>IF('Report History'!LM21=0,"",IFERROR('Report History'!LM21,""))</f>
        <v/>
      </c>
      <c r="F121" s="133" t="str">
        <f>IF('Report History'!LN21=0,"",IFERROR('Report History'!LN21,""))</f>
        <v>MCV/Yard Check/Political done?</v>
      </c>
      <c r="G121" s="65"/>
      <c r="H121" s="66"/>
      <c r="I121" s="256" t="str">
        <f>IF('Report History'!LQ21=0,"",IFERROR('Report History'!LQ21,""))</f>
        <v>YES</v>
      </c>
      <c r="J121" s="257" t="str">
        <f>IF('Report History'!LR21=0,"",IFERROR('Report History'!LR21,""))</f>
        <v/>
      </c>
      <c r="K121" s="133" t="str">
        <f>IF('Report History'!LS21=0,"",IFERROR('Report History'!LS21,""))</f>
        <v>MCV/Yard Check/Political done?</v>
      </c>
      <c r="L121" s="65"/>
      <c r="M121" s="66"/>
      <c r="N121" s="256" t="str">
        <f>IF('Report History'!LV21=0,"",IFERROR('Report History'!LV21,""))</f>
        <v>YES</v>
      </c>
      <c r="O121" s="257" t="str">
        <f>IF('Report History'!LW21=0,"",IFERROR('Report History'!LW21,""))</f>
        <v/>
      </c>
      <c r="P121" s="133" t="str">
        <f>IF('Report History'!LX21=0,"",IFERROR('Report History'!LX21,""))</f>
        <v>MCV/Yard Check/Political done?</v>
      </c>
      <c r="Q121" s="65"/>
      <c r="R121" s="66"/>
      <c r="S121" s="256" t="str">
        <f>IF('Report History'!MA21=0,"",IFERROR('Report History'!MA21,""))</f>
        <v>YES</v>
      </c>
      <c r="T121" s="257" t="str">
        <f>IF('Report History'!MB21=0,"",IFERROR('Report History'!MB21,""))</f>
        <v/>
      </c>
      <c r="U121" s="133" t="str">
        <f>IF('Report History'!MC21=0,"",IFERROR('Report History'!MC21,""))</f>
        <v>MCV/Yard Check/Political done?</v>
      </c>
      <c r="V121" s="65"/>
      <c r="W121" s="66"/>
      <c r="X121" s="256" t="str">
        <f>IF('Report History'!MF21=0,"",IFERROR('Report History'!MF21,""))</f>
        <v>YES</v>
      </c>
      <c r="Y121" s="257" t="str">
        <f>IF('Report History'!MG21=0,"",IFERROR('Report History'!MG21,""))</f>
        <v/>
      </c>
      <c r="Z121" s="133" t="str">
        <f>IF('Report History'!MH21=0,"",IFERROR('Report History'!MH21,""))</f>
        <v>MCV/Yard Check/Political done?</v>
      </c>
      <c r="AA121" s="65"/>
      <c r="AB121" s="66"/>
      <c r="AC121" s="256" t="str">
        <f>IF('Report History'!MK21=0,"",IFERROR('Report History'!MK21,""))</f>
        <v>YES</v>
      </c>
      <c r="AD121" s="257" t="str">
        <f>IF('Report History'!ML21=0,"",IFERROR('Report History'!ML21,""))</f>
        <v/>
      </c>
      <c r="AE121" s="133" t="str">
        <f>IF('Report History'!MM21=0,"",IFERROR('Report History'!MM21,""))</f>
        <v>MCV/Yard Check/Political done?</v>
      </c>
      <c r="AF121" s="65"/>
      <c r="AG121" s="66"/>
      <c r="AH121" s="256" t="str">
        <f>IF('Report History'!MP21=0,"",IFERROR('Report History'!MP21,""))</f>
        <v>YES</v>
      </c>
      <c r="AI121" s="257" t="str">
        <f>IF('Report History'!MQ21=0,"",IFERROR('Report History'!MQ21,""))</f>
        <v/>
      </c>
      <c r="AJ121" s="133" t="str">
        <f>IF('Report History'!MR21=0,"",IFERROR('Report History'!MR21,""))</f>
        <v>MCV/Yard Check/Political done?</v>
      </c>
      <c r="AK121" s="65"/>
      <c r="AL121" s="66"/>
      <c r="AM121" s="256" t="str">
        <f>IF('Report History'!MU21=0,"",IFERROR('Report History'!MU21,""))</f>
        <v>YES</v>
      </c>
      <c r="AN121" s="257" t="str">
        <f>IF('Report History'!MV21=0,"",IFERROR('Report History'!MV21,""))</f>
        <v/>
      </c>
      <c r="AO121" s="133" t="str">
        <f>IF('Report History'!MW21=0,"",IFERROR('Report History'!MW21,""))</f>
        <v>MCV/Yard Check/Political done?</v>
      </c>
      <c r="AP121" s="65"/>
      <c r="AQ121" s="66"/>
      <c r="AR121" s="256" t="str">
        <f>IF('Report History'!MZ21=0,"",IFERROR('Report History'!MZ21,""))</f>
        <v>YES</v>
      </c>
      <c r="AS121" s="257" t="str">
        <f>IF('Report History'!NA21=0,"",IFERROR('Report History'!NA21,""))</f>
        <v/>
      </c>
      <c r="AT121" s="133" t="str">
        <f>IF('Report History'!NB21=0,"",IFERROR('Report History'!NB21,""))</f>
        <v>MCV/Yard Check/Political done?</v>
      </c>
      <c r="AU121" s="65"/>
      <c r="AV121" s="66"/>
      <c r="AW121" s="256" t="str">
        <f>IF('Report History'!NE21=0,"",IFERROR('Report History'!NE21,""))</f>
        <v>YES</v>
      </c>
      <c r="AX121" s="257" t="str">
        <f>IF('Report History'!NF21=0,"",IFERROR('Report History'!NF21,""))</f>
        <v/>
      </c>
      <c r="AY121" s="133" t="str">
        <f>IF('Report History'!NG21=0,"",IFERROR('Report History'!NG21,""))</f>
        <v>MCV/Yard Check/Political done?</v>
      </c>
      <c r="AZ121" s="65"/>
      <c r="BA121" s="66"/>
      <c r="BB121" s="256" t="str">
        <f>IF('Report History'!NJ21=0,"",IFERROR('Report History'!NJ21,""))</f>
        <v>YES</v>
      </c>
      <c r="BC121" s="257" t="str">
        <f>IF('Report History'!NK21=0,"",IFERROR('Report History'!NK21,""))</f>
        <v/>
      </c>
      <c r="BD121" s="133" t="str">
        <f>IF('Report History'!NL21=0,"",IFERROR('Report History'!NL21,""))</f>
        <v>MCV/Yard Check/Political done?</v>
      </c>
      <c r="BE121" s="65"/>
      <c r="BF121" s="66"/>
      <c r="BG121" s="256" t="str">
        <f>IF('Report History'!NO21=0,"",IFERROR('Report History'!NO21,""))</f>
        <v>YES</v>
      </c>
      <c r="BH121" s="257" t="str">
        <f>IF('Report History'!NP21=0,"",IFERROR('Report History'!NP21,""))</f>
        <v/>
      </c>
      <c r="BI121" s="133" t="str">
        <f>IF('Report History'!NQ21=0,"",IFERROR('Report History'!NQ21,""))</f>
        <v>MCV/Yard Check/Political done?</v>
      </c>
      <c r="BJ121" s="65"/>
      <c r="BK121" s="66"/>
      <c r="BL121" s="256" t="str">
        <f>IF('Report History'!NT21=0,"",IFERROR('Report History'!NT21,""))</f>
        <v>YES</v>
      </c>
      <c r="BM121" s="257" t="str">
        <f>IF('Report History'!NU21=0,"",IFERROR('Report History'!NU21,""))</f>
        <v/>
      </c>
      <c r="BN121" s="133" t="str">
        <f>IF('Report History'!NV21=0,"",IFERROR('Report History'!NV21,""))</f>
        <v>MCV/Yard Check/Political done?</v>
      </c>
      <c r="BO121" s="65"/>
      <c r="BP121" s="66"/>
      <c r="BQ121" s="256" t="str">
        <f>IF('Report History'!NY21=0,"",IFERROR('Report History'!NY21,""))</f>
        <v>YES</v>
      </c>
      <c r="BR121" s="257" t="str">
        <f>IF('Report History'!NZ21=0,"",IFERROR('Report History'!NZ21,""))</f>
        <v/>
      </c>
      <c r="BS121" s="133" t="str">
        <f>IF('Report History'!OA21=0,"",IFERROR('Report History'!OA21,""))</f>
        <v>MCV/Yard Check/Political done?</v>
      </c>
      <c r="BT121" s="65"/>
      <c r="BU121" s="66"/>
      <c r="BV121" s="256" t="str">
        <f>IF('Report History'!OD21=0,"",IFERROR('Report History'!OD21,""))</f>
        <v>YES</v>
      </c>
      <c r="BW121" s="257" t="str">
        <f>IF('Report History'!OE21=0,"",IFERROR('Report History'!OE21,""))</f>
        <v/>
      </c>
      <c r="BX121" s="133" t="str">
        <f>IF('Report History'!OF21=0,"",IFERROR('Report History'!OF21,""))</f>
        <v>MCV/Yard Check/Political done?</v>
      </c>
      <c r="BY121" s="65"/>
      <c r="BZ121" s="66"/>
      <c r="CA121" s="256" t="str">
        <f>IF('Report History'!OI21=0,"",IFERROR('Report History'!OI21,""))</f>
        <v>YES</v>
      </c>
      <c r="CB121" s="257" t="str">
        <f>IF('Report History'!OJ21=0,"",IFERROR('Report History'!OJ21,""))</f>
        <v/>
      </c>
      <c r="CC121" s="133" t="str">
        <f>IF('Report History'!OK21=0,"",IFERROR('Report History'!OK21,""))</f>
        <v>MCV/Yard Check/Political done?</v>
      </c>
      <c r="CD121" s="65"/>
      <c r="CE121" s="66"/>
      <c r="CF121" s="256" t="str">
        <f>IF('Report History'!ON21=0,"",IFERROR('Report History'!ON21,""))</f>
        <v>YES</v>
      </c>
      <c r="CG121" s="257" t="str">
        <f>IF('Report History'!OO21=0,"",IFERROR('Report History'!OO21,""))</f>
        <v/>
      </c>
      <c r="CH121" s="133" t="str">
        <f>IF('Report History'!OP21=0,"",IFERROR('Report History'!OP21,""))</f>
        <v>MCV/Yard Check/Political done?</v>
      </c>
      <c r="CI121" s="65"/>
      <c r="CJ121" s="66"/>
      <c r="CK121" s="256" t="str">
        <f>IF('Report History'!OS21=0,"",IFERROR('Report History'!OS21,""))</f>
        <v>YES</v>
      </c>
      <c r="CL121" s="257" t="str">
        <f>IF('Report History'!OT21=0,"",IFERROR('Report History'!OT21,""))</f>
        <v/>
      </c>
      <c r="CM121" s="133" t="str">
        <f>IF('Report History'!OU21=0,"",IFERROR('Report History'!OU21,""))</f>
        <v>MCV/Yard Check/Political done?</v>
      </c>
      <c r="CN121" s="65"/>
      <c r="CO121" s="66"/>
      <c r="CP121" s="256" t="str">
        <f>IF('Report History'!OX21=0,"",IFERROR('Report History'!OX21,""))</f>
        <v>YES</v>
      </c>
      <c r="CQ121" s="257" t="str">
        <f>IF('Report History'!OY21=0,"",IFERROR('Report History'!OY21,""))</f>
        <v/>
      </c>
      <c r="CR121" s="133" t="str">
        <f>IF('Report History'!OZ21=0,"",IFERROR('Report History'!OZ21,""))</f>
        <v>MCV/Yard Check/Political done?</v>
      </c>
      <c r="CS121" s="65"/>
      <c r="CT121" s="66"/>
      <c r="CU121" s="256" t="str">
        <f>IF('Report History'!PC21=0,"",IFERROR('Report History'!PC21,""))</f>
        <v>YES</v>
      </c>
      <c r="CV121" s="257" t="str">
        <f>IF('Report History'!PD21=0,"",IFERROR('Report History'!PD21,""))</f>
        <v/>
      </c>
      <c r="CW121" s="133" t="str">
        <f>IF('Report History'!PE21=0,"",IFERROR('Report History'!PE21,""))</f>
        <v>MCV/Yard Check/Political done?</v>
      </c>
      <c r="CX121" s="65"/>
      <c r="CY121" s="66"/>
      <c r="CZ121" s="256" t="str">
        <f>IF('Report History'!PH21=0,"",IFERROR('Report History'!PH21,""))</f>
        <v>YES</v>
      </c>
      <c r="DA121" s="257" t="str">
        <f>IF('Report History'!PI21=0,"",IFERROR('Report History'!PI21,""))</f>
        <v/>
      </c>
      <c r="DB121" s="133" t="str">
        <f>IF('Report History'!PJ21=0,"",IFERROR('Report History'!PJ21,""))</f>
        <v>MCV/Yard Check/Political done?</v>
      </c>
      <c r="DC121" s="65"/>
      <c r="DD121" s="66"/>
      <c r="DE121" s="256" t="str">
        <f>IF('Report History'!PM21=0,"",IFERROR('Report History'!PM21,""))</f>
        <v>YES</v>
      </c>
      <c r="DF121" s="257" t="str">
        <f>IF('Report History'!PN21=0,"",IFERROR('Report History'!PN21,""))</f>
        <v/>
      </c>
      <c r="DG121" s="133" t="str">
        <f>IF('Report History'!PO21=0,"",IFERROR('Report History'!PO21,""))</f>
        <v>MCV/Yard Check/Political done?</v>
      </c>
      <c r="DH121" s="65"/>
      <c r="DI121" s="66"/>
      <c r="DJ121" s="256" t="str">
        <f>IF('Report History'!PR21=0,"",IFERROR('Report History'!PR21,""))</f>
        <v>YES</v>
      </c>
      <c r="DK121" s="257" t="str">
        <f>IF('Report History'!PS21=0,"",IFERROR('Report History'!PS21,""))</f>
        <v/>
      </c>
      <c r="DL121" s="133" t="str">
        <f>IF('Report History'!PT21=0,"",IFERROR('Report History'!PT21,""))</f>
        <v>MCV/Yard Check/Political done?</v>
      </c>
      <c r="DM121" s="65"/>
      <c r="DN121" s="66"/>
      <c r="DO121" s="256" t="str">
        <f>IF('Report History'!PW21=0,"",IFERROR('Report History'!PW21,""))</f>
        <v>YES</v>
      </c>
      <c r="DP121" s="257" t="str">
        <f>IF('Report History'!PX21=0,"",IFERROR('Report History'!PX21,""))</f>
        <v/>
      </c>
      <c r="DQ121" s="133" t="str">
        <f>IF('Report History'!PY21=0,"",IFERROR('Report History'!PY21,""))</f>
        <v>MCV/Yard Check/Political done?</v>
      </c>
      <c r="DR121" s="65"/>
      <c r="DS121" s="66"/>
      <c r="DT121" s="256" t="str">
        <f>IF('Report History'!QB21=0,"",IFERROR('Report History'!QB21,""))</f>
        <v>YES</v>
      </c>
      <c r="DU121" s="257" t="str">
        <f>IF('Report History'!QC21=0,"",IFERROR('Report History'!QC21,""))</f>
        <v/>
      </c>
      <c r="DV121" s="133" t="str">
        <f>IF('Report History'!QD21=0,"",IFERROR('Report History'!QD21,""))</f>
        <v>MCV/Yard Check/Political done?</v>
      </c>
      <c r="DW121" s="65"/>
      <c r="DX121" s="66"/>
      <c r="DY121" s="256" t="str">
        <f>IF('Report History'!QG21=0,"",IFERROR('Report History'!QG21,""))</f>
        <v>YES</v>
      </c>
      <c r="DZ121" s="257" t="str">
        <f>IF('Report History'!QH21=0,"",IFERROR('Report History'!QH21,""))</f>
        <v/>
      </c>
      <c r="EA121" s="133" t="str">
        <f>IF('Report History'!QI21=0,"",IFERROR('Report History'!QI21,""))</f>
        <v>MCV/Yard Check/Political done?</v>
      </c>
      <c r="EB121" s="65"/>
      <c r="EC121" s="66"/>
      <c r="ED121" s="256" t="str">
        <f>IF('Report History'!QL21=0,"",IFERROR('Report History'!QL21,""))</f>
        <v>YES</v>
      </c>
      <c r="EE121" s="257" t="str">
        <f>IF('Report History'!QM21=0,"",IFERROR('Report History'!QM21,""))</f>
        <v/>
      </c>
      <c r="EF121" s="133" t="str">
        <f>IF('Report History'!QN21=0,"",IFERROR('Report History'!QN21,""))</f>
        <v>MCV/Yard Check/Political done?</v>
      </c>
      <c r="EG121" s="65"/>
      <c r="EH121" s="66"/>
      <c r="EI121" s="256" t="str">
        <f>IF('Report History'!QQ21=0,"",IFERROR('Report History'!QQ21,""))</f>
        <v>YES</v>
      </c>
      <c r="EJ121" s="257" t="str">
        <f>IF('Report History'!QR21=0,"",IFERROR('Report History'!QR21,""))</f>
        <v/>
      </c>
      <c r="EK121" s="133" t="str">
        <f>IF('Report History'!QS21=0,"",IFERROR('Report History'!QS21,""))</f>
        <v>MCV/Yard Check/Political done?</v>
      </c>
      <c r="EL121" s="65"/>
      <c r="EM121" s="66"/>
      <c r="EN121" s="256" t="str">
        <f>IF('Report History'!QV21=0,"",IFERROR('Report History'!QV21,""))</f>
        <v>YES</v>
      </c>
      <c r="EO121" s="257" t="str">
        <f>IF('Report History'!QW21=0,"",IFERROR('Report History'!QW21,""))</f>
        <v/>
      </c>
      <c r="EP121" s="133" t="str">
        <f>IF('Report History'!QX21=0,"",IFERROR('Report History'!QX21,""))</f>
        <v>MCV/Yard Check/Political done?</v>
      </c>
      <c r="EQ121" s="65"/>
      <c r="ER121" s="66"/>
      <c r="ES121" s="256" t="str">
        <f>IF('Report History'!RA21=0,"",IFERROR('Report History'!RA21,""))</f>
        <v>YES</v>
      </c>
      <c r="ET121" s="257" t="str">
        <f>IF('Report History'!RB21=0,"",IFERROR('Report History'!RB21,""))</f>
        <v/>
      </c>
      <c r="EU121" s="133" t="str">
        <f>IF('Report History'!RC21=0,"",IFERROR('Report History'!RC21,""))</f>
        <v>MCV/Yard Check/Political done?</v>
      </c>
      <c r="EV121" s="65"/>
      <c r="EW121" s="66"/>
      <c r="EX121" s="256" t="str">
        <f>IF('Report History'!RF21=0,"",IFERROR('Report History'!RF21,""))</f>
        <v>YES</v>
      </c>
      <c r="EY121" s="257" t="str">
        <f>IF('Report History'!RG21=0,"",IFERROR('Report History'!RG21,""))</f>
        <v/>
      </c>
      <c r="EZ121" s="133" t="str">
        <f>IF('Report History'!RH21=0,"",IFERROR('Report History'!RH21,""))</f>
        <v>MCV/Yard Check/Political done?</v>
      </c>
      <c r="FA121" s="65"/>
      <c r="FB121" s="66"/>
      <c r="FC121" s="256" t="str">
        <f>IF('Report History'!RK21=0,"",IFERROR('Report History'!RK21,""))</f>
        <v>YES</v>
      </c>
      <c r="FD121" s="257" t="str">
        <f>IF('Report History'!RL21=0,"",IFERROR('Report History'!RL21,""))</f>
        <v/>
      </c>
      <c r="FE121" s="133" t="str">
        <f>IF('Report History'!RM21=0,"",IFERROR('Report History'!RM21,""))</f>
        <v>MCV/Yard Check/Political done?</v>
      </c>
      <c r="FF121" s="65"/>
      <c r="FG121" s="66"/>
      <c r="FH121" s="256" t="str">
        <f>IF('Report History'!RP21=0,"",IFERROR('Report History'!RP21,""))</f>
        <v>YES</v>
      </c>
      <c r="FI121" s="257" t="str">
        <f>IF('Report History'!RQ21=0,"",IFERROR('Report History'!RQ21,""))</f>
        <v/>
      </c>
      <c r="FJ121" s="133" t="str">
        <f>IF('Report History'!RR21=0,"",IFERROR('Report History'!RR21,""))</f>
        <v>MCV/Yard Check/Political done?</v>
      </c>
      <c r="FK121" s="65"/>
      <c r="FL121" s="66"/>
      <c r="FM121" s="256" t="str">
        <f>IF('Report History'!RU21=0,"",IFERROR('Report History'!RU21,""))</f>
        <v>YES</v>
      </c>
      <c r="FN121" s="257" t="str">
        <f>IF('Report History'!RV21=0,"",IFERROR('Report History'!RV21,""))</f>
        <v/>
      </c>
      <c r="FO121" s="133" t="str">
        <f>IF('Report History'!RW21=0,"",IFERROR('Report History'!RW21,""))</f>
        <v>MCV/Yard Check/Political done?</v>
      </c>
      <c r="FP121" s="65"/>
      <c r="FQ121" s="66"/>
      <c r="FR121" s="256" t="str">
        <f>IF('Report History'!RZ21=0,"",IFERROR('Report History'!RZ21,""))</f>
        <v>YES</v>
      </c>
      <c r="FS121" s="257" t="str">
        <f>IF('Report History'!SA21=0,"",IFERROR('Report History'!SA21,""))</f>
        <v/>
      </c>
      <c r="FT121" s="133" t="str">
        <f>IF('Report History'!SB21=0,"",IFERROR('Report History'!SB21,""))</f>
        <v>MCV/Yard Check/Political done?</v>
      </c>
      <c r="FU121" s="65"/>
      <c r="FV121" s="66"/>
      <c r="FW121" s="256" t="str">
        <f>IF('Report History'!SE21=0,"",IFERROR('Report History'!SE21,""))</f>
        <v>YES</v>
      </c>
      <c r="FX121" s="257" t="str">
        <f>IF('Report History'!SF21=0,"",IFERROR('Report History'!SF21,""))</f>
        <v/>
      </c>
      <c r="FY121" s="133" t="str">
        <f>IF('Report History'!SG21=0,"",IFERROR('Report History'!SG21,""))</f>
        <v>MCV/Yard Check/Political done?</v>
      </c>
      <c r="FZ121" s="65"/>
      <c r="GA121" s="66"/>
      <c r="GB121" s="256" t="str">
        <f>IF('Report History'!SJ21=0,"",IFERROR('Report History'!SJ21,""))</f>
        <v>YES</v>
      </c>
      <c r="GC121" s="257" t="str">
        <f>IF('Report History'!SK21=0,"",IFERROR('Report History'!SK21,""))</f>
        <v/>
      </c>
      <c r="GD121" s="133" t="str">
        <f>IF('Report History'!SL21=0,"",IFERROR('Report History'!SL21,""))</f>
        <v>MCV/Yard Check/Political done?</v>
      </c>
      <c r="GE121" s="65"/>
      <c r="GF121" s="66"/>
      <c r="GG121" s="256" t="str">
        <f>IF('Report History'!SO21=0,"",IFERROR('Report History'!SO21,""))</f>
        <v>YES</v>
      </c>
      <c r="GH121" s="257" t="str">
        <f>IF('Report History'!SP21=0,"",IFERROR('Report History'!SP21,""))</f>
        <v/>
      </c>
      <c r="GI121" s="133" t="str">
        <f>IF('Report History'!SQ21=0,"",IFERROR('Report History'!SQ21,""))</f>
        <v>MCV/Yard Check/Political done?</v>
      </c>
      <c r="GJ121" s="65"/>
      <c r="GK121" s="66"/>
      <c r="GL121" s="256" t="str">
        <f>IF('Report History'!ST21=0,"",IFERROR('Report History'!ST21,""))</f>
        <v>YES</v>
      </c>
      <c r="GM121" s="257" t="str">
        <f>IF('Report History'!SU21=0,"",IFERROR('Report History'!SU21,""))</f>
        <v/>
      </c>
      <c r="GN121" s="133" t="str">
        <f>IF('Report History'!SV21=0,"",IFERROR('Report History'!SV21,""))</f>
        <v>MCV/Yard Check/Political done?</v>
      </c>
      <c r="GO121" s="65"/>
      <c r="GP121" s="66"/>
      <c r="GQ121" s="256" t="str">
        <f>IF('Report History'!SY21=0,"",IFERROR('Report History'!SY21,""))</f>
        <v>YES</v>
      </c>
      <c r="GR121" s="257" t="str">
        <f>IF('Report History'!SZ21=0,"",IFERROR('Report History'!SZ21,""))</f>
        <v/>
      </c>
      <c r="GS121" s="133" t="str">
        <f>IF('Report History'!TA21=0,"",IFERROR('Report History'!TA21,""))</f>
        <v>MCV/Yard Check/Political done?</v>
      </c>
      <c r="GT121" s="65"/>
      <c r="GU121" s="66"/>
      <c r="GV121" s="256" t="str">
        <f>IF('Report History'!TD21=0,"",IFERROR('Report History'!TD21,""))</f>
        <v>YES</v>
      </c>
      <c r="GW121" s="257" t="str">
        <f>IF('Report History'!TE21=0,"",IFERROR('Report History'!TE21,""))</f>
        <v/>
      </c>
      <c r="GX121" s="133" t="str">
        <f>IF('Report History'!TF21=0,"",IFERROR('Report History'!TF21,""))</f>
        <v>MCV/Yard Check/Political done?</v>
      </c>
      <c r="GY121" s="65"/>
      <c r="GZ121" s="66"/>
      <c r="HA121" s="256" t="str">
        <f>IF('Report History'!TI21=0,"",IFERROR('Report History'!TI21,""))</f>
        <v>YES</v>
      </c>
      <c r="HB121" s="257" t="str">
        <f>IF('Report History'!TJ21=0,"",IFERROR('Report History'!TJ21,""))</f>
        <v/>
      </c>
      <c r="HC121" s="133" t="str">
        <f>IF('Report History'!TK21=0,"",IFERROR('Report History'!TK21,""))</f>
        <v>MCV/Yard Check/Political done?</v>
      </c>
      <c r="HD121" s="65"/>
      <c r="HE121" s="66"/>
      <c r="HF121" s="256" t="str">
        <f>IF('Report History'!TN21=0,"",IFERROR('Report History'!TN21,""))</f>
        <v>YES</v>
      </c>
      <c r="HG121" s="257" t="str">
        <f>IF('Report History'!TO21=0,"",IFERROR('Report History'!TO21,""))</f>
        <v/>
      </c>
      <c r="HH121" s="133" t="str">
        <f>IF('Report History'!TP21=0,"",IFERROR('Report History'!TP21,""))</f>
        <v>MCV/Yard Check/Political done?</v>
      </c>
      <c r="HI121" s="65"/>
      <c r="HJ121" s="66"/>
      <c r="HK121" s="256" t="str">
        <f>IF('Report History'!TS21=0,"",IFERROR('Report History'!TS21,""))</f>
        <v>YES</v>
      </c>
      <c r="HL121" s="257" t="str">
        <f>IF('Report History'!TT21=0,"",IFERROR('Report History'!TT21,""))</f>
        <v/>
      </c>
      <c r="HM121" s="133" t="str">
        <f>IF('Report History'!TU21=0,"",IFERROR('Report History'!TU21,""))</f>
        <v>MCV/Yard Check/Political done?</v>
      </c>
      <c r="HN121" s="65"/>
      <c r="HO121" s="66"/>
      <c r="HP121" s="256" t="str">
        <f>IF('Report History'!TX21=0,"",IFERROR('Report History'!TX21,""))</f>
        <v>YES</v>
      </c>
      <c r="HQ121" s="257" t="str">
        <f>IF('Report History'!TY21=0,"",IFERROR('Report History'!TY21,""))</f>
        <v/>
      </c>
      <c r="HR121" s="133" t="str">
        <f>IF('Report History'!TZ21=0,"",IFERROR('Report History'!TZ21,""))</f>
        <v>MCV/Yard Check/Political done?</v>
      </c>
      <c r="HS121" s="65"/>
      <c r="HT121" s="66"/>
      <c r="HU121" s="256" t="str">
        <f>IF('Report History'!UC21=0,"",IFERROR('Report History'!UC21,""))</f>
        <v>YES</v>
      </c>
      <c r="HV121" s="257" t="str">
        <f>IF('Report History'!UD21=0,"",IFERROR('Report History'!UD21,""))</f>
        <v/>
      </c>
      <c r="HW121" s="133" t="str">
        <f>IF('Report History'!UE21=0,"",IFERROR('Report History'!UE21,""))</f>
        <v>MCV/Yard Check/Political done?</v>
      </c>
      <c r="HX121" s="65"/>
      <c r="HY121" s="66"/>
      <c r="HZ121" s="256" t="str">
        <f>IF('Report History'!UH21=0,"",IFERROR('Report History'!UH21,""))</f>
        <v>YES</v>
      </c>
      <c r="IA121" s="257" t="str">
        <f>IF('Report History'!UI21=0,"",IFERROR('Report History'!UI21,""))</f>
        <v/>
      </c>
      <c r="IB121" s="133" t="str">
        <f>IF('Report History'!UJ21=0,"",IFERROR('Report History'!UJ21,""))</f>
        <v>MCV/Yard Check/Political done?</v>
      </c>
      <c r="IC121" s="65"/>
      <c r="ID121" s="66"/>
      <c r="IE121" s="256" t="str">
        <f>IF('Report History'!UM21=0,"",IFERROR('Report History'!UM21,""))</f>
        <v>YES</v>
      </c>
      <c r="IF121" s="257" t="str">
        <f>IF('Report History'!UN21=0,"",IFERROR('Report History'!UN21,""))</f>
        <v/>
      </c>
      <c r="IG121" s="133" t="str">
        <f>IF('Report History'!UO21=0,"",IFERROR('Report History'!UO21,""))</f>
        <v>MCV/Yard Check/Political done?</v>
      </c>
      <c r="IH121" s="65"/>
      <c r="II121" s="66"/>
      <c r="IJ121" s="256" t="str">
        <f>IF('Report History'!UR21=0,"",IFERROR('Report History'!UR21,""))</f>
        <v>YES</v>
      </c>
      <c r="IK121" s="257" t="str">
        <f>IF('Report History'!US21=0,"",IFERROR('Report History'!US21,""))</f>
        <v/>
      </c>
      <c r="IL121" s="133" t="str">
        <f>IF('Report History'!UT21=0,"",IFERROR('Report History'!UT21,""))</f>
        <v>MCV/Yard Check/Political done?</v>
      </c>
      <c r="IM121" s="65"/>
      <c r="IN121" s="66"/>
      <c r="IO121" s="256" t="str">
        <f>IF('Report History'!UW21=0,"",IFERROR('Report History'!UW21,""))</f>
        <v>YES</v>
      </c>
      <c r="IP121" s="257" t="str">
        <f>IF('Report History'!UX21=0,"",IFERROR('Report History'!UX21,""))</f>
        <v/>
      </c>
    </row>
    <row r="122" spans="1:250" ht="15.6" x14ac:dyDescent="0.3">
      <c r="A122" s="67" t="str">
        <f>IF('Report History'!LI22=0,"",IFERROR('Report History'!LI22,""))</f>
        <v>Dock clear?</v>
      </c>
      <c r="B122" s="68"/>
      <c r="C122" s="69"/>
      <c r="D122" s="250" t="str">
        <f>IF('Report History'!LL22=0,"",IFERROR('Report History'!LL22,""))</f>
        <v>NO</v>
      </c>
      <c r="E122" s="251" t="str">
        <f>IF('Report History'!LM22=0,"",IFERROR('Report History'!LM22,""))</f>
        <v/>
      </c>
      <c r="F122" s="67" t="str">
        <f>IF('Report History'!LN22=0,"",IFERROR('Report History'!LN22,""))</f>
        <v>Dock clear?</v>
      </c>
      <c r="G122" s="68"/>
      <c r="H122" s="69"/>
      <c r="I122" s="250" t="str">
        <f>IF('Report History'!LQ22=0,"",IFERROR('Report History'!LQ22,""))</f>
        <v>NO</v>
      </c>
      <c r="J122" s="251" t="str">
        <f>IF('Report History'!LR22=0,"",IFERROR('Report History'!LR22,""))</f>
        <v/>
      </c>
      <c r="K122" s="67" t="str">
        <f>IF('Report History'!LS22=0,"",IFERROR('Report History'!LS22,""))</f>
        <v>Dock clear?</v>
      </c>
      <c r="L122" s="68"/>
      <c r="M122" s="69"/>
      <c r="N122" s="250" t="str">
        <f>IF('Report History'!LV22=0,"",IFERROR('Report History'!LV22,""))</f>
        <v>NO</v>
      </c>
      <c r="O122" s="251" t="str">
        <f>IF('Report History'!LW22=0,"",IFERROR('Report History'!LW22,""))</f>
        <v/>
      </c>
      <c r="P122" s="67" t="str">
        <f>IF('Report History'!LX22=0,"",IFERROR('Report History'!LX22,""))</f>
        <v>Dock clear?</v>
      </c>
      <c r="Q122" s="68"/>
      <c r="R122" s="69"/>
      <c r="S122" s="250" t="str">
        <f>IF('Report History'!MA22=0,"",IFERROR('Report History'!MA22,""))</f>
        <v>NO</v>
      </c>
      <c r="T122" s="251" t="str">
        <f>IF('Report History'!MB22=0,"",IFERROR('Report History'!MB22,""))</f>
        <v/>
      </c>
      <c r="U122" s="67" t="str">
        <f>IF('Report History'!MC22=0,"",IFERROR('Report History'!MC22,""))</f>
        <v>Dock clear?</v>
      </c>
      <c r="V122" s="68"/>
      <c r="W122" s="69"/>
      <c r="X122" s="250" t="str">
        <f>IF('Report History'!MF22=0,"",IFERROR('Report History'!MF22,""))</f>
        <v>YES</v>
      </c>
      <c r="Y122" s="251" t="str">
        <f>IF('Report History'!MG22=0,"",IFERROR('Report History'!MG22,""))</f>
        <v/>
      </c>
      <c r="Z122" s="67" t="str">
        <f>IF('Report History'!MH22=0,"",IFERROR('Report History'!MH22,""))</f>
        <v>Dock clear?</v>
      </c>
      <c r="AA122" s="68"/>
      <c r="AB122" s="69"/>
      <c r="AC122" s="250" t="str">
        <f>IF('Report History'!MK22=0,"",IFERROR('Report History'!MK22,""))</f>
        <v>NO</v>
      </c>
      <c r="AD122" s="251" t="str">
        <f>IF('Report History'!ML22=0,"",IFERROR('Report History'!ML22,""))</f>
        <v/>
      </c>
      <c r="AE122" s="67" t="str">
        <f>IF('Report History'!MM22=0,"",IFERROR('Report History'!MM22,""))</f>
        <v>Dock clear?</v>
      </c>
      <c r="AF122" s="68"/>
      <c r="AG122" s="69"/>
      <c r="AH122" s="250" t="str">
        <f>IF('Report History'!MP22=0,"",IFERROR('Report History'!MP22,""))</f>
        <v>NO</v>
      </c>
      <c r="AI122" s="251" t="str">
        <f>IF('Report History'!MQ22=0,"",IFERROR('Report History'!MQ22,""))</f>
        <v/>
      </c>
      <c r="AJ122" s="67" t="str">
        <f>IF('Report History'!MR22=0,"",IFERROR('Report History'!MR22,""))</f>
        <v>Dock clear?</v>
      </c>
      <c r="AK122" s="68"/>
      <c r="AL122" s="69"/>
      <c r="AM122" s="250" t="str">
        <f>IF('Report History'!MU22=0,"",IFERROR('Report History'!MU22,""))</f>
        <v>NO</v>
      </c>
      <c r="AN122" s="251" t="str">
        <f>IF('Report History'!MV22=0,"",IFERROR('Report History'!MV22,""))</f>
        <v/>
      </c>
      <c r="AO122" s="67" t="str">
        <f>IF('Report History'!MW22=0,"",IFERROR('Report History'!MW22,""))</f>
        <v>Dock clear?</v>
      </c>
      <c r="AP122" s="68"/>
      <c r="AQ122" s="69"/>
      <c r="AR122" s="250" t="str">
        <f>IF('Report History'!MZ22=0,"",IFERROR('Report History'!MZ22,""))</f>
        <v>NO</v>
      </c>
      <c r="AS122" s="251" t="str">
        <f>IF('Report History'!NA22=0,"",IFERROR('Report History'!NA22,""))</f>
        <v/>
      </c>
      <c r="AT122" s="67" t="str">
        <f>IF('Report History'!NB22=0,"",IFERROR('Report History'!NB22,""))</f>
        <v>Dock clear?</v>
      </c>
      <c r="AU122" s="68"/>
      <c r="AV122" s="69"/>
      <c r="AW122" s="250" t="str">
        <f>IF('Report History'!NE22=0,"",IFERROR('Report History'!NE22,""))</f>
        <v>NO</v>
      </c>
      <c r="AX122" s="251" t="str">
        <f>IF('Report History'!NF22=0,"",IFERROR('Report History'!NF22,""))</f>
        <v/>
      </c>
      <c r="AY122" s="67" t="str">
        <f>IF('Report History'!NG22=0,"",IFERROR('Report History'!NG22,""))</f>
        <v>Dock clear?</v>
      </c>
      <c r="AZ122" s="68"/>
      <c r="BA122" s="69"/>
      <c r="BB122" s="250" t="str">
        <f>IF('Report History'!NJ22=0,"",IFERROR('Report History'!NJ22,""))</f>
        <v>NO</v>
      </c>
      <c r="BC122" s="251" t="str">
        <f>IF('Report History'!NK22=0,"",IFERROR('Report History'!NK22,""))</f>
        <v/>
      </c>
      <c r="BD122" s="67" t="str">
        <f>IF('Report History'!NL22=0,"",IFERROR('Report History'!NL22,""))</f>
        <v>Dock clear?</v>
      </c>
      <c r="BE122" s="68"/>
      <c r="BF122" s="69"/>
      <c r="BG122" s="250" t="str">
        <f>IF('Report History'!NO22=0,"",IFERROR('Report History'!NO22,""))</f>
        <v>NO</v>
      </c>
      <c r="BH122" s="251" t="str">
        <f>IF('Report History'!NP22=0,"",IFERROR('Report History'!NP22,""))</f>
        <v/>
      </c>
      <c r="BI122" s="67" t="str">
        <f>IF('Report History'!NQ22=0,"",IFERROR('Report History'!NQ22,""))</f>
        <v>Dock clear?</v>
      </c>
      <c r="BJ122" s="68"/>
      <c r="BK122" s="69"/>
      <c r="BL122" s="250" t="str">
        <f>IF('Report History'!NT22=0,"",IFERROR('Report History'!NT22,""))</f>
        <v>NO</v>
      </c>
      <c r="BM122" s="251" t="str">
        <f>IF('Report History'!NU22=0,"",IFERROR('Report History'!NU22,""))</f>
        <v/>
      </c>
      <c r="BN122" s="67" t="str">
        <f>IF('Report History'!NV22=0,"",IFERROR('Report History'!NV22,""))</f>
        <v>Dock clear?</v>
      </c>
      <c r="BO122" s="68"/>
      <c r="BP122" s="69"/>
      <c r="BQ122" s="250" t="str">
        <f>IF('Report History'!NY22=0,"",IFERROR('Report History'!NY22,""))</f>
        <v>NO</v>
      </c>
      <c r="BR122" s="251" t="str">
        <f>IF('Report History'!NZ22=0,"",IFERROR('Report History'!NZ22,""))</f>
        <v/>
      </c>
      <c r="BS122" s="67" t="str">
        <f>IF('Report History'!OA22=0,"",IFERROR('Report History'!OA22,""))</f>
        <v>Dock clear?</v>
      </c>
      <c r="BT122" s="68"/>
      <c r="BU122" s="69"/>
      <c r="BV122" s="250" t="str">
        <f>IF('Report History'!OD22=0,"",IFERROR('Report History'!OD22,""))</f>
        <v>NO</v>
      </c>
      <c r="BW122" s="251" t="str">
        <f>IF('Report History'!OE22=0,"",IFERROR('Report History'!OE22,""))</f>
        <v/>
      </c>
      <c r="BX122" s="67" t="str">
        <f>IF('Report History'!OF22=0,"",IFERROR('Report History'!OF22,""))</f>
        <v>Dock clear?</v>
      </c>
      <c r="BY122" s="68"/>
      <c r="BZ122" s="69"/>
      <c r="CA122" s="250" t="str">
        <f>IF('Report History'!OI22=0,"",IFERROR('Report History'!OI22,""))</f>
        <v>NO</v>
      </c>
      <c r="CB122" s="251" t="str">
        <f>IF('Report History'!OJ22=0,"",IFERROR('Report History'!OJ22,""))</f>
        <v/>
      </c>
      <c r="CC122" s="67" t="str">
        <f>IF('Report History'!OK22=0,"",IFERROR('Report History'!OK22,""))</f>
        <v>Dock clear?</v>
      </c>
      <c r="CD122" s="68"/>
      <c r="CE122" s="69"/>
      <c r="CF122" s="250" t="str">
        <f>IF('Report History'!ON22=0,"",IFERROR('Report History'!ON22,""))</f>
        <v>NO</v>
      </c>
      <c r="CG122" s="251" t="str">
        <f>IF('Report History'!OO22=0,"",IFERROR('Report History'!OO22,""))</f>
        <v/>
      </c>
      <c r="CH122" s="67" t="str">
        <f>IF('Report History'!OP22=0,"",IFERROR('Report History'!OP22,""))</f>
        <v>Dock clear?</v>
      </c>
      <c r="CI122" s="68"/>
      <c r="CJ122" s="69"/>
      <c r="CK122" s="250" t="str">
        <f>IF('Report History'!OS22=0,"",IFERROR('Report History'!OS22,""))</f>
        <v>NO</v>
      </c>
      <c r="CL122" s="251" t="str">
        <f>IF('Report History'!OT22=0,"",IFERROR('Report History'!OT22,""))</f>
        <v/>
      </c>
      <c r="CM122" s="67" t="str">
        <f>IF('Report History'!OU22=0,"",IFERROR('Report History'!OU22,""))</f>
        <v>Dock clear?</v>
      </c>
      <c r="CN122" s="68"/>
      <c r="CO122" s="69"/>
      <c r="CP122" s="250" t="str">
        <f>IF('Report History'!OX22=0,"",IFERROR('Report History'!OX22,""))</f>
        <v>NO</v>
      </c>
      <c r="CQ122" s="251" t="str">
        <f>IF('Report History'!OY22=0,"",IFERROR('Report History'!OY22,""))</f>
        <v/>
      </c>
      <c r="CR122" s="67" t="str">
        <f>IF('Report History'!OZ22=0,"",IFERROR('Report History'!OZ22,""))</f>
        <v>Dock clear?</v>
      </c>
      <c r="CS122" s="68"/>
      <c r="CT122" s="69"/>
      <c r="CU122" s="250" t="str">
        <f>IF('Report History'!PC22=0,"",IFERROR('Report History'!PC22,""))</f>
        <v>NO</v>
      </c>
      <c r="CV122" s="251" t="str">
        <f>IF('Report History'!PD22=0,"",IFERROR('Report History'!PD22,""))</f>
        <v/>
      </c>
      <c r="CW122" s="67" t="str">
        <f>IF('Report History'!PE22=0,"",IFERROR('Report History'!PE22,""))</f>
        <v>Dock clear?</v>
      </c>
      <c r="CX122" s="68"/>
      <c r="CY122" s="69"/>
      <c r="CZ122" s="250" t="str">
        <f>IF('Report History'!PH22=0,"",IFERROR('Report History'!PH22,""))</f>
        <v>NO</v>
      </c>
      <c r="DA122" s="251" t="str">
        <f>IF('Report History'!PI22=0,"",IFERROR('Report History'!PI22,""))</f>
        <v/>
      </c>
      <c r="DB122" s="67" t="str">
        <f>IF('Report History'!PJ22=0,"",IFERROR('Report History'!PJ22,""))</f>
        <v>Dock clear?</v>
      </c>
      <c r="DC122" s="68"/>
      <c r="DD122" s="69"/>
      <c r="DE122" s="250" t="str">
        <f>IF('Report History'!PM22=0,"",IFERROR('Report History'!PM22,""))</f>
        <v>NO</v>
      </c>
      <c r="DF122" s="251" t="str">
        <f>IF('Report History'!PN22=0,"",IFERROR('Report History'!PN22,""))</f>
        <v/>
      </c>
      <c r="DG122" s="67" t="str">
        <f>IF('Report History'!PO22=0,"",IFERROR('Report History'!PO22,""))</f>
        <v>Dock clear?</v>
      </c>
      <c r="DH122" s="68"/>
      <c r="DI122" s="69"/>
      <c r="DJ122" s="250" t="str">
        <f>IF('Report History'!PR22=0,"",IFERROR('Report History'!PR22,""))</f>
        <v>NO</v>
      </c>
      <c r="DK122" s="251" t="str">
        <f>IF('Report History'!PS22=0,"",IFERROR('Report History'!PS22,""))</f>
        <v/>
      </c>
      <c r="DL122" s="67" t="str">
        <f>IF('Report History'!PT22=0,"",IFERROR('Report History'!PT22,""))</f>
        <v>Dock clear?</v>
      </c>
      <c r="DM122" s="68"/>
      <c r="DN122" s="69"/>
      <c r="DO122" s="250" t="str">
        <f>IF('Report History'!PW22=0,"",IFERROR('Report History'!PW22,""))</f>
        <v>NO</v>
      </c>
      <c r="DP122" s="251" t="str">
        <f>IF('Report History'!PX22=0,"",IFERROR('Report History'!PX22,""))</f>
        <v/>
      </c>
      <c r="DQ122" s="67" t="str">
        <f>IF('Report History'!PY22=0,"",IFERROR('Report History'!PY22,""))</f>
        <v>Dock clear?</v>
      </c>
      <c r="DR122" s="68"/>
      <c r="DS122" s="69"/>
      <c r="DT122" s="250" t="str">
        <f>IF('Report History'!QB22=0,"",IFERROR('Report History'!QB22,""))</f>
        <v>NO</v>
      </c>
      <c r="DU122" s="251" t="str">
        <f>IF('Report History'!QC22=0,"",IFERROR('Report History'!QC22,""))</f>
        <v/>
      </c>
      <c r="DV122" s="67" t="str">
        <f>IF('Report History'!QD22=0,"",IFERROR('Report History'!QD22,""))</f>
        <v>Dock clear?</v>
      </c>
      <c r="DW122" s="68"/>
      <c r="DX122" s="69"/>
      <c r="DY122" s="250" t="str">
        <f>IF('Report History'!QG22=0,"",IFERROR('Report History'!QG22,""))</f>
        <v>NO</v>
      </c>
      <c r="DZ122" s="251" t="str">
        <f>IF('Report History'!QH22=0,"",IFERROR('Report History'!QH22,""))</f>
        <v/>
      </c>
      <c r="EA122" s="67" t="str">
        <f>IF('Report History'!QI22=0,"",IFERROR('Report History'!QI22,""))</f>
        <v>Dock clear?</v>
      </c>
      <c r="EB122" s="68"/>
      <c r="EC122" s="69"/>
      <c r="ED122" s="250" t="str">
        <f>IF('Report History'!QL22=0,"",IFERROR('Report History'!QL22,""))</f>
        <v>YES</v>
      </c>
      <c r="EE122" s="251" t="str">
        <f>IF('Report History'!QM22=0,"",IFERROR('Report History'!QM22,""))</f>
        <v/>
      </c>
      <c r="EF122" s="67" t="str">
        <f>IF('Report History'!QN22=0,"",IFERROR('Report History'!QN22,""))</f>
        <v>Dock clear?</v>
      </c>
      <c r="EG122" s="68"/>
      <c r="EH122" s="69"/>
      <c r="EI122" s="250" t="str">
        <f>IF('Report History'!QQ22=0,"",IFERROR('Report History'!QQ22,""))</f>
        <v>YES</v>
      </c>
      <c r="EJ122" s="251" t="str">
        <f>IF('Report History'!QR22=0,"",IFERROR('Report History'!QR22,""))</f>
        <v/>
      </c>
      <c r="EK122" s="67" t="str">
        <f>IF('Report History'!QS22=0,"",IFERROR('Report History'!QS22,""))</f>
        <v>Dock clear?</v>
      </c>
      <c r="EL122" s="68"/>
      <c r="EM122" s="69"/>
      <c r="EN122" s="250" t="str">
        <f>IF('Report History'!QV22=0,"",IFERROR('Report History'!QV22,""))</f>
        <v>NO</v>
      </c>
      <c r="EO122" s="251" t="str">
        <f>IF('Report History'!QW22=0,"",IFERROR('Report History'!QW22,""))</f>
        <v/>
      </c>
      <c r="EP122" s="67" t="str">
        <f>IF('Report History'!QX22=0,"",IFERROR('Report History'!QX22,""))</f>
        <v>Dock clear?</v>
      </c>
      <c r="EQ122" s="68"/>
      <c r="ER122" s="69"/>
      <c r="ES122" s="250" t="str">
        <f>IF('Report History'!RA22=0,"",IFERROR('Report History'!RA22,""))</f>
        <v>NO</v>
      </c>
      <c r="ET122" s="251" t="str">
        <f>IF('Report History'!RB22=0,"",IFERROR('Report History'!RB22,""))</f>
        <v/>
      </c>
      <c r="EU122" s="67" t="str">
        <f>IF('Report History'!RC22=0,"",IFERROR('Report History'!RC22,""))</f>
        <v>Dock clear?</v>
      </c>
      <c r="EV122" s="68"/>
      <c r="EW122" s="69"/>
      <c r="EX122" s="250" t="str">
        <f>IF('Report History'!RF22=0,"",IFERROR('Report History'!RF22,""))</f>
        <v>NO</v>
      </c>
      <c r="EY122" s="251" t="str">
        <f>IF('Report History'!RG22=0,"",IFERROR('Report History'!RG22,""))</f>
        <v/>
      </c>
      <c r="EZ122" s="67" t="str">
        <f>IF('Report History'!RH22=0,"",IFERROR('Report History'!RH22,""))</f>
        <v>Dock clear?</v>
      </c>
      <c r="FA122" s="68"/>
      <c r="FB122" s="69"/>
      <c r="FC122" s="250" t="str">
        <f>IF('Report History'!RK22=0,"",IFERROR('Report History'!RK22,""))</f>
        <v>NO</v>
      </c>
      <c r="FD122" s="251" t="str">
        <f>IF('Report History'!RL22=0,"",IFERROR('Report History'!RL22,""))</f>
        <v/>
      </c>
      <c r="FE122" s="67" t="str">
        <f>IF('Report History'!RM22=0,"",IFERROR('Report History'!RM22,""))</f>
        <v>Dock clear?</v>
      </c>
      <c r="FF122" s="68"/>
      <c r="FG122" s="69"/>
      <c r="FH122" s="250" t="str">
        <f>IF('Report History'!RP22=0,"",IFERROR('Report History'!RP22,""))</f>
        <v>NO</v>
      </c>
      <c r="FI122" s="251" t="str">
        <f>IF('Report History'!RQ22=0,"",IFERROR('Report History'!RQ22,""))</f>
        <v/>
      </c>
      <c r="FJ122" s="67" t="str">
        <f>IF('Report History'!RR22=0,"",IFERROR('Report History'!RR22,""))</f>
        <v>Dock clear?</v>
      </c>
      <c r="FK122" s="68"/>
      <c r="FL122" s="69"/>
      <c r="FM122" s="250" t="str">
        <f>IF('Report History'!RU22=0,"",IFERROR('Report History'!RU22,""))</f>
        <v>NO</v>
      </c>
      <c r="FN122" s="251" t="str">
        <f>IF('Report History'!RV22=0,"",IFERROR('Report History'!RV22,""))</f>
        <v/>
      </c>
      <c r="FO122" s="67" t="str">
        <f>IF('Report History'!RW22=0,"",IFERROR('Report History'!RW22,""))</f>
        <v>Dock clear?</v>
      </c>
      <c r="FP122" s="68"/>
      <c r="FQ122" s="69"/>
      <c r="FR122" s="250" t="str">
        <f>IF('Report History'!RZ22=0,"",IFERROR('Report History'!RZ22,""))</f>
        <v>NO</v>
      </c>
      <c r="FS122" s="251" t="str">
        <f>IF('Report History'!SA22=0,"",IFERROR('Report History'!SA22,""))</f>
        <v/>
      </c>
      <c r="FT122" s="67" t="str">
        <f>IF('Report History'!SB22=0,"",IFERROR('Report History'!SB22,""))</f>
        <v>Dock clear?</v>
      </c>
      <c r="FU122" s="68"/>
      <c r="FV122" s="69"/>
      <c r="FW122" s="250" t="str">
        <f>IF('Report History'!SE22=0,"",IFERROR('Report History'!SE22,""))</f>
        <v>NO</v>
      </c>
      <c r="FX122" s="251" t="str">
        <f>IF('Report History'!SF22=0,"",IFERROR('Report History'!SF22,""))</f>
        <v/>
      </c>
      <c r="FY122" s="67" t="str">
        <f>IF('Report History'!SG22=0,"",IFERROR('Report History'!SG22,""))</f>
        <v>Dock clear?</v>
      </c>
      <c r="FZ122" s="68"/>
      <c r="GA122" s="69"/>
      <c r="GB122" s="250" t="str">
        <f>IF('Report History'!SJ22=0,"",IFERROR('Report History'!SJ22,""))</f>
        <v>NO</v>
      </c>
      <c r="GC122" s="251" t="str">
        <f>IF('Report History'!SK22=0,"",IFERROR('Report History'!SK22,""))</f>
        <v/>
      </c>
      <c r="GD122" s="67" t="str">
        <f>IF('Report History'!SL22=0,"",IFERROR('Report History'!SL22,""))</f>
        <v>Dock clear?</v>
      </c>
      <c r="GE122" s="68"/>
      <c r="GF122" s="69"/>
      <c r="GG122" s="250" t="str">
        <f>IF('Report History'!SO22=0,"",IFERROR('Report History'!SO22,""))</f>
        <v>NO</v>
      </c>
      <c r="GH122" s="251" t="str">
        <f>IF('Report History'!SP22=0,"",IFERROR('Report History'!SP22,""))</f>
        <v/>
      </c>
      <c r="GI122" s="67" t="str">
        <f>IF('Report History'!SQ22=0,"",IFERROR('Report History'!SQ22,""))</f>
        <v>Dock clear?</v>
      </c>
      <c r="GJ122" s="68"/>
      <c r="GK122" s="69"/>
      <c r="GL122" s="250" t="str">
        <f>IF('Report History'!ST22=0,"",IFERROR('Report History'!ST22,""))</f>
        <v>NO</v>
      </c>
      <c r="GM122" s="251" t="str">
        <f>IF('Report History'!SU22=0,"",IFERROR('Report History'!SU22,""))</f>
        <v/>
      </c>
      <c r="GN122" s="67" t="str">
        <f>IF('Report History'!SV22=0,"",IFERROR('Report History'!SV22,""))</f>
        <v>Dock clear?</v>
      </c>
      <c r="GO122" s="68"/>
      <c r="GP122" s="69"/>
      <c r="GQ122" s="250" t="str">
        <f>IF('Report History'!SY22=0,"",IFERROR('Report History'!SY22,""))</f>
        <v>NO</v>
      </c>
      <c r="GR122" s="251" t="str">
        <f>IF('Report History'!SZ22=0,"",IFERROR('Report History'!SZ22,""))</f>
        <v/>
      </c>
      <c r="GS122" s="67" t="str">
        <f>IF('Report History'!TA22=0,"",IFERROR('Report History'!TA22,""))</f>
        <v>Dock clear?</v>
      </c>
      <c r="GT122" s="68"/>
      <c r="GU122" s="69"/>
      <c r="GV122" s="250" t="str">
        <f>IF('Report History'!TD22=0,"",IFERROR('Report History'!TD22,""))</f>
        <v>NO</v>
      </c>
      <c r="GW122" s="251" t="str">
        <f>IF('Report History'!TE22=0,"",IFERROR('Report History'!TE22,""))</f>
        <v/>
      </c>
      <c r="GX122" s="67" t="str">
        <f>IF('Report History'!TF22=0,"",IFERROR('Report History'!TF22,""))</f>
        <v>Dock clear?</v>
      </c>
      <c r="GY122" s="68"/>
      <c r="GZ122" s="69"/>
      <c r="HA122" s="250" t="str">
        <f>IF('Report History'!TI22=0,"",IFERROR('Report History'!TI22,""))</f>
        <v>NO</v>
      </c>
      <c r="HB122" s="251" t="str">
        <f>IF('Report History'!TJ22=0,"",IFERROR('Report History'!TJ22,""))</f>
        <v/>
      </c>
      <c r="HC122" s="67" t="str">
        <f>IF('Report History'!TK22=0,"",IFERROR('Report History'!TK22,""))</f>
        <v>Dock clear?</v>
      </c>
      <c r="HD122" s="68"/>
      <c r="HE122" s="69"/>
      <c r="HF122" s="250" t="str">
        <f>IF('Report History'!TN22=0,"",IFERROR('Report History'!TN22,""))</f>
        <v>NO</v>
      </c>
      <c r="HG122" s="251" t="str">
        <f>IF('Report History'!TO22=0,"",IFERROR('Report History'!TO22,""))</f>
        <v/>
      </c>
      <c r="HH122" s="67" t="str">
        <f>IF('Report History'!TP22=0,"",IFERROR('Report History'!TP22,""))</f>
        <v>Dock clear?</v>
      </c>
      <c r="HI122" s="68"/>
      <c r="HJ122" s="69"/>
      <c r="HK122" s="250" t="str">
        <f>IF('Report History'!TS22=0,"",IFERROR('Report History'!TS22,""))</f>
        <v>NO</v>
      </c>
      <c r="HL122" s="251" t="str">
        <f>IF('Report History'!TT22=0,"",IFERROR('Report History'!TT22,""))</f>
        <v/>
      </c>
      <c r="HM122" s="67" t="str">
        <f>IF('Report History'!TU22=0,"",IFERROR('Report History'!TU22,""))</f>
        <v>Dock clear?</v>
      </c>
      <c r="HN122" s="68"/>
      <c r="HO122" s="69"/>
      <c r="HP122" s="250" t="str">
        <f>IF('Report History'!TX22=0,"",IFERROR('Report History'!TX22,""))</f>
        <v>NO</v>
      </c>
      <c r="HQ122" s="251" t="str">
        <f>IF('Report History'!TY22=0,"",IFERROR('Report History'!TY22,""))</f>
        <v/>
      </c>
      <c r="HR122" s="67" t="str">
        <f>IF('Report History'!TZ22=0,"",IFERROR('Report History'!TZ22,""))</f>
        <v>Dock clear?</v>
      </c>
      <c r="HS122" s="68"/>
      <c r="HT122" s="69"/>
      <c r="HU122" s="250" t="str">
        <f>IF('Report History'!UC22=0,"",IFERROR('Report History'!UC22,""))</f>
        <v>NO</v>
      </c>
      <c r="HV122" s="251" t="str">
        <f>IF('Report History'!UD22=0,"",IFERROR('Report History'!UD22,""))</f>
        <v/>
      </c>
      <c r="HW122" s="67" t="str">
        <f>IF('Report History'!UE22=0,"",IFERROR('Report History'!UE22,""))</f>
        <v>Dock clear?</v>
      </c>
      <c r="HX122" s="68"/>
      <c r="HY122" s="69"/>
      <c r="HZ122" s="250" t="str">
        <f>IF('Report History'!UH22=0,"",IFERROR('Report History'!UH22,""))</f>
        <v>NO</v>
      </c>
      <c r="IA122" s="251" t="str">
        <f>IF('Report History'!UI22=0,"",IFERROR('Report History'!UI22,""))</f>
        <v/>
      </c>
      <c r="IB122" s="67" t="str">
        <f>IF('Report History'!UJ22=0,"",IFERROR('Report History'!UJ22,""))</f>
        <v>Dock clear?</v>
      </c>
      <c r="IC122" s="68"/>
      <c r="ID122" s="69"/>
      <c r="IE122" s="250" t="str">
        <f>IF('Report History'!UM22=0,"",IFERROR('Report History'!UM22,""))</f>
        <v>NO</v>
      </c>
      <c r="IF122" s="251" t="str">
        <f>IF('Report History'!UN22=0,"",IFERROR('Report History'!UN22,""))</f>
        <v/>
      </c>
      <c r="IG122" s="67" t="str">
        <f>IF('Report History'!UO22=0,"",IFERROR('Report History'!UO22,""))</f>
        <v>Dock clear?</v>
      </c>
      <c r="IH122" s="68"/>
      <c r="II122" s="69"/>
      <c r="IJ122" s="250" t="str">
        <f>IF('Report History'!UR22=0,"",IFERROR('Report History'!UR22,""))</f>
        <v>NO</v>
      </c>
      <c r="IK122" s="251" t="str">
        <f>IF('Report History'!US22=0,"",IFERROR('Report History'!US22,""))</f>
        <v/>
      </c>
      <c r="IL122" s="67" t="str">
        <f>IF('Report History'!UT22=0,"",IFERROR('Report History'!UT22,""))</f>
        <v>Dock clear?</v>
      </c>
      <c r="IM122" s="68"/>
      <c r="IN122" s="69"/>
      <c r="IO122" s="250" t="str">
        <f>IF('Report History'!UW22=0,"",IFERROR('Report History'!UW22,""))</f>
        <v>NO</v>
      </c>
      <c r="IP122" s="251" t="str">
        <f>IF('Report History'!UX22=0,"",IFERROR('Report History'!UX22,""))</f>
        <v/>
      </c>
    </row>
    <row r="123" spans="1:250" ht="15.6" x14ac:dyDescent="0.3">
      <c r="A123" s="67" t="str">
        <f>IF('Report History'!LI23=0,"",IFERROR('Report History'!LI23,""))</f>
        <v>TACS clear?</v>
      </c>
      <c r="B123" s="68"/>
      <c r="C123" s="69"/>
      <c r="D123" s="250" t="str">
        <f>IF('Report History'!LL23=0,"",IFERROR('Report History'!LL23,""))</f>
        <v>YES</v>
      </c>
      <c r="E123" s="251" t="str">
        <f>IF('Report History'!LM23=0,"",IFERROR('Report History'!LM23,""))</f>
        <v/>
      </c>
      <c r="F123" s="67" t="str">
        <f>IF('Report History'!LN23=0,"",IFERROR('Report History'!LN23,""))</f>
        <v>TACS clear?</v>
      </c>
      <c r="G123" s="68"/>
      <c r="H123" s="69"/>
      <c r="I123" s="250" t="str">
        <f>IF('Report History'!LQ23=0,"",IFERROR('Report History'!LQ23,""))</f>
        <v>YES</v>
      </c>
      <c r="J123" s="251" t="str">
        <f>IF('Report History'!LR23=0,"",IFERROR('Report History'!LR23,""))</f>
        <v/>
      </c>
      <c r="K123" s="67" t="str">
        <f>IF('Report History'!LS23=0,"",IFERROR('Report History'!LS23,""))</f>
        <v>TACS clear?</v>
      </c>
      <c r="L123" s="68"/>
      <c r="M123" s="69"/>
      <c r="N123" s="250" t="str">
        <f>IF('Report History'!LV23=0,"",IFERROR('Report History'!LV23,""))</f>
        <v>YES</v>
      </c>
      <c r="O123" s="251" t="str">
        <f>IF('Report History'!LW23=0,"",IFERROR('Report History'!LW23,""))</f>
        <v/>
      </c>
      <c r="P123" s="67" t="str">
        <f>IF('Report History'!LX23=0,"",IFERROR('Report History'!LX23,""))</f>
        <v>TACS clear?</v>
      </c>
      <c r="Q123" s="68"/>
      <c r="R123" s="69"/>
      <c r="S123" s="250" t="str">
        <f>IF('Report History'!MA23=0,"",IFERROR('Report History'!MA23,""))</f>
        <v>YES</v>
      </c>
      <c r="T123" s="251" t="str">
        <f>IF('Report History'!MB23=0,"",IFERROR('Report History'!MB23,""))</f>
        <v/>
      </c>
      <c r="U123" s="67" t="str">
        <f>IF('Report History'!MC23=0,"",IFERROR('Report History'!MC23,""))</f>
        <v>TACS clear?</v>
      </c>
      <c r="V123" s="68"/>
      <c r="W123" s="69"/>
      <c r="X123" s="250" t="str">
        <f>IF('Report History'!MF23=0,"",IFERROR('Report History'!MF23,""))</f>
        <v>YES</v>
      </c>
      <c r="Y123" s="251" t="str">
        <f>IF('Report History'!MG23=0,"",IFERROR('Report History'!MG23,""))</f>
        <v/>
      </c>
      <c r="Z123" s="67" t="str">
        <f>IF('Report History'!MH23=0,"",IFERROR('Report History'!MH23,""))</f>
        <v>TACS clear?</v>
      </c>
      <c r="AA123" s="68"/>
      <c r="AB123" s="69"/>
      <c r="AC123" s="250" t="str">
        <f>IF('Report History'!MK23=0,"",IFERROR('Report History'!MK23,""))</f>
        <v>NO</v>
      </c>
      <c r="AD123" s="251" t="str">
        <f>IF('Report History'!ML23=0,"",IFERROR('Report History'!ML23,""))</f>
        <v/>
      </c>
      <c r="AE123" s="67" t="str">
        <f>IF('Report History'!MM23=0,"",IFERROR('Report History'!MM23,""))</f>
        <v>TACS clear?</v>
      </c>
      <c r="AF123" s="68"/>
      <c r="AG123" s="69"/>
      <c r="AH123" s="250" t="str">
        <f>IF('Report History'!MP23=0,"",IFERROR('Report History'!MP23,""))</f>
        <v>NO</v>
      </c>
      <c r="AI123" s="251" t="str">
        <f>IF('Report History'!MQ23=0,"",IFERROR('Report History'!MQ23,""))</f>
        <v/>
      </c>
      <c r="AJ123" s="67" t="str">
        <f>IF('Report History'!MR23=0,"",IFERROR('Report History'!MR23,""))</f>
        <v>TACS clear?</v>
      </c>
      <c r="AK123" s="68"/>
      <c r="AL123" s="69"/>
      <c r="AM123" s="250" t="str">
        <f>IF('Report History'!MU23=0,"",IFERROR('Report History'!MU23,""))</f>
        <v>NO</v>
      </c>
      <c r="AN123" s="251" t="str">
        <f>IF('Report History'!MV23=0,"",IFERROR('Report History'!MV23,""))</f>
        <v/>
      </c>
      <c r="AO123" s="67" t="str">
        <f>IF('Report History'!MW23=0,"",IFERROR('Report History'!MW23,""))</f>
        <v>TACS clear?</v>
      </c>
      <c r="AP123" s="68"/>
      <c r="AQ123" s="69"/>
      <c r="AR123" s="250" t="str">
        <f>IF('Report History'!MZ23=0,"",IFERROR('Report History'!MZ23,""))</f>
        <v>NO</v>
      </c>
      <c r="AS123" s="251" t="str">
        <f>IF('Report History'!NA23=0,"",IFERROR('Report History'!NA23,""))</f>
        <v/>
      </c>
      <c r="AT123" s="67" t="str">
        <f>IF('Report History'!NB23=0,"",IFERROR('Report History'!NB23,""))</f>
        <v>TACS clear?</v>
      </c>
      <c r="AU123" s="68"/>
      <c r="AV123" s="69"/>
      <c r="AW123" s="250" t="str">
        <f>IF('Report History'!NE23=0,"",IFERROR('Report History'!NE23,""))</f>
        <v>YES</v>
      </c>
      <c r="AX123" s="251" t="str">
        <f>IF('Report History'!NF23=0,"",IFERROR('Report History'!NF23,""))</f>
        <v/>
      </c>
      <c r="AY123" s="67" t="str">
        <f>IF('Report History'!NG23=0,"",IFERROR('Report History'!NG23,""))</f>
        <v>TACS clear?</v>
      </c>
      <c r="AZ123" s="68"/>
      <c r="BA123" s="69"/>
      <c r="BB123" s="250" t="str">
        <f>IF('Report History'!NJ23=0,"",IFERROR('Report History'!NJ23,""))</f>
        <v>YES</v>
      </c>
      <c r="BC123" s="251" t="str">
        <f>IF('Report History'!NK23=0,"",IFERROR('Report History'!NK23,""))</f>
        <v/>
      </c>
      <c r="BD123" s="67" t="str">
        <f>IF('Report History'!NL23=0,"",IFERROR('Report History'!NL23,""))</f>
        <v>TACS clear?</v>
      </c>
      <c r="BE123" s="68"/>
      <c r="BF123" s="69"/>
      <c r="BG123" s="250" t="str">
        <f>IF('Report History'!NO23=0,"",IFERROR('Report History'!NO23,""))</f>
        <v>YES</v>
      </c>
      <c r="BH123" s="251" t="str">
        <f>IF('Report History'!NP23=0,"",IFERROR('Report History'!NP23,""))</f>
        <v/>
      </c>
      <c r="BI123" s="67" t="str">
        <f>IF('Report History'!NQ23=0,"",IFERROR('Report History'!NQ23,""))</f>
        <v>TACS clear?</v>
      </c>
      <c r="BJ123" s="68"/>
      <c r="BK123" s="69"/>
      <c r="BL123" s="250" t="str">
        <f>IF('Report History'!NT23=0,"",IFERROR('Report History'!NT23,""))</f>
        <v>YES</v>
      </c>
      <c r="BM123" s="251" t="str">
        <f>IF('Report History'!NU23=0,"",IFERROR('Report History'!NU23,""))</f>
        <v/>
      </c>
      <c r="BN123" s="67" t="str">
        <f>IF('Report History'!NV23=0,"",IFERROR('Report History'!NV23,""))</f>
        <v>TACS clear?</v>
      </c>
      <c r="BO123" s="68"/>
      <c r="BP123" s="69"/>
      <c r="BQ123" s="250" t="str">
        <f>IF('Report History'!NY23=0,"",IFERROR('Report History'!NY23,""))</f>
        <v>NO</v>
      </c>
      <c r="BR123" s="251" t="str">
        <f>IF('Report History'!NZ23=0,"",IFERROR('Report History'!NZ23,""))</f>
        <v/>
      </c>
      <c r="BS123" s="67" t="str">
        <f>IF('Report History'!OA23=0,"",IFERROR('Report History'!OA23,""))</f>
        <v>TACS clear?</v>
      </c>
      <c r="BT123" s="68"/>
      <c r="BU123" s="69"/>
      <c r="BV123" s="250" t="str">
        <f>IF('Report History'!OD23=0,"",IFERROR('Report History'!OD23,""))</f>
        <v>NO</v>
      </c>
      <c r="BW123" s="251" t="str">
        <f>IF('Report History'!OE23=0,"",IFERROR('Report History'!OE23,""))</f>
        <v/>
      </c>
      <c r="BX123" s="67" t="str">
        <f>IF('Report History'!OF23=0,"",IFERROR('Report History'!OF23,""))</f>
        <v>TACS clear?</v>
      </c>
      <c r="BY123" s="68"/>
      <c r="BZ123" s="69"/>
      <c r="CA123" s="250" t="str">
        <f>IF('Report History'!OI23=0,"",IFERROR('Report History'!OI23,""))</f>
        <v>NO</v>
      </c>
      <c r="CB123" s="251" t="str">
        <f>IF('Report History'!OJ23=0,"",IFERROR('Report History'!OJ23,""))</f>
        <v/>
      </c>
      <c r="CC123" s="67" t="str">
        <f>IF('Report History'!OK23=0,"",IFERROR('Report History'!OK23,""))</f>
        <v>TACS clear?</v>
      </c>
      <c r="CD123" s="68"/>
      <c r="CE123" s="69"/>
      <c r="CF123" s="250" t="str">
        <f>IF('Report History'!ON23=0,"",IFERROR('Report History'!ON23,""))</f>
        <v>NO</v>
      </c>
      <c r="CG123" s="251" t="str">
        <f>IF('Report History'!OO23=0,"",IFERROR('Report History'!OO23,""))</f>
        <v/>
      </c>
      <c r="CH123" s="67" t="str">
        <f>IF('Report History'!OP23=0,"",IFERROR('Report History'!OP23,""))</f>
        <v>TACS clear?</v>
      </c>
      <c r="CI123" s="68"/>
      <c r="CJ123" s="69"/>
      <c r="CK123" s="250" t="str">
        <f>IF('Report History'!OS23=0,"",IFERROR('Report History'!OS23,""))</f>
        <v>YES</v>
      </c>
      <c r="CL123" s="251" t="str">
        <f>IF('Report History'!OT23=0,"",IFERROR('Report History'!OT23,""))</f>
        <v/>
      </c>
      <c r="CM123" s="67" t="str">
        <f>IF('Report History'!OU23=0,"",IFERROR('Report History'!OU23,""))</f>
        <v>TACS clear?</v>
      </c>
      <c r="CN123" s="68"/>
      <c r="CO123" s="69"/>
      <c r="CP123" s="250" t="str">
        <f>IF('Report History'!OX23=0,"",IFERROR('Report History'!OX23,""))</f>
        <v>YES</v>
      </c>
      <c r="CQ123" s="251" t="str">
        <f>IF('Report History'!OY23=0,"",IFERROR('Report History'!OY23,""))</f>
        <v/>
      </c>
      <c r="CR123" s="67" t="str">
        <f>IF('Report History'!OZ23=0,"",IFERROR('Report History'!OZ23,""))</f>
        <v>TACS clear?</v>
      </c>
      <c r="CS123" s="68"/>
      <c r="CT123" s="69"/>
      <c r="CU123" s="250" t="str">
        <f>IF('Report History'!PC23=0,"",IFERROR('Report History'!PC23,""))</f>
        <v>YES</v>
      </c>
      <c r="CV123" s="251" t="str">
        <f>IF('Report History'!PD23=0,"",IFERROR('Report History'!PD23,""))</f>
        <v/>
      </c>
      <c r="CW123" s="67" t="str">
        <f>IF('Report History'!PE23=0,"",IFERROR('Report History'!PE23,""))</f>
        <v>TACS clear?</v>
      </c>
      <c r="CX123" s="68"/>
      <c r="CY123" s="69"/>
      <c r="CZ123" s="250" t="str">
        <f>IF('Report History'!PH23=0,"",IFERROR('Report History'!PH23,""))</f>
        <v>YES</v>
      </c>
      <c r="DA123" s="251" t="str">
        <f>IF('Report History'!PI23=0,"",IFERROR('Report History'!PI23,""))</f>
        <v/>
      </c>
      <c r="DB123" s="67" t="str">
        <f>IF('Report History'!PJ23=0,"",IFERROR('Report History'!PJ23,""))</f>
        <v>TACS clear?</v>
      </c>
      <c r="DC123" s="68"/>
      <c r="DD123" s="69"/>
      <c r="DE123" s="250" t="str">
        <f>IF('Report History'!PM23=0,"",IFERROR('Report History'!PM23,""))</f>
        <v>YES</v>
      </c>
      <c r="DF123" s="251" t="str">
        <f>IF('Report History'!PN23=0,"",IFERROR('Report History'!PN23,""))</f>
        <v/>
      </c>
      <c r="DG123" s="67" t="str">
        <f>IF('Report History'!PO23=0,"",IFERROR('Report History'!PO23,""))</f>
        <v>TACS clear?</v>
      </c>
      <c r="DH123" s="68"/>
      <c r="DI123" s="69"/>
      <c r="DJ123" s="250" t="str">
        <f>IF('Report History'!PR23=0,"",IFERROR('Report History'!PR23,""))</f>
        <v>YES</v>
      </c>
      <c r="DK123" s="251" t="str">
        <f>IF('Report History'!PS23=0,"",IFERROR('Report History'!PS23,""))</f>
        <v/>
      </c>
      <c r="DL123" s="67" t="str">
        <f>IF('Report History'!PT23=0,"",IFERROR('Report History'!PT23,""))</f>
        <v>TACS clear?</v>
      </c>
      <c r="DM123" s="68"/>
      <c r="DN123" s="69"/>
      <c r="DO123" s="250" t="str">
        <f>IF('Report History'!PW23=0,"",IFERROR('Report History'!PW23,""))</f>
        <v>YES</v>
      </c>
      <c r="DP123" s="251" t="str">
        <f>IF('Report History'!PX23=0,"",IFERROR('Report History'!PX23,""))</f>
        <v/>
      </c>
      <c r="DQ123" s="67" t="str">
        <f>IF('Report History'!PY23=0,"",IFERROR('Report History'!PY23,""))</f>
        <v>TACS clear?</v>
      </c>
      <c r="DR123" s="68"/>
      <c r="DS123" s="69"/>
      <c r="DT123" s="250" t="str">
        <f>IF('Report History'!QB23=0,"",IFERROR('Report History'!QB23,""))</f>
        <v>YES</v>
      </c>
      <c r="DU123" s="251" t="str">
        <f>IF('Report History'!QC23=0,"",IFERROR('Report History'!QC23,""))</f>
        <v/>
      </c>
      <c r="DV123" s="67" t="str">
        <f>IF('Report History'!QD23=0,"",IFERROR('Report History'!QD23,""))</f>
        <v>TACS clear?</v>
      </c>
      <c r="DW123" s="68"/>
      <c r="DX123" s="69"/>
      <c r="DY123" s="250" t="str">
        <f>IF('Report History'!QG23=0,"",IFERROR('Report History'!QG23,""))</f>
        <v>YES</v>
      </c>
      <c r="DZ123" s="251" t="str">
        <f>IF('Report History'!QH23=0,"",IFERROR('Report History'!QH23,""))</f>
        <v/>
      </c>
      <c r="EA123" s="67" t="str">
        <f>IF('Report History'!QI23=0,"",IFERROR('Report History'!QI23,""))</f>
        <v>TACS clear?</v>
      </c>
      <c r="EB123" s="68"/>
      <c r="EC123" s="69"/>
      <c r="ED123" s="250" t="str">
        <f>IF('Report History'!QL23=0,"",IFERROR('Report History'!QL23,""))</f>
        <v>YES</v>
      </c>
      <c r="EE123" s="251" t="str">
        <f>IF('Report History'!QM23=0,"",IFERROR('Report History'!QM23,""))</f>
        <v/>
      </c>
      <c r="EF123" s="67" t="str">
        <f>IF('Report History'!QN23=0,"",IFERROR('Report History'!QN23,""))</f>
        <v>TACS clear?</v>
      </c>
      <c r="EG123" s="68"/>
      <c r="EH123" s="69"/>
      <c r="EI123" s="250" t="str">
        <f>IF('Report History'!QQ23=0,"",IFERROR('Report History'!QQ23,""))</f>
        <v>YES</v>
      </c>
      <c r="EJ123" s="251" t="str">
        <f>IF('Report History'!QR23=0,"",IFERROR('Report History'!QR23,""))</f>
        <v/>
      </c>
      <c r="EK123" s="67" t="str">
        <f>IF('Report History'!QS23=0,"",IFERROR('Report History'!QS23,""))</f>
        <v>TACS clear?</v>
      </c>
      <c r="EL123" s="68"/>
      <c r="EM123" s="69"/>
      <c r="EN123" s="250" t="str">
        <f>IF('Report History'!QV23=0,"",IFERROR('Report History'!QV23,""))</f>
        <v>YES</v>
      </c>
      <c r="EO123" s="251" t="str">
        <f>IF('Report History'!QW23=0,"",IFERROR('Report History'!QW23,""))</f>
        <v/>
      </c>
      <c r="EP123" s="67" t="str">
        <f>IF('Report History'!QX23=0,"",IFERROR('Report History'!QX23,""))</f>
        <v>TACS clear?</v>
      </c>
      <c r="EQ123" s="68"/>
      <c r="ER123" s="69"/>
      <c r="ES123" s="250" t="str">
        <f>IF('Report History'!RA23=0,"",IFERROR('Report History'!RA23,""))</f>
        <v>NO</v>
      </c>
      <c r="ET123" s="251" t="str">
        <f>IF('Report History'!RB23=0,"",IFERROR('Report History'!RB23,""))</f>
        <v/>
      </c>
      <c r="EU123" s="67" t="str">
        <f>IF('Report History'!RC23=0,"",IFERROR('Report History'!RC23,""))</f>
        <v>TACS clear?</v>
      </c>
      <c r="EV123" s="68"/>
      <c r="EW123" s="69"/>
      <c r="EX123" s="250" t="str">
        <f>IF('Report History'!RF23=0,"",IFERROR('Report History'!RF23,""))</f>
        <v>NO</v>
      </c>
      <c r="EY123" s="251" t="str">
        <f>IF('Report History'!RG23=0,"",IFERROR('Report History'!RG23,""))</f>
        <v/>
      </c>
      <c r="EZ123" s="67" t="str">
        <f>IF('Report History'!RH23=0,"",IFERROR('Report History'!RH23,""))</f>
        <v>TACS clear?</v>
      </c>
      <c r="FA123" s="68"/>
      <c r="FB123" s="69"/>
      <c r="FC123" s="250" t="str">
        <f>IF('Report History'!RK23=0,"",IFERROR('Report History'!RK23,""))</f>
        <v>YES</v>
      </c>
      <c r="FD123" s="251" t="str">
        <f>IF('Report History'!RL23=0,"",IFERROR('Report History'!RL23,""))</f>
        <v/>
      </c>
      <c r="FE123" s="67" t="str">
        <f>IF('Report History'!RM23=0,"",IFERROR('Report History'!RM23,""))</f>
        <v>TACS clear?</v>
      </c>
      <c r="FF123" s="68"/>
      <c r="FG123" s="69"/>
      <c r="FH123" s="250" t="str">
        <f>IF('Report History'!RP23=0,"",IFERROR('Report History'!RP23,""))</f>
        <v>NO</v>
      </c>
      <c r="FI123" s="251" t="str">
        <f>IF('Report History'!RQ23=0,"",IFERROR('Report History'!RQ23,""))</f>
        <v/>
      </c>
      <c r="FJ123" s="67" t="str">
        <f>IF('Report History'!RR23=0,"",IFERROR('Report History'!RR23,""))</f>
        <v>TACS clear?</v>
      </c>
      <c r="FK123" s="68"/>
      <c r="FL123" s="69"/>
      <c r="FM123" s="250" t="str">
        <f>IF('Report History'!RU23=0,"",IFERROR('Report History'!RU23,""))</f>
        <v>YES</v>
      </c>
      <c r="FN123" s="251" t="str">
        <f>IF('Report History'!RV23=0,"",IFERROR('Report History'!RV23,""))</f>
        <v/>
      </c>
      <c r="FO123" s="67" t="str">
        <f>IF('Report History'!RW23=0,"",IFERROR('Report History'!RW23,""))</f>
        <v>TACS clear?</v>
      </c>
      <c r="FP123" s="68"/>
      <c r="FQ123" s="69"/>
      <c r="FR123" s="250" t="str">
        <f>IF('Report History'!RZ23=0,"",IFERROR('Report History'!RZ23,""))</f>
        <v>YES</v>
      </c>
      <c r="FS123" s="251" t="str">
        <f>IF('Report History'!SA23=0,"",IFERROR('Report History'!SA23,""))</f>
        <v/>
      </c>
      <c r="FT123" s="67" t="str">
        <f>IF('Report History'!SB23=0,"",IFERROR('Report History'!SB23,""))</f>
        <v>TACS clear?</v>
      </c>
      <c r="FU123" s="68"/>
      <c r="FV123" s="69"/>
      <c r="FW123" s="250" t="str">
        <f>IF('Report History'!SE23=0,"",IFERROR('Report History'!SE23,""))</f>
        <v>YES</v>
      </c>
      <c r="FX123" s="251" t="str">
        <f>IF('Report History'!SF23=0,"",IFERROR('Report History'!SF23,""))</f>
        <v/>
      </c>
      <c r="FY123" s="67" t="str">
        <f>IF('Report History'!SG23=0,"",IFERROR('Report History'!SG23,""))</f>
        <v>TACS clear?</v>
      </c>
      <c r="FZ123" s="68"/>
      <c r="GA123" s="69"/>
      <c r="GB123" s="250" t="str">
        <f>IF('Report History'!SJ23=0,"",IFERROR('Report History'!SJ23,""))</f>
        <v>YES</v>
      </c>
      <c r="GC123" s="251" t="str">
        <f>IF('Report History'!SK23=0,"",IFERROR('Report History'!SK23,""))</f>
        <v/>
      </c>
      <c r="GD123" s="67" t="str">
        <f>IF('Report History'!SL23=0,"",IFERROR('Report History'!SL23,""))</f>
        <v>TACS clear?</v>
      </c>
      <c r="GE123" s="68"/>
      <c r="GF123" s="69"/>
      <c r="GG123" s="250" t="str">
        <f>IF('Report History'!SO23=0,"",IFERROR('Report History'!SO23,""))</f>
        <v>YES</v>
      </c>
      <c r="GH123" s="251" t="str">
        <f>IF('Report History'!SP23=0,"",IFERROR('Report History'!SP23,""))</f>
        <v/>
      </c>
      <c r="GI123" s="67" t="str">
        <f>IF('Report History'!SQ23=0,"",IFERROR('Report History'!SQ23,""))</f>
        <v>TACS clear?</v>
      </c>
      <c r="GJ123" s="68"/>
      <c r="GK123" s="69"/>
      <c r="GL123" s="250" t="str">
        <f>IF('Report History'!ST23=0,"",IFERROR('Report History'!ST23,""))</f>
        <v>YES</v>
      </c>
      <c r="GM123" s="251" t="str">
        <f>IF('Report History'!SU23=0,"",IFERROR('Report History'!SU23,""))</f>
        <v/>
      </c>
      <c r="GN123" s="67" t="str">
        <f>IF('Report History'!SV23=0,"",IFERROR('Report History'!SV23,""))</f>
        <v>TACS clear?</v>
      </c>
      <c r="GO123" s="68"/>
      <c r="GP123" s="69"/>
      <c r="GQ123" s="250" t="str">
        <f>IF('Report History'!SY23=0,"",IFERROR('Report History'!SY23,""))</f>
        <v>YES</v>
      </c>
      <c r="GR123" s="251" t="str">
        <f>IF('Report History'!SZ23=0,"",IFERROR('Report History'!SZ23,""))</f>
        <v/>
      </c>
      <c r="GS123" s="67" t="str">
        <f>IF('Report History'!TA23=0,"",IFERROR('Report History'!TA23,""))</f>
        <v>TACS clear?</v>
      </c>
      <c r="GT123" s="68"/>
      <c r="GU123" s="69"/>
      <c r="GV123" s="250" t="str">
        <f>IF('Report History'!TD23=0,"",IFERROR('Report History'!TD23,""))</f>
        <v>YES</v>
      </c>
      <c r="GW123" s="251" t="str">
        <f>IF('Report History'!TE23=0,"",IFERROR('Report History'!TE23,""))</f>
        <v/>
      </c>
      <c r="GX123" s="67" t="str">
        <f>IF('Report History'!TF23=0,"",IFERROR('Report History'!TF23,""))</f>
        <v>TACS clear?</v>
      </c>
      <c r="GY123" s="68"/>
      <c r="GZ123" s="69"/>
      <c r="HA123" s="250" t="str">
        <f>IF('Report History'!TI23=0,"",IFERROR('Report History'!TI23,""))</f>
        <v>YES</v>
      </c>
      <c r="HB123" s="251" t="str">
        <f>IF('Report History'!TJ23=0,"",IFERROR('Report History'!TJ23,""))</f>
        <v/>
      </c>
      <c r="HC123" s="67" t="str">
        <f>IF('Report History'!TK23=0,"",IFERROR('Report History'!TK23,""))</f>
        <v>TACS clear?</v>
      </c>
      <c r="HD123" s="68"/>
      <c r="HE123" s="69"/>
      <c r="HF123" s="250" t="str">
        <f>IF('Report History'!TN23=0,"",IFERROR('Report History'!TN23,""))</f>
        <v>YES</v>
      </c>
      <c r="HG123" s="251" t="str">
        <f>IF('Report History'!TO23=0,"",IFERROR('Report History'!TO23,""))</f>
        <v/>
      </c>
      <c r="HH123" s="67" t="str">
        <f>IF('Report History'!TP23=0,"",IFERROR('Report History'!TP23,""))</f>
        <v>TACS clear?</v>
      </c>
      <c r="HI123" s="68"/>
      <c r="HJ123" s="69"/>
      <c r="HK123" s="250" t="str">
        <f>IF('Report History'!TS23=0,"",IFERROR('Report History'!TS23,""))</f>
        <v>YES</v>
      </c>
      <c r="HL123" s="251" t="str">
        <f>IF('Report History'!TT23=0,"",IFERROR('Report History'!TT23,""))</f>
        <v/>
      </c>
      <c r="HM123" s="67" t="str">
        <f>IF('Report History'!TU23=0,"",IFERROR('Report History'!TU23,""))</f>
        <v>TACS clear?</v>
      </c>
      <c r="HN123" s="68"/>
      <c r="HO123" s="69"/>
      <c r="HP123" s="250" t="str">
        <f>IF('Report History'!TX23=0,"",IFERROR('Report History'!TX23,""))</f>
        <v>NO</v>
      </c>
      <c r="HQ123" s="251" t="str">
        <f>IF('Report History'!TY23=0,"",IFERROR('Report History'!TY23,""))</f>
        <v/>
      </c>
      <c r="HR123" s="67" t="str">
        <f>IF('Report History'!TZ23=0,"",IFERROR('Report History'!TZ23,""))</f>
        <v>TACS clear?</v>
      </c>
      <c r="HS123" s="68"/>
      <c r="HT123" s="69"/>
      <c r="HU123" s="250" t="str">
        <f>IF('Report History'!UC23=0,"",IFERROR('Report History'!UC23,""))</f>
        <v>NO</v>
      </c>
      <c r="HV123" s="251" t="str">
        <f>IF('Report History'!UD23=0,"",IFERROR('Report History'!UD23,""))</f>
        <v/>
      </c>
      <c r="HW123" s="67" t="str">
        <f>IF('Report History'!UE23=0,"",IFERROR('Report History'!UE23,""))</f>
        <v>TACS clear?</v>
      </c>
      <c r="HX123" s="68"/>
      <c r="HY123" s="69"/>
      <c r="HZ123" s="250" t="str">
        <f>IF('Report History'!UH23=0,"",IFERROR('Report History'!UH23,""))</f>
        <v>NO</v>
      </c>
      <c r="IA123" s="251" t="str">
        <f>IF('Report History'!UI23=0,"",IFERROR('Report History'!UI23,""))</f>
        <v/>
      </c>
      <c r="IB123" s="67" t="str">
        <f>IF('Report History'!UJ23=0,"",IFERROR('Report History'!UJ23,""))</f>
        <v>TACS clear?</v>
      </c>
      <c r="IC123" s="68"/>
      <c r="ID123" s="69"/>
      <c r="IE123" s="250" t="str">
        <f>IF('Report History'!UM23=0,"",IFERROR('Report History'!UM23,""))</f>
        <v>YES</v>
      </c>
      <c r="IF123" s="251" t="str">
        <f>IF('Report History'!UN23=0,"",IFERROR('Report History'!UN23,""))</f>
        <v/>
      </c>
      <c r="IG123" s="67" t="str">
        <f>IF('Report History'!UO23=0,"",IFERROR('Report History'!UO23,""))</f>
        <v>TACS clear?</v>
      </c>
      <c r="IH123" s="68"/>
      <c r="II123" s="69"/>
      <c r="IJ123" s="250" t="str">
        <f>IF('Report History'!UR23=0,"",IFERROR('Report History'!UR23,""))</f>
        <v>YES</v>
      </c>
      <c r="IK123" s="251" t="str">
        <f>IF('Report History'!US23=0,"",IFERROR('Report History'!US23,""))</f>
        <v/>
      </c>
      <c r="IL123" s="67" t="str">
        <f>IF('Report History'!UT23=0,"",IFERROR('Report History'!UT23,""))</f>
        <v>TACS clear?</v>
      </c>
      <c r="IM123" s="68"/>
      <c r="IN123" s="69"/>
      <c r="IO123" s="250" t="str">
        <f>IF('Report History'!UW23=0,"",IFERROR('Report History'!UW23,""))</f>
        <v>YES</v>
      </c>
      <c r="IP123" s="251" t="str">
        <f>IF('Report History'!UX23=0,"",IFERROR('Report History'!UX23,""))</f>
        <v/>
      </c>
    </row>
    <row r="124" spans="1:250" ht="15.6" x14ac:dyDescent="0.3">
      <c r="A124" s="67" t="str">
        <f>IF('Report History'!LI24=0,"",IFERROR('Report History'!LI24,""))</f>
        <v># of 8 HR days needed:</v>
      </c>
      <c r="B124" s="68"/>
      <c r="C124" s="69"/>
      <c r="D124" s="254">
        <f>IF('Report History'!LL24=0,"",IFERROR('Report History'!LL24,""))</f>
        <v>2</v>
      </c>
      <c r="E124" s="255" t="str">
        <f>IF('Report History'!LM24=0,"",IFERROR('Report History'!LM24,""))</f>
        <v/>
      </c>
      <c r="F124" s="67" t="str">
        <f>IF('Report History'!LN24=0,"",IFERROR('Report History'!LN24,""))</f>
        <v># of 8 HR days needed:</v>
      </c>
      <c r="G124" s="68"/>
      <c r="H124" s="69"/>
      <c r="I124" s="254" t="str">
        <f>IF('Report History'!LQ24=0,"",IFERROR('Report History'!LQ24,""))</f>
        <v/>
      </c>
      <c r="J124" s="255" t="str">
        <f>IF('Report History'!LR24=0,"",IFERROR('Report History'!LR24,""))</f>
        <v/>
      </c>
      <c r="K124" s="67" t="str">
        <f>IF('Report History'!LS24=0,"",IFERROR('Report History'!LS24,""))</f>
        <v># of 8 HR days needed:</v>
      </c>
      <c r="L124" s="68"/>
      <c r="M124" s="69"/>
      <c r="N124" s="254" t="str">
        <f>IF('Report History'!LV24=0,"",IFERROR('Report History'!LV24,""))</f>
        <v/>
      </c>
      <c r="O124" s="255" t="str">
        <f>IF('Report History'!LW24=0,"",IFERROR('Report History'!LW24,""))</f>
        <v/>
      </c>
      <c r="P124" s="67" t="str">
        <f>IF('Report History'!LX24=0,"",IFERROR('Report History'!LX24,""))</f>
        <v># of 8 HR days needed:</v>
      </c>
      <c r="Q124" s="68"/>
      <c r="R124" s="69"/>
      <c r="S124" s="254" t="str">
        <f>IF('Report History'!MA24=0,"",IFERROR('Report History'!MA24,""))</f>
        <v/>
      </c>
      <c r="T124" s="255" t="str">
        <f>IF('Report History'!MB24=0,"",IFERROR('Report History'!MB24,""))</f>
        <v/>
      </c>
      <c r="U124" s="67" t="str">
        <f>IF('Report History'!MC24=0,"",IFERROR('Report History'!MC24,""))</f>
        <v># of 8 HR days needed:</v>
      </c>
      <c r="V124" s="68"/>
      <c r="W124" s="69"/>
      <c r="X124" s="254" t="str">
        <f>IF('Report History'!MF24=0,"",IFERROR('Report History'!MF24,""))</f>
        <v/>
      </c>
      <c r="Y124" s="255" t="str">
        <f>IF('Report History'!MG24=0,"",IFERROR('Report History'!MG24,""))</f>
        <v/>
      </c>
      <c r="Z124" s="67" t="str">
        <f>IF('Report History'!MH24=0,"",IFERROR('Report History'!MH24,""))</f>
        <v># of 8 HR days needed:</v>
      </c>
      <c r="AA124" s="68"/>
      <c r="AB124" s="69"/>
      <c r="AC124" s="254">
        <f>IF('Report History'!MK24=0,"",IFERROR('Report History'!MK24,""))</f>
        <v>1</v>
      </c>
      <c r="AD124" s="255" t="str">
        <f>IF('Report History'!ML24=0,"",IFERROR('Report History'!ML24,""))</f>
        <v/>
      </c>
      <c r="AE124" s="67" t="str">
        <f>IF('Report History'!MM24=0,"",IFERROR('Report History'!MM24,""))</f>
        <v># of 8 HR days needed:</v>
      </c>
      <c r="AF124" s="68"/>
      <c r="AG124" s="69"/>
      <c r="AH124" s="254">
        <f>IF('Report History'!MP24=0,"",IFERROR('Report History'!MP24,""))</f>
        <v>4</v>
      </c>
      <c r="AI124" s="255" t="str">
        <f>IF('Report History'!MQ24=0,"",IFERROR('Report History'!MQ24,""))</f>
        <v/>
      </c>
      <c r="AJ124" s="67" t="str">
        <f>IF('Report History'!MR24=0,"",IFERROR('Report History'!MR24,""))</f>
        <v># of 8 HR days needed:</v>
      </c>
      <c r="AK124" s="68"/>
      <c r="AL124" s="69"/>
      <c r="AM124" s="254">
        <f>IF('Report History'!MU24=0,"",IFERROR('Report History'!MU24,""))</f>
        <v>2</v>
      </c>
      <c r="AN124" s="255" t="str">
        <f>IF('Report History'!MV24=0,"",IFERROR('Report History'!MV24,""))</f>
        <v/>
      </c>
      <c r="AO124" s="67" t="str">
        <f>IF('Report History'!MW24=0,"",IFERROR('Report History'!MW24,""))</f>
        <v># of 8 HR days needed:</v>
      </c>
      <c r="AP124" s="68"/>
      <c r="AQ124" s="69"/>
      <c r="AR124" s="254">
        <f>IF('Report History'!MZ24=0,"",IFERROR('Report History'!MZ24,""))</f>
        <v>2</v>
      </c>
      <c r="AS124" s="255" t="str">
        <f>IF('Report History'!NA24=0,"",IFERROR('Report History'!NA24,""))</f>
        <v/>
      </c>
      <c r="AT124" s="67" t="str">
        <f>IF('Report History'!NB24=0,"",IFERROR('Report History'!NB24,""))</f>
        <v># of 8 HR days needed:</v>
      </c>
      <c r="AU124" s="68"/>
      <c r="AV124" s="69"/>
      <c r="AW124" s="254" t="str">
        <f>IF('Report History'!NE24=0,"",IFERROR('Report History'!NE24,""))</f>
        <v/>
      </c>
      <c r="AX124" s="255" t="str">
        <f>IF('Report History'!NF24=0,"",IFERROR('Report History'!NF24,""))</f>
        <v/>
      </c>
      <c r="AY124" s="67" t="str">
        <f>IF('Report History'!NG24=0,"",IFERROR('Report History'!NG24,""))</f>
        <v># of 8 HR days needed:</v>
      </c>
      <c r="AZ124" s="68"/>
      <c r="BA124" s="69"/>
      <c r="BB124" s="254" t="str">
        <f>IF('Report History'!NJ24=0,"",IFERROR('Report History'!NJ24,""))</f>
        <v/>
      </c>
      <c r="BC124" s="255" t="str">
        <f>IF('Report History'!NK24=0,"",IFERROR('Report History'!NK24,""))</f>
        <v/>
      </c>
      <c r="BD124" s="67" t="str">
        <f>IF('Report History'!NL24=0,"",IFERROR('Report History'!NL24,""))</f>
        <v># of 8 HR days needed:</v>
      </c>
      <c r="BE124" s="68"/>
      <c r="BF124" s="69"/>
      <c r="BG124" s="254" t="str">
        <f>IF('Report History'!NO24=0,"",IFERROR('Report History'!NO24,""))</f>
        <v/>
      </c>
      <c r="BH124" s="255" t="str">
        <f>IF('Report History'!NP24=0,"",IFERROR('Report History'!NP24,""))</f>
        <v/>
      </c>
      <c r="BI124" s="67" t="str">
        <f>IF('Report History'!NQ24=0,"",IFERROR('Report History'!NQ24,""))</f>
        <v># of 8 HR days needed:</v>
      </c>
      <c r="BJ124" s="68"/>
      <c r="BK124" s="69"/>
      <c r="BL124" s="254" t="str">
        <f>IF('Report History'!NT24=0,"",IFERROR('Report History'!NT24,""))</f>
        <v/>
      </c>
      <c r="BM124" s="255" t="str">
        <f>IF('Report History'!NU24=0,"",IFERROR('Report History'!NU24,""))</f>
        <v/>
      </c>
      <c r="BN124" s="67" t="str">
        <f>IF('Report History'!NV24=0,"",IFERROR('Report History'!NV24,""))</f>
        <v># of 8 HR days needed:</v>
      </c>
      <c r="BO124" s="68"/>
      <c r="BP124" s="69"/>
      <c r="BQ124" s="254">
        <f>IF('Report History'!NY24=0,"",IFERROR('Report History'!NY24,""))</f>
        <v>1</v>
      </c>
      <c r="BR124" s="255" t="str">
        <f>IF('Report History'!NZ24=0,"",IFERROR('Report History'!NZ24,""))</f>
        <v/>
      </c>
      <c r="BS124" s="67" t="str">
        <f>IF('Report History'!OA24=0,"",IFERROR('Report History'!OA24,""))</f>
        <v># of 8 HR days needed:</v>
      </c>
      <c r="BT124" s="68"/>
      <c r="BU124" s="69"/>
      <c r="BV124" s="254">
        <f>IF('Report History'!OD24=0,"",IFERROR('Report History'!OD24,""))</f>
        <v>2</v>
      </c>
      <c r="BW124" s="255" t="str">
        <f>IF('Report History'!OE24=0,"",IFERROR('Report History'!OE24,""))</f>
        <v/>
      </c>
      <c r="BX124" s="67" t="str">
        <f>IF('Report History'!OF24=0,"",IFERROR('Report History'!OF24,""))</f>
        <v># of 8 HR days needed:</v>
      </c>
      <c r="BY124" s="68"/>
      <c r="BZ124" s="69"/>
      <c r="CA124" s="254">
        <f>IF('Report History'!OI24=0,"",IFERROR('Report History'!OI24,""))</f>
        <v>2</v>
      </c>
      <c r="CB124" s="255" t="str">
        <f>IF('Report History'!OJ24=0,"",IFERROR('Report History'!OJ24,""))</f>
        <v/>
      </c>
      <c r="CC124" s="67" t="str">
        <f>IF('Report History'!OK24=0,"",IFERROR('Report History'!OK24,""))</f>
        <v># of 8 HR days needed:</v>
      </c>
      <c r="CD124" s="68"/>
      <c r="CE124" s="69"/>
      <c r="CF124" s="254">
        <f>IF('Report History'!ON24=0,"",IFERROR('Report History'!ON24,""))</f>
        <v>2</v>
      </c>
      <c r="CG124" s="255" t="str">
        <f>IF('Report History'!OO24=0,"",IFERROR('Report History'!OO24,""))</f>
        <v/>
      </c>
      <c r="CH124" s="67" t="str">
        <f>IF('Report History'!OP24=0,"",IFERROR('Report History'!OP24,""))</f>
        <v># of 8 HR days needed:</v>
      </c>
      <c r="CI124" s="68"/>
      <c r="CJ124" s="69"/>
      <c r="CK124" s="254" t="str">
        <f>IF('Report History'!OS24=0,"",IFERROR('Report History'!OS24,""))</f>
        <v/>
      </c>
      <c r="CL124" s="255" t="str">
        <f>IF('Report History'!OT24=0,"",IFERROR('Report History'!OT24,""))</f>
        <v/>
      </c>
      <c r="CM124" s="67" t="str">
        <f>IF('Report History'!OU24=0,"",IFERROR('Report History'!OU24,""))</f>
        <v># of 8 HR days needed:</v>
      </c>
      <c r="CN124" s="68"/>
      <c r="CO124" s="69"/>
      <c r="CP124" s="254" t="str">
        <f>IF('Report History'!OX24=0,"",IFERROR('Report History'!OX24,""))</f>
        <v/>
      </c>
      <c r="CQ124" s="255" t="str">
        <f>IF('Report History'!OY24=0,"",IFERROR('Report History'!OY24,""))</f>
        <v/>
      </c>
      <c r="CR124" s="67" t="str">
        <f>IF('Report History'!OZ24=0,"",IFERROR('Report History'!OZ24,""))</f>
        <v># of 8 HR days needed:</v>
      </c>
      <c r="CS124" s="68"/>
      <c r="CT124" s="69"/>
      <c r="CU124" s="254" t="str">
        <f>IF('Report History'!PC24=0,"",IFERROR('Report History'!PC24,""))</f>
        <v/>
      </c>
      <c r="CV124" s="255" t="str">
        <f>IF('Report History'!PD24=0,"",IFERROR('Report History'!PD24,""))</f>
        <v/>
      </c>
      <c r="CW124" s="67" t="str">
        <f>IF('Report History'!PE24=0,"",IFERROR('Report History'!PE24,""))</f>
        <v># of 8 HR days needed:</v>
      </c>
      <c r="CX124" s="68"/>
      <c r="CY124" s="69"/>
      <c r="CZ124" s="254" t="str">
        <f>IF('Report History'!PH24=0,"",IFERROR('Report History'!PH24,""))</f>
        <v/>
      </c>
      <c r="DA124" s="255" t="str">
        <f>IF('Report History'!PI24=0,"",IFERROR('Report History'!PI24,""))</f>
        <v/>
      </c>
      <c r="DB124" s="67" t="str">
        <f>IF('Report History'!PJ24=0,"",IFERROR('Report History'!PJ24,""))</f>
        <v># of 8 HR days needed:</v>
      </c>
      <c r="DC124" s="68"/>
      <c r="DD124" s="69"/>
      <c r="DE124" s="254">
        <f>IF('Report History'!PM24=0,"",IFERROR('Report History'!PM24,""))</f>
        <v>3</v>
      </c>
      <c r="DF124" s="255" t="str">
        <f>IF('Report History'!PN24=0,"",IFERROR('Report History'!PN24,""))</f>
        <v/>
      </c>
      <c r="DG124" s="67" t="str">
        <f>IF('Report History'!PO24=0,"",IFERROR('Report History'!PO24,""))</f>
        <v># of 8 HR days needed:</v>
      </c>
      <c r="DH124" s="68"/>
      <c r="DI124" s="69"/>
      <c r="DJ124" s="254" t="str">
        <f>IF('Report History'!PR24=0,"",IFERROR('Report History'!PR24,""))</f>
        <v/>
      </c>
      <c r="DK124" s="255" t="str">
        <f>IF('Report History'!PS24=0,"",IFERROR('Report History'!PS24,""))</f>
        <v/>
      </c>
      <c r="DL124" s="67" t="str">
        <f>IF('Report History'!PT24=0,"",IFERROR('Report History'!PT24,""))</f>
        <v># of 8 HR days needed:</v>
      </c>
      <c r="DM124" s="68"/>
      <c r="DN124" s="69"/>
      <c r="DO124" s="254" t="str">
        <f>IF('Report History'!PW24=0,"",IFERROR('Report History'!PW24,""))</f>
        <v/>
      </c>
      <c r="DP124" s="255" t="str">
        <f>IF('Report History'!PX24=0,"",IFERROR('Report History'!PX24,""))</f>
        <v/>
      </c>
      <c r="DQ124" s="67" t="str">
        <f>IF('Report History'!PY24=0,"",IFERROR('Report History'!PY24,""))</f>
        <v># of 8 HR days needed:</v>
      </c>
      <c r="DR124" s="68"/>
      <c r="DS124" s="69"/>
      <c r="DT124" s="254" t="str">
        <f>IF('Report History'!QB24=0,"",IFERROR('Report History'!QB24,""))</f>
        <v/>
      </c>
      <c r="DU124" s="255" t="str">
        <f>IF('Report History'!QC24=0,"",IFERROR('Report History'!QC24,""))</f>
        <v/>
      </c>
      <c r="DV124" s="67" t="str">
        <f>IF('Report History'!QD24=0,"",IFERROR('Report History'!QD24,""))</f>
        <v># of 8 HR days needed:</v>
      </c>
      <c r="DW124" s="68"/>
      <c r="DX124" s="69"/>
      <c r="DY124" s="254" t="str">
        <f>IF('Report History'!QG24=0,"",IFERROR('Report History'!QG24,""))</f>
        <v/>
      </c>
      <c r="DZ124" s="255" t="str">
        <f>IF('Report History'!QH24=0,"",IFERROR('Report History'!QH24,""))</f>
        <v/>
      </c>
      <c r="EA124" s="67" t="str">
        <f>IF('Report History'!QI24=0,"",IFERROR('Report History'!QI24,""))</f>
        <v># of 8 HR days needed:</v>
      </c>
      <c r="EB124" s="68"/>
      <c r="EC124" s="69"/>
      <c r="ED124" s="254" t="str">
        <f>IF('Report History'!QL24=0,"",IFERROR('Report History'!QL24,""))</f>
        <v/>
      </c>
      <c r="EE124" s="255" t="str">
        <f>IF('Report History'!QM24=0,"",IFERROR('Report History'!QM24,""))</f>
        <v/>
      </c>
      <c r="EF124" s="67" t="str">
        <f>IF('Report History'!QN24=0,"",IFERROR('Report History'!QN24,""))</f>
        <v># of 8 HR days needed:</v>
      </c>
      <c r="EG124" s="68"/>
      <c r="EH124" s="69"/>
      <c r="EI124" s="254" t="str">
        <f>IF('Report History'!QQ24=0,"",IFERROR('Report History'!QQ24,""))</f>
        <v/>
      </c>
      <c r="EJ124" s="255" t="str">
        <f>IF('Report History'!QR24=0,"",IFERROR('Report History'!QR24,""))</f>
        <v/>
      </c>
      <c r="EK124" s="67" t="str">
        <f>IF('Report History'!QS24=0,"",IFERROR('Report History'!QS24,""))</f>
        <v># of 8 HR days needed:</v>
      </c>
      <c r="EL124" s="68"/>
      <c r="EM124" s="69"/>
      <c r="EN124" s="254" t="str">
        <f>IF('Report History'!QV24=0,"",IFERROR('Report History'!QV24,""))</f>
        <v/>
      </c>
      <c r="EO124" s="255" t="str">
        <f>IF('Report History'!QW24=0,"",IFERROR('Report History'!QW24,""))</f>
        <v/>
      </c>
      <c r="EP124" s="67" t="str">
        <f>IF('Report History'!QX24=0,"",IFERROR('Report History'!QX24,""))</f>
        <v># of 8 HR days needed:</v>
      </c>
      <c r="EQ124" s="68"/>
      <c r="ER124" s="69"/>
      <c r="ES124" s="254">
        <f>IF('Report History'!RA24=0,"",IFERROR('Report History'!RA24,""))</f>
        <v>6</v>
      </c>
      <c r="ET124" s="255" t="str">
        <f>IF('Report History'!RB24=0,"",IFERROR('Report History'!RB24,""))</f>
        <v/>
      </c>
      <c r="EU124" s="67" t="str">
        <f>IF('Report History'!RC24=0,"",IFERROR('Report History'!RC24,""))</f>
        <v># of 8 HR days needed:</v>
      </c>
      <c r="EV124" s="68"/>
      <c r="EW124" s="69"/>
      <c r="EX124" s="254">
        <f>IF('Report History'!RF24=0,"",IFERROR('Report History'!RF24,""))</f>
        <v>3</v>
      </c>
      <c r="EY124" s="255" t="str">
        <f>IF('Report History'!RG24=0,"",IFERROR('Report History'!RG24,""))</f>
        <v/>
      </c>
      <c r="EZ124" s="67" t="str">
        <f>IF('Report History'!RH24=0,"",IFERROR('Report History'!RH24,""))</f>
        <v># of 8 HR days needed:</v>
      </c>
      <c r="FA124" s="68"/>
      <c r="FB124" s="69"/>
      <c r="FC124" s="254">
        <f>IF('Report History'!RK24=0,"",IFERROR('Report History'!RK24,""))</f>
        <v>5</v>
      </c>
      <c r="FD124" s="255" t="str">
        <f>IF('Report History'!RL24=0,"",IFERROR('Report History'!RL24,""))</f>
        <v/>
      </c>
      <c r="FE124" s="67" t="str">
        <f>IF('Report History'!RM24=0,"",IFERROR('Report History'!RM24,""))</f>
        <v># of 8 HR days needed:</v>
      </c>
      <c r="FF124" s="68"/>
      <c r="FG124" s="69"/>
      <c r="FH124" s="254">
        <f>IF('Report History'!RP24=0,"",IFERROR('Report History'!RP24,""))</f>
        <v>3</v>
      </c>
      <c r="FI124" s="255" t="str">
        <f>IF('Report History'!RQ24=0,"",IFERROR('Report History'!RQ24,""))</f>
        <v/>
      </c>
      <c r="FJ124" s="67" t="str">
        <f>IF('Report History'!RR24=0,"",IFERROR('Report History'!RR24,""))</f>
        <v># of 8 HR days needed:</v>
      </c>
      <c r="FK124" s="68"/>
      <c r="FL124" s="69"/>
      <c r="FM124" s="254" t="str">
        <f>IF('Report History'!RU24=0,"",IFERROR('Report History'!RU24,""))</f>
        <v/>
      </c>
      <c r="FN124" s="255" t="str">
        <f>IF('Report History'!RV24=0,"",IFERROR('Report History'!RV24,""))</f>
        <v/>
      </c>
      <c r="FO124" s="67" t="str">
        <f>IF('Report History'!RW24=0,"",IFERROR('Report History'!RW24,""))</f>
        <v># of 8 HR days needed:</v>
      </c>
      <c r="FP124" s="68"/>
      <c r="FQ124" s="69"/>
      <c r="FR124" s="254" t="str">
        <f>IF('Report History'!RZ24=0,"",IFERROR('Report History'!RZ24,""))</f>
        <v/>
      </c>
      <c r="FS124" s="255" t="str">
        <f>IF('Report History'!SA24=0,"",IFERROR('Report History'!SA24,""))</f>
        <v/>
      </c>
      <c r="FT124" s="67" t="str">
        <f>IF('Report History'!SB24=0,"",IFERROR('Report History'!SB24,""))</f>
        <v># of 8 HR days needed:</v>
      </c>
      <c r="FU124" s="68"/>
      <c r="FV124" s="69"/>
      <c r="FW124" s="254" t="str">
        <f>IF('Report History'!SE24=0,"",IFERROR('Report History'!SE24,""))</f>
        <v/>
      </c>
      <c r="FX124" s="255" t="str">
        <f>IF('Report History'!SF24=0,"",IFERROR('Report History'!SF24,""))</f>
        <v/>
      </c>
      <c r="FY124" s="67" t="str">
        <f>IF('Report History'!SG24=0,"",IFERROR('Report History'!SG24,""))</f>
        <v># of 8 HR days needed:</v>
      </c>
      <c r="FZ124" s="68"/>
      <c r="GA124" s="69"/>
      <c r="GB124" s="254" t="str">
        <f>IF('Report History'!SJ24=0,"",IFERROR('Report History'!SJ24,""))</f>
        <v/>
      </c>
      <c r="GC124" s="255" t="str">
        <f>IF('Report History'!SK24=0,"",IFERROR('Report History'!SK24,""))</f>
        <v/>
      </c>
      <c r="GD124" s="67" t="str">
        <f>IF('Report History'!SL24=0,"",IFERROR('Report History'!SL24,""))</f>
        <v># of 8 HR days needed:</v>
      </c>
      <c r="GE124" s="68"/>
      <c r="GF124" s="69"/>
      <c r="GG124" s="254">
        <f>IF('Report History'!SO24=0,"",IFERROR('Report History'!SO24,""))</f>
        <v>2</v>
      </c>
      <c r="GH124" s="255" t="str">
        <f>IF('Report History'!SP24=0,"",IFERROR('Report History'!SP24,""))</f>
        <v/>
      </c>
      <c r="GI124" s="67" t="str">
        <f>IF('Report History'!SQ24=0,"",IFERROR('Report History'!SQ24,""))</f>
        <v># of 8 HR days needed:</v>
      </c>
      <c r="GJ124" s="68"/>
      <c r="GK124" s="69"/>
      <c r="GL124" s="254">
        <f>IF('Report History'!ST24=0,"",IFERROR('Report History'!ST24,""))</f>
        <v>3</v>
      </c>
      <c r="GM124" s="255" t="str">
        <f>IF('Report History'!SU24=0,"",IFERROR('Report History'!SU24,""))</f>
        <v/>
      </c>
      <c r="GN124" s="67" t="str">
        <f>IF('Report History'!SV24=0,"",IFERROR('Report History'!SV24,""))</f>
        <v># of 8 HR days needed:</v>
      </c>
      <c r="GO124" s="68"/>
      <c r="GP124" s="69"/>
      <c r="GQ124" s="254" t="str">
        <f>IF('Report History'!SY24=0,"",IFERROR('Report History'!SY24,""))</f>
        <v/>
      </c>
      <c r="GR124" s="255" t="str">
        <f>IF('Report History'!SZ24=0,"",IFERROR('Report History'!SZ24,""))</f>
        <v/>
      </c>
      <c r="GS124" s="67" t="str">
        <f>IF('Report History'!TA24=0,"",IFERROR('Report History'!TA24,""))</f>
        <v># of 8 HR days needed:</v>
      </c>
      <c r="GT124" s="68"/>
      <c r="GU124" s="69"/>
      <c r="GV124" s="254" t="str">
        <f>IF('Report History'!TD24=0,"",IFERROR('Report History'!TD24,""))</f>
        <v/>
      </c>
      <c r="GW124" s="255" t="str">
        <f>IF('Report History'!TE24=0,"",IFERROR('Report History'!TE24,""))</f>
        <v/>
      </c>
      <c r="GX124" s="67" t="str">
        <f>IF('Report History'!TF24=0,"",IFERROR('Report History'!TF24,""))</f>
        <v># of 8 HR days needed:</v>
      </c>
      <c r="GY124" s="68"/>
      <c r="GZ124" s="69"/>
      <c r="HA124" s="254" t="str">
        <f>IF('Report History'!TI24=0,"",IFERROR('Report History'!TI24,""))</f>
        <v/>
      </c>
      <c r="HB124" s="255" t="str">
        <f>IF('Report History'!TJ24=0,"",IFERROR('Report History'!TJ24,""))</f>
        <v/>
      </c>
      <c r="HC124" s="67" t="str">
        <f>IF('Report History'!TK24=0,"",IFERROR('Report History'!TK24,""))</f>
        <v># of 8 HR days needed:</v>
      </c>
      <c r="HD124" s="68"/>
      <c r="HE124" s="69"/>
      <c r="HF124" s="254" t="str">
        <f>IF('Report History'!TN24=0,"",IFERROR('Report History'!TN24,""))</f>
        <v/>
      </c>
      <c r="HG124" s="255" t="str">
        <f>IF('Report History'!TO24=0,"",IFERROR('Report History'!TO24,""))</f>
        <v/>
      </c>
      <c r="HH124" s="67" t="str">
        <f>IF('Report History'!TP24=0,"",IFERROR('Report History'!TP24,""))</f>
        <v># of 8 HR days needed:</v>
      </c>
      <c r="HI124" s="68"/>
      <c r="HJ124" s="69"/>
      <c r="HK124" s="254" t="str">
        <f>IF('Report History'!TS24=0,"",IFERROR('Report History'!TS24,""))</f>
        <v/>
      </c>
      <c r="HL124" s="255" t="str">
        <f>IF('Report History'!TT24=0,"",IFERROR('Report History'!TT24,""))</f>
        <v/>
      </c>
      <c r="HM124" s="67" t="str">
        <f>IF('Report History'!TU24=0,"",IFERROR('Report History'!TU24,""))</f>
        <v># of 8 HR days needed:</v>
      </c>
      <c r="HN124" s="68"/>
      <c r="HO124" s="69"/>
      <c r="HP124" s="254">
        <f>IF('Report History'!TX24=0,"",IFERROR('Report History'!TX24,""))</f>
        <v>4</v>
      </c>
      <c r="HQ124" s="255" t="str">
        <f>IF('Report History'!TY24=0,"",IFERROR('Report History'!TY24,""))</f>
        <v/>
      </c>
      <c r="HR124" s="67" t="str">
        <f>IF('Report History'!TZ24=0,"",IFERROR('Report History'!TZ24,""))</f>
        <v># of 8 HR days needed:</v>
      </c>
      <c r="HS124" s="68"/>
      <c r="HT124" s="69"/>
      <c r="HU124" s="254">
        <f>IF('Report History'!UC24=0,"",IFERROR('Report History'!UC24,""))</f>
        <v>1</v>
      </c>
      <c r="HV124" s="255" t="str">
        <f>IF('Report History'!UD24=0,"",IFERROR('Report History'!UD24,""))</f>
        <v/>
      </c>
      <c r="HW124" s="67" t="str">
        <f>IF('Report History'!UE24=0,"",IFERROR('Report History'!UE24,""))</f>
        <v># of 8 HR days needed:</v>
      </c>
      <c r="HX124" s="68"/>
      <c r="HY124" s="69"/>
      <c r="HZ124" s="254">
        <f>IF('Report History'!UH24=0,"",IFERROR('Report History'!UH24,""))</f>
        <v>2</v>
      </c>
      <c r="IA124" s="255" t="str">
        <f>IF('Report History'!UI24=0,"",IFERROR('Report History'!UI24,""))</f>
        <v/>
      </c>
      <c r="IB124" s="67" t="str">
        <f>IF('Report History'!UJ24=0,"",IFERROR('Report History'!UJ24,""))</f>
        <v># of 8 HR days needed:</v>
      </c>
      <c r="IC124" s="68"/>
      <c r="ID124" s="69"/>
      <c r="IE124" s="254" t="str">
        <f>IF('Report History'!UM24=0,"",IFERROR('Report History'!UM24,""))</f>
        <v/>
      </c>
      <c r="IF124" s="255" t="str">
        <f>IF('Report History'!UN24=0,"",IFERROR('Report History'!UN24,""))</f>
        <v/>
      </c>
      <c r="IG124" s="67" t="str">
        <f>IF('Report History'!UO24=0,"",IFERROR('Report History'!UO24,""))</f>
        <v># of 8 HR days needed:</v>
      </c>
      <c r="IH124" s="68"/>
      <c r="II124" s="69"/>
      <c r="IJ124" s="254" t="str">
        <f>IF('Report History'!UR24=0,"",IFERROR('Report History'!UR24,""))</f>
        <v/>
      </c>
      <c r="IK124" s="255" t="str">
        <f>IF('Report History'!US24=0,"",IFERROR('Report History'!US24,""))</f>
        <v/>
      </c>
      <c r="IL124" s="67" t="str">
        <f>IF('Report History'!UT24=0,"",IFERROR('Report History'!UT24,""))</f>
        <v># of 8 HR days needed:</v>
      </c>
      <c r="IM124" s="68"/>
      <c r="IN124" s="69"/>
      <c r="IO124" s="254" t="str">
        <f>IF('Report History'!UW24=0,"",IFERROR('Report History'!UW24,""))</f>
        <v/>
      </c>
      <c r="IP124" s="255" t="str">
        <f>IF('Report History'!UX24=0,"",IFERROR('Report History'!UX24,""))</f>
        <v/>
      </c>
    </row>
    <row r="125" spans="1:250" ht="15.6" x14ac:dyDescent="0.3">
      <c r="A125" s="258" t="str">
        <f>IF('Report History'!LI25=0,"",IFERROR('Report History'!LI25,""))</f>
        <v>DPS done by 0500?</v>
      </c>
      <c r="B125" s="259" t="str">
        <f>IF('Report History'!LJ25=0,"",IFERROR('Report History'!LJ25,""))</f>
        <v/>
      </c>
      <c r="C125" s="260" t="str">
        <f>IF('Report History'!LK25=0,"",IFERROR('Report History'!LK25,""))</f>
        <v/>
      </c>
      <c r="D125" s="250" t="str">
        <f>IF('Report History'!LL25=0,"",IFERROR('Report History'!LL25,""))</f>
        <v>YES</v>
      </c>
      <c r="E125" s="251" t="str">
        <f>IF('Report History'!LM25=0,"",IFERROR('Report History'!LM25,""))</f>
        <v/>
      </c>
      <c r="F125" s="258" t="str">
        <f>IF('Report History'!LN25=0,"",IFERROR('Report History'!LN25,""))</f>
        <v>DPS done by 0500?</v>
      </c>
      <c r="G125" s="259" t="str">
        <f>IF('Report History'!LO25=0,"",IFERROR('Report History'!LO25,""))</f>
        <v/>
      </c>
      <c r="H125" s="260" t="str">
        <f>IF('Report History'!LP25=0,"",IFERROR('Report History'!LP25,""))</f>
        <v/>
      </c>
      <c r="I125" s="250" t="str">
        <f>IF('Report History'!LQ25=0,"",IFERROR('Report History'!LQ25,""))</f>
        <v>YES</v>
      </c>
      <c r="J125" s="251" t="str">
        <f>IF('Report History'!LR25=0,"",IFERROR('Report History'!LR25,""))</f>
        <v/>
      </c>
      <c r="K125" s="258" t="str">
        <f>IF('Report History'!LS25=0,"",IFERROR('Report History'!LS25,""))</f>
        <v>DPS done by 0500?</v>
      </c>
      <c r="L125" s="259" t="str">
        <f>IF('Report History'!LT25=0,"",IFERROR('Report History'!LT25,""))</f>
        <v/>
      </c>
      <c r="M125" s="260" t="str">
        <f>IF('Report History'!LU25=0,"",IFERROR('Report History'!LU25,""))</f>
        <v/>
      </c>
      <c r="N125" s="250" t="str">
        <f>IF('Report History'!LV25=0,"",IFERROR('Report History'!LV25,""))</f>
        <v>NO</v>
      </c>
      <c r="O125" s="251" t="str">
        <f>IF('Report History'!LW25=0,"",IFERROR('Report History'!LW25,""))</f>
        <v/>
      </c>
      <c r="P125" s="258" t="str">
        <f>IF('Report History'!LX25=0,"",IFERROR('Report History'!LX25,""))</f>
        <v>DPS done by 0500?</v>
      </c>
      <c r="Q125" s="259" t="str">
        <f>IF('Report History'!LY25=0,"",IFERROR('Report History'!LY25,""))</f>
        <v/>
      </c>
      <c r="R125" s="260" t="str">
        <f>IF('Report History'!LZ25=0,"",IFERROR('Report History'!LZ25,""))</f>
        <v/>
      </c>
      <c r="S125" s="250" t="str">
        <f>IF('Report History'!MA25=0,"",IFERROR('Report History'!MA25,""))</f>
        <v>N/A</v>
      </c>
      <c r="T125" s="251" t="str">
        <f>IF('Report History'!MB25=0,"",IFERROR('Report History'!MB25,""))</f>
        <v/>
      </c>
      <c r="U125" s="258" t="str">
        <f>IF('Report History'!MC25=0,"",IFERROR('Report History'!MC25,""))</f>
        <v>DPS done by 0500?</v>
      </c>
      <c r="V125" s="259" t="str">
        <f>IF('Report History'!MD25=0,"",IFERROR('Report History'!MD25,""))</f>
        <v/>
      </c>
      <c r="W125" s="260" t="str">
        <f>IF('Report History'!ME25=0,"",IFERROR('Report History'!ME25,""))</f>
        <v/>
      </c>
      <c r="X125" s="250" t="str">
        <f>IF('Report History'!MF25=0,"",IFERROR('Report History'!MF25,""))</f>
        <v>N/A</v>
      </c>
      <c r="Y125" s="251" t="str">
        <f>IF('Report History'!MG25=0,"",IFERROR('Report History'!MG25,""))</f>
        <v/>
      </c>
      <c r="Z125" s="258" t="str">
        <f>IF('Report History'!MH25=0,"",IFERROR('Report History'!MH25,""))</f>
        <v>DPS done by 0500?</v>
      </c>
      <c r="AA125" s="259" t="str">
        <f>IF('Report History'!MI25=0,"",IFERROR('Report History'!MI25,""))</f>
        <v/>
      </c>
      <c r="AB125" s="260" t="str">
        <f>IF('Report History'!MJ25=0,"",IFERROR('Report History'!MJ25,""))</f>
        <v/>
      </c>
      <c r="AC125" s="250" t="str">
        <f>IF('Report History'!MK25=0,"",IFERROR('Report History'!MK25,""))</f>
        <v>YES</v>
      </c>
      <c r="AD125" s="251" t="str">
        <f>IF('Report History'!ML25=0,"",IFERROR('Report History'!ML25,""))</f>
        <v/>
      </c>
      <c r="AE125" s="258" t="str">
        <f>IF('Report History'!MM25=0,"",IFERROR('Report History'!MM25,""))</f>
        <v>DPS done by 0500?</v>
      </c>
      <c r="AF125" s="259" t="str">
        <f>IF('Report History'!MN25=0,"",IFERROR('Report History'!MN25,""))</f>
        <v/>
      </c>
      <c r="AG125" s="260" t="str">
        <f>IF('Report History'!MO25=0,"",IFERROR('Report History'!MO25,""))</f>
        <v/>
      </c>
      <c r="AH125" s="250" t="str">
        <f>IF('Report History'!MP25=0,"",IFERROR('Report History'!MP25,""))</f>
        <v>YES</v>
      </c>
      <c r="AI125" s="251" t="str">
        <f>IF('Report History'!MQ25=0,"",IFERROR('Report History'!MQ25,""))</f>
        <v/>
      </c>
      <c r="AJ125" s="258" t="str">
        <f>IF('Report History'!MR25=0,"",IFERROR('Report History'!MR25,""))</f>
        <v>DPS done by 0500?</v>
      </c>
      <c r="AK125" s="259" t="str">
        <f>IF('Report History'!MS25=0,"",IFERROR('Report History'!MS25,""))</f>
        <v/>
      </c>
      <c r="AL125" s="260" t="str">
        <f>IF('Report History'!MT25=0,"",IFERROR('Report History'!MT25,""))</f>
        <v/>
      </c>
      <c r="AM125" s="250" t="str">
        <f>IF('Report History'!MU25=0,"",IFERROR('Report History'!MU25,""))</f>
        <v>YES</v>
      </c>
      <c r="AN125" s="251" t="str">
        <f>IF('Report History'!MV25=0,"",IFERROR('Report History'!MV25,""))</f>
        <v/>
      </c>
      <c r="AO125" s="258" t="str">
        <f>IF('Report History'!MW25=0,"",IFERROR('Report History'!MW25,""))</f>
        <v>DPS done by 0500?</v>
      </c>
      <c r="AP125" s="259" t="str">
        <f>IF('Report History'!MX25=0,"",IFERROR('Report History'!MX25,""))</f>
        <v/>
      </c>
      <c r="AQ125" s="260" t="str">
        <f>IF('Report History'!MY25=0,"",IFERROR('Report History'!MY25,""))</f>
        <v/>
      </c>
      <c r="AR125" s="250" t="str">
        <f>IF('Report History'!MZ25=0,"",IFERROR('Report History'!MZ25,""))</f>
        <v>NO</v>
      </c>
      <c r="AS125" s="251" t="str">
        <f>IF('Report History'!NA25=0,"",IFERROR('Report History'!NA25,""))</f>
        <v/>
      </c>
      <c r="AT125" s="258" t="str">
        <f>IF('Report History'!NB25=0,"",IFERROR('Report History'!NB25,""))</f>
        <v>DPS done by 0500?</v>
      </c>
      <c r="AU125" s="259" t="str">
        <f>IF('Report History'!NC25=0,"",IFERROR('Report History'!NC25,""))</f>
        <v/>
      </c>
      <c r="AV125" s="260" t="str">
        <f>IF('Report History'!ND25=0,"",IFERROR('Report History'!ND25,""))</f>
        <v/>
      </c>
      <c r="AW125" s="250" t="str">
        <f>IF('Report History'!NE25=0,"",IFERROR('Report History'!NE25,""))</f>
        <v>YES</v>
      </c>
      <c r="AX125" s="251" t="str">
        <f>IF('Report History'!NF25=0,"",IFERROR('Report History'!NF25,""))</f>
        <v/>
      </c>
      <c r="AY125" s="258" t="str">
        <f>IF('Report History'!NG25=0,"",IFERROR('Report History'!NG25,""))</f>
        <v>DPS done by 0500?</v>
      </c>
      <c r="AZ125" s="259" t="str">
        <f>IF('Report History'!NH25=0,"",IFERROR('Report History'!NH25,""))</f>
        <v/>
      </c>
      <c r="BA125" s="260" t="str">
        <f>IF('Report History'!NI25=0,"",IFERROR('Report History'!NI25,""))</f>
        <v/>
      </c>
      <c r="BB125" s="250" t="str">
        <f>IF('Report History'!NJ25=0,"",IFERROR('Report History'!NJ25,""))</f>
        <v>YES</v>
      </c>
      <c r="BC125" s="251" t="str">
        <f>IF('Report History'!NK25=0,"",IFERROR('Report History'!NK25,""))</f>
        <v/>
      </c>
      <c r="BD125" s="258" t="str">
        <f>IF('Report History'!NL25=0,"",IFERROR('Report History'!NL25,""))</f>
        <v>DPS done by 0500?</v>
      </c>
      <c r="BE125" s="259" t="str">
        <f>IF('Report History'!NM25=0,"",IFERROR('Report History'!NM25,""))</f>
        <v/>
      </c>
      <c r="BF125" s="260" t="str">
        <f>IF('Report History'!NN25=0,"",IFERROR('Report History'!NN25,""))</f>
        <v/>
      </c>
      <c r="BG125" s="250" t="str">
        <f>IF('Report History'!NO25=0,"",IFERROR('Report History'!NO25,""))</f>
        <v>YES</v>
      </c>
      <c r="BH125" s="251" t="str">
        <f>IF('Report History'!NP25=0,"",IFERROR('Report History'!NP25,""))</f>
        <v/>
      </c>
      <c r="BI125" s="258" t="str">
        <f>IF('Report History'!NQ25=0,"",IFERROR('Report History'!NQ25,""))</f>
        <v>DPS done by 0500?</v>
      </c>
      <c r="BJ125" s="259" t="str">
        <f>IF('Report History'!NR25=0,"",IFERROR('Report History'!NR25,""))</f>
        <v/>
      </c>
      <c r="BK125" s="260" t="str">
        <f>IF('Report History'!NS25=0,"",IFERROR('Report History'!NS25,""))</f>
        <v/>
      </c>
      <c r="BL125" s="250" t="str">
        <f>IF('Report History'!NT25=0,"",IFERROR('Report History'!NT25,""))</f>
        <v>N/A</v>
      </c>
      <c r="BM125" s="251" t="str">
        <f>IF('Report History'!NU25=0,"",IFERROR('Report History'!NU25,""))</f>
        <v/>
      </c>
      <c r="BN125" s="258" t="str">
        <f>IF('Report History'!NV25=0,"",IFERROR('Report History'!NV25,""))</f>
        <v>DPS done by 0500?</v>
      </c>
      <c r="BO125" s="259" t="str">
        <f>IF('Report History'!NW25=0,"",IFERROR('Report History'!NW25,""))</f>
        <v/>
      </c>
      <c r="BP125" s="260" t="str">
        <f>IF('Report History'!NX25=0,"",IFERROR('Report History'!NX25,""))</f>
        <v/>
      </c>
      <c r="BQ125" s="250" t="str">
        <f>IF('Report History'!NY25=0,"",IFERROR('Report History'!NY25,""))</f>
        <v>NO</v>
      </c>
      <c r="BR125" s="251" t="str">
        <f>IF('Report History'!NZ25=0,"",IFERROR('Report History'!NZ25,""))</f>
        <v/>
      </c>
      <c r="BS125" s="258" t="str">
        <f>IF('Report History'!OA25=0,"",IFERROR('Report History'!OA25,""))</f>
        <v>DPS done by 0500?</v>
      </c>
      <c r="BT125" s="259" t="str">
        <f>IF('Report History'!OB25=0,"",IFERROR('Report History'!OB25,""))</f>
        <v/>
      </c>
      <c r="BU125" s="260" t="str">
        <f>IF('Report History'!OC25=0,"",IFERROR('Report History'!OC25,""))</f>
        <v/>
      </c>
      <c r="BV125" s="250" t="str">
        <f>IF('Report History'!OD25=0,"",IFERROR('Report History'!OD25,""))</f>
        <v>NO</v>
      </c>
      <c r="BW125" s="251" t="str">
        <f>IF('Report History'!OE25=0,"",IFERROR('Report History'!OE25,""))</f>
        <v/>
      </c>
      <c r="BX125" s="258" t="str">
        <f>IF('Report History'!OF25=0,"",IFERROR('Report History'!OF25,""))</f>
        <v>DPS done by 0500?</v>
      </c>
      <c r="BY125" s="259" t="str">
        <f>IF('Report History'!OG25=0,"",IFERROR('Report History'!OG25,""))</f>
        <v/>
      </c>
      <c r="BZ125" s="260" t="str">
        <f>IF('Report History'!OH25=0,"",IFERROR('Report History'!OH25,""))</f>
        <v/>
      </c>
      <c r="CA125" s="250" t="str">
        <f>IF('Report History'!OI25=0,"",IFERROR('Report History'!OI25,""))</f>
        <v>NO</v>
      </c>
      <c r="CB125" s="251" t="str">
        <f>IF('Report History'!OJ25=0,"",IFERROR('Report History'!OJ25,""))</f>
        <v/>
      </c>
      <c r="CC125" s="258" t="str">
        <f>IF('Report History'!OK25=0,"",IFERROR('Report History'!OK25,""))</f>
        <v>DPS done by 0500?</v>
      </c>
      <c r="CD125" s="259" t="str">
        <f>IF('Report History'!OL25=0,"",IFERROR('Report History'!OL25,""))</f>
        <v/>
      </c>
      <c r="CE125" s="260" t="str">
        <f>IF('Report History'!OM25=0,"",IFERROR('Report History'!OM25,""))</f>
        <v/>
      </c>
      <c r="CF125" s="250" t="str">
        <f>IF('Report History'!ON25=0,"",IFERROR('Report History'!ON25,""))</f>
        <v>YES</v>
      </c>
      <c r="CG125" s="251" t="str">
        <f>IF('Report History'!OO25=0,"",IFERROR('Report History'!OO25,""))</f>
        <v/>
      </c>
      <c r="CH125" s="258" t="str">
        <f>IF('Report History'!OP25=0,"",IFERROR('Report History'!OP25,""))</f>
        <v>DPS done by 0500?</v>
      </c>
      <c r="CI125" s="259" t="str">
        <f>IF('Report History'!OQ25=0,"",IFERROR('Report History'!OQ25,""))</f>
        <v/>
      </c>
      <c r="CJ125" s="260" t="str">
        <f>IF('Report History'!OR25=0,"",IFERROR('Report History'!OR25,""))</f>
        <v/>
      </c>
      <c r="CK125" s="250" t="str">
        <f>IF('Report History'!OS25=0,"",IFERROR('Report History'!OS25,""))</f>
        <v>YES</v>
      </c>
      <c r="CL125" s="251" t="str">
        <f>IF('Report History'!OT25=0,"",IFERROR('Report History'!OT25,""))</f>
        <v/>
      </c>
      <c r="CM125" s="258" t="str">
        <f>IF('Report History'!OU25=0,"",IFERROR('Report History'!OU25,""))</f>
        <v>DPS done by 0500?</v>
      </c>
      <c r="CN125" s="259" t="str">
        <f>IF('Report History'!OV25=0,"",IFERROR('Report History'!OV25,""))</f>
        <v/>
      </c>
      <c r="CO125" s="260" t="str">
        <f>IF('Report History'!OW25=0,"",IFERROR('Report History'!OW25,""))</f>
        <v/>
      </c>
      <c r="CP125" s="250" t="str">
        <f>IF('Report History'!OX25=0,"",IFERROR('Report History'!OX25,""))</f>
        <v>YES</v>
      </c>
      <c r="CQ125" s="251" t="str">
        <f>IF('Report History'!OY25=0,"",IFERROR('Report History'!OY25,""))</f>
        <v/>
      </c>
      <c r="CR125" s="258" t="str">
        <f>IF('Report History'!OZ25=0,"",IFERROR('Report History'!OZ25,""))</f>
        <v>DPS done by 0500?</v>
      </c>
      <c r="CS125" s="259" t="str">
        <f>IF('Report History'!PA25=0,"",IFERROR('Report History'!PA25,""))</f>
        <v/>
      </c>
      <c r="CT125" s="260" t="str">
        <f>IF('Report History'!PB25=0,"",IFERROR('Report History'!PB25,""))</f>
        <v/>
      </c>
      <c r="CU125" s="250" t="str">
        <f>IF('Report History'!PC25=0,"",IFERROR('Report History'!PC25,""))</f>
        <v>YES</v>
      </c>
      <c r="CV125" s="251" t="str">
        <f>IF('Report History'!PD25=0,"",IFERROR('Report History'!PD25,""))</f>
        <v/>
      </c>
      <c r="CW125" s="258" t="str">
        <f>IF('Report History'!PE25=0,"",IFERROR('Report History'!PE25,""))</f>
        <v>DPS done by 0500?</v>
      </c>
      <c r="CX125" s="259" t="str">
        <f>IF('Report History'!PF25=0,"",IFERROR('Report History'!PF25,""))</f>
        <v/>
      </c>
      <c r="CY125" s="260" t="str">
        <f>IF('Report History'!PG25=0,"",IFERROR('Report History'!PG25,""))</f>
        <v/>
      </c>
      <c r="CZ125" s="250" t="str">
        <f>IF('Report History'!PH25=0,"",IFERROR('Report History'!PH25,""))</f>
        <v>N/A</v>
      </c>
      <c r="DA125" s="251" t="str">
        <f>IF('Report History'!PI25=0,"",IFERROR('Report History'!PI25,""))</f>
        <v/>
      </c>
      <c r="DB125" s="258" t="str">
        <f>IF('Report History'!PJ25=0,"",IFERROR('Report History'!PJ25,""))</f>
        <v>DPS done by 0500?</v>
      </c>
      <c r="DC125" s="259" t="str">
        <f>IF('Report History'!PK25=0,"",IFERROR('Report History'!PK25,""))</f>
        <v/>
      </c>
      <c r="DD125" s="260" t="str">
        <f>IF('Report History'!PL25=0,"",IFERROR('Report History'!PL25,""))</f>
        <v/>
      </c>
      <c r="DE125" s="250" t="str">
        <f>IF('Report History'!PM25=0,"",IFERROR('Report History'!PM25,""))</f>
        <v>YES</v>
      </c>
      <c r="DF125" s="251" t="str">
        <f>IF('Report History'!PN25=0,"",IFERROR('Report History'!PN25,""))</f>
        <v/>
      </c>
      <c r="DG125" s="258" t="str">
        <f>IF('Report History'!PO25=0,"",IFERROR('Report History'!PO25,""))</f>
        <v>DPS done by 0500?</v>
      </c>
      <c r="DH125" s="259" t="str">
        <f>IF('Report History'!PP25=0,"",IFERROR('Report History'!PP25,""))</f>
        <v/>
      </c>
      <c r="DI125" s="260" t="str">
        <f>IF('Report History'!PQ25=0,"",IFERROR('Report History'!PQ25,""))</f>
        <v/>
      </c>
      <c r="DJ125" s="250" t="str">
        <f>IF('Report History'!PR25=0,"",IFERROR('Report History'!PR25,""))</f>
        <v>NO</v>
      </c>
      <c r="DK125" s="251" t="str">
        <f>IF('Report History'!PS25=0,"",IFERROR('Report History'!PS25,""))</f>
        <v/>
      </c>
      <c r="DL125" s="258" t="str">
        <f>IF('Report History'!PT25=0,"",IFERROR('Report History'!PT25,""))</f>
        <v>DPS done by 0500?</v>
      </c>
      <c r="DM125" s="259" t="str">
        <f>IF('Report History'!PU25=0,"",IFERROR('Report History'!PU25,""))</f>
        <v/>
      </c>
      <c r="DN125" s="260" t="str">
        <f>IF('Report History'!PV25=0,"",IFERROR('Report History'!PV25,""))</f>
        <v/>
      </c>
      <c r="DO125" s="250" t="str">
        <f>IF('Report History'!PW25=0,"",IFERROR('Report History'!PW25,""))</f>
        <v>YES</v>
      </c>
      <c r="DP125" s="251" t="str">
        <f>IF('Report History'!PX25=0,"",IFERROR('Report History'!PX25,""))</f>
        <v/>
      </c>
      <c r="DQ125" s="258" t="str">
        <f>IF('Report History'!PY25=0,"",IFERROR('Report History'!PY25,""))</f>
        <v>DPS done by 0500?</v>
      </c>
      <c r="DR125" s="259" t="str">
        <f>IF('Report History'!PZ25=0,"",IFERROR('Report History'!PZ25,""))</f>
        <v/>
      </c>
      <c r="DS125" s="260" t="str">
        <f>IF('Report History'!QA25=0,"",IFERROR('Report History'!QA25,""))</f>
        <v/>
      </c>
      <c r="DT125" s="250" t="str">
        <f>IF('Report History'!QB25=0,"",IFERROR('Report History'!QB25,""))</f>
        <v>NO</v>
      </c>
      <c r="DU125" s="251" t="str">
        <f>IF('Report History'!QC25=0,"",IFERROR('Report History'!QC25,""))</f>
        <v/>
      </c>
      <c r="DV125" s="258" t="str">
        <f>IF('Report History'!QD25=0,"",IFERROR('Report History'!QD25,""))</f>
        <v>DPS done by 0500?</v>
      </c>
      <c r="DW125" s="259" t="str">
        <f>IF('Report History'!QE25=0,"",IFERROR('Report History'!QE25,""))</f>
        <v/>
      </c>
      <c r="DX125" s="260" t="str">
        <f>IF('Report History'!QF25=0,"",IFERROR('Report History'!QF25,""))</f>
        <v/>
      </c>
      <c r="DY125" s="250" t="str">
        <f>IF('Report History'!QG25=0,"",IFERROR('Report History'!QG25,""))</f>
        <v>NO</v>
      </c>
      <c r="DZ125" s="251" t="str">
        <f>IF('Report History'!QH25=0,"",IFERROR('Report History'!QH25,""))</f>
        <v/>
      </c>
      <c r="EA125" s="258" t="str">
        <f>IF('Report History'!QI25=0,"",IFERROR('Report History'!QI25,""))</f>
        <v>DPS done by 0500?</v>
      </c>
      <c r="EB125" s="259" t="str">
        <f>IF('Report History'!QJ25=0,"",IFERROR('Report History'!QJ25,""))</f>
        <v/>
      </c>
      <c r="EC125" s="260" t="str">
        <f>IF('Report History'!QK25=0,"",IFERROR('Report History'!QK25,""))</f>
        <v/>
      </c>
      <c r="ED125" s="250" t="str">
        <f>IF('Report History'!QL25=0,"",IFERROR('Report History'!QL25,""))</f>
        <v>YES</v>
      </c>
      <c r="EE125" s="251" t="str">
        <f>IF('Report History'!QM25=0,"",IFERROR('Report History'!QM25,""))</f>
        <v/>
      </c>
      <c r="EF125" s="258" t="str">
        <f>IF('Report History'!QN25=0,"",IFERROR('Report History'!QN25,""))</f>
        <v>DPS done by 0500?</v>
      </c>
      <c r="EG125" s="259" t="str">
        <f>IF('Report History'!QO25=0,"",IFERROR('Report History'!QO25,""))</f>
        <v/>
      </c>
      <c r="EH125" s="260" t="str">
        <f>IF('Report History'!QP25=0,"",IFERROR('Report History'!QP25,""))</f>
        <v/>
      </c>
      <c r="EI125" s="250" t="str">
        <f>IF('Report History'!QQ25=0,"",IFERROR('Report History'!QQ25,""))</f>
        <v>YES</v>
      </c>
      <c r="EJ125" s="251" t="str">
        <f>IF('Report History'!QR25=0,"",IFERROR('Report History'!QR25,""))</f>
        <v/>
      </c>
      <c r="EK125" s="258" t="str">
        <f>IF('Report History'!QS25=0,"",IFERROR('Report History'!QS25,""))</f>
        <v>DPS done by 0500?</v>
      </c>
      <c r="EL125" s="259" t="str">
        <f>IF('Report History'!QT25=0,"",IFERROR('Report History'!QT25,""))</f>
        <v/>
      </c>
      <c r="EM125" s="260" t="str">
        <f>IF('Report History'!QU25=0,"",IFERROR('Report History'!QU25,""))</f>
        <v/>
      </c>
      <c r="EN125" s="250" t="str">
        <f>IF('Report History'!QV25=0,"",IFERROR('Report History'!QV25,""))</f>
        <v>N/A</v>
      </c>
      <c r="EO125" s="251" t="str">
        <f>IF('Report History'!QW25=0,"",IFERROR('Report History'!QW25,""))</f>
        <v/>
      </c>
      <c r="EP125" s="258" t="str">
        <f>IF('Report History'!QX25=0,"",IFERROR('Report History'!QX25,""))</f>
        <v>DPS done by 0500?</v>
      </c>
      <c r="EQ125" s="259" t="str">
        <f>IF('Report History'!QY25=0,"",IFERROR('Report History'!QY25,""))</f>
        <v/>
      </c>
      <c r="ER125" s="260" t="str">
        <f>IF('Report History'!QZ25=0,"",IFERROR('Report History'!QZ25,""))</f>
        <v/>
      </c>
      <c r="ES125" s="250" t="str">
        <f>IF('Report History'!RA25=0,"",IFERROR('Report History'!RA25,""))</f>
        <v>NO</v>
      </c>
      <c r="ET125" s="251" t="str">
        <f>IF('Report History'!RB25=0,"",IFERROR('Report History'!RB25,""))</f>
        <v/>
      </c>
      <c r="EU125" s="258" t="str">
        <f>IF('Report History'!RC25=0,"",IFERROR('Report History'!RC25,""))</f>
        <v>DPS done by 0500?</v>
      </c>
      <c r="EV125" s="259" t="str">
        <f>IF('Report History'!RD25=0,"",IFERROR('Report History'!RD25,""))</f>
        <v/>
      </c>
      <c r="EW125" s="260" t="str">
        <f>IF('Report History'!RE25=0,"",IFERROR('Report History'!RE25,""))</f>
        <v/>
      </c>
      <c r="EX125" s="250" t="str">
        <f>IF('Report History'!RF25=0,"",IFERROR('Report History'!RF25,""))</f>
        <v>NO</v>
      </c>
      <c r="EY125" s="251" t="str">
        <f>IF('Report History'!RG25=0,"",IFERROR('Report History'!RG25,""))</f>
        <v/>
      </c>
      <c r="EZ125" s="258" t="str">
        <f>IF('Report History'!RH25=0,"",IFERROR('Report History'!RH25,""))</f>
        <v>DPS done by 0500?</v>
      </c>
      <c r="FA125" s="259" t="str">
        <f>IF('Report History'!RI25=0,"",IFERROR('Report History'!RI25,""))</f>
        <v/>
      </c>
      <c r="FB125" s="260" t="str">
        <f>IF('Report History'!RJ25=0,"",IFERROR('Report History'!RJ25,""))</f>
        <v/>
      </c>
      <c r="FC125" s="250" t="str">
        <f>IF('Report History'!RK25=0,"",IFERROR('Report History'!RK25,""))</f>
        <v>YES</v>
      </c>
      <c r="FD125" s="251" t="str">
        <f>IF('Report History'!RL25=0,"",IFERROR('Report History'!RL25,""))</f>
        <v/>
      </c>
      <c r="FE125" s="258" t="str">
        <f>IF('Report History'!RM25=0,"",IFERROR('Report History'!RM25,""))</f>
        <v>DPS done by 0500?</v>
      </c>
      <c r="FF125" s="259" t="str">
        <f>IF('Report History'!RN25=0,"",IFERROR('Report History'!RN25,""))</f>
        <v/>
      </c>
      <c r="FG125" s="260" t="str">
        <f>IF('Report History'!RO25=0,"",IFERROR('Report History'!RO25,""))</f>
        <v/>
      </c>
      <c r="FH125" s="250" t="str">
        <f>IF('Report History'!RP25=0,"",IFERROR('Report History'!RP25,""))</f>
        <v>YES</v>
      </c>
      <c r="FI125" s="251" t="str">
        <f>IF('Report History'!RQ25=0,"",IFERROR('Report History'!RQ25,""))</f>
        <v/>
      </c>
      <c r="FJ125" s="258" t="str">
        <f>IF('Report History'!RR25=0,"",IFERROR('Report History'!RR25,""))</f>
        <v>DPS done by 0500?</v>
      </c>
      <c r="FK125" s="259" t="str">
        <f>IF('Report History'!RS25=0,"",IFERROR('Report History'!RS25,""))</f>
        <v/>
      </c>
      <c r="FL125" s="260" t="str">
        <f>IF('Report History'!RT25=0,"",IFERROR('Report History'!RT25,""))</f>
        <v/>
      </c>
      <c r="FM125" s="250" t="str">
        <f>IF('Report History'!RU25=0,"",IFERROR('Report History'!RU25,""))</f>
        <v>NO</v>
      </c>
      <c r="FN125" s="251" t="str">
        <f>IF('Report History'!RV25=0,"",IFERROR('Report History'!RV25,""))</f>
        <v/>
      </c>
      <c r="FO125" s="258" t="str">
        <f>IF('Report History'!RW25=0,"",IFERROR('Report History'!RW25,""))</f>
        <v>DPS done by 0500?</v>
      </c>
      <c r="FP125" s="259" t="str">
        <f>IF('Report History'!RX25=0,"",IFERROR('Report History'!RX25,""))</f>
        <v/>
      </c>
      <c r="FQ125" s="260" t="str">
        <f>IF('Report History'!RY25=0,"",IFERROR('Report History'!RY25,""))</f>
        <v/>
      </c>
      <c r="FR125" s="250" t="str">
        <f>IF('Report History'!RZ25=0,"",IFERROR('Report History'!RZ25,""))</f>
        <v>NO</v>
      </c>
      <c r="FS125" s="251" t="str">
        <f>IF('Report History'!SA25=0,"",IFERROR('Report History'!SA25,""))</f>
        <v/>
      </c>
      <c r="FT125" s="258" t="str">
        <f>IF('Report History'!SB25=0,"",IFERROR('Report History'!SB25,""))</f>
        <v>DPS done by 0500?</v>
      </c>
      <c r="FU125" s="259" t="str">
        <f>IF('Report History'!SC25=0,"",IFERROR('Report History'!SC25,""))</f>
        <v/>
      </c>
      <c r="FV125" s="260" t="str">
        <f>IF('Report History'!SD25=0,"",IFERROR('Report History'!SD25,""))</f>
        <v/>
      </c>
      <c r="FW125" s="250" t="str">
        <f>IF('Report History'!SE25=0,"",IFERROR('Report History'!SE25,""))</f>
        <v>YES</v>
      </c>
      <c r="FX125" s="251" t="str">
        <f>IF('Report History'!SF25=0,"",IFERROR('Report History'!SF25,""))</f>
        <v/>
      </c>
      <c r="FY125" s="258" t="str">
        <f>IF('Report History'!SG25=0,"",IFERROR('Report History'!SG25,""))</f>
        <v>DPS done by 0500?</v>
      </c>
      <c r="FZ125" s="259" t="str">
        <f>IF('Report History'!SH25=0,"",IFERROR('Report History'!SH25,""))</f>
        <v/>
      </c>
      <c r="GA125" s="260" t="str">
        <f>IF('Report History'!SI25=0,"",IFERROR('Report History'!SI25,""))</f>
        <v/>
      </c>
      <c r="GB125" s="250" t="str">
        <f>IF('Report History'!SJ25=0,"",IFERROR('Report History'!SJ25,""))</f>
        <v>N/A</v>
      </c>
      <c r="GC125" s="251" t="str">
        <f>IF('Report History'!SK25=0,"",IFERROR('Report History'!SK25,""))</f>
        <v/>
      </c>
      <c r="GD125" s="258" t="str">
        <f>IF('Report History'!SL25=0,"",IFERROR('Report History'!SL25,""))</f>
        <v>DPS done by 0500?</v>
      </c>
      <c r="GE125" s="259" t="str">
        <f>IF('Report History'!SM25=0,"",IFERROR('Report History'!SM25,""))</f>
        <v/>
      </c>
      <c r="GF125" s="260" t="str">
        <f>IF('Report History'!SN25=0,"",IFERROR('Report History'!SN25,""))</f>
        <v/>
      </c>
      <c r="GG125" s="250" t="str">
        <f>IF('Report History'!SO25=0,"",IFERROR('Report History'!SO25,""))</f>
        <v>YES</v>
      </c>
      <c r="GH125" s="251" t="str">
        <f>IF('Report History'!SP25=0,"",IFERROR('Report History'!SP25,""))</f>
        <v/>
      </c>
      <c r="GI125" s="258" t="str">
        <f>IF('Report History'!SQ25=0,"",IFERROR('Report History'!SQ25,""))</f>
        <v>DPS done by 0500?</v>
      </c>
      <c r="GJ125" s="259" t="str">
        <f>IF('Report History'!SR25=0,"",IFERROR('Report History'!SR25,""))</f>
        <v/>
      </c>
      <c r="GK125" s="260" t="str">
        <f>IF('Report History'!SS25=0,"",IFERROR('Report History'!SS25,""))</f>
        <v/>
      </c>
      <c r="GL125" s="250" t="str">
        <f>IF('Report History'!ST25=0,"",IFERROR('Report History'!ST25,""))</f>
        <v>NO</v>
      </c>
      <c r="GM125" s="251" t="str">
        <f>IF('Report History'!SU25=0,"",IFERROR('Report History'!SU25,""))</f>
        <v/>
      </c>
      <c r="GN125" s="258" t="str">
        <f>IF('Report History'!SV25=0,"",IFERROR('Report History'!SV25,""))</f>
        <v>DPS done by 0500?</v>
      </c>
      <c r="GO125" s="259" t="str">
        <f>IF('Report History'!SW25=0,"",IFERROR('Report History'!SW25,""))</f>
        <v/>
      </c>
      <c r="GP125" s="260" t="str">
        <f>IF('Report History'!SX25=0,"",IFERROR('Report History'!SX25,""))</f>
        <v/>
      </c>
      <c r="GQ125" s="250" t="str">
        <f>IF('Report History'!SY25=0,"",IFERROR('Report History'!SY25,""))</f>
        <v>YES</v>
      </c>
      <c r="GR125" s="251" t="str">
        <f>IF('Report History'!SZ25=0,"",IFERROR('Report History'!SZ25,""))</f>
        <v/>
      </c>
      <c r="GS125" s="258" t="str">
        <f>IF('Report History'!TA25=0,"",IFERROR('Report History'!TA25,""))</f>
        <v>DPS done by 0500?</v>
      </c>
      <c r="GT125" s="259" t="str">
        <f>IF('Report History'!TB25=0,"",IFERROR('Report History'!TB25,""))</f>
        <v/>
      </c>
      <c r="GU125" s="260" t="str">
        <f>IF('Report History'!TC25=0,"",IFERROR('Report History'!TC25,""))</f>
        <v/>
      </c>
      <c r="GV125" s="250" t="str">
        <f>IF('Report History'!TD25=0,"",IFERROR('Report History'!TD25,""))</f>
        <v>YES</v>
      </c>
      <c r="GW125" s="251" t="str">
        <f>IF('Report History'!TE25=0,"",IFERROR('Report History'!TE25,""))</f>
        <v/>
      </c>
      <c r="GX125" s="258" t="str">
        <f>IF('Report History'!TF25=0,"",IFERROR('Report History'!TF25,""))</f>
        <v>DPS done by 0500?</v>
      </c>
      <c r="GY125" s="259" t="str">
        <f>IF('Report History'!TG25=0,"",IFERROR('Report History'!TG25,""))</f>
        <v/>
      </c>
      <c r="GZ125" s="260" t="str">
        <f>IF('Report History'!TH25=0,"",IFERROR('Report History'!TH25,""))</f>
        <v/>
      </c>
      <c r="HA125" s="250" t="str">
        <f>IF('Report History'!TI25=0,"",IFERROR('Report History'!TI25,""))</f>
        <v>YES</v>
      </c>
      <c r="HB125" s="251" t="str">
        <f>IF('Report History'!TJ25=0,"",IFERROR('Report History'!TJ25,""))</f>
        <v/>
      </c>
      <c r="HC125" s="258" t="str">
        <f>IF('Report History'!TK25=0,"",IFERROR('Report History'!TK25,""))</f>
        <v>DPS done by 0500?</v>
      </c>
      <c r="HD125" s="259" t="str">
        <f>IF('Report History'!TL25=0,"",IFERROR('Report History'!TL25,""))</f>
        <v/>
      </c>
      <c r="HE125" s="260" t="str">
        <f>IF('Report History'!TM25=0,"",IFERROR('Report History'!TM25,""))</f>
        <v/>
      </c>
      <c r="HF125" s="250" t="str">
        <f>IF('Report History'!TN25=0,"",IFERROR('Report History'!TN25,""))</f>
        <v>YES</v>
      </c>
      <c r="HG125" s="251" t="str">
        <f>IF('Report History'!TO25=0,"",IFERROR('Report History'!TO25,""))</f>
        <v/>
      </c>
      <c r="HH125" s="258" t="str">
        <f>IF('Report History'!TP25=0,"",IFERROR('Report History'!TP25,""))</f>
        <v>DPS done by 0500?</v>
      </c>
      <c r="HI125" s="259" t="str">
        <f>IF('Report History'!TQ25=0,"",IFERROR('Report History'!TQ25,""))</f>
        <v/>
      </c>
      <c r="HJ125" s="260" t="str">
        <f>IF('Report History'!TR25=0,"",IFERROR('Report History'!TR25,""))</f>
        <v/>
      </c>
      <c r="HK125" s="250" t="str">
        <f>IF('Report History'!TS25=0,"",IFERROR('Report History'!TS25,""))</f>
        <v>N/A</v>
      </c>
      <c r="HL125" s="251" t="str">
        <f>IF('Report History'!TT25=0,"",IFERROR('Report History'!TT25,""))</f>
        <v/>
      </c>
      <c r="HM125" s="258" t="str">
        <f>IF('Report History'!TU25=0,"",IFERROR('Report History'!TU25,""))</f>
        <v>DPS done by 0500?</v>
      </c>
      <c r="HN125" s="259" t="str">
        <f>IF('Report History'!TV25=0,"",IFERROR('Report History'!TV25,""))</f>
        <v/>
      </c>
      <c r="HO125" s="260" t="str">
        <f>IF('Report History'!TW25=0,"",IFERROR('Report History'!TW25,""))</f>
        <v/>
      </c>
      <c r="HP125" s="250" t="str">
        <f>IF('Report History'!TX25=0,"",IFERROR('Report History'!TX25,""))</f>
        <v>NO</v>
      </c>
      <c r="HQ125" s="251" t="str">
        <f>IF('Report History'!TY25=0,"",IFERROR('Report History'!TY25,""))</f>
        <v/>
      </c>
      <c r="HR125" s="258" t="str">
        <f>IF('Report History'!TZ25=0,"",IFERROR('Report History'!TZ25,""))</f>
        <v>DPS done by 0500?</v>
      </c>
      <c r="HS125" s="259" t="str">
        <f>IF('Report History'!UA25=0,"",IFERROR('Report History'!UA25,""))</f>
        <v/>
      </c>
      <c r="HT125" s="260" t="str">
        <f>IF('Report History'!UB25=0,"",IFERROR('Report History'!UB25,""))</f>
        <v/>
      </c>
      <c r="HU125" s="250" t="str">
        <f>IF('Report History'!UC25=0,"",IFERROR('Report History'!UC25,""))</f>
        <v>NO</v>
      </c>
      <c r="HV125" s="251" t="str">
        <f>IF('Report History'!UD25=0,"",IFERROR('Report History'!UD25,""))</f>
        <v/>
      </c>
      <c r="HW125" s="258" t="str">
        <f>IF('Report History'!UE25=0,"",IFERROR('Report History'!UE25,""))</f>
        <v>DPS done by 0500?</v>
      </c>
      <c r="HX125" s="259" t="str">
        <f>IF('Report History'!UF25=0,"",IFERROR('Report History'!UF25,""))</f>
        <v/>
      </c>
      <c r="HY125" s="260" t="str">
        <f>IF('Report History'!UG25=0,"",IFERROR('Report History'!UG25,""))</f>
        <v/>
      </c>
      <c r="HZ125" s="250" t="str">
        <f>IF('Report History'!UH25=0,"",IFERROR('Report History'!UH25,""))</f>
        <v>NO</v>
      </c>
      <c r="IA125" s="251" t="str">
        <f>IF('Report History'!UI25=0,"",IFERROR('Report History'!UI25,""))</f>
        <v/>
      </c>
      <c r="IB125" s="258" t="str">
        <f>IF('Report History'!UJ25=0,"",IFERROR('Report History'!UJ25,""))</f>
        <v>DPS done by 0500?</v>
      </c>
      <c r="IC125" s="259" t="str">
        <f>IF('Report History'!UK25=0,"",IFERROR('Report History'!UK25,""))</f>
        <v/>
      </c>
      <c r="ID125" s="260" t="str">
        <f>IF('Report History'!UL25=0,"",IFERROR('Report History'!UL25,""))</f>
        <v/>
      </c>
      <c r="IE125" s="250" t="str">
        <f>IF('Report History'!UM25=0,"",IFERROR('Report History'!UM25,""))</f>
        <v>NO</v>
      </c>
      <c r="IF125" s="251" t="str">
        <f>IF('Report History'!UN25=0,"",IFERROR('Report History'!UN25,""))</f>
        <v/>
      </c>
      <c r="IG125" s="258" t="str">
        <f>IF('Report History'!UO25=0,"",IFERROR('Report History'!UO25,""))</f>
        <v>DPS done by 0500?</v>
      </c>
      <c r="IH125" s="259" t="str">
        <f>IF('Report History'!UP25=0,"",IFERROR('Report History'!UP25,""))</f>
        <v/>
      </c>
      <c r="II125" s="260" t="str">
        <f>IF('Report History'!UQ25=0,"",IFERROR('Report History'!UQ25,""))</f>
        <v/>
      </c>
      <c r="IJ125" s="250" t="str">
        <f>IF('Report History'!UR25=0,"",IFERROR('Report History'!UR25,""))</f>
        <v>YES</v>
      </c>
      <c r="IK125" s="251" t="str">
        <f>IF('Report History'!US25=0,"",IFERROR('Report History'!US25,""))</f>
        <v/>
      </c>
      <c r="IL125" s="258" t="str">
        <f>IF('Report History'!UT25=0,"",IFERROR('Report History'!UT25,""))</f>
        <v>DPS done by 0500?</v>
      </c>
      <c r="IM125" s="259" t="str">
        <f>IF('Report History'!UU25=0,"",IFERROR('Report History'!UU25,""))</f>
        <v/>
      </c>
      <c r="IN125" s="260" t="str">
        <f>IF('Report History'!UV25=0,"",IFERROR('Report History'!UV25,""))</f>
        <v/>
      </c>
      <c r="IO125" s="250" t="str">
        <f>IF('Report History'!UW25=0,"",IFERROR('Report History'!UW25,""))</f>
        <v>YES</v>
      </c>
      <c r="IP125" s="251" t="str">
        <f>IF('Report History'!UX25=0,"",IFERROR('Report History'!UX25,""))</f>
        <v/>
      </c>
    </row>
    <row r="126" spans="1:250" ht="15.6" x14ac:dyDescent="0.3">
      <c r="A126" s="67" t="str">
        <f>IF('Report History'!LI26=0,"",IFERROR('Report History'!LI26,""))</f>
        <v>O.T. hrs used today:</v>
      </c>
      <c r="B126" s="68"/>
      <c r="C126" s="69"/>
      <c r="D126" s="250" t="str">
        <f>IF('Report History'!LL26=0,"",IFERROR('Report History'!LL26,""))</f>
        <v>8</v>
      </c>
      <c r="E126" s="251" t="str">
        <f>IF('Report History'!LM26=0,"",IFERROR('Report History'!LM26,""))</f>
        <v/>
      </c>
      <c r="F126" s="67" t="str">
        <f>IF('Report History'!LN26=0,"",IFERROR('Report History'!LN26,""))</f>
        <v>O.T. hrs used today:</v>
      </c>
      <c r="G126" s="68"/>
      <c r="H126" s="69"/>
      <c r="I126" s="250" t="str">
        <f>IF('Report History'!LQ26=0,"",IFERROR('Report History'!LQ26,""))</f>
        <v>0</v>
      </c>
      <c r="J126" s="251" t="str">
        <f>IF('Report History'!LR26=0,"",IFERROR('Report History'!LR26,""))</f>
        <v/>
      </c>
      <c r="K126" s="67" t="str">
        <f>IF('Report History'!LS26=0,"",IFERROR('Report History'!LS26,""))</f>
        <v>O.T. hrs used today:</v>
      </c>
      <c r="L126" s="68"/>
      <c r="M126" s="69"/>
      <c r="N126" s="250" t="str">
        <f>IF('Report History'!LV26=0,"",IFERROR('Report History'!LV26,""))</f>
        <v>4</v>
      </c>
      <c r="O126" s="251" t="str">
        <f>IF('Report History'!LW26=0,"",IFERROR('Report History'!LW26,""))</f>
        <v/>
      </c>
      <c r="P126" s="67" t="str">
        <f>IF('Report History'!LX26=0,"",IFERROR('Report History'!LX26,""))</f>
        <v>O.T. hrs used today:</v>
      </c>
      <c r="Q126" s="68"/>
      <c r="R126" s="69"/>
      <c r="S126" s="250" t="str">
        <f>IF('Report History'!MA26=0,"",IFERROR('Report History'!MA26,""))</f>
        <v>5</v>
      </c>
      <c r="T126" s="251" t="str">
        <f>IF('Report History'!MB26=0,"",IFERROR('Report History'!MB26,""))</f>
        <v/>
      </c>
      <c r="U126" s="67" t="str">
        <f>IF('Report History'!MC26=0,"",IFERROR('Report History'!MC26,""))</f>
        <v>O.T. hrs used today:</v>
      </c>
      <c r="V126" s="68"/>
      <c r="W126" s="69"/>
      <c r="X126" s="250" t="str">
        <f>IF('Report History'!MF26=0,"",IFERROR('Report History'!MF26,""))</f>
        <v>1</v>
      </c>
      <c r="Y126" s="251" t="str">
        <f>IF('Report History'!MG26=0,"",IFERROR('Report History'!MG26,""))</f>
        <v/>
      </c>
      <c r="Z126" s="67" t="str">
        <f>IF('Report History'!MH26=0,"",IFERROR('Report History'!MH26,""))</f>
        <v>O.T. hrs used today:</v>
      </c>
      <c r="AA126" s="68"/>
      <c r="AB126" s="69"/>
      <c r="AC126" s="250" t="str">
        <f>IF('Report History'!MK26=0,"",IFERROR('Report History'!MK26,""))</f>
        <v>3</v>
      </c>
      <c r="AD126" s="251" t="str">
        <f>IF('Report History'!ML26=0,"",IFERROR('Report History'!ML26,""))</f>
        <v/>
      </c>
      <c r="AE126" s="67" t="str">
        <f>IF('Report History'!MM26=0,"",IFERROR('Report History'!MM26,""))</f>
        <v>O.T. hrs used today:</v>
      </c>
      <c r="AF126" s="68"/>
      <c r="AG126" s="69"/>
      <c r="AH126" s="250" t="str">
        <f>IF('Report History'!MP26=0,"",IFERROR('Report History'!MP26,""))</f>
        <v>0</v>
      </c>
      <c r="AI126" s="251" t="str">
        <f>IF('Report History'!MQ26=0,"",IFERROR('Report History'!MQ26,""))</f>
        <v/>
      </c>
      <c r="AJ126" s="67" t="str">
        <f>IF('Report History'!MR26=0,"",IFERROR('Report History'!MR26,""))</f>
        <v>O.T. hrs used today:</v>
      </c>
      <c r="AK126" s="68"/>
      <c r="AL126" s="69"/>
      <c r="AM126" s="250" t="str">
        <f>IF('Report History'!MU26=0,"",IFERROR('Report History'!MU26,""))</f>
        <v>0</v>
      </c>
      <c r="AN126" s="251" t="str">
        <f>IF('Report History'!MV26=0,"",IFERROR('Report History'!MV26,""))</f>
        <v/>
      </c>
      <c r="AO126" s="67" t="str">
        <f>IF('Report History'!MW26=0,"",IFERROR('Report History'!MW26,""))</f>
        <v>O.T. hrs used today:</v>
      </c>
      <c r="AP126" s="68"/>
      <c r="AQ126" s="69"/>
      <c r="AR126" s="250" t="str">
        <f>IF('Report History'!MZ26=0,"",IFERROR('Report History'!MZ26,""))</f>
        <v>0</v>
      </c>
      <c r="AS126" s="251" t="str">
        <f>IF('Report History'!NA26=0,"",IFERROR('Report History'!NA26,""))</f>
        <v/>
      </c>
      <c r="AT126" s="67" t="str">
        <f>IF('Report History'!NB26=0,"",IFERROR('Report History'!NB26,""))</f>
        <v>O.T. hrs used today:</v>
      </c>
      <c r="AU126" s="68"/>
      <c r="AV126" s="69"/>
      <c r="AW126" s="250" t="str">
        <f>IF('Report History'!NE26=0,"",IFERROR('Report History'!NE26,""))</f>
        <v>2</v>
      </c>
      <c r="AX126" s="251" t="str">
        <f>IF('Report History'!NF26=0,"",IFERROR('Report History'!NF26,""))</f>
        <v/>
      </c>
      <c r="AY126" s="67" t="str">
        <f>IF('Report History'!NG26=0,"",IFERROR('Report History'!NG26,""))</f>
        <v>O.T. hrs used today:</v>
      </c>
      <c r="AZ126" s="68"/>
      <c r="BA126" s="69"/>
      <c r="BB126" s="250" t="str">
        <f>IF('Report History'!NJ26=0,"",IFERROR('Report History'!NJ26,""))</f>
        <v>4</v>
      </c>
      <c r="BC126" s="251" t="str">
        <f>IF('Report History'!NK26=0,"",IFERROR('Report History'!NK26,""))</f>
        <v/>
      </c>
      <c r="BD126" s="67" t="str">
        <f>IF('Report History'!NL26=0,"",IFERROR('Report History'!NL26,""))</f>
        <v>O.T. hrs used today:</v>
      </c>
      <c r="BE126" s="68"/>
      <c r="BF126" s="69"/>
      <c r="BG126" s="250" t="str">
        <f>IF('Report History'!NO26=0,"",IFERROR('Report History'!NO26,""))</f>
        <v>6</v>
      </c>
      <c r="BH126" s="251" t="str">
        <f>IF('Report History'!NP26=0,"",IFERROR('Report History'!NP26,""))</f>
        <v/>
      </c>
      <c r="BI126" s="67" t="str">
        <f>IF('Report History'!NQ26=0,"",IFERROR('Report History'!NQ26,""))</f>
        <v>O.T. hrs used today:</v>
      </c>
      <c r="BJ126" s="68"/>
      <c r="BK126" s="69"/>
      <c r="BL126" s="250" t="str">
        <f>IF('Report History'!NT26=0,"",IFERROR('Report History'!NT26,""))</f>
        <v>0</v>
      </c>
      <c r="BM126" s="251" t="str">
        <f>IF('Report History'!NU26=0,"",IFERROR('Report History'!NU26,""))</f>
        <v/>
      </c>
      <c r="BN126" s="67" t="str">
        <f>IF('Report History'!NV26=0,"",IFERROR('Report History'!NV26,""))</f>
        <v>O.T. hrs used today:</v>
      </c>
      <c r="BO126" s="68"/>
      <c r="BP126" s="69"/>
      <c r="BQ126" s="250" t="str">
        <f>IF('Report History'!NY26=0,"",IFERROR('Report History'!NY26,""))</f>
        <v>4</v>
      </c>
      <c r="BR126" s="251" t="str">
        <f>IF('Report History'!NZ26=0,"",IFERROR('Report History'!NZ26,""))</f>
        <v/>
      </c>
      <c r="BS126" s="67" t="str">
        <f>IF('Report History'!OA26=0,"",IFERROR('Report History'!OA26,""))</f>
        <v>O.T. hrs used today:</v>
      </c>
      <c r="BT126" s="68"/>
      <c r="BU126" s="69"/>
      <c r="BV126" s="250" t="str">
        <f>IF('Report History'!OD26=0,"",IFERROR('Report History'!OD26,""))</f>
        <v>6</v>
      </c>
      <c r="BW126" s="251" t="str">
        <f>IF('Report History'!OE26=0,"",IFERROR('Report History'!OE26,""))</f>
        <v/>
      </c>
      <c r="BX126" s="67" t="str">
        <f>IF('Report History'!OF26=0,"",IFERROR('Report History'!OF26,""))</f>
        <v>O.T. hrs used today:</v>
      </c>
      <c r="BY126" s="68"/>
      <c r="BZ126" s="69"/>
      <c r="CA126" s="250" t="str">
        <f>IF('Report History'!OI26=0,"",IFERROR('Report History'!OI26,""))</f>
        <v>6</v>
      </c>
      <c r="CB126" s="251" t="str">
        <f>IF('Report History'!OJ26=0,"",IFERROR('Report History'!OJ26,""))</f>
        <v/>
      </c>
      <c r="CC126" s="67" t="str">
        <f>IF('Report History'!OK26=0,"",IFERROR('Report History'!OK26,""))</f>
        <v>O.T. hrs used today:</v>
      </c>
      <c r="CD126" s="68"/>
      <c r="CE126" s="69"/>
      <c r="CF126" s="250" t="str">
        <f>IF('Report History'!ON26=0,"",IFERROR('Report History'!ON26,""))</f>
        <v>8</v>
      </c>
      <c r="CG126" s="251" t="str">
        <f>IF('Report History'!OO26=0,"",IFERROR('Report History'!OO26,""))</f>
        <v/>
      </c>
      <c r="CH126" s="67" t="str">
        <f>IF('Report History'!OP26=0,"",IFERROR('Report History'!OP26,""))</f>
        <v>O.T. hrs used today:</v>
      </c>
      <c r="CI126" s="68"/>
      <c r="CJ126" s="69"/>
      <c r="CK126" s="250" t="str">
        <f>IF('Report History'!OS26=0,"",IFERROR('Report History'!OS26,""))</f>
        <v>0</v>
      </c>
      <c r="CL126" s="251" t="str">
        <f>IF('Report History'!OT26=0,"",IFERROR('Report History'!OT26,""))</f>
        <v/>
      </c>
      <c r="CM126" s="67" t="str">
        <f>IF('Report History'!OU26=0,"",IFERROR('Report History'!OU26,""))</f>
        <v>O.T. hrs used today:</v>
      </c>
      <c r="CN126" s="68"/>
      <c r="CO126" s="69"/>
      <c r="CP126" s="250" t="str">
        <f>IF('Report History'!OX26=0,"",IFERROR('Report History'!OX26,""))</f>
        <v>4</v>
      </c>
      <c r="CQ126" s="251" t="str">
        <f>IF('Report History'!OY26=0,"",IFERROR('Report History'!OY26,""))</f>
        <v/>
      </c>
      <c r="CR126" s="67" t="str">
        <f>IF('Report History'!OZ26=0,"",IFERROR('Report History'!OZ26,""))</f>
        <v>O.T. hrs used today:</v>
      </c>
      <c r="CS126" s="68"/>
      <c r="CT126" s="69"/>
      <c r="CU126" s="250" t="str">
        <f>IF('Report History'!PC26=0,"",IFERROR('Report History'!PC26,""))</f>
        <v>4</v>
      </c>
      <c r="CV126" s="251" t="str">
        <f>IF('Report History'!PD26=0,"",IFERROR('Report History'!PD26,""))</f>
        <v/>
      </c>
      <c r="CW126" s="67" t="str">
        <f>IF('Report History'!PE26=0,"",IFERROR('Report History'!PE26,""))</f>
        <v>O.T. hrs used today:</v>
      </c>
      <c r="CX126" s="68"/>
      <c r="CY126" s="69"/>
      <c r="CZ126" s="250" t="str">
        <f>IF('Report History'!PH26=0,"",IFERROR('Report History'!PH26,""))</f>
        <v>0</v>
      </c>
      <c r="DA126" s="251" t="str">
        <f>IF('Report History'!PI26=0,"",IFERROR('Report History'!PI26,""))</f>
        <v/>
      </c>
      <c r="DB126" s="67" t="str">
        <f>IF('Report History'!PJ26=0,"",IFERROR('Report History'!PJ26,""))</f>
        <v>O.T. hrs used today:</v>
      </c>
      <c r="DC126" s="68"/>
      <c r="DD126" s="69"/>
      <c r="DE126" s="250" t="str">
        <f>IF('Report History'!PM26=0,"",IFERROR('Report History'!PM26,""))</f>
        <v>0</v>
      </c>
      <c r="DF126" s="251" t="str">
        <f>IF('Report History'!PN26=0,"",IFERROR('Report History'!PN26,""))</f>
        <v/>
      </c>
      <c r="DG126" s="67" t="str">
        <f>IF('Report History'!PO26=0,"",IFERROR('Report History'!PO26,""))</f>
        <v>O.T. hrs used today:</v>
      </c>
      <c r="DH126" s="68"/>
      <c r="DI126" s="69"/>
      <c r="DJ126" s="250" t="str">
        <f>IF('Report History'!PR26=0,"",IFERROR('Report History'!PR26,""))</f>
        <v>6</v>
      </c>
      <c r="DK126" s="251" t="str">
        <f>IF('Report History'!PS26=0,"",IFERROR('Report History'!PS26,""))</f>
        <v/>
      </c>
      <c r="DL126" s="67" t="str">
        <f>IF('Report History'!PT26=0,"",IFERROR('Report History'!PT26,""))</f>
        <v>O.T. hrs used today:</v>
      </c>
      <c r="DM126" s="68"/>
      <c r="DN126" s="69"/>
      <c r="DO126" s="250" t="str">
        <f>IF('Report History'!PW26=0,"",IFERROR('Report History'!PW26,""))</f>
        <v>0</v>
      </c>
      <c r="DP126" s="251" t="str">
        <f>IF('Report History'!PX26=0,"",IFERROR('Report History'!PX26,""))</f>
        <v/>
      </c>
      <c r="DQ126" s="67" t="str">
        <f>IF('Report History'!PY26=0,"",IFERROR('Report History'!PY26,""))</f>
        <v>O.T. hrs used today:</v>
      </c>
      <c r="DR126" s="68"/>
      <c r="DS126" s="69"/>
      <c r="DT126" s="250" t="str">
        <f>IF('Report History'!QB26=0,"",IFERROR('Report History'!QB26,""))</f>
        <v>4</v>
      </c>
      <c r="DU126" s="251" t="str">
        <f>IF('Report History'!QC26=0,"",IFERROR('Report History'!QC26,""))</f>
        <v/>
      </c>
      <c r="DV126" s="67" t="str">
        <f>IF('Report History'!QD26=0,"",IFERROR('Report History'!QD26,""))</f>
        <v>O.T. hrs used today:</v>
      </c>
      <c r="DW126" s="68"/>
      <c r="DX126" s="69"/>
      <c r="DY126" s="250" t="str">
        <f>IF('Report History'!QG26=0,"",IFERROR('Report History'!QG26,""))</f>
        <v>4</v>
      </c>
      <c r="DZ126" s="251" t="str">
        <f>IF('Report History'!QH26=0,"",IFERROR('Report History'!QH26,""))</f>
        <v/>
      </c>
      <c r="EA126" s="67" t="str">
        <f>IF('Report History'!QI26=0,"",IFERROR('Report History'!QI26,""))</f>
        <v>O.T. hrs used today:</v>
      </c>
      <c r="EB126" s="68"/>
      <c r="EC126" s="69"/>
      <c r="ED126" s="250" t="str">
        <f>IF('Report History'!QL26=0,"",IFERROR('Report History'!QL26,""))</f>
        <v>0</v>
      </c>
      <c r="EE126" s="251" t="str">
        <f>IF('Report History'!QM26=0,"",IFERROR('Report History'!QM26,""))</f>
        <v/>
      </c>
      <c r="EF126" s="67" t="str">
        <f>IF('Report History'!QN26=0,"",IFERROR('Report History'!QN26,""))</f>
        <v>O.T. hrs used today:</v>
      </c>
      <c r="EG126" s="68"/>
      <c r="EH126" s="69"/>
      <c r="EI126" s="250" t="str">
        <f>IF('Report History'!QQ26=0,"",IFERROR('Report History'!QQ26,""))</f>
        <v>0</v>
      </c>
      <c r="EJ126" s="251" t="str">
        <f>IF('Report History'!QR26=0,"",IFERROR('Report History'!QR26,""))</f>
        <v/>
      </c>
      <c r="EK126" s="67" t="str">
        <f>IF('Report History'!QS26=0,"",IFERROR('Report History'!QS26,""))</f>
        <v>O.T. hrs used today:</v>
      </c>
      <c r="EL126" s="68"/>
      <c r="EM126" s="69"/>
      <c r="EN126" s="250" t="str">
        <f>IF('Report History'!QV26=0,"",IFERROR('Report History'!QV26,""))</f>
        <v>0</v>
      </c>
      <c r="EO126" s="251" t="str">
        <f>IF('Report History'!QW26=0,"",IFERROR('Report History'!QW26,""))</f>
        <v/>
      </c>
      <c r="EP126" s="67" t="str">
        <f>IF('Report History'!QX26=0,"",IFERROR('Report History'!QX26,""))</f>
        <v>O.T. hrs used today:</v>
      </c>
      <c r="EQ126" s="68"/>
      <c r="ER126" s="69"/>
      <c r="ES126" s="250" t="str">
        <f>IF('Report History'!RA26=0,"",IFERROR('Report History'!RA26,""))</f>
        <v>16</v>
      </c>
      <c r="ET126" s="251" t="str">
        <f>IF('Report History'!RB26=0,"",IFERROR('Report History'!RB26,""))</f>
        <v/>
      </c>
      <c r="EU126" s="67" t="str">
        <f>IF('Report History'!RC26=0,"",IFERROR('Report History'!RC26,""))</f>
        <v>O.T. hrs used today:</v>
      </c>
      <c r="EV126" s="68"/>
      <c r="EW126" s="69"/>
      <c r="EX126" s="250" t="str">
        <f>IF('Report History'!RF26=0,"",IFERROR('Report History'!RF26,""))</f>
        <v>8</v>
      </c>
      <c r="EY126" s="251" t="str">
        <f>IF('Report History'!RG26=0,"",IFERROR('Report History'!RG26,""))</f>
        <v/>
      </c>
      <c r="EZ126" s="67" t="str">
        <f>IF('Report History'!RH26=0,"",IFERROR('Report History'!RH26,""))</f>
        <v>O.T. hrs used today:</v>
      </c>
      <c r="FA126" s="68"/>
      <c r="FB126" s="69"/>
      <c r="FC126" s="250" t="str">
        <f>IF('Report History'!RK26=0,"",IFERROR('Report History'!RK26,""))</f>
        <v>8</v>
      </c>
      <c r="FD126" s="251" t="str">
        <f>IF('Report History'!RL26=0,"",IFERROR('Report History'!RL26,""))</f>
        <v/>
      </c>
      <c r="FE126" s="67" t="str">
        <f>IF('Report History'!RM26=0,"",IFERROR('Report History'!RM26,""))</f>
        <v>O.T. hrs used today:</v>
      </c>
      <c r="FF126" s="68"/>
      <c r="FG126" s="69"/>
      <c r="FH126" s="250" t="str">
        <f>IF('Report History'!RP26=0,"",IFERROR('Report History'!RP26,""))</f>
        <v>6</v>
      </c>
      <c r="FI126" s="251" t="str">
        <f>IF('Report History'!RQ26=0,"",IFERROR('Report History'!RQ26,""))</f>
        <v/>
      </c>
      <c r="FJ126" s="67" t="str">
        <f>IF('Report History'!RR26=0,"",IFERROR('Report History'!RR26,""))</f>
        <v>O.T. hrs used today:</v>
      </c>
      <c r="FK126" s="68"/>
      <c r="FL126" s="69"/>
      <c r="FM126" s="250" t="str">
        <f>IF('Report History'!RU26=0,"",IFERROR('Report History'!RU26,""))</f>
        <v>6</v>
      </c>
      <c r="FN126" s="251" t="str">
        <f>IF('Report History'!RV26=0,"",IFERROR('Report History'!RV26,""))</f>
        <v/>
      </c>
      <c r="FO126" s="67" t="str">
        <f>IF('Report History'!RW26=0,"",IFERROR('Report History'!RW26,""))</f>
        <v>O.T. hrs used today:</v>
      </c>
      <c r="FP126" s="68"/>
      <c r="FQ126" s="69"/>
      <c r="FR126" s="250" t="str">
        <f>IF('Report History'!RZ26=0,"",IFERROR('Report History'!RZ26,""))</f>
        <v>6</v>
      </c>
      <c r="FS126" s="251" t="str">
        <f>IF('Report History'!SA26=0,"",IFERROR('Report History'!SA26,""))</f>
        <v/>
      </c>
      <c r="FT126" s="67" t="str">
        <f>IF('Report History'!SB26=0,"",IFERROR('Report History'!SB26,""))</f>
        <v>O.T. hrs used today:</v>
      </c>
      <c r="FU126" s="68"/>
      <c r="FV126" s="69"/>
      <c r="FW126" s="250" t="str">
        <f>IF('Report History'!SE26=0,"",IFERROR('Report History'!SE26,""))</f>
        <v>0</v>
      </c>
      <c r="FX126" s="251" t="str">
        <f>IF('Report History'!SF26=0,"",IFERROR('Report History'!SF26,""))</f>
        <v/>
      </c>
      <c r="FY126" s="67" t="str">
        <f>IF('Report History'!SG26=0,"",IFERROR('Report History'!SG26,""))</f>
        <v>O.T. hrs used today:</v>
      </c>
      <c r="FZ126" s="68"/>
      <c r="GA126" s="69"/>
      <c r="GB126" s="250" t="str">
        <f>IF('Report History'!SJ26=0,"",IFERROR('Report History'!SJ26,""))</f>
        <v>2</v>
      </c>
      <c r="GC126" s="251" t="str">
        <f>IF('Report History'!SK26=0,"",IFERROR('Report History'!SK26,""))</f>
        <v/>
      </c>
      <c r="GD126" s="67" t="str">
        <f>IF('Report History'!SL26=0,"",IFERROR('Report History'!SL26,""))</f>
        <v>O.T. hrs used today:</v>
      </c>
      <c r="GE126" s="68"/>
      <c r="GF126" s="69"/>
      <c r="GG126" s="250" t="str">
        <f>IF('Report History'!SO26=0,"",IFERROR('Report History'!SO26,""))</f>
        <v>2</v>
      </c>
      <c r="GH126" s="251" t="str">
        <f>IF('Report History'!SP26=0,"",IFERROR('Report History'!SP26,""))</f>
        <v/>
      </c>
      <c r="GI126" s="67" t="str">
        <f>IF('Report History'!SQ26=0,"",IFERROR('Report History'!SQ26,""))</f>
        <v>O.T. hrs used today:</v>
      </c>
      <c r="GJ126" s="68"/>
      <c r="GK126" s="69"/>
      <c r="GL126" s="250" t="str">
        <f>IF('Report History'!ST26=0,"",IFERROR('Report History'!ST26,""))</f>
        <v>5</v>
      </c>
      <c r="GM126" s="251" t="str">
        <f>IF('Report History'!SU26=0,"",IFERROR('Report History'!SU26,""))</f>
        <v/>
      </c>
      <c r="GN126" s="67" t="str">
        <f>IF('Report History'!SV26=0,"",IFERROR('Report History'!SV26,""))</f>
        <v>O.T. hrs used today:</v>
      </c>
      <c r="GO126" s="68"/>
      <c r="GP126" s="69"/>
      <c r="GQ126" s="250" t="str">
        <f>IF('Report History'!SY26=0,"",IFERROR('Report History'!SY26,""))</f>
        <v>14</v>
      </c>
      <c r="GR126" s="251" t="str">
        <f>IF('Report History'!SZ26=0,"",IFERROR('Report History'!SZ26,""))</f>
        <v/>
      </c>
      <c r="GS126" s="67" t="str">
        <f>IF('Report History'!TA26=0,"",IFERROR('Report History'!TA26,""))</f>
        <v>O.T. hrs used today:</v>
      </c>
      <c r="GT126" s="68"/>
      <c r="GU126" s="69"/>
      <c r="GV126" s="250" t="str">
        <f>IF('Report History'!TD26=0,"",IFERROR('Report History'!TD26,""))</f>
        <v>4</v>
      </c>
      <c r="GW126" s="251" t="str">
        <f>IF('Report History'!TE26=0,"",IFERROR('Report History'!TE26,""))</f>
        <v/>
      </c>
      <c r="GX126" s="67" t="str">
        <f>IF('Report History'!TF26=0,"",IFERROR('Report History'!TF26,""))</f>
        <v>O.T. hrs used today:</v>
      </c>
      <c r="GY126" s="68"/>
      <c r="GZ126" s="69"/>
      <c r="HA126" s="250" t="str">
        <f>IF('Report History'!TI26=0,"",IFERROR('Report History'!TI26,""))</f>
        <v>4</v>
      </c>
      <c r="HB126" s="251" t="str">
        <f>IF('Report History'!TJ26=0,"",IFERROR('Report History'!TJ26,""))</f>
        <v/>
      </c>
      <c r="HC126" s="67" t="str">
        <f>IF('Report History'!TK26=0,"",IFERROR('Report History'!TK26,""))</f>
        <v>O.T. hrs used today:</v>
      </c>
      <c r="HD126" s="68"/>
      <c r="HE126" s="69"/>
      <c r="HF126" s="250" t="str">
        <f>IF('Report History'!TN26=0,"",IFERROR('Report History'!TN26,""))</f>
        <v>4</v>
      </c>
      <c r="HG126" s="251" t="str">
        <f>IF('Report History'!TO26=0,"",IFERROR('Report History'!TO26,""))</f>
        <v/>
      </c>
      <c r="HH126" s="67" t="str">
        <f>IF('Report History'!TP26=0,"",IFERROR('Report History'!TP26,""))</f>
        <v>O.T. hrs used today:</v>
      </c>
      <c r="HI126" s="68"/>
      <c r="HJ126" s="69"/>
      <c r="HK126" s="250" t="str">
        <f>IF('Report History'!TS26=0,"",IFERROR('Report History'!TS26,""))</f>
        <v>0</v>
      </c>
      <c r="HL126" s="251" t="str">
        <f>IF('Report History'!TT26=0,"",IFERROR('Report History'!TT26,""))</f>
        <v/>
      </c>
      <c r="HM126" s="67" t="str">
        <f>IF('Report History'!TU26=0,"",IFERROR('Report History'!TU26,""))</f>
        <v>O.T. hrs used today:</v>
      </c>
      <c r="HN126" s="68"/>
      <c r="HO126" s="69"/>
      <c r="HP126" s="250" t="str">
        <f>IF('Report History'!TX26=0,"",IFERROR('Report History'!TX26,""))</f>
        <v>8</v>
      </c>
      <c r="HQ126" s="251" t="str">
        <f>IF('Report History'!TY26=0,"",IFERROR('Report History'!TY26,""))</f>
        <v/>
      </c>
      <c r="HR126" s="67" t="str">
        <f>IF('Report History'!TZ26=0,"",IFERROR('Report History'!TZ26,""))</f>
        <v>O.T. hrs used today:</v>
      </c>
      <c r="HS126" s="68"/>
      <c r="HT126" s="69"/>
      <c r="HU126" s="250" t="str">
        <f>IF('Report History'!UC26=0,"",IFERROR('Report History'!UC26,""))</f>
        <v>12</v>
      </c>
      <c r="HV126" s="251" t="str">
        <f>IF('Report History'!UD26=0,"",IFERROR('Report History'!UD26,""))</f>
        <v/>
      </c>
      <c r="HW126" s="67" t="str">
        <f>IF('Report History'!UE26=0,"",IFERROR('Report History'!UE26,""))</f>
        <v>O.T. hrs used today:</v>
      </c>
      <c r="HX126" s="68"/>
      <c r="HY126" s="69"/>
      <c r="HZ126" s="250" t="str">
        <f>IF('Report History'!UH26=0,"",IFERROR('Report History'!UH26,""))</f>
        <v>6</v>
      </c>
      <c r="IA126" s="251" t="str">
        <f>IF('Report History'!UI26=0,"",IFERROR('Report History'!UI26,""))</f>
        <v/>
      </c>
      <c r="IB126" s="67" t="str">
        <f>IF('Report History'!UJ26=0,"",IFERROR('Report History'!UJ26,""))</f>
        <v>O.T. hrs used today:</v>
      </c>
      <c r="IC126" s="68"/>
      <c r="ID126" s="69"/>
      <c r="IE126" s="250" t="str">
        <f>IF('Report History'!UM26=0,"",IFERROR('Report History'!UM26,""))</f>
        <v>0</v>
      </c>
      <c r="IF126" s="251" t="str">
        <f>IF('Report History'!UN26=0,"",IFERROR('Report History'!UN26,""))</f>
        <v/>
      </c>
      <c r="IG126" s="67" t="str">
        <f>IF('Report History'!UO26=0,"",IFERROR('Report History'!UO26,""))</f>
        <v>O.T. hrs used today:</v>
      </c>
      <c r="IH126" s="68"/>
      <c r="II126" s="69"/>
      <c r="IJ126" s="250" t="str">
        <f>IF('Report History'!UR26=0,"",IFERROR('Report History'!UR26,""))</f>
        <v>0</v>
      </c>
      <c r="IK126" s="251" t="str">
        <f>IF('Report History'!US26=0,"",IFERROR('Report History'!US26,""))</f>
        <v/>
      </c>
      <c r="IL126" s="67" t="str">
        <f>IF('Report History'!UT26=0,"",IFERROR('Report History'!UT26,""))</f>
        <v>O.T. hrs used today:</v>
      </c>
      <c r="IM126" s="68"/>
      <c r="IN126" s="69"/>
      <c r="IO126" s="250" t="str">
        <f>IF('Report History'!UW26=0,"",IFERROR('Report History'!UW26,""))</f>
        <v>0</v>
      </c>
      <c r="IP126" s="251" t="str">
        <f>IF('Report History'!UX26=0,"",IFERROR('Report History'!UX26,""))</f>
        <v/>
      </c>
    </row>
    <row r="127" spans="1:250" ht="15.6" x14ac:dyDescent="0.3">
      <c r="A127" s="247" t="str">
        <f>IF('Report History'!LI27=0,"",IFERROR('Report History'!LI27,""))</f>
        <v>Notes</v>
      </c>
      <c r="B127" s="248" t="str">
        <f>IF('Report History'!LJ27=0,"",IFERROR('Report History'!LJ27,""))</f>
        <v/>
      </c>
      <c r="C127" s="248" t="str">
        <f>IF('Report History'!LK27=0,"",IFERROR('Report History'!LK27,""))</f>
        <v/>
      </c>
      <c r="D127" s="248" t="str">
        <f>IF('Report History'!LL27=0,"",IFERROR('Report History'!LL27,""))</f>
        <v/>
      </c>
      <c r="E127" s="249" t="str">
        <f>IF('Report History'!LM27=0,"",IFERROR('Report History'!LM27,""))</f>
        <v/>
      </c>
      <c r="F127" s="247" t="str">
        <f>IF('Report History'!LN27=0,"",IFERROR('Report History'!LN27,""))</f>
        <v>Notes</v>
      </c>
      <c r="G127" s="248" t="str">
        <f>IF('Report History'!LO27=0,"",IFERROR('Report History'!LO27,""))</f>
        <v/>
      </c>
      <c r="H127" s="248" t="str">
        <f>IF('Report History'!LP27=0,"",IFERROR('Report History'!LP27,""))</f>
        <v/>
      </c>
      <c r="I127" s="248" t="str">
        <f>IF('Report History'!LQ27=0,"",IFERROR('Report History'!LQ27,""))</f>
        <v/>
      </c>
      <c r="J127" s="249" t="str">
        <f>IF('Report History'!LR27=0,"",IFERROR('Report History'!LR27,""))</f>
        <v/>
      </c>
      <c r="K127" s="247" t="str">
        <f>IF('Report History'!LS27=0,"",IFERROR('Report History'!LS27,""))</f>
        <v>Notes</v>
      </c>
      <c r="L127" s="248" t="str">
        <f>IF('Report History'!LT27=0,"",IFERROR('Report History'!LT27,""))</f>
        <v/>
      </c>
      <c r="M127" s="248" t="str">
        <f>IF('Report History'!LU27=0,"",IFERROR('Report History'!LU27,""))</f>
        <v/>
      </c>
      <c r="N127" s="248" t="str">
        <f>IF('Report History'!LV27=0,"",IFERROR('Report History'!LV27,""))</f>
        <v/>
      </c>
      <c r="O127" s="249" t="str">
        <f>IF('Report History'!LW27=0,"",IFERROR('Report History'!LW27,""))</f>
        <v/>
      </c>
      <c r="P127" s="247" t="str">
        <f>IF('Report History'!LX27=0,"",IFERROR('Report History'!LX27,""))</f>
        <v>Notes</v>
      </c>
      <c r="Q127" s="248" t="str">
        <f>IF('Report History'!LY27=0,"",IFERROR('Report History'!LY27,""))</f>
        <v/>
      </c>
      <c r="R127" s="248" t="str">
        <f>IF('Report History'!LZ27=0,"",IFERROR('Report History'!LZ27,""))</f>
        <v/>
      </c>
      <c r="S127" s="248" t="str">
        <f>IF('Report History'!MA27=0,"",IFERROR('Report History'!MA27,""))</f>
        <v/>
      </c>
      <c r="T127" s="249" t="str">
        <f>IF('Report History'!MB27=0,"",IFERROR('Report History'!MB27,""))</f>
        <v/>
      </c>
      <c r="U127" s="247" t="str">
        <f>IF('Report History'!MC27=0,"",IFERROR('Report History'!MC27,""))</f>
        <v>Notes</v>
      </c>
      <c r="V127" s="248" t="str">
        <f>IF('Report History'!MD27=0,"",IFERROR('Report History'!MD27,""))</f>
        <v/>
      </c>
      <c r="W127" s="248" t="str">
        <f>IF('Report History'!ME27=0,"",IFERROR('Report History'!ME27,""))</f>
        <v/>
      </c>
      <c r="X127" s="248" t="str">
        <f>IF('Report History'!MF27=0,"",IFERROR('Report History'!MF27,""))</f>
        <v/>
      </c>
      <c r="Y127" s="249" t="str">
        <f>IF('Report History'!MG27=0,"",IFERROR('Report History'!MG27,""))</f>
        <v/>
      </c>
      <c r="Z127" s="247" t="str">
        <f>IF('Report History'!MH27=0,"",IFERROR('Report History'!MH27,""))</f>
        <v>Notes</v>
      </c>
      <c r="AA127" s="248" t="str">
        <f>IF('Report History'!MI27=0,"",IFERROR('Report History'!MI27,""))</f>
        <v/>
      </c>
      <c r="AB127" s="248" t="str">
        <f>IF('Report History'!MJ27=0,"",IFERROR('Report History'!MJ27,""))</f>
        <v/>
      </c>
      <c r="AC127" s="248" t="str">
        <f>IF('Report History'!MK27=0,"",IFERROR('Report History'!MK27,""))</f>
        <v/>
      </c>
      <c r="AD127" s="249" t="str">
        <f>IF('Report History'!ML27=0,"",IFERROR('Report History'!ML27,""))</f>
        <v/>
      </c>
      <c r="AE127" s="247" t="str">
        <f>IF('Report History'!MM27=0,"",IFERROR('Report History'!MM27,""))</f>
        <v>Notes</v>
      </c>
      <c r="AF127" s="248" t="str">
        <f>IF('Report History'!MN27=0,"",IFERROR('Report History'!MN27,""))</f>
        <v/>
      </c>
      <c r="AG127" s="248" t="str">
        <f>IF('Report History'!MO27=0,"",IFERROR('Report History'!MO27,""))</f>
        <v/>
      </c>
      <c r="AH127" s="248" t="str">
        <f>IF('Report History'!MP27=0,"",IFERROR('Report History'!MP27,""))</f>
        <v/>
      </c>
      <c r="AI127" s="249" t="str">
        <f>IF('Report History'!MQ27=0,"",IFERROR('Report History'!MQ27,""))</f>
        <v/>
      </c>
      <c r="AJ127" s="247" t="str">
        <f>IF('Report History'!MR27=0,"",IFERROR('Report History'!MR27,""))</f>
        <v>Notes</v>
      </c>
      <c r="AK127" s="248" t="str">
        <f>IF('Report History'!MS27=0,"",IFERROR('Report History'!MS27,""))</f>
        <v/>
      </c>
      <c r="AL127" s="248" t="str">
        <f>IF('Report History'!MT27=0,"",IFERROR('Report History'!MT27,""))</f>
        <v/>
      </c>
      <c r="AM127" s="248" t="str">
        <f>IF('Report History'!MU27=0,"",IFERROR('Report History'!MU27,""))</f>
        <v/>
      </c>
      <c r="AN127" s="249" t="str">
        <f>IF('Report History'!MV27=0,"",IFERROR('Report History'!MV27,""))</f>
        <v/>
      </c>
      <c r="AO127" s="247" t="str">
        <f>IF('Report History'!MW27=0,"",IFERROR('Report History'!MW27,""))</f>
        <v>Notes</v>
      </c>
      <c r="AP127" s="248" t="str">
        <f>IF('Report History'!MX27=0,"",IFERROR('Report History'!MX27,""))</f>
        <v/>
      </c>
      <c r="AQ127" s="248" t="str">
        <f>IF('Report History'!MY27=0,"",IFERROR('Report History'!MY27,""))</f>
        <v/>
      </c>
      <c r="AR127" s="248" t="str">
        <f>IF('Report History'!MZ27=0,"",IFERROR('Report History'!MZ27,""))</f>
        <v/>
      </c>
      <c r="AS127" s="249" t="str">
        <f>IF('Report History'!NA27=0,"",IFERROR('Report History'!NA27,""))</f>
        <v/>
      </c>
      <c r="AT127" s="247" t="str">
        <f>IF('Report History'!NB27=0,"",IFERROR('Report History'!NB27,""))</f>
        <v>Notes</v>
      </c>
      <c r="AU127" s="248" t="str">
        <f>IF('Report History'!NC27=0,"",IFERROR('Report History'!NC27,""))</f>
        <v/>
      </c>
      <c r="AV127" s="248" t="str">
        <f>IF('Report History'!ND27=0,"",IFERROR('Report History'!ND27,""))</f>
        <v/>
      </c>
      <c r="AW127" s="248" t="str">
        <f>IF('Report History'!NE27=0,"",IFERROR('Report History'!NE27,""))</f>
        <v/>
      </c>
      <c r="AX127" s="249" t="str">
        <f>IF('Report History'!NF27=0,"",IFERROR('Report History'!NF27,""))</f>
        <v/>
      </c>
      <c r="AY127" s="247" t="str">
        <f>IF('Report History'!NG27=0,"",IFERROR('Report History'!NG27,""))</f>
        <v>Notes</v>
      </c>
      <c r="AZ127" s="248" t="str">
        <f>IF('Report History'!NH27=0,"",IFERROR('Report History'!NH27,""))</f>
        <v/>
      </c>
      <c r="BA127" s="248" t="str">
        <f>IF('Report History'!NI27=0,"",IFERROR('Report History'!NI27,""))</f>
        <v/>
      </c>
      <c r="BB127" s="248" t="str">
        <f>IF('Report History'!NJ27=0,"",IFERROR('Report History'!NJ27,""))</f>
        <v/>
      </c>
      <c r="BC127" s="249" t="str">
        <f>IF('Report History'!NK27=0,"",IFERROR('Report History'!NK27,""))</f>
        <v/>
      </c>
      <c r="BD127" s="247" t="str">
        <f>IF('Report History'!NL27=0,"",IFERROR('Report History'!NL27,""))</f>
        <v>Notes</v>
      </c>
      <c r="BE127" s="248" t="str">
        <f>IF('Report History'!NM27=0,"",IFERROR('Report History'!NM27,""))</f>
        <v/>
      </c>
      <c r="BF127" s="248" t="str">
        <f>IF('Report History'!NN27=0,"",IFERROR('Report History'!NN27,""))</f>
        <v/>
      </c>
      <c r="BG127" s="248" t="str">
        <f>IF('Report History'!NO27=0,"",IFERROR('Report History'!NO27,""))</f>
        <v/>
      </c>
      <c r="BH127" s="249" t="str">
        <f>IF('Report History'!NP27=0,"",IFERROR('Report History'!NP27,""))</f>
        <v/>
      </c>
      <c r="BI127" s="247" t="str">
        <f>IF('Report History'!NQ27=0,"",IFERROR('Report History'!NQ27,""))</f>
        <v>Notes</v>
      </c>
      <c r="BJ127" s="248" t="str">
        <f>IF('Report History'!NR27=0,"",IFERROR('Report History'!NR27,""))</f>
        <v/>
      </c>
      <c r="BK127" s="248" t="str">
        <f>IF('Report History'!NS27=0,"",IFERROR('Report History'!NS27,""))</f>
        <v/>
      </c>
      <c r="BL127" s="248" t="str">
        <f>IF('Report History'!NT27=0,"",IFERROR('Report History'!NT27,""))</f>
        <v/>
      </c>
      <c r="BM127" s="249" t="str">
        <f>IF('Report History'!NU27=0,"",IFERROR('Report History'!NU27,""))</f>
        <v/>
      </c>
      <c r="BN127" s="247" t="str">
        <f>IF('Report History'!NV27=0,"",IFERROR('Report History'!NV27,""))</f>
        <v>Notes</v>
      </c>
      <c r="BO127" s="248" t="str">
        <f>IF('Report History'!NW27=0,"",IFERROR('Report History'!NW27,""))</f>
        <v/>
      </c>
      <c r="BP127" s="248" t="str">
        <f>IF('Report History'!NX27=0,"",IFERROR('Report History'!NX27,""))</f>
        <v/>
      </c>
      <c r="BQ127" s="248" t="str">
        <f>IF('Report History'!NY27=0,"",IFERROR('Report History'!NY27,""))</f>
        <v/>
      </c>
      <c r="BR127" s="249" t="str">
        <f>IF('Report History'!NZ27=0,"",IFERROR('Report History'!NZ27,""))</f>
        <v/>
      </c>
      <c r="BS127" s="247" t="str">
        <f>IF('Report History'!OA27=0,"",IFERROR('Report History'!OA27,""))</f>
        <v>Notes</v>
      </c>
      <c r="BT127" s="248" t="str">
        <f>IF('Report History'!OB27=0,"",IFERROR('Report History'!OB27,""))</f>
        <v/>
      </c>
      <c r="BU127" s="248" t="str">
        <f>IF('Report History'!OC27=0,"",IFERROR('Report History'!OC27,""))</f>
        <v/>
      </c>
      <c r="BV127" s="248" t="str">
        <f>IF('Report History'!OD27=0,"",IFERROR('Report History'!OD27,""))</f>
        <v/>
      </c>
      <c r="BW127" s="249" t="str">
        <f>IF('Report History'!OE27=0,"",IFERROR('Report History'!OE27,""))</f>
        <v/>
      </c>
      <c r="BX127" s="247" t="str">
        <f>IF('Report History'!OF27=0,"",IFERROR('Report History'!OF27,""))</f>
        <v>Notes</v>
      </c>
      <c r="BY127" s="248" t="str">
        <f>IF('Report History'!OG27=0,"",IFERROR('Report History'!OG27,""))</f>
        <v/>
      </c>
      <c r="BZ127" s="248" t="str">
        <f>IF('Report History'!OH27=0,"",IFERROR('Report History'!OH27,""))</f>
        <v/>
      </c>
      <c r="CA127" s="248" t="str">
        <f>IF('Report History'!OI27=0,"",IFERROR('Report History'!OI27,""))</f>
        <v/>
      </c>
      <c r="CB127" s="249" t="str">
        <f>IF('Report History'!OJ27=0,"",IFERROR('Report History'!OJ27,""))</f>
        <v/>
      </c>
      <c r="CC127" s="247" t="str">
        <f>IF('Report History'!OK27=0,"",IFERROR('Report History'!OK27,""))</f>
        <v>Notes</v>
      </c>
      <c r="CD127" s="248" t="str">
        <f>IF('Report History'!OL27=0,"",IFERROR('Report History'!OL27,""))</f>
        <v/>
      </c>
      <c r="CE127" s="248" t="str">
        <f>IF('Report History'!OM27=0,"",IFERROR('Report History'!OM27,""))</f>
        <v/>
      </c>
      <c r="CF127" s="248" t="str">
        <f>IF('Report History'!ON27=0,"",IFERROR('Report History'!ON27,""))</f>
        <v/>
      </c>
      <c r="CG127" s="249" t="str">
        <f>IF('Report History'!OO27=0,"",IFERROR('Report History'!OO27,""))</f>
        <v/>
      </c>
      <c r="CH127" s="247" t="str">
        <f>IF('Report History'!OP27=0,"",IFERROR('Report History'!OP27,""))</f>
        <v>Notes</v>
      </c>
      <c r="CI127" s="248" t="str">
        <f>IF('Report History'!OQ27=0,"",IFERROR('Report History'!OQ27,""))</f>
        <v/>
      </c>
      <c r="CJ127" s="248" t="str">
        <f>IF('Report History'!OR27=0,"",IFERROR('Report History'!OR27,""))</f>
        <v/>
      </c>
      <c r="CK127" s="248" t="str">
        <f>IF('Report History'!OS27=0,"",IFERROR('Report History'!OS27,""))</f>
        <v/>
      </c>
      <c r="CL127" s="249" t="str">
        <f>IF('Report History'!OT27=0,"",IFERROR('Report History'!OT27,""))</f>
        <v/>
      </c>
      <c r="CM127" s="247" t="str">
        <f>IF('Report History'!OU27=0,"",IFERROR('Report History'!OU27,""))</f>
        <v>Notes</v>
      </c>
      <c r="CN127" s="248" t="str">
        <f>IF('Report History'!OV27=0,"",IFERROR('Report History'!OV27,""))</f>
        <v/>
      </c>
      <c r="CO127" s="248" t="str">
        <f>IF('Report History'!OW27=0,"",IFERROR('Report History'!OW27,""))</f>
        <v/>
      </c>
      <c r="CP127" s="248" t="str">
        <f>IF('Report History'!OX27=0,"",IFERROR('Report History'!OX27,""))</f>
        <v/>
      </c>
      <c r="CQ127" s="249" t="str">
        <f>IF('Report History'!OY27=0,"",IFERROR('Report History'!OY27,""))</f>
        <v/>
      </c>
      <c r="CR127" s="247" t="str">
        <f>IF('Report History'!OZ27=0,"",IFERROR('Report History'!OZ27,""))</f>
        <v>Notes</v>
      </c>
      <c r="CS127" s="248" t="str">
        <f>IF('Report History'!PA27=0,"",IFERROR('Report History'!PA27,""))</f>
        <v/>
      </c>
      <c r="CT127" s="248" t="str">
        <f>IF('Report History'!PB27=0,"",IFERROR('Report History'!PB27,""))</f>
        <v/>
      </c>
      <c r="CU127" s="248" t="str">
        <f>IF('Report History'!PC27=0,"",IFERROR('Report History'!PC27,""))</f>
        <v/>
      </c>
      <c r="CV127" s="249" t="str">
        <f>IF('Report History'!PD27=0,"",IFERROR('Report History'!PD27,""))</f>
        <v/>
      </c>
      <c r="CW127" s="247" t="str">
        <f>IF('Report History'!PE27=0,"",IFERROR('Report History'!PE27,""))</f>
        <v>Notes</v>
      </c>
      <c r="CX127" s="248" t="str">
        <f>IF('Report History'!PF27=0,"",IFERROR('Report History'!PF27,""))</f>
        <v/>
      </c>
      <c r="CY127" s="248" t="str">
        <f>IF('Report History'!PG27=0,"",IFERROR('Report History'!PG27,""))</f>
        <v/>
      </c>
      <c r="CZ127" s="248" t="str">
        <f>IF('Report History'!PH27=0,"",IFERROR('Report History'!PH27,""))</f>
        <v/>
      </c>
      <c r="DA127" s="249" t="str">
        <f>IF('Report History'!PI27=0,"",IFERROR('Report History'!PI27,""))</f>
        <v/>
      </c>
      <c r="DB127" s="247" t="str">
        <f>IF('Report History'!PJ27=0,"",IFERROR('Report History'!PJ27,""))</f>
        <v>Notes</v>
      </c>
      <c r="DC127" s="248" t="str">
        <f>IF('Report History'!PK27=0,"",IFERROR('Report History'!PK27,""))</f>
        <v/>
      </c>
      <c r="DD127" s="248" t="str">
        <f>IF('Report History'!PL27=0,"",IFERROR('Report History'!PL27,""))</f>
        <v/>
      </c>
      <c r="DE127" s="248" t="str">
        <f>IF('Report History'!PM27=0,"",IFERROR('Report History'!PM27,""))</f>
        <v/>
      </c>
      <c r="DF127" s="249" t="str">
        <f>IF('Report History'!PN27=0,"",IFERROR('Report History'!PN27,""))</f>
        <v/>
      </c>
      <c r="DG127" s="247" t="str">
        <f>IF('Report History'!PO27=0,"",IFERROR('Report History'!PO27,""))</f>
        <v>Notes</v>
      </c>
      <c r="DH127" s="248" t="str">
        <f>IF('Report History'!PP27=0,"",IFERROR('Report History'!PP27,""))</f>
        <v/>
      </c>
      <c r="DI127" s="248" t="str">
        <f>IF('Report History'!PQ27=0,"",IFERROR('Report History'!PQ27,""))</f>
        <v/>
      </c>
      <c r="DJ127" s="248" t="str">
        <f>IF('Report History'!PR27=0,"",IFERROR('Report History'!PR27,""))</f>
        <v/>
      </c>
      <c r="DK127" s="249" t="str">
        <f>IF('Report History'!PS27=0,"",IFERROR('Report History'!PS27,""))</f>
        <v/>
      </c>
      <c r="DL127" s="247" t="str">
        <f>IF('Report History'!PT27=0,"",IFERROR('Report History'!PT27,""))</f>
        <v>Notes</v>
      </c>
      <c r="DM127" s="248" t="str">
        <f>IF('Report History'!PU27=0,"",IFERROR('Report History'!PU27,""))</f>
        <v/>
      </c>
      <c r="DN127" s="248" t="str">
        <f>IF('Report History'!PV27=0,"",IFERROR('Report History'!PV27,""))</f>
        <v/>
      </c>
      <c r="DO127" s="248" t="str">
        <f>IF('Report History'!PW27=0,"",IFERROR('Report History'!PW27,""))</f>
        <v/>
      </c>
      <c r="DP127" s="249" t="str">
        <f>IF('Report History'!PX27=0,"",IFERROR('Report History'!PX27,""))</f>
        <v/>
      </c>
      <c r="DQ127" s="247" t="str">
        <f>IF('Report History'!PY27=0,"",IFERROR('Report History'!PY27,""))</f>
        <v>Notes</v>
      </c>
      <c r="DR127" s="248" t="str">
        <f>IF('Report History'!PZ27=0,"",IFERROR('Report History'!PZ27,""))</f>
        <v/>
      </c>
      <c r="DS127" s="248" t="str">
        <f>IF('Report History'!QA27=0,"",IFERROR('Report History'!QA27,""))</f>
        <v/>
      </c>
      <c r="DT127" s="248" t="str">
        <f>IF('Report History'!QB27=0,"",IFERROR('Report History'!QB27,""))</f>
        <v/>
      </c>
      <c r="DU127" s="249" t="str">
        <f>IF('Report History'!QC27=0,"",IFERROR('Report History'!QC27,""))</f>
        <v/>
      </c>
      <c r="DV127" s="247" t="str">
        <f>IF('Report History'!QD27=0,"",IFERROR('Report History'!QD27,""))</f>
        <v>Notes</v>
      </c>
      <c r="DW127" s="248" t="str">
        <f>IF('Report History'!QE27=0,"",IFERROR('Report History'!QE27,""))</f>
        <v/>
      </c>
      <c r="DX127" s="248" t="str">
        <f>IF('Report History'!QF27=0,"",IFERROR('Report History'!QF27,""))</f>
        <v/>
      </c>
      <c r="DY127" s="248" t="str">
        <f>IF('Report History'!QG27=0,"",IFERROR('Report History'!QG27,""))</f>
        <v/>
      </c>
      <c r="DZ127" s="249" t="str">
        <f>IF('Report History'!QH27=0,"",IFERROR('Report History'!QH27,""))</f>
        <v/>
      </c>
      <c r="EA127" s="247" t="str">
        <f>IF('Report History'!QI27=0,"",IFERROR('Report History'!QI27,""))</f>
        <v>Notes</v>
      </c>
      <c r="EB127" s="248" t="str">
        <f>IF('Report History'!QJ27=0,"",IFERROR('Report History'!QJ27,""))</f>
        <v/>
      </c>
      <c r="EC127" s="248" t="str">
        <f>IF('Report History'!QK27=0,"",IFERROR('Report History'!QK27,""))</f>
        <v/>
      </c>
      <c r="ED127" s="248" t="str">
        <f>IF('Report History'!QL27=0,"",IFERROR('Report History'!QL27,""))</f>
        <v/>
      </c>
      <c r="EE127" s="249" t="str">
        <f>IF('Report History'!QM27=0,"",IFERROR('Report History'!QM27,""))</f>
        <v/>
      </c>
      <c r="EF127" s="247" t="str">
        <f>IF('Report History'!QN27=0,"",IFERROR('Report History'!QN27,""))</f>
        <v>Notes</v>
      </c>
      <c r="EG127" s="248" t="str">
        <f>IF('Report History'!QO27=0,"",IFERROR('Report History'!QO27,""))</f>
        <v/>
      </c>
      <c r="EH127" s="248" t="str">
        <f>IF('Report History'!QP27=0,"",IFERROR('Report History'!QP27,""))</f>
        <v/>
      </c>
      <c r="EI127" s="248" t="str">
        <f>IF('Report History'!QQ27=0,"",IFERROR('Report History'!QQ27,""))</f>
        <v/>
      </c>
      <c r="EJ127" s="249" t="str">
        <f>IF('Report History'!QR27=0,"",IFERROR('Report History'!QR27,""))</f>
        <v/>
      </c>
      <c r="EK127" s="247" t="str">
        <f>IF('Report History'!QS27=0,"",IFERROR('Report History'!QS27,""))</f>
        <v>Notes</v>
      </c>
      <c r="EL127" s="248" t="str">
        <f>IF('Report History'!QT27=0,"",IFERROR('Report History'!QT27,""))</f>
        <v/>
      </c>
      <c r="EM127" s="248" t="str">
        <f>IF('Report History'!QU27=0,"",IFERROR('Report History'!QU27,""))</f>
        <v/>
      </c>
      <c r="EN127" s="248" t="str">
        <f>IF('Report History'!QV27=0,"",IFERROR('Report History'!QV27,""))</f>
        <v/>
      </c>
      <c r="EO127" s="249" t="str">
        <f>IF('Report History'!QW27=0,"",IFERROR('Report History'!QW27,""))</f>
        <v/>
      </c>
      <c r="EP127" s="247" t="str">
        <f>IF('Report History'!QX27=0,"",IFERROR('Report History'!QX27,""))</f>
        <v>Notes</v>
      </c>
      <c r="EQ127" s="248" t="str">
        <f>IF('Report History'!QY27=0,"",IFERROR('Report History'!QY27,""))</f>
        <v/>
      </c>
      <c r="ER127" s="248" t="str">
        <f>IF('Report History'!QZ27=0,"",IFERROR('Report History'!QZ27,""))</f>
        <v/>
      </c>
      <c r="ES127" s="248" t="str">
        <f>IF('Report History'!RA27=0,"",IFERROR('Report History'!RA27,""))</f>
        <v/>
      </c>
      <c r="ET127" s="249" t="str">
        <f>IF('Report History'!RB27=0,"",IFERROR('Report History'!RB27,""))</f>
        <v/>
      </c>
      <c r="EU127" s="247" t="str">
        <f>IF('Report History'!RC27=0,"",IFERROR('Report History'!RC27,""))</f>
        <v>Notes</v>
      </c>
      <c r="EV127" s="248" t="str">
        <f>IF('Report History'!RD27=0,"",IFERROR('Report History'!RD27,""))</f>
        <v/>
      </c>
      <c r="EW127" s="248" t="str">
        <f>IF('Report History'!RE27=0,"",IFERROR('Report History'!RE27,""))</f>
        <v/>
      </c>
      <c r="EX127" s="248" t="str">
        <f>IF('Report History'!RF27=0,"",IFERROR('Report History'!RF27,""))</f>
        <v/>
      </c>
      <c r="EY127" s="249" t="str">
        <f>IF('Report History'!RG27=0,"",IFERROR('Report History'!RG27,""))</f>
        <v/>
      </c>
      <c r="EZ127" s="247" t="str">
        <f>IF('Report History'!RH27=0,"",IFERROR('Report History'!RH27,""))</f>
        <v>Notes</v>
      </c>
      <c r="FA127" s="248" t="str">
        <f>IF('Report History'!RI27=0,"",IFERROR('Report History'!RI27,""))</f>
        <v/>
      </c>
      <c r="FB127" s="248" t="str">
        <f>IF('Report History'!RJ27=0,"",IFERROR('Report History'!RJ27,""))</f>
        <v/>
      </c>
      <c r="FC127" s="248" t="str">
        <f>IF('Report History'!RK27=0,"",IFERROR('Report History'!RK27,""))</f>
        <v/>
      </c>
      <c r="FD127" s="249" t="str">
        <f>IF('Report History'!RL27=0,"",IFERROR('Report History'!RL27,""))</f>
        <v/>
      </c>
      <c r="FE127" s="247" t="str">
        <f>IF('Report History'!RM27=0,"",IFERROR('Report History'!RM27,""))</f>
        <v>Notes</v>
      </c>
      <c r="FF127" s="248" t="str">
        <f>IF('Report History'!RN27=0,"",IFERROR('Report History'!RN27,""))</f>
        <v/>
      </c>
      <c r="FG127" s="248" t="str">
        <f>IF('Report History'!RO27=0,"",IFERROR('Report History'!RO27,""))</f>
        <v/>
      </c>
      <c r="FH127" s="248" t="str">
        <f>IF('Report History'!RP27=0,"",IFERROR('Report History'!RP27,""))</f>
        <v/>
      </c>
      <c r="FI127" s="249" t="str">
        <f>IF('Report History'!RQ27=0,"",IFERROR('Report History'!RQ27,""))</f>
        <v/>
      </c>
      <c r="FJ127" s="247" t="str">
        <f>IF('Report History'!RR27=0,"",IFERROR('Report History'!RR27,""))</f>
        <v>Notes</v>
      </c>
      <c r="FK127" s="248" t="str">
        <f>IF('Report History'!RS27=0,"",IFERROR('Report History'!RS27,""))</f>
        <v/>
      </c>
      <c r="FL127" s="248" t="str">
        <f>IF('Report History'!RT27=0,"",IFERROR('Report History'!RT27,""))</f>
        <v/>
      </c>
      <c r="FM127" s="248" t="str">
        <f>IF('Report History'!RU27=0,"",IFERROR('Report History'!RU27,""))</f>
        <v/>
      </c>
      <c r="FN127" s="249" t="str">
        <f>IF('Report History'!RV27=0,"",IFERROR('Report History'!RV27,""))</f>
        <v/>
      </c>
      <c r="FO127" s="247" t="str">
        <f>IF('Report History'!RW27=0,"",IFERROR('Report History'!RW27,""))</f>
        <v>Notes</v>
      </c>
      <c r="FP127" s="248" t="str">
        <f>IF('Report History'!RX27=0,"",IFERROR('Report History'!RX27,""))</f>
        <v/>
      </c>
      <c r="FQ127" s="248" t="str">
        <f>IF('Report History'!RY27=0,"",IFERROR('Report History'!RY27,""))</f>
        <v/>
      </c>
      <c r="FR127" s="248" t="str">
        <f>IF('Report History'!RZ27=0,"",IFERROR('Report History'!RZ27,""))</f>
        <v/>
      </c>
      <c r="FS127" s="249" t="str">
        <f>IF('Report History'!SA27=0,"",IFERROR('Report History'!SA27,""))</f>
        <v/>
      </c>
      <c r="FT127" s="247" t="str">
        <f>IF('Report History'!SB27=0,"",IFERROR('Report History'!SB27,""))</f>
        <v>Notes</v>
      </c>
      <c r="FU127" s="248" t="str">
        <f>IF('Report History'!SC27=0,"",IFERROR('Report History'!SC27,""))</f>
        <v/>
      </c>
      <c r="FV127" s="248" t="str">
        <f>IF('Report History'!SD27=0,"",IFERROR('Report History'!SD27,""))</f>
        <v/>
      </c>
      <c r="FW127" s="248" t="str">
        <f>IF('Report History'!SE27=0,"",IFERROR('Report History'!SE27,""))</f>
        <v/>
      </c>
      <c r="FX127" s="249" t="str">
        <f>IF('Report History'!SF27=0,"",IFERROR('Report History'!SF27,""))</f>
        <v/>
      </c>
      <c r="FY127" s="247" t="str">
        <f>IF('Report History'!SG27=0,"",IFERROR('Report History'!SG27,""))</f>
        <v>Notes</v>
      </c>
      <c r="FZ127" s="248" t="str">
        <f>IF('Report History'!SH27=0,"",IFERROR('Report History'!SH27,""))</f>
        <v/>
      </c>
      <c r="GA127" s="248" t="str">
        <f>IF('Report History'!SI27=0,"",IFERROR('Report History'!SI27,""))</f>
        <v/>
      </c>
      <c r="GB127" s="248" t="str">
        <f>IF('Report History'!SJ27=0,"",IFERROR('Report History'!SJ27,""))</f>
        <v/>
      </c>
      <c r="GC127" s="249" t="str">
        <f>IF('Report History'!SK27=0,"",IFERROR('Report History'!SK27,""))</f>
        <v/>
      </c>
      <c r="GD127" s="247" t="str">
        <f>IF('Report History'!SL27=0,"",IFERROR('Report History'!SL27,""))</f>
        <v>Notes</v>
      </c>
      <c r="GE127" s="248" t="str">
        <f>IF('Report History'!SM27=0,"",IFERROR('Report History'!SM27,""))</f>
        <v/>
      </c>
      <c r="GF127" s="248" t="str">
        <f>IF('Report History'!SN27=0,"",IFERROR('Report History'!SN27,""))</f>
        <v/>
      </c>
      <c r="GG127" s="248" t="str">
        <f>IF('Report History'!SO27=0,"",IFERROR('Report History'!SO27,""))</f>
        <v/>
      </c>
      <c r="GH127" s="249" t="str">
        <f>IF('Report History'!SP27=0,"",IFERROR('Report History'!SP27,""))</f>
        <v/>
      </c>
      <c r="GI127" s="247" t="str">
        <f>IF('Report History'!SQ27=0,"",IFERROR('Report History'!SQ27,""))</f>
        <v>Notes</v>
      </c>
      <c r="GJ127" s="248" t="str">
        <f>IF('Report History'!SR27=0,"",IFERROR('Report History'!SR27,""))</f>
        <v/>
      </c>
      <c r="GK127" s="248" t="str">
        <f>IF('Report History'!SS27=0,"",IFERROR('Report History'!SS27,""))</f>
        <v/>
      </c>
      <c r="GL127" s="248" t="str">
        <f>IF('Report History'!ST27=0,"",IFERROR('Report History'!ST27,""))</f>
        <v/>
      </c>
      <c r="GM127" s="249" t="str">
        <f>IF('Report History'!SU27=0,"",IFERROR('Report History'!SU27,""))</f>
        <v/>
      </c>
      <c r="GN127" s="247" t="str">
        <f>IF('Report History'!SV27=0,"",IFERROR('Report History'!SV27,""))</f>
        <v>Notes</v>
      </c>
      <c r="GO127" s="248" t="str">
        <f>IF('Report History'!SW27=0,"",IFERROR('Report History'!SW27,""))</f>
        <v/>
      </c>
      <c r="GP127" s="248" t="str">
        <f>IF('Report History'!SX27=0,"",IFERROR('Report History'!SX27,""))</f>
        <v/>
      </c>
      <c r="GQ127" s="248" t="str">
        <f>IF('Report History'!SY27=0,"",IFERROR('Report History'!SY27,""))</f>
        <v/>
      </c>
      <c r="GR127" s="249" t="str">
        <f>IF('Report History'!SZ27=0,"",IFERROR('Report History'!SZ27,""))</f>
        <v/>
      </c>
      <c r="GS127" s="247" t="str">
        <f>IF('Report History'!TA27=0,"",IFERROR('Report History'!TA27,""))</f>
        <v>Notes</v>
      </c>
      <c r="GT127" s="248" t="str">
        <f>IF('Report History'!TB27=0,"",IFERROR('Report History'!TB27,""))</f>
        <v/>
      </c>
      <c r="GU127" s="248" t="str">
        <f>IF('Report History'!TC27=0,"",IFERROR('Report History'!TC27,""))</f>
        <v/>
      </c>
      <c r="GV127" s="248" t="str">
        <f>IF('Report History'!TD27=0,"",IFERROR('Report History'!TD27,""))</f>
        <v/>
      </c>
      <c r="GW127" s="249" t="str">
        <f>IF('Report History'!TE27=0,"",IFERROR('Report History'!TE27,""))</f>
        <v/>
      </c>
      <c r="GX127" s="247" t="str">
        <f>IF('Report History'!TF27=0,"",IFERROR('Report History'!TF27,""))</f>
        <v>Notes</v>
      </c>
      <c r="GY127" s="248" t="str">
        <f>IF('Report History'!TG27=0,"",IFERROR('Report History'!TG27,""))</f>
        <v/>
      </c>
      <c r="GZ127" s="248" t="str">
        <f>IF('Report History'!TH27=0,"",IFERROR('Report History'!TH27,""))</f>
        <v/>
      </c>
      <c r="HA127" s="248" t="str">
        <f>IF('Report History'!TI27=0,"",IFERROR('Report History'!TI27,""))</f>
        <v/>
      </c>
      <c r="HB127" s="249" t="str">
        <f>IF('Report History'!TJ27=0,"",IFERROR('Report History'!TJ27,""))</f>
        <v/>
      </c>
      <c r="HC127" s="247" t="str">
        <f>IF('Report History'!TK27=0,"",IFERROR('Report History'!TK27,""))</f>
        <v>Notes</v>
      </c>
      <c r="HD127" s="248" t="str">
        <f>IF('Report History'!TL27=0,"",IFERROR('Report History'!TL27,""))</f>
        <v/>
      </c>
      <c r="HE127" s="248" t="str">
        <f>IF('Report History'!TM27=0,"",IFERROR('Report History'!TM27,""))</f>
        <v/>
      </c>
      <c r="HF127" s="248" t="str">
        <f>IF('Report History'!TN27=0,"",IFERROR('Report History'!TN27,""))</f>
        <v/>
      </c>
      <c r="HG127" s="249" t="str">
        <f>IF('Report History'!TO27=0,"",IFERROR('Report History'!TO27,""))</f>
        <v/>
      </c>
      <c r="HH127" s="247" t="str">
        <f>IF('Report History'!TP27=0,"",IFERROR('Report History'!TP27,""))</f>
        <v>Notes</v>
      </c>
      <c r="HI127" s="248" t="str">
        <f>IF('Report History'!TQ27=0,"",IFERROR('Report History'!TQ27,""))</f>
        <v/>
      </c>
      <c r="HJ127" s="248" t="str">
        <f>IF('Report History'!TR27=0,"",IFERROR('Report History'!TR27,""))</f>
        <v/>
      </c>
      <c r="HK127" s="248" t="str">
        <f>IF('Report History'!TS27=0,"",IFERROR('Report History'!TS27,""))</f>
        <v/>
      </c>
      <c r="HL127" s="249" t="str">
        <f>IF('Report History'!TT27=0,"",IFERROR('Report History'!TT27,""))</f>
        <v/>
      </c>
      <c r="HM127" s="247" t="str">
        <f>IF('Report History'!TU27=0,"",IFERROR('Report History'!TU27,""))</f>
        <v>Notes</v>
      </c>
      <c r="HN127" s="248" t="str">
        <f>IF('Report History'!TV27=0,"",IFERROR('Report History'!TV27,""))</f>
        <v/>
      </c>
      <c r="HO127" s="248" t="str">
        <f>IF('Report History'!TW27=0,"",IFERROR('Report History'!TW27,""))</f>
        <v/>
      </c>
      <c r="HP127" s="248" t="str">
        <f>IF('Report History'!TX27=0,"",IFERROR('Report History'!TX27,""))</f>
        <v/>
      </c>
      <c r="HQ127" s="249" t="str">
        <f>IF('Report History'!TY27=0,"",IFERROR('Report History'!TY27,""))</f>
        <v/>
      </c>
      <c r="HR127" s="247" t="str">
        <f>IF('Report History'!TZ27=0,"",IFERROR('Report History'!TZ27,""))</f>
        <v>Notes</v>
      </c>
      <c r="HS127" s="248" t="str">
        <f>IF('Report History'!UA27=0,"",IFERROR('Report History'!UA27,""))</f>
        <v/>
      </c>
      <c r="HT127" s="248" t="str">
        <f>IF('Report History'!UB27=0,"",IFERROR('Report History'!UB27,""))</f>
        <v/>
      </c>
      <c r="HU127" s="248" t="str">
        <f>IF('Report History'!UC27=0,"",IFERROR('Report History'!UC27,""))</f>
        <v/>
      </c>
      <c r="HV127" s="249" t="str">
        <f>IF('Report History'!UD27=0,"",IFERROR('Report History'!UD27,""))</f>
        <v/>
      </c>
      <c r="HW127" s="247" t="str">
        <f>IF('Report History'!UE27=0,"",IFERROR('Report History'!UE27,""))</f>
        <v>Notes</v>
      </c>
      <c r="HX127" s="248" t="str">
        <f>IF('Report History'!UF27=0,"",IFERROR('Report History'!UF27,""))</f>
        <v/>
      </c>
      <c r="HY127" s="248" t="str">
        <f>IF('Report History'!UG27=0,"",IFERROR('Report History'!UG27,""))</f>
        <v/>
      </c>
      <c r="HZ127" s="248" t="str">
        <f>IF('Report History'!UH27=0,"",IFERROR('Report History'!UH27,""))</f>
        <v/>
      </c>
      <c r="IA127" s="249" t="str">
        <f>IF('Report History'!UI27=0,"",IFERROR('Report History'!UI27,""))</f>
        <v/>
      </c>
      <c r="IB127" s="247" t="str">
        <f>IF('Report History'!UJ27=0,"",IFERROR('Report History'!UJ27,""))</f>
        <v>Notes</v>
      </c>
      <c r="IC127" s="248" t="str">
        <f>IF('Report History'!UK27=0,"",IFERROR('Report History'!UK27,""))</f>
        <v/>
      </c>
      <c r="ID127" s="248" t="str">
        <f>IF('Report History'!UL27=0,"",IFERROR('Report History'!UL27,""))</f>
        <v/>
      </c>
      <c r="IE127" s="248" t="str">
        <f>IF('Report History'!UM27=0,"",IFERROR('Report History'!UM27,""))</f>
        <v/>
      </c>
      <c r="IF127" s="249" t="str">
        <f>IF('Report History'!UN27=0,"",IFERROR('Report History'!UN27,""))</f>
        <v/>
      </c>
      <c r="IG127" s="247" t="str">
        <f>IF('Report History'!UO27=0,"",IFERROR('Report History'!UO27,""))</f>
        <v>Notes</v>
      </c>
      <c r="IH127" s="248" t="str">
        <f>IF('Report History'!UP27=0,"",IFERROR('Report History'!UP27,""))</f>
        <v/>
      </c>
      <c r="II127" s="248" t="str">
        <f>IF('Report History'!UQ27=0,"",IFERROR('Report History'!UQ27,""))</f>
        <v/>
      </c>
      <c r="IJ127" s="248" t="str">
        <f>IF('Report History'!UR27=0,"",IFERROR('Report History'!UR27,""))</f>
        <v/>
      </c>
      <c r="IK127" s="249" t="str">
        <f>IF('Report History'!US27=0,"",IFERROR('Report History'!US27,""))</f>
        <v/>
      </c>
      <c r="IL127" s="247" t="str">
        <f>IF('Report History'!UT27=0,"",IFERROR('Report History'!UT27,""))</f>
        <v>Notes</v>
      </c>
      <c r="IM127" s="248" t="str">
        <f>IF('Report History'!UU27=0,"",IFERROR('Report History'!UU27,""))</f>
        <v/>
      </c>
      <c r="IN127" s="248" t="str">
        <f>IF('Report History'!UV27=0,"",IFERROR('Report History'!UV27,""))</f>
        <v/>
      </c>
      <c r="IO127" s="248" t="str">
        <f>IF('Report History'!UW27=0,"",IFERROR('Report History'!UW27,""))</f>
        <v/>
      </c>
      <c r="IP127" s="249" t="str">
        <f>IF('Report History'!UX27=0,"",IFERROR('Report History'!UX27,""))</f>
        <v/>
      </c>
    </row>
    <row r="128" spans="1:250" ht="42" customHeight="1" x14ac:dyDescent="0.25">
      <c r="A128" s="241" t="str">
        <f>IF('Report History'!LI28=0,"",IFERROR('Report History'!LI28,""))</f>
        <v xml:space="preserve">dock has 4 NMO's left. </v>
      </c>
      <c r="B128" s="242" t="str">
        <f>IF('Report History'!LJ28=0,"",IFERROR('Report History'!LJ28,""))</f>
        <v/>
      </c>
      <c r="C128" s="242" t="str">
        <f>IF('Report History'!LK28=0,"",IFERROR('Report History'!LK28,""))</f>
        <v/>
      </c>
      <c r="D128" s="242" t="str">
        <f>IF('Report History'!LL28=0,"",IFERROR('Report History'!LL28,""))</f>
        <v/>
      </c>
      <c r="E128" s="243" t="str">
        <f>IF('Report History'!LM28=0,"",IFERROR('Report History'!LM28,""))</f>
        <v/>
      </c>
      <c r="F128" s="241" t="str">
        <f>IF('Report History'!LN28=0,"",IFERROR('Report History'!LN28,""))</f>
        <v>Dock has1 gaylord, 1.5 BMC. Pouch is clear.</v>
      </c>
      <c r="G128" s="242" t="str">
        <f>IF('Report History'!LO28=0,"",IFERROR('Report History'!LO28,""))</f>
        <v/>
      </c>
      <c r="H128" s="242" t="str">
        <f>IF('Report History'!LP28=0,"",IFERROR('Report History'!LP28,""))</f>
        <v/>
      </c>
      <c r="I128" s="242" t="str">
        <f>IF('Report History'!LQ28=0,"",IFERROR('Report History'!LQ28,""))</f>
        <v/>
      </c>
      <c r="J128" s="243" t="str">
        <f>IF('Report History'!LR28=0,"",IFERROR('Report History'!LR28,""))</f>
        <v/>
      </c>
      <c r="K128" s="241" t="str">
        <f>IF('Report History'!LS28=0,"",IFERROR('Report History'!LS28,""))</f>
        <v>DPS city 3 was done at 05:16. Dock has 2 gaylords, 1 hamper. Pouch is clear.</v>
      </c>
      <c r="L128" s="242" t="str">
        <f>IF('Report History'!LT28=0,"",IFERROR('Report History'!LT28,""))</f>
        <v/>
      </c>
      <c r="M128" s="242" t="str">
        <f>IF('Report History'!LU28=0,"",IFERROR('Report History'!LU28,""))</f>
        <v/>
      </c>
      <c r="N128" s="242" t="str">
        <f>IF('Report History'!LV28=0,"",IFERROR('Report History'!LV28,""))</f>
        <v/>
      </c>
      <c r="O128" s="243" t="str">
        <f>IF('Report History'!LW28=0,"",IFERROR('Report History'!LW28,""))</f>
        <v/>
      </c>
      <c r="P128" s="241" t="str">
        <f>IF('Report History'!LX28=0,"",IFERROR('Report History'!LX28,""))</f>
        <v>Dock has 6 gaylords, 1 wire, 1 hamper. Pouch has 1 gaylord, 2 wires.</v>
      </c>
      <c r="Q128" s="242" t="str">
        <f>IF('Report History'!LY28=0,"",IFERROR('Report History'!LY28,""))</f>
        <v/>
      </c>
      <c r="R128" s="242" t="str">
        <f>IF('Report History'!LZ28=0,"",IFERROR('Report History'!LZ28,""))</f>
        <v/>
      </c>
      <c r="S128" s="242" t="str">
        <f>IF('Report History'!MA28=0,"",IFERROR('Report History'!MA28,""))</f>
        <v/>
      </c>
      <c r="T128" s="243" t="str">
        <f>IF('Report History'!MB28=0,"",IFERROR('Report History'!MB28,""))</f>
        <v/>
      </c>
      <c r="U128" s="241" t="str">
        <f>IF('Report History'!MC28=0,"",IFERROR('Report History'!MC28,""))</f>
        <v>Pouch has 2 wires, 1.5 gaylords.</v>
      </c>
      <c r="V128" s="242" t="str">
        <f>IF('Report History'!MD28=0,"",IFERROR('Report History'!MD28,""))</f>
        <v/>
      </c>
      <c r="W128" s="242" t="str">
        <f>IF('Report History'!ME28=0,"",IFERROR('Report History'!ME28,""))</f>
        <v/>
      </c>
      <c r="X128" s="242" t="str">
        <f>IF('Report History'!MF28=0,"",IFERROR('Report History'!MF28,""))</f>
        <v/>
      </c>
      <c r="Y128" s="243" t="str">
        <f>IF('Report History'!MG28=0,"",IFERROR('Report History'!MG28,""))</f>
        <v/>
      </c>
      <c r="Z128" s="241" t="str">
        <f>IF('Report History'!MH28=0,"",IFERROR('Report History'!MH28,""))</f>
        <v>560DA-204 was 24 min late inbound for traffic/construction/detour. City DPS were done @ 05:03.</v>
      </c>
      <c r="AA128" s="242" t="str">
        <f>IF('Report History'!MI28=0,"",IFERROR('Report History'!MI28,""))</f>
        <v/>
      </c>
      <c r="AB128" s="242" t="str">
        <f>IF('Report History'!MJ28=0,"",IFERROR('Report History'!MJ28,""))</f>
        <v/>
      </c>
      <c r="AC128" s="242" t="str">
        <f>IF('Report History'!MK28=0,"",IFERROR('Report History'!MK28,""))</f>
        <v/>
      </c>
      <c r="AD128" s="243" t="str">
        <f>IF('Report History'!ML28=0,"",IFERROR('Report History'!ML28,""))</f>
        <v/>
      </c>
      <c r="AE128" s="241" t="str">
        <f>IF('Report History'!MM28=0,"",IFERROR('Report History'!MM28,""))</f>
        <v>56190-806  was 1 min late for inbound for contractor failure. Doch has 4 NMO's left. Tacs appears to have issue.</v>
      </c>
      <c r="AF128" s="242" t="str">
        <f>IF('Report History'!MN28=0,"",IFERROR('Report History'!MN28,""))</f>
        <v/>
      </c>
      <c r="AG128" s="242" t="str">
        <f>IF('Report History'!MO28=0,"",IFERROR('Report History'!MO28,""))</f>
        <v/>
      </c>
      <c r="AH128" s="242" t="str">
        <f>IF('Report History'!MP28=0,"",IFERROR('Report History'!MP28,""))</f>
        <v/>
      </c>
      <c r="AI128" s="243" t="str">
        <f>IF('Report History'!MQ28=0,"",IFERROR('Report History'!MQ28,""))</f>
        <v/>
      </c>
      <c r="AJ128" s="241" t="str">
        <f>IF('Report History'!MR28=0,"",IFERROR('Report History'!MR28,""))</f>
        <v xml:space="preserve"> 560CA-402  late 19 min for contractor failure</v>
      </c>
      <c r="AK128" s="242" t="str">
        <f>IF('Report History'!MS28=0,"",IFERROR('Report History'!MS28,""))</f>
        <v/>
      </c>
      <c r="AL128" s="242" t="str">
        <f>IF('Report History'!MT28=0,"",IFERROR('Report History'!MT28,""))</f>
        <v/>
      </c>
      <c r="AM128" s="242" t="str">
        <f>IF('Report History'!MU28=0,"",IFERROR('Report History'!MU28,""))</f>
        <v/>
      </c>
      <c r="AN128" s="243" t="str">
        <f>IF('Report History'!MV28=0,"",IFERROR('Report History'!MV28,""))</f>
        <v/>
      </c>
      <c r="AO128" s="241" t="str">
        <f>IF('Report History'!MW28=0,"",IFERROR('Report History'!MW28,""))</f>
        <v xml:space="preserve">560CA-402 was 19 minutes inbound for contractor failure. </v>
      </c>
      <c r="AP128" s="242" t="str">
        <f>IF('Report History'!MX28=0,"",IFERROR('Report History'!MX28,""))</f>
        <v/>
      </c>
      <c r="AQ128" s="242" t="str">
        <f>IF('Report History'!MY28=0,"",IFERROR('Report History'!MY28,""))</f>
        <v/>
      </c>
      <c r="AR128" s="242" t="str">
        <f>IF('Report History'!MZ28=0,"",IFERROR('Report History'!MZ28,""))</f>
        <v/>
      </c>
      <c r="AS128" s="243" t="str">
        <f>IF('Report History'!NA28=0,"",IFERROR('Report History'!NA28,""))</f>
        <v/>
      </c>
      <c r="AT128" s="241" t="str">
        <f>IF('Report History'!NB28=0,"",IFERROR('Report History'!NB28,""))</f>
        <v>Dock has 8 pallets, 1 gaylords, 1 BMC. Pouch has 1 gaylord.</v>
      </c>
      <c r="AU128" s="242" t="str">
        <f>IF('Report History'!NC28=0,"",IFERROR('Report History'!NC28,""))</f>
        <v/>
      </c>
      <c r="AV128" s="242" t="str">
        <f>IF('Report History'!ND28=0,"",IFERROR('Report History'!ND28,""))</f>
        <v/>
      </c>
      <c r="AW128" s="242" t="str">
        <f>IF('Report History'!NE28=0,"",IFERROR('Report History'!NE28,""))</f>
        <v/>
      </c>
      <c r="AX128" s="243" t="str">
        <f>IF('Report History'!NF28=0,"",IFERROR('Report History'!NF28,""))</f>
        <v/>
      </c>
      <c r="AY128" s="241" t="str">
        <f>IF('Report History'!NG28=0,"",IFERROR('Report History'!NG28,""))</f>
        <v>Dock has 2 gaylords, 2 BMC, 1 hamper. Pouch has 1 hamper.</v>
      </c>
      <c r="AZ128" s="242" t="str">
        <f>IF('Report History'!NH28=0,"",IFERROR('Report History'!NH28,""))</f>
        <v/>
      </c>
      <c r="BA128" s="242" t="str">
        <f>IF('Report History'!NI28=0,"",IFERROR('Report History'!NI28,""))</f>
        <v/>
      </c>
      <c r="BB128" s="242" t="str">
        <f>IF('Report History'!NJ28=0,"",IFERROR('Report History'!NJ28,""))</f>
        <v/>
      </c>
      <c r="BC128" s="243" t="str">
        <f>IF('Report History'!NK28=0,"",IFERROR('Report History'!NK28,""))</f>
        <v/>
      </c>
      <c r="BD128" s="241" t="str">
        <f>IF('Report History'!NL28=0,"",IFERROR('Report History'!NL28,""))</f>
        <v>Dock has 2 gaylords, 1 wire. Pouch has 1.5 gaylords.</v>
      </c>
      <c r="BE128" s="242" t="str">
        <f>IF('Report History'!NM28=0,"",IFERROR('Report History'!NM28,""))</f>
        <v/>
      </c>
      <c r="BF128" s="242" t="str">
        <f>IF('Report History'!NN28=0,"",IFERROR('Report History'!NN28,""))</f>
        <v/>
      </c>
      <c r="BG128" s="242" t="str">
        <f>IF('Report History'!NO28=0,"",IFERROR('Report History'!NO28,""))</f>
        <v/>
      </c>
      <c r="BH128" s="243" t="str">
        <f>IF('Report History'!NP28=0,"",IFERROR('Report History'!NP28,""))</f>
        <v/>
      </c>
      <c r="BI128" s="241" t="str">
        <f>IF('Report History'!NQ28=0,"",IFERROR('Report History'!NQ28,""))</f>
        <v>Dock has 6 gaylords, 1 hamper. Pouch has 1 gaylord.</v>
      </c>
      <c r="BJ128" s="242" t="str">
        <f>IF('Report History'!NR28=0,"",IFERROR('Report History'!NR28,""))</f>
        <v/>
      </c>
      <c r="BK128" s="242" t="str">
        <f>IF('Report History'!NS28=0,"",IFERROR('Report History'!NS28,""))</f>
        <v/>
      </c>
      <c r="BL128" s="242" t="str">
        <f>IF('Report History'!NT28=0,"",IFERROR('Report History'!NT28,""))</f>
        <v/>
      </c>
      <c r="BM128" s="243" t="str">
        <f>IF('Report History'!NU28=0,"",IFERROR('Report History'!NU28,""))</f>
        <v/>
      </c>
      <c r="BN128" s="241" t="str">
        <f>IF('Report History'!NV28=0,"",IFERROR('Report History'!NV28,""))</f>
        <v xml:space="preserve">Tacs/Erms are being worked, Dock has . Mankato City DPS are done @ 0545. </v>
      </c>
      <c r="BO128" s="242" t="str">
        <f>IF('Report History'!NW28=0,"",IFERROR('Report History'!NW28,""))</f>
        <v/>
      </c>
      <c r="BP128" s="242" t="str">
        <f>IF('Report History'!NX28=0,"",IFERROR('Report History'!NX28,""))</f>
        <v/>
      </c>
      <c r="BQ128" s="242" t="str">
        <f>IF('Report History'!NY28=0,"",IFERROR('Report History'!NY28,""))</f>
        <v/>
      </c>
      <c r="BR128" s="243" t="str">
        <f>IF('Report History'!NZ28=0,"",IFERROR('Report History'!NZ28,""))</f>
        <v/>
      </c>
      <c r="BS128" s="241" t="str">
        <f>IF('Report History'!OA28=0,"",IFERROR('Report History'!OA28,""))</f>
        <v>This trip 560Da-2040 was 4 min late inbound from MPLS due to weather. Tacs/Erms are not cleared as they are being worked. City DPS were done @ 0536 because of staffing shortages.</v>
      </c>
      <c r="BT128" s="242" t="str">
        <f>IF('Report History'!OB28=0,"",IFERROR('Report History'!OB28,""))</f>
        <v/>
      </c>
      <c r="BU128" s="242" t="str">
        <f>IF('Report History'!OC28=0,"",IFERROR('Report History'!OC28,""))</f>
        <v/>
      </c>
      <c r="BV128" s="242" t="str">
        <f>IF('Report History'!OD28=0,"",IFERROR('Report History'!OD28,""))</f>
        <v/>
      </c>
      <c r="BW128" s="243" t="str">
        <f>IF('Report History'!OE28=0,"",IFERROR('Report History'!OE28,""))</f>
        <v/>
      </c>
      <c r="BX128" s="241" t="str">
        <f>IF('Report History'!OF28=0,"",IFERROR('Report History'!OF28,""))</f>
        <v>This trip 560DA-204 was 4 min late inbound from MPLS due to weather. Tacs/ERMS still being worked on. Dock has 4 NMO's . City DPS will be done aroung 0545 due staffing shortage.</v>
      </c>
      <c r="BY128" s="242" t="str">
        <f>IF('Report History'!OG28=0,"",IFERROR('Report History'!OG28,""))</f>
        <v/>
      </c>
      <c r="BZ128" s="242" t="str">
        <f>IF('Report History'!OH28=0,"",IFERROR('Report History'!OH28,""))</f>
        <v/>
      </c>
      <c r="CA128" s="242" t="str">
        <f>IF('Report History'!OI28=0,"",IFERROR('Report History'!OI28,""))</f>
        <v/>
      </c>
      <c r="CB128" s="243" t="str">
        <f>IF('Report History'!OJ28=0,"",IFERROR('Report History'!OJ28,""))</f>
        <v/>
      </c>
      <c r="CC128" s="241" t="str">
        <f>IF('Report History'!OK28=0,"",IFERROR('Report History'!OK28,""))</f>
        <v>Keith Rahm has clock ring errors.Dock as 3 NMO's left on the dock.</v>
      </c>
      <c r="CD128" s="242" t="str">
        <f>IF('Report History'!OL28=0,"",IFERROR('Report History'!OL28,""))</f>
        <v/>
      </c>
      <c r="CE128" s="242" t="str">
        <f>IF('Report History'!OM28=0,"",IFERROR('Report History'!OM28,""))</f>
        <v/>
      </c>
      <c r="CF128" s="242" t="str">
        <f>IF('Report History'!ON28=0,"",IFERROR('Report History'!ON28,""))</f>
        <v/>
      </c>
      <c r="CG128" s="243" t="str">
        <f>IF('Report History'!OO28=0,"",IFERROR('Report History'!OO28,""))</f>
        <v/>
      </c>
      <c r="CH128" s="241" t="str">
        <f>IF('Report History'!OP28=0,"",IFERROR('Report History'!OP28,""))</f>
        <v>Dock has 2 gaylords, 1 BMC. Pouch is clear.</v>
      </c>
      <c r="CI128" s="242" t="str">
        <f>IF('Report History'!OQ28=0,"",IFERROR('Report History'!OQ28,""))</f>
        <v/>
      </c>
      <c r="CJ128" s="242" t="str">
        <f>IF('Report History'!OR28=0,"",IFERROR('Report History'!OR28,""))</f>
        <v/>
      </c>
      <c r="CK128" s="242" t="str">
        <f>IF('Report History'!OS28=0,"",IFERROR('Report History'!OS28,""))</f>
        <v/>
      </c>
      <c r="CL128" s="243" t="str">
        <f>IF('Report History'!OT28=0,"",IFERROR('Report History'!OT28,""))</f>
        <v/>
      </c>
      <c r="CM128" s="241" t="str">
        <f>IF('Report History'!OU28=0,"",IFERROR('Report History'!OU28,""))</f>
        <v>Dock has 10 gaylords, 1 wire, 1 hamper. Pouch has 1 hamper.</v>
      </c>
      <c r="CN128" s="242" t="str">
        <f>IF('Report History'!OV28=0,"",IFERROR('Report History'!OV28,""))</f>
        <v/>
      </c>
      <c r="CO128" s="242" t="str">
        <f>IF('Report History'!OW28=0,"",IFERROR('Report History'!OW28,""))</f>
        <v/>
      </c>
      <c r="CP128" s="242" t="str">
        <f>IF('Report History'!OX28=0,"",IFERROR('Report History'!OX28,""))</f>
        <v/>
      </c>
      <c r="CQ128" s="243" t="str">
        <f>IF('Report History'!OY28=0,"",IFERROR('Report History'!OY28,""))</f>
        <v/>
      </c>
      <c r="CR128" s="241" t="str">
        <f>IF('Report History'!OZ28=0,"",IFERROR('Report History'!OZ28,""))</f>
        <v>Dock has 7 gaylords, 4 pallets, 1 BMC. Pouch has 4 gaylords, 1 wire.</v>
      </c>
      <c r="CS128" s="242" t="str">
        <f>IF('Report History'!PA28=0,"",IFERROR('Report History'!PA28,""))</f>
        <v/>
      </c>
      <c r="CT128" s="242" t="str">
        <f>IF('Report History'!PB28=0,"",IFERROR('Report History'!PB28,""))</f>
        <v/>
      </c>
      <c r="CU128" s="242" t="str">
        <f>IF('Report History'!PC28=0,"",IFERROR('Report History'!PC28,""))</f>
        <v/>
      </c>
      <c r="CV128" s="243" t="str">
        <f>IF('Report History'!PD28=0,"",IFERROR('Report History'!PD28,""))</f>
        <v/>
      </c>
      <c r="CW128" s="241" t="str">
        <f>IF('Report History'!PE28=0,"",IFERROR('Report History'!PE28,""))</f>
        <v>Dock has 15 gaylords, 9 BMC, 5 pallets, 1 wire. Pouch has 3 gaylords, 1 wire.</v>
      </c>
      <c r="CX128" s="242" t="str">
        <f>IF('Report History'!PF28=0,"",IFERROR('Report History'!PF28,""))</f>
        <v/>
      </c>
      <c r="CY128" s="242" t="str">
        <f>IF('Report History'!PG28=0,"",IFERROR('Report History'!PG28,""))</f>
        <v/>
      </c>
      <c r="CZ128" s="242" t="str">
        <f>IF('Report History'!PH28=0,"",IFERROR('Report History'!PH28,""))</f>
        <v/>
      </c>
      <c r="DA128" s="243" t="str">
        <f>IF('Report History'!PI28=0,"",IFERROR('Report History'!PI28,""))</f>
        <v/>
      </c>
      <c r="DB128" s="241" t="str">
        <f>IF('Report History'!PJ28=0,"",IFERROR('Report History'!PJ28,""))</f>
        <v xml:space="preserve">3 BMCs, 6 gaylords, and 5 pallets of orange standard flate rate boxes on dock. 1 - 6' gaylord in pouch rack. </v>
      </c>
      <c r="DC128" s="242" t="str">
        <f>IF('Report History'!PK28=0,"",IFERROR('Report History'!PK28,""))</f>
        <v/>
      </c>
      <c r="DD128" s="242" t="str">
        <f>IF('Report History'!PL28=0,"",IFERROR('Report History'!PL28,""))</f>
        <v/>
      </c>
      <c r="DE128" s="242" t="str">
        <f>IF('Report History'!PM28=0,"",IFERROR('Report History'!PM28,""))</f>
        <v/>
      </c>
      <c r="DF128" s="243" t="str">
        <f>IF('Report History'!PN28=0,"",IFERROR('Report History'!PN28,""))</f>
        <v/>
      </c>
      <c r="DG128" s="241" t="str">
        <f>IF('Report History'!PO28=0,"",IFERROR('Report History'!PO28,""))</f>
        <v>DPS City 3 finished at 05:30.Dock has 2 gaylords, 2 hampers. Pouch has 2 gaylords, 1 BMC.</v>
      </c>
      <c r="DH128" s="242" t="str">
        <f>IF('Report History'!PP28=0,"",IFERROR('Report History'!PP28,""))</f>
        <v/>
      </c>
      <c r="DI128" s="242" t="str">
        <f>IF('Report History'!PQ28=0,"",IFERROR('Report History'!PQ28,""))</f>
        <v/>
      </c>
      <c r="DJ128" s="242" t="str">
        <f>IF('Report History'!PR28=0,"",IFERROR('Report History'!PR28,""))</f>
        <v/>
      </c>
      <c r="DK128" s="243" t="str">
        <f>IF('Report History'!PS28=0,"",IFERROR('Report History'!PS28,""))</f>
        <v/>
      </c>
      <c r="DL128" s="241" t="str">
        <f>IF('Report History'!PT28=0,"",IFERROR('Report History'!PT28,""))</f>
        <v>Dock has 4 gaylords. Pouch has 4.5 gaylords, 1 BMC.</v>
      </c>
      <c r="DM128" s="242" t="str">
        <f>IF('Report History'!PU28=0,"",IFERROR('Report History'!PU28,""))</f>
        <v/>
      </c>
      <c r="DN128" s="242" t="str">
        <f>IF('Report History'!PV28=0,"",IFERROR('Report History'!PV28,""))</f>
        <v/>
      </c>
      <c r="DO128" s="242" t="str">
        <f>IF('Report History'!PW28=0,"",IFERROR('Report History'!PW28,""))</f>
        <v/>
      </c>
      <c r="DP128" s="243" t="str">
        <f>IF('Report History'!PX28=0,"",IFERROR('Report History'!PX28,""))</f>
        <v/>
      </c>
      <c r="DQ128" s="241" t="str">
        <f>IF('Report History'!PY28=0,"",IFERROR('Report History'!PY28,""))</f>
        <v>DPS City 2 finished at 05:30. Dock has 4 gaylords, 1 hamper. Pouch has 3 gaylords, 2 hampers, 1 wire.</v>
      </c>
      <c r="DR128" s="242" t="str">
        <f>IF('Report History'!PZ28=0,"",IFERROR('Report History'!PZ28,""))</f>
        <v/>
      </c>
      <c r="DS128" s="242" t="str">
        <f>IF('Report History'!QA28=0,"",IFERROR('Report History'!QA28,""))</f>
        <v/>
      </c>
      <c r="DT128" s="242" t="str">
        <f>IF('Report History'!QB28=0,"",IFERROR('Report History'!QB28,""))</f>
        <v/>
      </c>
      <c r="DU128" s="243" t="str">
        <f>IF('Report History'!QC28=0,"",IFERROR('Report History'!QC28,""))</f>
        <v/>
      </c>
      <c r="DV128" s="241" t="str">
        <f>IF('Report History'!QD28=0,"",IFERROR('Report History'!QD28,""))</f>
        <v>Dock has 1 BMC, 2 gaylords, 1 wire, .5 APC. DPS City 2 finished at 05:30.</v>
      </c>
      <c r="DW128" s="242" t="str">
        <f>IF('Report History'!QE28=0,"",IFERROR('Report History'!QE28,""))</f>
        <v/>
      </c>
      <c r="DX128" s="242" t="str">
        <f>IF('Report History'!QF28=0,"",IFERROR('Report History'!QF28,""))</f>
        <v/>
      </c>
      <c r="DY128" s="242" t="str">
        <f>IF('Report History'!QG28=0,"",IFERROR('Report History'!QG28,""))</f>
        <v/>
      </c>
      <c r="DZ128" s="243" t="str">
        <f>IF('Report History'!QH28=0,"",IFERROR('Report History'!QH28,""))</f>
        <v/>
      </c>
      <c r="EA128" s="241" t="str">
        <f>IF('Report History'!QI28=0,"",IFERROR('Report History'!QI28,""))</f>
        <v>Pouch is clear.</v>
      </c>
      <c r="EB128" s="242" t="str">
        <f>IF('Report History'!QJ28=0,"",IFERROR('Report History'!QJ28,""))</f>
        <v/>
      </c>
      <c r="EC128" s="242" t="str">
        <f>IF('Report History'!QK28=0,"",IFERROR('Report History'!QK28,""))</f>
        <v/>
      </c>
      <c r="ED128" s="242" t="str">
        <f>IF('Report History'!QL28=0,"",IFERROR('Report History'!QL28,""))</f>
        <v/>
      </c>
      <c r="EE128" s="243" t="str">
        <f>IF('Report History'!QM28=0,"",IFERROR('Report History'!QM28,""))</f>
        <v/>
      </c>
      <c r="EF128" s="241" t="str">
        <f>IF('Report History'!QN28=0,"",IFERROR('Report History'!QN28,""))</f>
        <v>Pouch is clear.</v>
      </c>
      <c r="EG128" s="242" t="str">
        <f>IF('Report History'!QO28=0,"",IFERROR('Report History'!QO28,""))</f>
        <v/>
      </c>
      <c r="EH128" s="242" t="str">
        <f>IF('Report History'!QP28=0,"",IFERROR('Report History'!QP28,""))</f>
        <v/>
      </c>
      <c r="EI128" s="242" t="str">
        <f>IF('Report History'!QQ28=0,"",IFERROR('Report History'!QQ28,""))</f>
        <v/>
      </c>
      <c r="EJ128" s="243" t="str">
        <f>IF('Report History'!QR28=0,"",IFERROR('Report History'!QR28,""))</f>
        <v/>
      </c>
      <c r="EK128" s="241" t="str">
        <f>IF('Report History'!QS28=0,"",IFERROR('Report History'!QS28,""))</f>
        <v>Dock has 2 gaylords. Pouch has 2 gaylords.</v>
      </c>
      <c r="EL128" s="242" t="str">
        <f>IF('Report History'!QT28=0,"",IFERROR('Report History'!QT28,""))</f>
        <v/>
      </c>
      <c r="EM128" s="242" t="str">
        <f>IF('Report History'!QU28=0,"",IFERROR('Report History'!QU28,""))</f>
        <v/>
      </c>
      <c r="EN128" s="242" t="str">
        <f>IF('Report History'!QV28=0,"",IFERROR('Report History'!QV28,""))</f>
        <v/>
      </c>
      <c r="EO128" s="243" t="str">
        <f>IF('Report History'!QW28=0,"",IFERROR('Report History'!QW28,""))</f>
        <v/>
      </c>
      <c r="EP128" s="241" t="str">
        <f>IF('Report History'!QX28=0,"",IFERROR('Report History'!QX28,""))</f>
        <v>Dock has 2 NMO's left. DPS was done @ 05:32. On Tacs/Erms Emily ihas errors. worked.</v>
      </c>
      <c r="EQ128" s="242" t="str">
        <f>IF('Report History'!QY28=0,"",IFERROR('Report History'!QY28,""))</f>
        <v/>
      </c>
      <c r="ER128" s="242" t="str">
        <f>IF('Report History'!QZ28=0,"",IFERROR('Report History'!QZ28,""))</f>
        <v/>
      </c>
      <c r="ES128" s="242" t="str">
        <f>IF('Report History'!RA28=0,"",IFERROR('Report History'!RA28,""))</f>
        <v/>
      </c>
      <c r="ET128" s="243" t="str">
        <f>IF('Report History'!RB28=0,"",IFERROR('Report History'!RB28,""))</f>
        <v/>
      </c>
      <c r="EU128" s="241" t="str">
        <f>IF('Report History'!RC28=0,"",IFERROR('Report History'!RC28,""))</f>
        <v>Dock has about 10 NMO's, Tacs/Erms not clear,  DPS was done 0502. FC</v>
      </c>
      <c r="EV128" s="242" t="str">
        <f>IF('Report History'!RD28=0,"",IFERROR('Report History'!RD28,""))</f>
        <v/>
      </c>
      <c r="EW128" s="242" t="str">
        <f>IF('Report History'!RE28=0,"",IFERROR('Report History'!RE28,""))</f>
        <v/>
      </c>
      <c r="EX128" s="242" t="str">
        <f>IF('Report History'!RF28=0,"",IFERROR('Report History'!RF28,""))</f>
        <v/>
      </c>
      <c r="EY128" s="243" t="str">
        <f>IF('Report History'!RG28=0,"",IFERROR('Report History'!RG28,""))</f>
        <v/>
      </c>
      <c r="EZ128" s="241" t="str">
        <f>IF('Report History'!RH28=0,"",IFERROR('Report History'!RH28,""))</f>
        <v>Trip 560DA-101 scanned depart but still show it's not departed yet. Tacs/Erms are clear throught 0630. Dock has 25 NMO's left. Mankato DPS were done at 0550.</v>
      </c>
      <c r="FA128" s="242" t="str">
        <f>IF('Report History'!RI28=0,"",IFERROR('Report History'!RI28,""))</f>
        <v/>
      </c>
      <c r="FB128" s="242" t="str">
        <f>IF('Report History'!RJ28=0,"",IFERROR('Report History'!RJ28,""))</f>
        <v/>
      </c>
      <c r="FC128" s="242" t="str">
        <f>IF('Report History'!RK28=0,"",IFERROR('Report History'!RK28,""))</f>
        <v/>
      </c>
      <c r="FD128" s="243" t="str">
        <f>IF('Report History'!RL28=0,"",IFERROR('Report History'!RL28,""))</f>
        <v/>
      </c>
      <c r="FE128" s="241" t="str">
        <f>IF('Report History'!RM28=0,"",IFERROR('Report History'!RM28,""))</f>
        <v>Dock has 8 NMO's &amp; pouch has 15 containers of parcels. TACS/ERMS looks like it’s  be down now.</v>
      </c>
      <c r="FF128" s="242" t="str">
        <f>IF('Report History'!RN28=0,"",IFERROR('Report History'!RN28,""))</f>
        <v/>
      </c>
      <c r="FG128" s="242" t="str">
        <f>IF('Report History'!RO28=0,"",IFERROR('Report History'!RO28,""))</f>
        <v/>
      </c>
      <c r="FH128" s="242" t="str">
        <f>IF('Report History'!RP28=0,"",IFERROR('Report History'!RP28,""))</f>
        <v/>
      </c>
      <c r="FI128" s="243" t="str">
        <f>IF('Report History'!RQ28=0,"",IFERROR('Report History'!RQ28,""))</f>
        <v/>
      </c>
      <c r="FJ128" s="241" t="str">
        <f>IF('Report History'!RR28=0,"",IFERROR('Report History'!RR28,""))</f>
        <v>Dock has 4 gaylords, 3 BMC, 2 APC, 1 wire, 1 hamper. Pouch has 15 gaylords, 1 wire, 1 hamper. DPS city 2 is running past 5:00, expected to finish at 7:00.</v>
      </c>
      <c r="FK128" s="242" t="str">
        <f>IF('Report History'!RS28=0,"",IFERROR('Report History'!RS28,""))</f>
        <v/>
      </c>
      <c r="FL128" s="242" t="str">
        <f>IF('Report History'!RT28=0,"",IFERROR('Report History'!RT28,""))</f>
        <v/>
      </c>
      <c r="FM128" s="242" t="str">
        <f>IF('Report History'!RU28=0,"",IFERROR('Report History'!RU28,""))</f>
        <v/>
      </c>
      <c r="FN128" s="243" t="str">
        <f>IF('Report History'!RV28=0,"",IFERROR('Report History'!RV28,""))</f>
        <v/>
      </c>
      <c r="FO128" s="241" t="str">
        <f>IF('Report History'!RW28=0,"",IFERROR('Report History'!RW28,""))</f>
        <v>Dock has 4 gaylords, 3 BMC, 2 APC, 1 wire, 1 hamper. Pouch has 15 gaylords, 1 wire, 1 hamper. DPS city 2 should be done by 07:00.</v>
      </c>
      <c r="FP128" s="242" t="str">
        <f>IF('Report History'!RX28=0,"",IFERROR('Report History'!RX28,""))</f>
        <v/>
      </c>
      <c r="FQ128" s="242" t="str">
        <f>IF('Report History'!RY28=0,"",IFERROR('Report History'!RY28,""))</f>
        <v/>
      </c>
      <c r="FR128" s="242" t="str">
        <f>IF('Report History'!RZ28=0,"",IFERROR('Report History'!RZ28,""))</f>
        <v/>
      </c>
      <c r="FS128" s="243" t="str">
        <f>IF('Report History'!SA28=0,"",IFERROR('Report History'!SA28,""))</f>
        <v/>
      </c>
      <c r="FT128" s="241" t="str">
        <f>IF('Report History'!SB28=0,"",IFERROR('Report History'!SB28,""))</f>
        <v>Dock has 31 gaylords, 3 wires, 3 APC, 2 BMC, 2 hampers. Pouch has 4 gaylords.</v>
      </c>
      <c r="FU128" s="242" t="str">
        <f>IF('Report History'!SC28=0,"",IFERROR('Report History'!SC28,""))</f>
        <v/>
      </c>
      <c r="FV128" s="242" t="str">
        <f>IF('Report History'!SD28=0,"",IFERROR('Report History'!SD28,""))</f>
        <v/>
      </c>
      <c r="FW128" s="242" t="str">
        <f>IF('Report History'!SE28=0,"",IFERROR('Report History'!SE28,""))</f>
        <v/>
      </c>
      <c r="FX128" s="243" t="str">
        <f>IF('Report History'!SF28=0,"",IFERROR('Report History'!SF28,""))</f>
        <v/>
      </c>
      <c r="FY128" s="241" t="str">
        <f>IF('Report History'!SG28=0,"",IFERROR('Report History'!SG28,""))</f>
        <v>Dock has 28 gaylords, 5 BMC, 3 hampers, 2 wire. Pouch has 6 gaylords.</v>
      </c>
      <c r="FZ128" s="242" t="str">
        <f>IF('Report History'!SH28=0,"",IFERROR('Report History'!SH28,""))</f>
        <v/>
      </c>
      <c r="GA128" s="242" t="str">
        <f>IF('Report History'!SI28=0,"",IFERROR('Report History'!SI28,""))</f>
        <v/>
      </c>
      <c r="GB128" s="242" t="str">
        <f>IF('Report History'!SJ28=0,"",IFERROR('Report History'!SJ28,""))</f>
        <v/>
      </c>
      <c r="GC128" s="243" t="str">
        <f>IF('Report History'!SK28=0,"",IFERROR('Report History'!SK28,""))</f>
        <v/>
      </c>
      <c r="GD128" s="241" t="str">
        <f>IF('Report History'!SL28=0,"",IFERROR('Report History'!SL28,""))</f>
        <v xml:space="preserve">Trip 801 came in 10 min late and left 2 min late. TACS/ERMS are clear as of 0600 Tacs are through 0600.  Dock has about 40 containers of NMO's. Pink and blue STD came in on 0150 truck. </v>
      </c>
      <c r="GE128" s="242" t="str">
        <f>IF('Report History'!SM28=0,"",IFERROR('Report History'!SM28,""))</f>
        <v/>
      </c>
      <c r="GF128" s="242" t="str">
        <f>IF('Report History'!SN28=0,"",IFERROR('Report History'!SN28,""))</f>
        <v/>
      </c>
      <c r="GG128" s="242" t="str">
        <f>IF('Report History'!SO28=0,"",IFERROR('Report History'!SO28,""))</f>
        <v/>
      </c>
      <c r="GH128" s="243" t="str">
        <f>IF('Report History'!SP28=0,"",IFERROR('Report History'!SP28,""))</f>
        <v/>
      </c>
      <c r="GI128" s="241" t="str">
        <f>IF('Report History'!SQ28=0,"",IFERROR('Report History'!SQ28,""))</f>
        <v xml:space="preserve">None of the 0500 trucks showed up yet. Also Due to weather issues, No truck went to Windom/Sioux falls. Cities I/B or O/B trucks were late. City DPS will be done between 07.00-0730. </v>
      </c>
      <c r="GJ128" s="242" t="str">
        <f>IF('Report History'!SR28=0,"",IFERROR('Report History'!SR28,""))</f>
        <v/>
      </c>
      <c r="GK128" s="242" t="str">
        <f>IF('Report History'!SS28=0,"",IFERROR('Report History'!SS28,""))</f>
        <v/>
      </c>
      <c r="GL128" s="242" t="str">
        <f>IF('Report History'!ST28=0,"",IFERROR('Report History'!ST28,""))</f>
        <v/>
      </c>
      <c r="GM128" s="243" t="str">
        <f>IF('Report History'!SU28=0,"",IFERROR('Report History'!SU28,""))</f>
        <v/>
      </c>
      <c r="GN128" s="241" t="str">
        <f>IF('Report History'!SV28=0,"",IFERROR('Report History'!SV28,""))</f>
        <v>Dock has 12 gaylords, 2 BMC, 1 hamper. Pouch has 11 gaylords.</v>
      </c>
      <c r="GO128" s="242" t="str">
        <f>IF('Report History'!SW28=0,"",IFERROR('Report History'!SW28,""))</f>
        <v/>
      </c>
      <c r="GP128" s="242" t="str">
        <f>IF('Report History'!SX28=0,"",IFERROR('Report History'!SX28,""))</f>
        <v/>
      </c>
      <c r="GQ128" s="242" t="str">
        <f>IF('Report History'!SY28=0,"",IFERROR('Report History'!SY28,""))</f>
        <v/>
      </c>
      <c r="GR128" s="243" t="str">
        <f>IF('Report History'!SZ28=0,"",IFERROR('Report History'!SZ28,""))</f>
        <v/>
      </c>
      <c r="GS128" s="241" t="str">
        <f>IF('Report History'!TA28=0,"",IFERROR('Report History'!TA28,""))</f>
        <v>Dock has 3 gaylords, 1 APC. Pouch has 11 gaylords.</v>
      </c>
      <c r="GT128" s="242" t="str">
        <f>IF('Report History'!TB28=0,"",IFERROR('Report History'!TB28,""))</f>
        <v/>
      </c>
      <c r="GU128" s="242" t="str">
        <f>IF('Report History'!TC28=0,"",IFERROR('Report History'!TC28,""))</f>
        <v/>
      </c>
      <c r="GV128" s="242" t="str">
        <f>IF('Report History'!TD28=0,"",IFERROR('Report History'!TD28,""))</f>
        <v/>
      </c>
      <c r="GW128" s="243" t="str">
        <f>IF('Report History'!TE28=0,"",IFERROR('Report History'!TE28,""))</f>
        <v/>
      </c>
      <c r="GX128" s="241" t="str">
        <f>IF('Report History'!TF28=0,"",IFERROR('Report History'!TF28,""))</f>
        <v>Dock has 4 gaylords, 1 APC. Pouch has 12 gaylords.</v>
      </c>
      <c r="GY128" s="242" t="str">
        <f>IF('Report History'!TG28=0,"",IFERROR('Report History'!TG28,""))</f>
        <v/>
      </c>
      <c r="GZ128" s="242" t="str">
        <f>IF('Report History'!TH28=0,"",IFERROR('Report History'!TH28,""))</f>
        <v/>
      </c>
      <c r="HA128" s="242" t="str">
        <f>IF('Report History'!TI28=0,"",IFERROR('Report History'!TI28,""))</f>
        <v/>
      </c>
      <c r="HB128" s="243" t="str">
        <f>IF('Report History'!TJ28=0,"",IFERROR('Report History'!TJ28,""))</f>
        <v/>
      </c>
      <c r="HC128" s="241" t="str">
        <f>IF('Report History'!TK28=0,"",IFERROR('Report History'!TK28,""))</f>
        <v>Dock has 20 gaylords, 4 APC, 1 hamper. Pouch has 7 gaylords.</v>
      </c>
      <c r="HD128" s="242" t="str">
        <f>IF('Report History'!TL28=0,"",IFERROR('Report History'!TL28,""))</f>
        <v/>
      </c>
      <c r="HE128" s="242" t="str">
        <f>IF('Report History'!TM28=0,"",IFERROR('Report History'!TM28,""))</f>
        <v/>
      </c>
      <c r="HF128" s="242" t="str">
        <f>IF('Report History'!TN28=0,"",IFERROR('Report History'!TN28,""))</f>
        <v/>
      </c>
      <c r="HG128" s="243" t="str">
        <f>IF('Report History'!TO28=0,"",IFERROR('Report History'!TO28,""))</f>
        <v/>
      </c>
      <c r="HH128" s="241" t="str">
        <f>IF('Report History'!TP28=0,"",IFERROR('Report History'!TP28,""))</f>
        <v>Dock has 11 gaylords, 1.5 APC. Pouch has 14 gaylords, 4 BMC.</v>
      </c>
      <c r="HI128" s="242" t="str">
        <f>IF('Report History'!TQ28=0,"",IFERROR('Report History'!TQ28,""))</f>
        <v/>
      </c>
      <c r="HJ128" s="242" t="str">
        <f>IF('Report History'!TR28=0,"",IFERROR('Report History'!TR28,""))</f>
        <v/>
      </c>
      <c r="HK128" s="242" t="str">
        <f>IF('Report History'!TS28=0,"",IFERROR('Report History'!TS28,""))</f>
        <v/>
      </c>
      <c r="HL128" s="243" t="str">
        <f>IF('Report History'!TT28=0,"",IFERROR('Report History'!TT28,""))</f>
        <v/>
      </c>
      <c r="HM128" s="241" t="str">
        <f>IF('Report History'!TU28=0,"",IFERROR('Report History'!TU28,""))</f>
        <v>2 inbound trucks from cities came in a couple of minutes late. TACS/ERMS are not all clear and are being worked on now. Dock has 30 containers of mail. City Mankato DPS won't be done until close to 0745.</v>
      </c>
      <c r="HN128" s="242" t="str">
        <f>IF('Report History'!TV28=0,"",IFERROR('Report History'!TV28,""))</f>
        <v/>
      </c>
      <c r="HO128" s="242" t="str">
        <f>IF('Report History'!TW28=0,"",IFERROR('Report History'!TW28,""))</f>
        <v/>
      </c>
      <c r="HP128" s="242" t="str">
        <f>IF('Report History'!TX28=0,"",IFERROR('Report History'!TX28,""))</f>
        <v/>
      </c>
      <c r="HQ128" s="243" t="str">
        <f>IF('Report History'!TY28=0,"",IFERROR('Report History'!TY28,""))</f>
        <v/>
      </c>
      <c r="HR128" s="241" t="str">
        <f>IF('Report History'!TZ28=0,"",IFERROR('Report History'!TZ28,""))</f>
        <v>This extra trip (560DA-FEX) came in &amp; left late. Also 0420 truck was 1 min late. Doch has 16 pallets. Mankato DPS was done @ 0620</v>
      </c>
      <c r="HS128" s="242" t="str">
        <f>IF('Report History'!UA28=0,"",IFERROR('Report History'!UA28,""))</f>
        <v/>
      </c>
      <c r="HT128" s="242" t="str">
        <f>IF('Report History'!UB28=0,"",IFERROR('Report History'!UB28,""))</f>
        <v/>
      </c>
      <c r="HU128" s="242" t="str">
        <f>IF('Report History'!UC28=0,"",IFERROR('Report History'!UC28,""))</f>
        <v/>
      </c>
      <c r="HV128" s="243" t="str">
        <f>IF('Report History'!UD28=0,"",IFERROR('Report History'!UD28,""))</f>
        <v/>
      </c>
      <c r="HW128" s="241" t="str">
        <f>IF('Report History'!UE28=0,"",IFERROR('Report History'!UE28,""))</f>
        <v xml:space="preserve">Dee has no lunches. Dock has 20 NMO's. City of Mankato DPS was done @ 0608. </v>
      </c>
      <c r="HX128" s="242" t="str">
        <f>IF('Report History'!UF28=0,"",IFERROR('Report History'!UF28,""))</f>
        <v/>
      </c>
      <c r="HY128" s="242" t="str">
        <f>IF('Report History'!UG28=0,"",IFERROR('Report History'!UG28,""))</f>
        <v/>
      </c>
      <c r="HZ128" s="242" t="str">
        <f>IF('Report History'!UH28=0,"",IFERROR('Report History'!UH28,""))</f>
        <v/>
      </c>
      <c r="IA128" s="243" t="str">
        <f>IF('Report History'!UI28=0,"",IFERROR('Report History'!UI28,""))</f>
        <v/>
      </c>
      <c r="IB128" s="241" t="str">
        <f>IF('Report History'!UJ28=0,"",IFERROR('Report History'!UJ28,""))</f>
        <v>DPS city 2 was finished at 05:03. Dock has 11 gaylords, 3 BMC, 1 pallet, 1 APC. Pouch has 4 gaylords.</v>
      </c>
      <c r="IC128" s="242" t="str">
        <f>IF('Report History'!UK28=0,"",IFERROR('Report History'!UK28,""))</f>
        <v/>
      </c>
      <c r="ID128" s="242" t="str">
        <f>IF('Report History'!UL28=0,"",IFERROR('Report History'!UL28,""))</f>
        <v/>
      </c>
      <c r="IE128" s="242" t="str">
        <f>IF('Report History'!UM28=0,"",IFERROR('Report History'!UM28,""))</f>
        <v/>
      </c>
      <c r="IF128" s="243" t="str">
        <f>IF('Report History'!UN28=0,"",IFERROR('Report History'!UN28,""))</f>
        <v/>
      </c>
      <c r="IG128" s="241" t="str">
        <f>IF('Report History'!UO28=0,"",IFERROR('Report History'!UO28,""))</f>
        <v>Dock has 9 gaylords, 2 hampers, 1 BMC. Pouch has 1 gaylord.</v>
      </c>
      <c r="IH128" s="242" t="str">
        <f>IF('Report History'!UP28=0,"",IFERROR('Report History'!UP28,""))</f>
        <v/>
      </c>
      <c r="II128" s="242" t="str">
        <f>IF('Report History'!UQ28=0,"",IFERROR('Report History'!UQ28,""))</f>
        <v/>
      </c>
      <c r="IJ128" s="242" t="str">
        <f>IF('Report History'!UR28=0,"",IFERROR('Report History'!UR28,""))</f>
        <v/>
      </c>
      <c r="IK128" s="243" t="str">
        <f>IF('Report History'!US28=0,"",IFERROR('Report History'!US28,""))</f>
        <v/>
      </c>
      <c r="IL128" s="241" t="str">
        <f>IF('Report History'!UT28=0,"",IFERROR('Report History'!UT28,""))</f>
        <v>Dock has 5 gaylords, 1 BMC, 1 hamper. Pouch has 1 gaylord.</v>
      </c>
      <c r="IM128" s="242" t="str">
        <f>IF('Report History'!UU28=0,"",IFERROR('Report History'!UU28,""))</f>
        <v/>
      </c>
      <c r="IN128" s="242" t="str">
        <f>IF('Report History'!UV28=0,"",IFERROR('Report History'!UV28,""))</f>
        <v/>
      </c>
      <c r="IO128" s="242" t="str">
        <f>IF('Report History'!UW28=0,"",IFERROR('Report History'!UW28,""))</f>
        <v/>
      </c>
      <c r="IP128" s="243" t="str">
        <f>IF('Report History'!UX28=0,"",IFERROR('Report History'!UX28,""))</f>
        <v/>
      </c>
    </row>
    <row r="129" spans="1:250" ht="42" customHeight="1" thickBot="1" x14ac:dyDescent="0.3">
      <c r="A129" s="244" t="str">
        <f>IF('Report History'!LI29=0,"",IFERROR('Report History'!LI29,""))</f>
        <v/>
      </c>
      <c r="B129" s="245" t="str">
        <f>IF('Report History'!LJ29=0,"",IFERROR('Report History'!LJ29,""))</f>
        <v/>
      </c>
      <c r="C129" s="245" t="str">
        <f>IF('Report History'!LK29=0,"",IFERROR('Report History'!LK29,""))</f>
        <v/>
      </c>
      <c r="D129" s="245" t="str">
        <f>IF('Report History'!LL29=0,"",IFERROR('Report History'!LL29,""))</f>
        <v/>
      </c>
      <c r="E129" s="246" t="str">
        <f>IF('Report History'!LM29=0,"",IFERROR('Report History'!LM29,""))</f>
        <v/>
      </c>
      <c r="F129" s="244" t="str">
        <f>IF('Report History'!LN29=0,"",IFERROR('Report History'!LN29,""))</f>
        <v/>
      </c>
      <c r="G129" s="245" t="str">
        <f>IF('Report History'!LO29=0,"",IFERROR('Report History'!LO29,""))</f>
        <v/>
      </c>
      <c r="H129" s="245" t="str">
        <f>IF('Report History'!LP29=0,"",IFERROR('Report History'!LP29,""))</f>
        <v/>
      </c>
      <c r="I129" s="245" t="str">
        <f>IF('Report History'!LQ29=0,"",IFERROR('Report History'!LQ29,""))</f>
        <v/>
      </c>
      <c r="J129" s="246" t="str">
        <f>IF('Report History'!LR29=0,"",IFERROR('Report History'!LR29,""))</f>
        <v/>
      </c>
      <c r="K129" s="244" t="str">
        <f>IF('Report History'!LS29=0,"",IFERROR('Report History'!LS29,""))</f>
        <v/>
      </c>
      <c r="L129" s="245" t="str">
        <f>IF('Report History'!LT29=0,"",IFERROR('Report History'!LT29,""))</f>
        <v/>
      </c>
      <c r="M129" s="245" t="str">
        <f>IF('Report History'!LU29=0,"",IFERROR('Report History'!LU29,""))</f>
        <v/>
      </c>
      <c r="N129" s="245" t="str">
        <f>IF('Report History'!LV29=0,"",IFERROR('Report History'!LV29,""))</f>
        <v/>
      </c>
      <c r="O129" s="246" t="str">
        <f>IF('Report History'!LW29=0,"",IFERROR('Report History'!LW29,""))</f>
        <v/>
      </c>
      <c r="P129" s="244" t="str">
        <f>IF('Report History'!LX29=0,"",IFERROR('Report History'!LX29,""))</f>
        <v/>
      </c>
      <c r="Q129" s="245" t="str">
        <f>IF('Report History'!LY29=0,"",IFERROR('Report History'!LY29,""))</f>
        <v/>
      </c>
      <c r="R129" s="245" t="str">
        <f>IF('Report History'!LZ29=0,"",IFERROR('Report History'!LZ29,""))</f>
        <v/>
      </c>
      <c r="S129" s="245" t="str">
        <f>IF('Report History'!MA29=0,"",IFERROR('Report History'!MA29,""))</f>
        <v/>
      </c>
      <c r="T129" s="246" t="str">
        <f>IF('Report History'!MB29=0,"",IFERROR('Report History'!MB29,""))</f>
        <v/>
      </c>
      <c r="U129" s="244" t="str">
        <f>IF('Report History'!MC29=0,"",IFERROR('Report History'!MC29,""))</f>
        <v/>
      </c>
      <c r="V129" s="245" t="str">
        <f>IF('Report History'!MD29=0,"",IFERROR('Report History'!MD29,""))</f>
        <v/>
      </c>
      <c r="W129" s="245" t="str">
        <f>IF('Report History'!ME29=0,"",IFERROR('Report History'!ME29,""))</f>
        <v/>
      </c>
      <c r="X129" s="245" t="str">
        <f>IF('Report History'!MF29=0,"",IFERROR('Report History'!MF29,""))</f>
        <v/>
      </c>
      <c r="Y129" s="246" t="str">
        <f>IF('Report History'!MG29=0,"",IFERROR('Report History'!MG29,""))</f>
        <v/>
      </c>
      <c r="Z129" s="244" t="str">
        <f>IF('Report History'!MH29=0,"",IFERROR('Report History'!MH29,""))</f>
        <v/>
      </c>
      <c r="AA129" s="245" t="str">
        <f>IF('Report History'!MI29=0,"",IFERROR('Report History'!MI29,""))</f>
        <v/>
      </c>
      <c r="AB129" s="245" t="str">
        <f>IF('Report History'!MJ29=0,"",IFERROR('Report History'!MJ29,""))</f>
        <v/>
      </c>
      <c r="AC129" s="245" t="str">
        <f>IF('Report History'!MK29=0,"",IFERROR('Report History'!MK29,""))</f>
        <v/>
      </c>
      <c r="AD129" s="246" t="str">
        <f>IF('Report History'!ML29=0,"",IFERROR('Report History'!ML29,""))</f>
        <v/>
      </c>
      <c r="AE129" s="244" t="str">
        <f>IF('Report History'!MM29=0,"",IFERROR('Report History'!MM29,""))</f>
        <v/>
      </c>
      <c r="AF129" s="245" t="str">
        <f>IF('Report History'!MN29=0,"",IFERROR('Report History'!MN29,""))</f>
        <v/>
      </c>
      <c r="AG129" s="245" t="str">
        <f>IF('Report History'!MO29=0,"",IFERROR('Report History'!MO29,""))</f>
        <v/>
      </c>
      <c r="AH129" s="245" t="str">
        <f>IF('Report History'!MP29=0,"",IFERROR('Report History'!MP29,""))</f>
        <v/>
      </c>
      <c r="AI129" s="246" t="str">
        <f>IF('Report History'!MQ29=0,"",IFERROR('Report History'!MQ29,""))</f>
        <v/>
      </c>
      <c r="AJ129" s="244" t="str">
        <f>IF('Report History'!MR29=0,"",IFERROR('Report History'!MR29,""))</f>
        <v/>
      </c>
      <c r="AK129" s="245" t="str">
        <f>IF('Report History'!MS29=0,"",IFERROR('Report History'!MS29,""))</f>
        <v/>
      </c>
      <c r="AL129" s="245" t="str">
        <f>IF('Report History'!MT29=0,"",IFERROR('Report History'!MT29,""))</f>
        <v/>
      </c>
      <c r="AM129" s="245" t="str">
        <f>IF('Report History'!MU29=0,"",IFERROR('Report History'!MU29,""))</f>
        <v/>
      </c>
      <c r="AN129" s="246" t="str">
        <f>IF('Report History'!MV29=0,"",IFERROR('Report History'!MV29,""))</f>
        <v/>
      </c>
      <c r="AO129" s="244" t="str">
        <f>IF('Report History'!MW29=0,"",IFERROR('Report History'!MW29,""))</f>
        <v/>
      </c>
      <c r="AP129" s="245" t="str">
        <f>IF('Report History'!MX29=0,"",IFERROR('Report History'!MX29,""))</f>
        <v/>
      </c>
      <c r="AQ129" s="245" t="str">
        <f>IF('Report History'!MY29=0,"",IFERROR('Report History'!MY29,""))</f>
        <v/>
      </c>
      <c r="AR129" s="245" t="str">
        <f>IF('Report History'!MZ29=0,"",IFERROR('Report History'!MZ29,""))</f>
        <v/>
      </c>
      <c r="AS129" s="246" t="str">
        <f>IF('Report History'!NA29=0,"",IFERROR('Report History'!NA29,""))</f>
        <v/>
      </c>
      <c r="AT129" s="244" t="str">
        <f>IF('Report History'!NB29=0,"",IFERROR('Report History'!NB29,""))</f>
        <v/>
      </c>
      <c r="AU129" s="245" t="str">
        <f>IF('Report History'!NC29=0,"",IFERROR('Report History'!NC29,""))</f>
        <v/>
      </c>
      <c r="AV129" s="245" t="str">
        <f>IF('Report History'!ND29=0,"",IFERROR('Report History'!ND29,""))</f>
        <v/>
      </c>
      <c r="AW129" s="245" t="str">
        <f>IF('Report History'!NE29=0,"",IFERROR('Report History'!NE29,""))</f>
        <v/>
      </c>
      <c r="AX129" s="246" t="str">
        <f>IF('Report History'!NF29=0,"",IFERROR('Report History'!NF29,""))</f>
        <v/>
      </c>
      <c r="AY129" s="244" t="str">
        <f>IF('Report History'!NG29=0,"",IFERROR('Report History'!NG29,""))</f>
        <v/>
      </c>
      <c r="AZ129" s="245" t="str">
        <f>IF('Report History'!NH29=0,"",IFERROR('Report History'!NH29,""))</f>
        <v/>
      </c>
      <c r="BA129" s="245" t="str">
        <f>IF('Report History'!NI29=0,"",IFERROR('Report History'!NI29,""))</f>
        <v/>
      </c>
      <c r="BB129" s="245" t="str">
        <f>IF('Report History'!NJ29=0,"",IFERROR('Report History'!NJ29,""))</f>
        <v/>
      </c>
      <c r="BC129" s="246" t="str">
        <f>IF('Report History'!NK29=0,"",IFERROR('Report History'!NK29,""))</f>
        <v/>
      </c>
      <c r="BD129" s="244" t="str">
        <f>IF('Report History'!NL29=0,"",IFERROR('Report History'!NL29,""))</f>
        <v/>
      </c>
      <c r="BE129" s="245" t="str">
        <f>IF('Report History'!NM29=0,"",IFERROR('Report History'!NM29,""))</f>
        <v/>
      </c>
      <c r="BF129" s="245" t="str">
        <f>IF('Report History'!NN29=0,"",IFERROR('Report History'!NN29,""))</f>
        <v/>
      </c>
      <c r="BG129" s="245" t="str">
        <f>IF('Report History'!NO29=0,"",IFERROR('Report History'!NO29,""))</f>
        <v/>
      </c>
      <c r="BH129" s="246" t="str">
        <f>IF('Report History'!NP29=0,"",IFERROR('Report History'!NP29,""))</f>
        <v/>
      </c>
      <c r="BI129" s="244" t="str">
        <f>IF('Report History'!NQ29=0,"",IFERROR('Report History'!NQ29,""))</f>
        <v/>
      </c>
      <c r="BJ129" s="245" t="str">
        <f>IF('Report History'!NR29=0,"",IFERROR('Report History'!NR29,""))</f>
        <v/>
      </c>
      <c r="BK129" s="245" t="str">
        <f>IF('Report History'!NS29=0,"",IFERROR('Report History'!NS29,""))</f>
        <v/>
      </c>
      <c r="BL129" s="245" t="str">
        <f>IF('Report History'!NT29=0,"",IFERROR('Report History'!NT29,""))</f>
        <v/>
      </c>
      <c r="BM129" s="246" t="str">
        <f>IF('Report History'!NU29=0,"",IFERROR('Report History'!NU29,""))</f>
        <v/>
      </c>
      <c r="BN129" s="244" t="str">
        <f>IF('Report History'!NV29=0,"",IFERROR('Report History'!NV29,""))</f>
        <v/>
      </c>
      <c r="BO129" s="245" t="str">
        <f>IF('Report History'!NW29=0,"",IFERROR('Report History'!NW29,""))</f>
        <v/>
      </c>
      <c r="BP129" s="245" t="str">
        <f>IF('Report History'!NX29=0,"",IFERROR('Report History'!NX29,""))</f>
        <v/>
      </c>
      <c r="BQ129" s="245" t="str">
        <f>IF('Report History'!NY29=0,"",IFERROR('Report History'!NY29,""))</f>
        <v/>
      </c>
      <c r="BR129" s="246" t="str">
        <f>IF('Report History'!NZ29=0,"",IFERROR('Report History'!NZ29,""))</f>
        <v/>
      </c>
      <c r="BS129" s="244" t="str">
        <f>IF('Report History'!OA29=0,"",IFERROR('Report History'!OA29,""))</f>
        <v/>
      </c>
      <c r="BT129" s="245" t="str">
        <f>IF('Report History'!OB29=0,"",IFERROR('Report History'!OB29,""))</f>
        <v/>
      </c>
      <c r="BU129" s="245" t="str">
        <f>IF('Report History'!OC29=0,"",IFERROR('Report History'!OC29,""))</f>
        <v/>
      </c>
      <c r="BV129" s="245" t="str">
        <f>IF('Report History'!OD29=0,"",IFERROR('Report History'!OD29,""))</f>
        <v/>
      </c>
      <c r="BW129" s="246" t="str">
        <f>IF('Report History'!OE29=0,"",IFERROR('Report History'!OE29,""))</f>
        <v/>
      </c>
      <c r="BX129" s="244" t="str">
        <f>IF('Report History'!OF29=0,"",IFERROR('Report History'!OF29,""))</f>
        <v/>
      </c>
      <c r="BY129" s="245" t="str">
        <f>IF('Report History'!OG29=0,"",IFERROR('Report History'!OG29,""))</f>
        <v/>
      </c>
      <c r="BZ129" s="245" t="str">
        <f>IF('Report History'!OH29=0,"",IFERROR('Report History'!OH29,""))</f>
        <v/>
      </c>
      <c r="CA129" s="245" t="str">
        <f>IF('Report History'!OI29=0,"",IFERROR('Report History'!OI29,""))</f>
        <v/>
      </c>
      <c r="CB129" s="246" t="str">
        <f>IF('Report History'!OJ29=0,"",IFERROR('Report History'!OJ29,""))</f>
        <v/>
      </c>
      <c r="CC129" s="244" t="str">
        <f>IF('Report History'!OK29=0,"",IFERROR('Report History'!OK29,""))</f>
        <v/>
      </c>
      <c r="CD129" s="245" t="str">
        <f>IF('Report History'!OL29=0,"",IFERROR('Report History'!OL29,""))</f>
        <v/>
      </c>
      <c r="CE129" s="245" t="str">
        <f>IF('Report History'!OM29=0,"",IFERROR('Report History'!OM29,""))</f>
        <v/>
      </c>
      <c r="CF129" s="245" t="str">
        <f>IF('Report History'!ON29=0,"",IFERROR('Report History'!ON29,""))</f>
        <v/>
      </c>
      <c r="CG129" s="246" t="str">
        <f>IF('Report History'!OO29=0,"",IFERROR('Report History'!OO29,""))</f>
        <v/>
      </c>
      <c r="CH129" s="244" t="str">
        <f>IF('Report History'!OP29=0,"",IFERROR('Report History'!OP29,""))</f>
        <v/>
      </c>
      <c r="CI129" s="245" t="str">
        <f>IF('Report History'!OQ29=0,"",IFERROR('Report History'!OQ29,""))</f>
        <v/>
      </c>
      <c r="CJ129" s="245" t="str">
        <f>IF('Report History'!OR29=0,"",IFERROR('Report History'!OR29,""))</f>
        <v/>
      </c>
      <c r="CK129" s="245" t="str">
        <f>IF('Report History'!OS29=0,"",IFERROR('Report History'!OS29,""))</f>
        <v/>
      </c>
      <c r="CL129" s="246" t="str">
        <f>IF('Report History'!OT29=0,"",IFERROR('Report History'!OT29,""))</f>
        <v/>
      </c>
      <c r="CM129" s="244" t="str">
        <f>IF('Report History'!OU29=0,"",IFERROR('Report History'!OU29,""))</f>
        <v/>
      </c>
      <c r="CN129" s="245" t="str">
        <f>IF('Report History'!OV29=0,"",IFERROR('Report History'!OV29,""))</f>
        <v/>
      </c>
      <c r="CO129" s="245" t="str">
        <f>IF('Report History'!OW29=0,"",IFERROR('Report History'!OW29,""))</f>
        <v/>
      </c>
      <c r="CP129" s="245" t="str">
        <f>IF('Report History'!OX29=0,"",IFERROR('Report History'!OX29,""))</f>
        <v/>
      </c>
      <c r="CQ129" s="246" t="str">
        <f>IF('Report History'!OY29=0,"",IFERROR('Report History'!OY29,""))</f>
        <v/>
      </c>
      <c r="CR129" s="244" t="str">
        <f>IF('Report History'!OZ29=0,"",IFERROR('Report History'!OZ29,""))</f>
        <v/>
      </c>
      <c r="CS129" s="245" t="str">
        <f>IF('Report History'!PA29=0,"",IFERROR('Report History'!PA29,""))</f>
        <v/>
      </c>
      <c r="CT129" s="245" t="str">
        <f>IF('Report History'!PB29=0,"",IFERROR('Report History'!PB29,""))</f>
        <v/>
      </c>
      <c r="CU129" s="245" t="str">
        <f>IF('Report History'!PC29=0,"",IFERROR('Report History'!PC29,""))</f>
        <v/>
      </c>
      <c r="CV129" s="246" t="str">
        <f>IF('Report History'!PD29=0,"",IFERROR('Report History'!PD29,""))</f>
        <v/>
      </c>
      <c r="CW129" s="244" t="str">
        <f>IF('Report History'!PE29=0,"",IFERROR('Report History'!PE29,""))</f>
        <v/>
      </c>
      <c r="CX129" s="245" t="str">
        <f>IF('Report History'!PF29=0,"",IFERROR('Report History'!PF29,""))</f>
        <v/>
      </c>
      <c r="CY129" s="245" t="str">
        <f>IF('Report History'!PG29=0,"",IFERROR('Report History'!PG29,""))</f>
        <v/>
      </c>
      <c r="CZ129" s="245" t="str">
        <f>IF('Report History'!PH29=0,"",IFERROR('Report History'!PH29,""))</f>
        <v/>
      </c>
      <c r="DA129" s="246" t="str">
        <f>IF('Report History'!PI29=0,"",IFERROR('Report History'!PI29,""))</f>
        <v/>
      </c>
      <c r="DB129" s="244" t="str">
        <f>IF('Report History'!PJ29=0,"",IFERROR('Report History'!PJ29,""))</f>
        <v/>
      </c>
      <c r="DC129" s="245" t="str">
        <f>IF('Report History'!PK29=0,"",IFERROR('Report History'!PK29,""))</f>
        <v/>
      </c>
      <c r="DD129" s="245" t="str">
        <f>IF('Report History'!PL29=0,"",IFERROR('Report History'!PL29,""))</f>
        <v/>
      </c>
      <c r="DE129" s="245" t="str">
        <f>IF('Report History'!PM29=0,"",IFERROR('Report History'!PM29,""))</f>
        <v/>
      </c>
      <c r="DF129" s="246" t="str">
        <f>IF('Report History'!PN29=0,"",IFERROR('Report History'!PN29,""))</f>
        <v/>
      </c>
      <c r="DG129" s="244" t="str">
        <f>IF('Report History'!PO29=0,"",IFERROR('Report History'!PO29,""))</f>
        <v/>
      </c>
      <c r="DH129" s="245" t="str">
        <f>IF('Report History'!PP29=0,"",IFERROR('Report History'!PP29,""))</f>
        <v/>
      </c>
      <c r="DI129" s="245" t="str">
        <f>IF('Report History'!PQ29=0,"",IFERROR('Report History'!PQ29,""))</f>
        <v/>
      </c>
      <c r="DJ129" s="245" t="str">
        <f>IF('Report History'!PR29=0,"",IFERROR('Report History'!PR29,""))</f>
        <v/>
      </c>
      <c r="DK129" s="246" t="str">
        <f>IF('Report History'!PS29=0,"",IFERROR('Report History'!PS29,""))</f>
        <v/>
      </c>
      <c r="DL129" s="244" t="str">
        <f>IF('Report History'!PT29=0,"",IFERROR('Report History'!PT29,""))</f>
        <v/>
      </c>
      <c r="DM129" s="245" t="str">
        <f>IF('Report History'!PU29=0,"",IFERROR('Report History'!PU29,""))</f>
        <v/>
      </c>
      <c r="DN129" s="245" t="str">
        <f>IF('Report History'!PV29=0,"",IFERROR('Report History'!PV29,""))</f>
        <v/>
      </c>
      <c r="DO129" s="245" t="str">
        <f>IF('Report History'!PW29=0,"",IFERROR('Report History'!PW29,""))</f>
        <v/>
      </c>
      <c r="DP129" s="246" t="str">
        <f>IF('Report History'!PX29=0,"",IFERROR('Report History'!PX29,""))</f>
        <v/>
      </c>
      <c r="DQ129" s="244" t="str">
        <f>IF('Report History'!PY29=0,"",IFERROR('Report History'!PY29,""))</f>
        <v/>
      </c>
      <c r="DR129" s="245" t="str">
        <f>IF('Report History'!PZ29=0,"",IFERROR('Report History'!PZ29,""))</f>
        <v/>
      </c>
      <c r="DS129" s="245" t="str">
        <f>IF('Report History'!QA29=0,"",IFERROR('Report History'!QA29,""))</f>
        <v/>
      </c>
      <c r="DT129" s="245" t="str">
        <f>IF('Report History'!QB29=0,"",IFERROR('Report History'!QB29,""))</f>
        <v/>
      </c>
      <c r="DU129" s="246" t="str">
        <f>IF('Report History'!QC29=0,"",IFERROR('Report History'!QC29,""))</f>
        <v/>
      </c>
      <c r="DV129" s="244" t="str">
        <f>IF('Report History'!QD29=0,"",IFERROR('Report History'!QD29,""))</f>
        <v/>
      </c>
      <c r="DW129" s="245" t="str">
        <f>IF('Report History'!QE29=0,"",IFERROR('Report History'!QE29,""))</f>
        <v/>
      </c>
      <c r="DX129" s="245" t="str">
        <f>IF('Report History'!QF29=0,"",IFERROR('Report History'!QF29,""))</f>
        <v/>
      </c>
      <c r="DY129" s="245" t="str">
        <f>IF('Report History'!QG29=0,"",IFERROR('Report History'!QG29,""))</f>
        <v/>
      </c>
      <c r="DZ129" s="246" t="str">
        <f>IF('Report History'!QH29=0,"",IFERROR('Report History'!QH29,""))</f>
        <v/>
      </c>
      <c r="EA129" s="244" t="str">
        <f>IF('Report History'!QI29=0,"",IFERROR('Report History'!QI29,""))</f>
        <v/>
      </c>
      <c r="EB129" s="245" t="str">
        <f>IF('Report History'!QJ29=0,"",IFERROR('Report History'!QJ29,""))</f>
        <v/>
      </c>
      <c r="EC129" s="245" t="str">
        <f>IF('Report History'!QK29=0,"",IFERROR('Report History'!QK29,""))</f>
        <v/>
      </c>
      <c r="ED129" s="245" t="str">
        <f>IF('Report History'!QL29=0,"",IFERROR('Report History'!QL29,""))</f>
        <v/>
      </c>
      <c r="EE129" s="246" t="str">
        <f>IF('Report History'!QM29=0,"",IFERROR('Report History'!QM29,""))</f>
        <v/>
      </c>
      <c r="EF129" s="244" t="str">
        <f>IF('Report History'!QN29=0,"",IFERROR('Report History'!QN29,""))</f>
        <v/>
      </c>
      <c r="EG129" s="245" t="str">
        <f>IF('Report History'!QO29=0,"",IFERROR('Report History'!QO29,""))</f>
        <v/>
      </c>
      <c r="EH129" s="245" t="str">
        <f>IF('Report History'!QP29=0,"",IFERROR('Report History'!QP29,""))</f>
        <v/>
      </c>
      <c r="EI129" s="245" t="str">
        <f>IF('Report History'!QQ29=0,"",IFERROR('Report History'!QQ29,""))</f>
        <v/>
      </c>
      <c r="EJ129" s="246" t="str">
        <f>IF('Report History'!QR29=0,"",IFERROR('Report History'!QR29,""))</f>
        <v/>
      </c>
      <c r="EK129" s="244" t="str">
        <f>IF('Report History'!QS29=0,"",IFERROR('Report History'!QS29,""))</f>
        <v/>
      </c>
      <c r="EL129" s="245" t="str">
        <f>IF('Report History'!QT29=0,"",IFERROR('Report History'!QT29,""))</f>
        <v/>
      </c>
      <c r="EM129" s="245" t="str">
        <f>IF('Report History'!QU29=0,"",IFERROR('Report History'!QU29,""))</f>
        <v/>
      </c>
      <c r="EN129" s="245" t="str">
        <f>IF('Report History'!QV29=0,"",IFERROR('Report History'!QV29,""))</f>
        <v/>
      </c>
      <c r="EO129" s="246" t="str">
        <f>IF('Report History'!QW29=0,"",IFERROR('Report History'!QW29,""))</f>
        <v/>
      </c>
      <c r="EP129" s="244" t="str">
        <f>IF('Report History'!QX29=0,"",IFERROR('Report History'!QX29,""))</f>
        <v/>
      </c>
      <c r="EQ129" s="245" t="str">
        <f>IF('Report History'!QY29=0,"",IFERROR('Report History'!QY29,""))</f>
        <v/>
      </c>
      <c r="ER129" s="245" t="str">
        <f>IF('Report History'!QZ29=0,"",IFERROR('Report History'!QZ29,""))</f>
        <v/>
      </c>
      <c r="ES129" s="245" t="str">
        <f>IF('Report History'!RA29=0,"",IFERROR('Report History'!RA29,""))</f>
        <v/>
      </c>
      <c r="ET129" s="246" t="str">
        <f>IF('Report History'!RB29=0,"",IFERROR('Report History'!RB29,""))</f>
        <v/>
      </c>
      <c r="EU129" s="244" t="str">
        <f>IF('Report History'!RC29=0,"",IFERROR('Report History'!RC29,""))</f>
        <v/>
      </c>
      <c r="EV129" s="245" t="str">
        <f>IF('Report History'!RD29=0,"",IFERROR('Report History'!RD29,""))</f>
        <v/>
      </c>
      <c r="EW129" s="245" t="str">
        <f>IF('Report History'!RE29=0,"",IFERROR('Report History'!RE29,""))</f>
        <v/>
      </c>
      <c r="EX129" s="245" t="str">
        <f>IF('Report History'!RF29=0,"",IFERROR('Report History'!RF29,""))</f>
        <v/>
      </c>
      <c r="EY129" s="246" t="str">
        <f>IF('Report History'!RG29=0,"",IFERROR('Report History'!RG29,""))</f>
        <v/>
      </c>
      <c r="EZ129" s="244" t="str">
        <f>IF('Report History'!RH29=0,"",IFERROR('Report History'!RH29,""))</f>
        <v/>
      </c>
      <c r="FA129" s="245" t="str">
        <f>IF('Report History'!RI29=0,"",IFERROR('Report History'!RI29,""))</f>
        <v/>
      </c>
      <c r="FB129" s="245" t="str">
        <f>IF('Report History'!RJ29=0,"",IFERROR('Report History'!RJ29,""))</f>
        <v/>
      </c>
      <c r="FC129" s="245" t="str">
        <f>IF('Report History'!RK29=0,"",IFERROR('Report History'!RK29,""))</f>
        <v/>
      </c>
      <c r="FD129" s="246" t="str">
        <f>IF('Report History'!RL29=0,"",IFERROR('Report History'!RL29,""))</f>
        <v/>
      </c>
      <c r="FE129" s="244" t="str">
        <f>IF('Report History'!RM29=0,"",IFERROR('Report History'!RM29,""))</f>
        <v/>
      </c>
      <c r="FF129" s="245" t="str">
        <f>IF('Report History'!RN29=0,"",IFERROR('Report History'!RN29,""))</f>
        <v/>
      </c>
      <c r="FG129" s="245" t="str">
        <f>IF('Report History'!RO29=0,"",IFERROR('Report History'!RO29,""))</f>
        <v/>
      </c>
      <c r="FH129" s="245" t="str">
        <f>IF('Report History'!RP29=0,"",IFERROR('Report History'!RP29,""))</f>
        <v/>
      </c>
      <c r="FI129" s="246" t="str">
        <f>IF('Report History'!RQ29=0,"",IFERROR('Report History'!RQ29,""))</f>
        <v/>
      </c>
      <c r="FJ129" s="244" t="str">
        <f>IF('Report History'!RR29=0,"",IFERROR('Report History'!RR29,""))</f>
        <v/>
      </c>
      <c r="FK129" s="245" t="str">
        <f>IF('Report History'!RS29=0,"",IFERROR('Report History'!RS29,""))</f>
        <v/>
      </c>
      <c r="FL129" s="245" t="str">
        <f>IF('Report History'!RT29=0,"",IFERROR('Report History'!RT29,""))</f>
        <v/>
      </c>
      <c r="FM129" s="245" t="str">
        <f>IF('Report History'!RU29=0,"",IFERROR('Report History'!RU29,""))</f>
        <v/>
      </c>
      <c r="FN129" s="246" t="str">
        <f>IF('Report History'!RV29=0,"",IFERROR('Report History'!RV29,""))</f>
        <v/>
      </c>
      <c r="FO129" s="244" t="str">
        <f>IF('Report History'!RW29=0,"",IFERROR('Report History'!RW29,""))</f>
        <v/>
      </c>
      <c r="FP129" s="245" t="str">
        <f>IF('Report History'!RX29=0,"",IFERROR('Report History'!RX29,""))</f>
        <v/>
      </c>
      <c r="FQ129" s="245" t="str">
        <f>IF('Report History'!RY29=0,"",IFERROR('Report History'!RY29,""))</f>
        <v/>
      </c>
      <c r="FR129" s="245" t="str">
        <f>IF('Report History'!RZ29=0,"",IFERROR('Report History'!RZ29,""))</f>
        <v/>
      </c>
      <c r="FS129" s="246" t="str">
        <f>IF('Report History'!SA29=0,"",IFERROR('Report History'!SA29,""))</f>
        <v/>
      </c>
      <c r="FT129" s="244" t="str">
        <f>IF('Report History'!SB29=0,"",IFERROR('Report History'!SB29,""))</f>
        <v/>
      </c>
      <c r="FU129" s="245" t="str">
        <f>IF('Report History'!SC29=0,"",IFERROR('Report History'!SC29,""))</f>
        <v/>
      </c>
      <c r="FV129" s="245" t="str">
        <f>IF('Report History'!SD29=0,"",IFERROR('Report History'!SD29,""))</f>
        <v/>
      </c>
      <c r="FW129" s="245" t="str">
        <f>IF('Report History'!SE29=0,"",IFERROR('Report History'!SE29,""))</f>
        <v/>
      </c>
      <c r="FX129" s="246" t="str">
        <f>IF('Report History'!SF29=0,"",IFERROR('Report History'!SF29,""))</f>
        <v/>
      </c>
      <c r="FY129" s="244" t="str">
        <f>IF('Report History'!SG29=0,"",IFERROR('Report History'!SG29,""))</f>
        <v/>
      </c>
      <c r="FZ129" s="245" t="str">
        <f>IF('Report History'!SH29=0,"",IFERROR('Report History'!SH29,""))</f>
        <v/>
      </c>
      <c r="GA129" s="245" t="str">
        <f>IF('Report History'!SI29=0,"",IFERROR('Report History'!SI29,""))</f>
        <v/>
      </c>
      <c r="GB129" s="245" t="str">
        <f>IF('Report History'!SJ29=0,"",IFERROR('Report History'!SJ29,""))</f>
        <v/>
      </c>
      <c r="GC129" s="246" t="str">
        <f>IF('Report History'!SK29=0,"",IFERROR('Report History'!SK29,""))</f>
        <v/>
      </c>
      <c r="GD129" s="244" t="str">
        <f>IF('Report History'!SL29=0,"",IFERROR('Report History'!SL29,""))</f>
        <v/>
      </c>
      <c r="GE129" s="245" t="str">
        <f>IF('Report History'!SM29=0,"",IFERROR('Report History'!SM29,""))</f>
        <v/>
      </c>
      <c r="GF129" s="245" t="str">
        <f>IF('Report History'!SN29=0,"",IFERROR('Report History'!SN29,""))</f>
        <v/>
      </c>
      <c r="GG129" s="245" t="str">
        <f>IF('Report History'!SO29=0,"",IFERROR('Report History'!SO29,""))</f>
        <v/>
      </c>
      <c r="GH129" s="246" t="str">
        <f>IF('Report History'!SP29=0,"",IFERROR('Report History'!SP29,""))</f>
        <v/>
      </c>
      <c r="GI129" s="244" t="str">
        <f>IF('Report History'!SQ29=0,"",IFERROR('Report History'!SQ29,""))</f>
        <v/>
      </c>
      <c r="GJ129" s="245" t="str">
        <f>IF('Report History'!SR29=0,"",IFERROR('Report History'!SR29,""))</f>
        <v/>
      </c>
      <c r="GK129" s="245" t="str">
        <f>IF('Report History'!SS29=0,"",IFERROR('Report History'!SS29,""))</f>
        <v/>
      </c>
      <c r="GL129" s="245" t="str">
        <f>IF('Report History'!ST29=0,"",IFERROR('Report History'!ST29,""))</f>
        <v/>
      </c>
      <c r="GM129" s="246" t="str">
        <f>IF('Report History'!SU29=0,"",IFERROR('Report History'!SU29,""))</f>
        <v/>
      </c>
      <c r="GN129" s="244" t="str">
        <f>IF('Report History'!SV29=0,"",IFERROR('Report History'!SV29,""))</f>
        <v/>
      </c>
      <c r="GO129" s="245" t="str">
        <f>IF('Report History'!SW29=0,"",IFERROR('Report History'!SW29,""))</f>
        <v/>
      </c>
      <c r="GP129" s="245" t="str">
        <f>IF('Report History'!SX29=0,"",IFERROR('Report History'!SX29,""))</f>
        <v/>
      </c>
      <c r="GQ129" s="245" t="str">
        <f>IF('Report History'!SY29=0,"",IFERROR('Report History'!SY29,""))</f>
        <v/>
      </c>
      <c r="GR129" s="246" t="str">
        <f>IF('Report History'!SZ29=0,"",IFERROR('Report History'!SZ29,""))</f>
        <v/>
      </c>
      <c r="GS129" s="244" t="str">
        <f>IF('Report History'!TA29=0,"",IFERROR('Report History'!TA29,""))</f>
        <v/>
      </c>
      <c r="GT129" s="245" t="str">
        <f>IF('Report History'!TB29=0,"",IFERROR('Report History'!TB29,""))</f>
        <v/>
      </c>
      <c r="GU129" s="245" t="str">
        <f>IF('Report History'!TC29=0,"",IFERROR('Report History'!TC29,""))</f>
        <v/>
      </c>
      <c r="GV129" s="245" t="str">
        <f>IF('Report History'!TD29=0,"",IFERROR('Report History'!TD29,""))</f>
        <v/>
      </c>
      <c r="GW129" s="246" t="str">
        <f>IF('Report History'!TE29=0,"",IFERROR('Report History'!TE29,""))</f>
        <v/>
      </c>
      <c r="GX129" s="244" t="str">
        <f>IF('Report History'!TF29=0,"",IFERROR('Report History'!TF29,""))</f>
        <v/>
      </c>
      <c r="GY129" s="245" t="str">
        <f>IF('Report History'!TG29=0,"",IFERROR('Report History'!TG29,""))</f>
        <v/>
      </c>
      <c r="GZ129" s="245" t="str">
        <f>IF('Report History'!TH29=0,"",IFERROR('Report History'!TH29,""))</f>
        <v/>
      </c>
      <c r="HA129" s="245" t="str">
        <f>IF('Report History'!TI29=0,"",IFERROR('Report History'!TI29,""))</f>
        <v/>
      </c>
      <c r="HB129" s="246" t="str">
        <f>IF('Report History'!TJ29=0,"",IFERROR('Report History'!TJ29,""))</f>
        <v/>
      </c>
      <c r="HC129" s="244" t="str">
        <f>IF('Report History'!TK29=0,"",IFERROR('Report History'!TK29,""))</f>
        <v/>
      </c>
      <c r="HD129" s="245" t="str">
        <f>IF('Report History'!TL29=0,"",IFERROR('Report History'!TL29,""))</f>
        <v/>
      </c>
      <c r="HE129" s="245" t="str">
        <f>IF('Report History'!TM29=0,"",IFERROR('Report History'!TM29,""))</f>
        <v/>
      </c>
      <c r="HF129" s="245" t="str">
        <f>IF('Report History'!TN29=0,"",IFERROR('Report History'!TN29,""))</f>
        <v/>
      </c>
      <c r="HG129" s="246" t="str">
        <f>IF('Report History'!TO29=0,"",IFERROR('Report History'!TO29,""))</f>
        <v/>
      </c>
      <c r="HH129" s="244" t="str">
        <f>IF('Report History'!TP29=0,"",IFERROR('Report History'!TP29,""))</f>
        <v/>
      </c>
      <c r="HI129" s="245" t="str">
        <f>IF('Report History'!TQ29=0,"",IFERROR('Report History'!TQ29,""))</f>
        <v/>
      </c>
      <c r="HJ129" s="245" t="str">
        <f>IF('Report History'!TR29=0,"",IFERROR('Report History'!TR29,""))</f>
        <v/>
      </c>
      <c r="HK129" s="245" t="str">
        <f>IF('Report History'!TS29=0,"",IFERROR('Report History'!TS29,""))</f>
        <v/>
      </c>
      <c r="HL129" s="246" t="str">
        <f>IF('Report History'!TT29=0,"",IFERROR('Report History'!TT29,""))</f>
        <v/>
      </c>
      <c r="HM129" s="244" t="str">
        <f>IF('Report History'!TU29=0,"",IFERROR('Report History'!TU29,""))</f>
        <v/>
      </c>
      <c r="HN129" s="245" t="str">
        <f>IF('Report History'!TV29=0,"",IFERROR('Report History'!TV29,""))</f>
        <v/>
      </c>
      <c r="HO129" s="245" t="str">
        <f>IF('Report History'!TW29=0,"",IFERROR('Report History'!TW29,""))</f>
        <v/>
      </c>
      <c r="HP129" s="245" t="str">
        <f>IF('Report History'!TX29=0,"",IFERROR('Report History'!TX29,""))</f>
        <v/>
      </c>
      <c r="HQ129" s="246" t="str">
        <f>IF('Report History'!TY29=0,"",IFERROR('Report History'!TY29,""))</f>
        <v/>
      </c>
      <c r="HR129" s="244" t="str">
        <f>IF('Report History'!TZ29=0,"",IFERROR('Report History'!TZ29,""))</f>
        <v/>
      </c>
      <c r="HS129" s="245" t="str">
        <f>IF('Report History'!UA29=0,"",IFERROR('Report History'!UA29,""))</f>
        <v/>
      </c>
      <c r="HT129" s="245" t="str">
        <f>IF('Report History'!UB29=0,"",IFERROR('Report History'!UB29,""))</f>
        <v/>
      </c>
      <c r="HU129" s="245" t="str">
        <f>IF('Report History'!UC29=0,"",IFERROR('Report History'!UC29,""))</f>
        <v/>
      </c>
      <c r="HV129" s="246" t="str">
        <f>IF('Report History'!UD29=0,"",IFERROR('Report History'!UD29,""))</f>
        <v/>
      </c>
      <c r="HW129" s="244" t="str">
        <f>IF('Report History'!UE29=0,"",IFERROR('Report History'!UE29,""))</f>
        <v/>
      </c>
      <c r="HX129" s="245" t="str">
        <f>IF('Report History'!UF29=0,"",IFERROR('Report History'!UF29,""))</f>
        <v/>
      </c>
      <c r="HY129" s="245" t="str">
        <f>IF('Report History'!UG29=0,"",IFERROR('Report History'!UG29,""))</f>
        <v/>
      </c>
      <c r="HZ129" s="245" t="str">
        <f>IF('Report History'!UH29=0,"",IFERROR('Report History'!UH29,""))</f>
        <v/>
      </c>
      <c r="IA129" s="246" t="str">
        <f>IF('Report History'!UI29=0,"",IFERROR('Report History'!UI29,""))</f>
        <v/>
      </c>
      <c r="IB129" s="244" t="str">
        <f>IF('Report History'!UJ29=0,"",IFERROR('Report History'!UJ29,""))</f>
        <v/>
      </c>
      <c r="IC129" s="245" t="str">
        <f>IF('Report History'!UK29=0,"",IFERROR('Report History'!UK29,""))</f>
        <v/>
      </c>
      <c r="ID129" s="245" t="str">
        <f>IF('Report History'!UL29=0,"",IFERROR('Report History'!UL29,""))</f>
        <v/>
      </c>
      <c r="IE129" s="245" t="str">
        <f>IF('Report History'!UM29=0,"",IFERROR('Report History'!UM29,""))</f>
        <v/>
      </c>
      <c r="IF129" s="246" t="str">
        <f>IF('Report History'!UN29=0,"",IFERROR('Report History'!UN29,""))</f>
        <v/>
      </c>
      <c r="IG129" s="244" t="str">
        <f>IF('Report History'!UO29=0,"",IFERROR('Report History'!UO29,""))</f>
        <v/>
      </c>
      <c r="IH129" s="245" t="str">
        <f>IF('Report History'!UP29=0,"",IFERROR('Report History'!UP29,""))</f>
        <v/>
      </c>
      <c r="II129" s="245" t="str">
        <f>IF('Report History'!UQ29=0,"",IFERROR('Report History'!UQ29,""))</f>
        <v/>
      </c>
      <c r="IJ129" s="245" t="str">
        <f>IF('Report History'!UR29=0,"",IFERROR('Report History'!UR29,""))</f>
        <v/>
      </c>
      <c r="IK129" s="246" t="str">
        <f>IF('Report History'!US29=0,"",IFERROR('Report History'!US29,""))</f>
        <v/>
      </c>
      <c r="IL129" s="244" t="str">
        <f>IF('Report History'!UT29=0,"",IFERROR('Report History'!UT29,""))</f>
        <v/>
      </c>
      <c r="IM129" s="245" t="str">
        <f>IF('Report History'!UU29=0,"",IFERROR('Report History'!UU29,""))</f>
        <v/>
      </c>
      <c r="IN129" s="245" t="str">
        <f>IF('Report History'!UV29=0,"",IFERROR('Report History'!UV29,""))</f>
        <v/>
      </c>
      <c r="IO129" s="245" t="str">
        <f>IF('Report History'!UW29=0,"",IFERROR('Report History'!UW29,""))</f>
        <v/>
      </c>
      <c r="IP129" s="246" t="str">
        <f>IF('Report History'!UX29=0,"",IFERROR('Report History'!UX29,""))</f>
        <v/>
      </c>
    </row>
    <row r="130" spans="1:250" ht="17.399999999999999" x14ac:dyDescent="0.25">
      <c r="A130" s="136"/>
      <c r="B130" s="263"/>
      <c r="C130" s="263"/>
      <c r="D130" s="137"/>
    </row>
  </sheetData>
  <sheetProtection algorithmName="SHA-512" hashValue="uewPQGqzMFKjLw6LI0EJMWUz8MdFBb6IV+oza+FN1Zj1jY2WT7V8NB78aP3h3tgloQBizi0SDTFiQljxu4LFzw==" saltValue="whoVmQMNUFKzzatxYrfaHw==" spinCount="100000" sheet="1" objects="1" scenarios="1"/>
  <mergeCells count="2143">
    <mergeCell ref="GS128:GW129"/>
    <mergeCell ref="GX128:HB129"/>
    <mergeCell ref="HC128:HG129"/>
    <mergeCell ref="EZ128:FD129"/>
    <mergeCell ref="FE128:FI129"/>
    <mergeCell ref="FJ128:FN129"/>
    <mergeCell ref="FO128:FS129"/>
    <mergeCell ref="FT128:FX129"/>
    <mergeCell ref="FY128:GC129"/>
    <mergeCell ref="HW127:IA127"/>
    <mergeCell ref="IB127:IF127"/>
    <mergeCell ref="IG127:IK127"/>
    <mergeCell ref="IL127:IP127"/>
    <mergeCell ref="DV128:DZ129"/>
    <mergeCell ref="EA128:EE129"/>
    <mergeCell ref="EF128:EJ129"/>
    <mergeCell ref="EK128:EO129"/>
    <mergeCell ref="EP128:ET129"/>
    <mergeCell ref="EU128:EY129"/>
    <mergeCell ref="GS127:GW127"/>
    <mergeCell ref="GX127:HB127"/>
    <mergeCell ref="HC127:HG127"/>
    <mergeCell ref="HH127:HL127"/>
    <mergeCell ref="HM127:HQ127"/>
    <mergeCell ref="HR127:HV127"/>
    <mergeCell ref="FO127:FS127"/>
    <mergeCell ref="FT127:FX127"/>
    <mergeCell ref="FY127:GC127"/>
    <mergeCell ref="GD127:GH127"/>
    <mergeCell ref="GI127:GM127"/>
    <mergeCell ref="GN127:GR127"/>
    <mergeCell ref="IL128:IP129"/>
    <mergeCell ref="HH128:HL129"/>
    <mergeCell ref="HM128:HQ129"/>
    <mergeCell ref="HR128:HV129"/>
    <mergeCell ref="HW128:IA129"/>
    <mergeCell ref="IB128:IF129"/>
    <mergeCell ref="IG128:IK129"/>
    <mergeCell ref="GD128:GH129"/>
    <mergeCell ref="GI128:GM129"/>
    <mergeCell ref="GN128:GR129"/>
    <mergeCell ref="IO126:IP126"/>
    <mergeCell ref="DV127:DZ127"/>
    <mergeCell ref="EA127:EE127"/>
    <mergeCell ref="EF127:EJ127"/>
    <mergeCell ref="EK127:EO127"/>
    <mergeCell ref="EP127:ET127"/>
    <mergeCell ref="EU127:EY127"/>
    <mergeCell ref="EZ127:FD127"/>
    <mergeCell ref="FE127:FI127"/>
    <mergeCell ref="FJ127:FN127"/>
    <mergeCell ref="HK126:HL126"/>
    <mergeCell ref="HP126:HQ126"/>
    <mergeCell ref="HU126:HV126"/>
    <mergeCell ref="HZ126:IA126"/>
    <mergeCell ref="IE126:IF126"/>
    <mergeCell ref="IJ126:IK126"/>
    <mergeCell ref="GG126:GH126"/>
    <mergeCell ref="GL126:GM126"/>
    <mergeCell ref="GQ126:GR126"/>
    <mergeCell ref="GV126:GW126"/>
    <mergeCell ref="HA126:HB126"/>
    <mergeCell ref="HF126:HG126"/>
    <mergeCell ref="FC126:FD126"/>
    <mergeCell ref="IB125:ID125"/>
    <mergeCell ref="IE125:IF125"/>
    <mergeCell ref="IG125:II125"/>
    <mergeCell ref="IJ125:IK125"/>
    <mergeCell ref="IL125:IN125"/>
    <mergeCell ref="IO125:IP125"/>
    <mergeCell ref="HM125:HO125"/>
    <mergeCell ref="HP125:HQ125"/>
    <mergeCell ref="HR125:HT125"/>
    <mergeCell ref="HU125:HV125"/>
    <mergeCell ref="HW125:HY125"/>
    <mergeCell ref="HZ125:IA125"/>
    <mergeCell ref="GX125:GZ125"/>
    <mergeCell ref="HA125:HB125"/>
    <mergeCell ref="HC125:HE125"/>
    <mergeCell ref="HF125:HG125"/>
    <mergeCell ref="HH125:HJ125"/>
    <mergeCell ref="HK125:HL125"/>
    <mergeCell ref="EP125:ER125"/>
    <mergeCell ref="ES125:ET125"/>
    <mergeCell ref="EU125:EW125"/>
    <mergeCell ref="EX125:EY125"/>
    <mergeCell ref="EZ125:FB125"/>
    <mergeCell ref="FC125:FD125"/>
    <mergeCell ref="FH126:FI126"/>
    <mergeCell ref="FM126:FN126"/>
    <mergeCell ref="FR126:FS126"/>
    <mergeCell ref="FW126:FX126"/>
    <mergeCell ref="GB126:GC126"/>
    <mergeCell ref="DY126:DZ126"/>
    <mergeCell ref="ED126:EE126"/>
    <mergeCell ref="EI126:EJ126"/>
    <mergeCell ref="EN126:EO126"/>
    <mergeCell ref="ES126:ET126"/>
    <mergeCell ref="EX126:EY126"/>
    <mergeCell ref="FH124:FI124"/>
    <mergeCell ref="FM124:FN124"/>
    <mergeCell ref="FR124:FS124"/>
    <mergeCell ref="FW124:FX124"/>
    <mergeCell ref="GQ125:GR125"/>
    <mergeCell ref="GS125:GU125"/>
    <mergeCell ref="GV125:GW125"/>
    <mergeCell ref="FT125:FV125"/>
    <mergeCell ref="FW125:FX125"/>
    <mergeCell ref="FY125:GA125"/>
    <mergeCell ref="GB125:GC125"/>
    <mergeCell ref="GD125:GF125"/>
    <mergeCell ref="GG125:GH125"/>
    <mergeCell ref="FE125:FG125"/>
    <mergeCell ref="FH125:FI125"/>
    <mergeCell ref="FJ125:FL125"/>
    <mergeCell ref="FM125:FN125"/>
    <mergeCell ref="FO125:FQ125"/>
    <mergeCell ref="FR125:FS125"/>
    <mergeCell ref="GI125:GK125"/>
    <mergeCell ref="GL125:GM125"/>
    <mergeCell ref="GN125:GP125"/>
    <mergeCell ref="DY123:DZ123"/>
    <mergeCell ref="ED123:EE123"/>
    <mergeCell ref="EI123:EJ123"/>
    <mergeCell ref="EN123:EO123"/>
    <mergeCell ref="ES123:ET123"/>
    <mergeCell ref="EX123:EY123"/>
    <mergeCell ref="FC123:FD123"/>
    <mergeCell ref="FH123:FI123"/>
    <mergeCell ref="IJ124:IK124"/>
    <mergeCell ref="IO124:IP124"/>
    <mergeCell ref="DV125:DX125"/>
    <mergeCell ref="DY125:DZ125"/>
    <mergeCell ref="EA125:EC125"/>
    <mergeCell ref="ED125:EE125"/>
    <mergeCell ref="EF125:EH125"/>
    <mergeCell ref="EI125:EJ125"/>
    <mergeCell ref="EK125:EM125"/>
    <mergeCell ref="EN125:EO125"/>
    <mergeCell ref="HF124:HG124"/>
    <mergeCell ref="HK124:HL124"/>
    <mergeCell ref="HP124:HQ124"/>
    <mergeCell ref="HU124:HV124"/>
    <mergeCell ref="HZ124:IA124"/>
    <mergeCell ref="IE124:IF124"/>
    <mergeCell ref="GB124:GC124"/>
    <mergeCell ref="GG124:GH124"/>
    <mergeCell ref="GL124:GM124"/>
    <mergeCell ref="GQ124:GR124"/>
    <mergeCell ref="GV124:GW124"/>
    <mergeCell ref="HA124:HB124"/>
    <mergeCell ref="EX124:EY124"/>
    <mergeCell ref="FC124:FD124"/>
    <mergeCell ref="GL122:GM122"/>
    <mergeCell ref="GQ122:GR122"/>
    <mergeCell ref="GV122:GW122"/>
    <mergeCell ref="HA122:HB122"/>
    <mergeCell ref="EX122:EY122"/>
    <mergeCell ref="FC122:FD122"/>
    <mergeCell ref="FH122:FI122"/>
    <mergeCell ref="FM122:FN122"/>
    <mergeCell ref="FR122:FS122"/>
    <mergeCell ref="FW122:FX122"/>
    <mergeCell ref="HU123:HV123"/>
    <mergeCell ref="HZ123:IA123"/>
    <mergeCell ref="IE123:IF123"/>
    <mergeCell ref="IJ123:IK123"/>
    <mergeCell ref="IO123:IP123"/>
    <mergeCell ref="DY124:DZ124"/>
    <mergeCell ref="ED124:EE124"/>
    <mergeCell ref="EI124:EJ124"/>
    <mergeCell ref="EN124:EO124"/>
    <mergeCell ref="ES124:ET124"/>
    <mergeCell ref="GQ123:GR123"/>
    <mergeCell ref="GV123:GW123"/>
    <mergeCell ref="HA123:HB123"/>
    <mergeCell ref="HF123:HG123"/>
    <mergeCell ref="HK123:HL123"/>
    <mergeCell ref="HP123:HQ123"/>
    <mergeCell ref="FM123:FN123"/>
    <mergeCell ref="FR123:FS123"/>
    <mergeCell ref="FW123:FX123"/>
    <mergeCell ref="GB123:GC123"/>
    <mergeCell ref="GG123:GH123"/>
    <mergeCell ref="GL123:GM123"/>
    <mergeCell ref="HU121:HV121"/>
    <mergeCell ref="HZ121:IA121"/>
    <mergeCell ref="IE121:IF121"/>
    <mergeCell ref="IJ121:IK121"/>
    <mergeCell ref="IO121:IP121"/>
    <mergeCell ref="DY122:DZ122"/>
    <mergeCell ref="ED122:EE122"/>
    <mergeCell ref="EI122:EJ122"/>
    <mergeCell ref="EN122:EO122"/>
    <mergeCell ref="ES122:ET122"/>
    <mergeCell ref="GQ121:GR121"/>
    <mergeCell ref="GV121:GW121"/>
    <mergeCell ref="HA121:HB121"/>
    <mergeCell ref="HF121:HG121"/>
    <mergeCell ref="HK121:HL121"/>
    <mergeCell ref="HP121:HQ121"/>
    <mergeCell ref="FM121:FN121"/>
    <mergeCell ref="FR121:FS121"/>
    <mergeCell ref="FW121:FX121"/>
    <mergeCell ref="GB121:GC121"/>
    <mergeCell ref="GG121:GH121"/>
    <mergeCell ref="GL121:GM121"/>
    <mergeCell ref="IJ122:IK122"/>
    <mergeCell ref="IO122:IP122"/>
    <mergeCell ref="HF122:HG122"/>
    <mergeCell ref="HK122:HL122"/>
    <mergeCell ref="HP122:HQ122"/>
    <mergeCell ref="HU122:HV122"/>
    <mergeCell ref="HZ122:IA122"/>
    <mergeCell ref="IE122:IF122"/>
    <mergeCell ref="GB122:GC122"/>
    <mergeCell ref="GG122:GH122"/>
    <mergeCell ref="IL120:IM120"/>
    <mergeCell ref="IN120:IP120"/>
    <mergeCell ref="DY121:DZ121"/>
    <mergeCell ref="ED121:EE121"/>
    <mergeCell ref="EI121:EJ121"/>
    <mergeCell ref="EN121:EO121"/>
    <mergeCell ref="ES121:ET121"/>
    <mergeCell ref="EX121:EY121"/>
    <mergeCell ref="FC121:FD121"/>
    <mergeCell ref="FH121:FI121"/>
    <mergeCell ref="HW120:HX120"/>
    <mergeCell ref="HY120:IA120"/>
    <mergeCell ref="IB120:IC120"/>
    <mergeCell ref="ID120:IF120"/>
    <mergeCell ref="IG120:IH120"/>
    <mergeCell ref="II120:IK120"/>
    <mergeCell ref="HH120:HI120"/>
    <mergeCell ref="HJ120:HL120"/>
    <mergeCell ref="HM120:HN120"/>
    <mergeCell ref="HO120:HQ120"/>
    <mergeCell ref="HR120:HS120"/>
    <mergeCell ref="HT120:HV120"/>
    <mergeCell ref="GS120:GT120"/>
    <mergeCell ref="GU120:GW120"/>
    <mergeCell ref="GX120:GY120"/>
    <mergeCell ref="GZ120:HB120"/>
    <mergeCell ref="HC120:HD120"/>
    <mergeCell ref="HE120:HG120"/>
    <mergeCell ref="GD120:GE120"/>
    <mergeCell ref="GF120:GH120"/>
    <mergeCell ref="GI120:GJ120"/>
    <mergeCell ref="GK120:GM120"/>
    <mergeCell ref="GN120:GO120"/>
    <mergeCell ref="GP120:GR120"/>
    <mergeCell ref="FO120:FP120"/>
    <mergeCell ref="FQ120:FS120"/>
    <mergeCell ref="FT120:FU120"/>
    <mergeCell ref="FV120:FX120"/>
    <mergeCell ref="FY120:FZ120"/>
    <mergeCell ref="GA120:GC120"/>
    <mergeCell ref="EZ120:FA120"/>
    <mergeCell ref="FB120:FD120"/>
    <mergeCell ref="FE120:FF120"/>
    <mergeCell ref="FG120:FI120"/>
    <mergeCell ref="FJ120:FK120"/>
    <mergeCell ref="FL120:FN120"/>
    <mergeCell ref="EK120:EL120"/>
    <mergeCell ref="EM120:EO120"/>
    <mergeCell ref="EP120:EQ120"/>
    <mergeCell ref="ER120:ET120"/>
    <mergeCell ref="EU120:EV120"/>
    <mergeCell ref="EW120:EY120"/>
    <mergeCell ref="DV120:DW120"/>
    <mergeCell ref="DX120:DZ120"/>
    <mergeCell ref="EA120:EB120"/>
    <mergeCell ref="EC120:EE120"/>
    <mergeCell ref="EF120:EG120"/>
    <mergeCell ref="EH120:EJ120"/>
    <mergeCell ref="IB119:IC119"/>
    <mergeCell ref="ID119:IF119"/>
    <mergeCell ref="IG119:IH119"/>
    <mergeCell ref="II119:IK119"/>
    <mergeCell ref="IL119:IM119"/>
    <mergeCell ref="IN119:IP119"/>
    <mergeCell ref="HM119:HN119"/>
    <mergeCell ref="HO119:HQ119"/>
    <mergeCell ref="HR119:HS119"/>
    <mergeCell ref="HT119:HV119"/>
    <mergeCell ref="HW119:HX119"/>
    <mergeCell ref="HY119:IA119"/>
    <mergeCell ref="GX119:GY119"/>
    <mergeCell ref="GZ119:HB119"/>
    <mergeCell ref="HC119:HD119"/>
    <mergeCell ref="HE119:HG119"/>
    <mergeCell ref="HH119:HI119"/>
    <mergeCell ref="HJ119:HL119"/>
    <mergeCell ref="GI119:GJ119"/>
    <mergeCell ref="GK119:GM119"/>
    <mergeCell ref="GN119:GO119"/>
    <mergeCell ref="GP119:GR119"/>
    <mergeCell ref="GS119:GT119"/>
    <mergeCell ref="GU119:GW119"/>
    <mergeCell ref="FT119:FU119"/>
    <mergeCell ref="FV119:FX119"/>
    <mergeCell ref="FY119:FZ119"/>
    <mergeCell ref="GA119:GC119"/>
    <mergeCell ref="GD119:GE119"/>
    <mergeCell ref="GF119:GH119"/>
    <mergeCell ref="FE119:FF119"/>
    <mergeCell ref="FG119:FI119"/>
    <mergeCell ref="FJ119:FK119"/>
    <mergeCell ref="FL119:FN119"/>
    <mergeCell ref="FO119:FP119"/>
    <mergeCell ref="FQ119:FS119"/>
    <mergeCell ref="EP119:EQ119"/>
    <mergeCell ref="ER119:ET119"/>
    <mergeCell ref="EU119:EV119"/>
    <mergeCell ref="EW119:EY119"/>
    <mergeCell ref="EZ119:FA119"/>
    <mergeCell ref="FB119:FD119"/>
    <mergeCell ref="IL118:IM118"/>
    <mergeCell ref="GP118:GR118"/>
    <mergeCell ref="FO118:FP118"/>
    <mergeCell ref="FQ118:FS118"/>
    <mergeCell ref="FT118:FU118"/>
    <mergeCell ref="FV118:FX118"/>
    <mergeCell ref="FY118:FZ118"/>
    <mergeCell ref="GA118:GC118"/>
    <mergeCell ref="EZ118:FA118"/>
    <mergeCell ref="FB118:FD118"/>
    <mergeCell ref="FE118:FF118"/>
    <mergeCell ref="FG118:FI118"/>
    <mergeCell ref="FJ118:FK118"/>
    <mergeCell ref="FL118:FN118"/>
    <mergeCell ref="IN118:IP118"/>
    <mergeCell ref="DV119:DW119"/>
    <mergeCell ref="DX119:DZ119"/>
    <mergeCell ref="EA119:EB119"/>
    <mergeCell ref="EC119:EE119"/>
    <mergeCell ref="EF119:EG119"/>
    <mergeCell ref="EH119:EJ119"/>
    <mergeCell ref="EK119:EL119"/>
    <mergeCell ref="EM119:EO119"/>
    <mergeCell ref="HW118:HX118"/>
    <mergeCell ref="HY118:IA118"/>
    <mergeCell ref="IB118:IC118"/>
    <mergeCell ref="ID118:IF118"/>
    <mergeCell ref="IG118:IH118"/>
    <mergeCell ref="II118:IK118"/>
    <mergeCell ref="HH118:HI118"/>
    <mergeCell ref="HJ118:HL118"/>
    <mergeCell ref="HM118:HN118"/>
    <mergeCell ref="HO118:HQ118"/>
    <mergeCell ref="HR118:HS118"/>
    <mergeCell ref="HT118:HV118"/>
    <mergeCell ref="GS118:GT118"/>
    <mergeCell ref="GU118:GW118"/>
    <mergeCell ref="GX118:GY118"/>
    <mergeCell ref="GZ118:HB118"/>
    <mergeCell ref="HC118:HD118"/>
    <mergeCell ref="HE118:HG118"/>
    <mergeCell ref="GD118:GE118"/>
    <mergeCell ref="GF118:GH118"/>
    <mergeCell ref="GI118:GJ118"/>
    <mergeCell ref="GK118:GM118"/>
    <mergeCell ref="GN118:GO118"/>
    <mergeCell ref="EK118:EL118"/>
    <mergeCell ref="EM118:EO118"/>
    <mergeCell ref="EP118:EQ118"/>
    <mergeCell ref="ER118:ET118"/>
    <mergeCell ref="EU118:EV118"/>
    <mergeCell ref="EW118:EY118"/>
    <mergeCell ref="DV118:DW118"/>
    <mergeCell ref="DX118:DZ118"/>
    <mergeCell ref="EA118:EB118"/>
    <mergeCell ref="EC118:EE118"/>
    <mergeCell ref="EF118:EG118"/>
    <mergeCell ref="EH118:EJ118"/>
    <mergeCell ref="IB117:IC117"/>
    <mergeCell ref="ID117:IF117"/>
    <mergeCell ref="IG117:IH117"/>
    <mergeCell ref="II117:IK117"/>
    <mergeCell ref="IL117:IM117"/>
    <mergeCell ref="FT117:FU117"/>
    <mergeCell ref="FV117:FX117"/>
    <mergeCell ref="FY117:FZ117"/>
    <mergeCell ref="GA117:GC117"/>
    <mergeCell ref="GD117:GE117"/>
    <mergeCell ref="GF117:GH117"/>
    <mergeCell ref="FE117:FF117"/>
    <mergeCell ref="FG117:FI117"/>
    <mergeCell ref="FJ117:FK117"/>
    <mergeCell ref="FL117:FN117"/>
    <mergeCell ref="FO117:FP117"/>
    <mergeCell ref="FQ117:FS117"/>
    <mergeCell ref="EP117:EQ117"/>
    <mergeCell ref="ER117:ET117"/>
    <mergeCell ref="EU117:EV117"/>
    <mergeCell ref="IN117:IP117"/>
    <mergeCell ref="HM117:HN117"/>
    <mergeCell ref="HO117:HQ117"/>
    <mergeCell ref="HR117:HS117"/>
    <mergeCell ref="HT117:HV117"/>
    <mergeCell ref="HW117:HX117"/>
    <mergeCell ref="HY117:IA117"/>
    <mergeCell ref="GX117:GY117"/>
    <mergeCell ref="GZ117:HB117"/>
    <mergeCell ref="HC117:HD117"/>
    <mergeCell ref="HE117:HG117"/>
    <mergeCell ref="HH117:HI117"/>
    <mergeCell ref="HJ117:HL117"/>
    <mergeCell ref="GI117:GJ117"/>
    <mergeCell ref="GK117:GM117"/>
    <mergeCell ref="GN117:GO117"/>
    <mergeCell ref="GP117:GR117"/>
    <mergeCell ref="GS117:GT117"/>
    <mergeCell ref="GU117:GW117"/>
    <mergeCell ref="EW117:EY117"/>
    <mergeCell ref="EZ117:FA117"/>
    <mergeCell ref="FB117:FD117"/>
    <mergeCell ref="IL116:IM116"/>
    <mergeCell ref="IN116:IP116"/>
    <mergeCell ref="DV117:DW117"/>
    <mergeCell ref="DX117:DZ117"/>
    <mergeCell ref="EA117:EB117"/>
    <mergeCell ref="EC117:EE117"/>
    <mergeCell ref="EF117:EG117"/>
    <mergeCell ref="EH117:EJ117"/>
    <mergeCell ref="EK117:EL117"/>
    <mergeCell ref="EM117:EO117"/>
    <mergeCell ref="HW116:HX116"/>
    <mergeCell ref="HY116:IA116"/>
    <mergeCell ref="IB116:IC116"/>
    <mergeCell ref="ID116:IF116"/>
    <mergeCell ref="IG116:IH116"/>
    <mergeCell ref="II116:IK116"/>
    <mergeCell ref="HH116:HI116"/>
    <mergeCell ref="HJ116:HL116"/>
    <mergeCell ref="HM116:HN116"/>
    <mergeCell ref="HO116:HQ116"/>
    <mergeCell ref="HR116:HS116"/>
    <mergeCell ref="HT116:HV116"/>
    <mergeCell ref="GS116:GT116"/>
    <mergeCell ref="GU116:GW116"/>
    <mergeCell ref="GX116:GY116"/>
    <mergeCell ref="GZ116:HB116"/>
    <mergeCell ref="HC116:HD116"/>
    <mergeCell ref="HE116:HG116"/>
    <mergeCell ref="GD116:GE116"/>
    <mergeCell ref="GF116:GH116"/>
    <mergeCell ref="GI116:GJ116"/>
    <mergeCell ref="GK116:GM116"/>
    <mergeCell ref="GN116:GO116"/>
    <mergeCell ref="GP116:GR116"/>
    <mergeCell ref="FO116:FP116"/>
    <mergeCell ref="FQ116:FS116"/>
    <mergeCell ref="FT116:FU116"/>
    <mergeCell ref="FV116:FX116"/>
    <mergeCell ref="FY116:FZ116"/>
    <mergeCell ref="GA116:GC116"/>
    <mergeCell ref="EZ116:FA116"/>
    <mergeCell ref="FB116:FD116"/>
    <mergeCell ref="FE116:FF116"/>
    <mergeCell ref="FG116:FI116"/>
    <mergeCell ref="FJ116:FK116"/>
    <mergeCell ref="FL116:FN116"/>
    <mergeCell ref="EK116:EL116"/>
    <mergeCell ref="EM116:EO116"/>
    <mergeCell ref="EP116:EQ116"/>
    <mergeCell ref="ER116:ET116"/>
    <mergeCell ref="EU116:EV116"/>
    <mergeCell ref="EW116:EY116"/>
    <mergeCell ref="DV116:DW116"/>
    <mergeCell ref="DX116:DZ116"/>
    <mergeCell ref="EA116:EB116"/>
    <mergeCell ref="EC116:EE116"/>
    <mergeCell ref="EF116:EG116"/>
    <mergeCell ref="EH116:EJ116"/>
    <mergeCell ref="IB115:ID115"/>
    <mergeCell ref="IE115:IF115"/>
    <mergeCell ref="IG115:II115"/>
    <mergeCell ref="IJ115:IK115"/>
    <mergeCell ref="IL115:IN115"/>
    <mergeCell ref="FT115:FV115"/>
    <mergeCell ref="FW115:FX115"/>
    <mergeCell ref="FY115:GA115"/>
    <mergeCell ref="GB115:GC115"/>
    <mergeCell ref="GD115:GF115"/>
    <mergeCell ref="GG115:GH115"/>
    <mergeCell ref="FE115:FG115"/>
    <mergeCell ref="FH115:FI115"/>
    <mergeCell ref="FJ115:FL115"/>
    <mergeCell ref="FM115:FN115"/>
    <mergeCell ref="FO115:FQ115"/>
    <mergeCell ref="FR115:FS115"/>
    <mergeCell ref="EP115:ER115"/>
    <mergeCell ref="ES115:ET115"/>
    <mergeCell ref="EU115:EW115"/>
    <mergeCell ref="IO115:IP115"/>
    <mergeCell ref="HM115:HO115"/>
    <mergeCell ref="HP115:HQ115"/>
    <mergeCell ref="HR115:HT115"/>
    <mergeCell ref="HU115:HV115"/>
    <mergeCell ref="HW115:HY115"/>
    <mergeCell ref="HZ115:IA115"/>
    <mergeCell ref="GX115:GZ115"/>
    <mergeCell ref="HA115:HB115"/>
    <mergeCell ref="HC115:HE115"/>
    <mergeCell ref="HF115:HG115"/>
    <mergeCell ref="HH115:HJ115"/>
    <mergeCell ref="HK115:HL115"/>
    <mergeCell ref="GI115:GK115"/>
    <mergeCell ref="GL115:GM115"/>
    <mergeCell ref="GN115:GP115"/>
    <mergeCell ref="GQ115:GR115"/>
    <mergeCell ref="GS115:GU115"/>
    <mergeCell ref="GV115:GW115"/>
    <mergeCell ref="EX115:EY115"/>
    <mergeCell ref="EZ115:FB115"/>
    <mergeCell ref="FC115:FD115"/>
    <mergeCell ref="IL114:IM114"/>
    <mergeCell ref="IN114:IP114"/>
    <mergeCell ref="DV115:DX115"/>
    <mergeCell ref="DY115:DZ115"/>
    <mergeCell ref="EA115:EC115"/>
    <mergeCell ref="ED115:EE115"/>
    <mergeCell ref="EF115:EH115"/>
    <mergeCell ref="EI115:EJ115"/>
    <mergeCell ref="EK115:EM115"/>
    <mergeCell ref="EN115:EO115"/>
    <mergeCell ref="HW114:HX114"/>
    <mergeCell ref="HY114:IA114"/>
    <mergeCell ref="IB114:IC114"/>
    <mergeCell ref="ID114:IF114"/>
    <mergeCell ref="IG114:IH114"/>
    <mergeCell ref="II114:IK114"/>
    <mergeCell ref="HH114:HI114"/>
    <mergeCell ref="HJ114:HL114"/>
    <mergeCell ref="HM114:HN114"/>
    <mergeCell ref="HO114:HQ114"/>
    <mergeCell ref="HR114:HS114"/>
    <mergeCell ref="HT114:HV114"/>
    <mergeCell ref="GS114:GT114"/>
    <mergeCell ref="GU114:GW114"/>
    <mergeCell ref="GX114:GY114"/>
    <mergeCell ref="GZ114:HB114"/>
    <mergeCell ref="HC114:HD114"/>
    <mergeCell ref="HE114:HG114"/>
    <mergeCell ref="GD114:GE114"/>
    <mergeCell ref="GF114:GH114"/>
    <mergeCell ref="GI114:GJ114"/>
    <mergeCell ref="GK114:GM114"/>
    <mergeCell ref="GN114:GO114"/>
    <mergeCell ref="GP114:GR114"/>
    <mergeCell ref="FO114:FP114"/>
    <mergeCell ref="FQ114:FS114"/>
    <mergeCell ref="FT114:FU114"/>
    <mergeCell ref="FV114:FX114"/>
    <mergeCell ref="FY114:FZ114"/>
    <mergeCell ref="GA114:GC114"/>
    <mergeCell ref="EZ114:FA114"/>
    <mergeCell ref="FB114:FD114"/>
    <mergeCell ref="FE114:FF114"/>
    <mergeCell ref="FG114:FI114"/>
    <mergeCell ref="FJ114:FK114"/>
    <mergeCell ref="FL114:FN114"/>
    <mergeCell ref="EK114:EL114"/>
    <mergeCell ref="EM114:EO114"/>
    <mergeCell ref="EP114:EQ114"/>
    <mergeCell ref="ER114:ET114"/>
    <mergeCell ref="EU114:EV114"/>
    <mergeCell ref="EW114:EY114"/>
    <mergeCell ref="DV114:DW114"/>
    <mergeCell ref="DX114:DZ114"/>
    <mergeCell ref="EA114:EB114"/>
    <mergeCell ref="EC114:EE114"/>
    <mergeCell ref="EF114:EG114"/>
    <mergeCell ref="EH114:EJ114"/>
    <mergeCell ref="IB113:IC113"/>
    <mergeCell ref="ID113:IF113"/>
    <mergeCell ref="IG113:IH113"/>
    <mergeCell ref="II113:IK113"/>
    <mergeCell ref="IL113:IM113"/>
    <mergeCell ref="FT113:FU113"/>
    <mergeCell ref="FV113:FX113"/>
    <mergeCell ref="FY113:FZ113"/>
    <mergeCell ref="GA113:GC113"/>
    <mergeCell ref="GD113:GE113"/>
    <mergeCell ref="GF113:GH113"/>
    <mergeCell ref="FE113:FF113"/>
    <mergeCell ref="FG113:FI113"/>
    <mergeCell ref="FJ113:FK113"/>
    <mergeCell ref="FL113:FN113"/>
    <mergeCell ref="FO113:FP113"/>
    <mergeCell ref="FQ113:FS113"/>
    <mergeCell ref="EP113:EQ113"/>
    <mergeCell ref="ER113:ET113"/>
    <mergeCell ref="EU113:EV113"/>
    <mergeCell ref="IN113:IP113"/>
    <mergeCell ref="HM113:HN113"/>
    <mergeCell ref="HO113:HQ113"/>
    <mergeCell ref="HR113:HS113"/>
    <mergeCell ref="HT113:HV113"/>
    <mergeCell ref="HW113:HX113"/>
    <mergeCell ref="HY113:IA113"/>
    <mergeCell ref="GX113:GY113"/>
    <mergeCell ref="GZ113:HB113"/>
    <mergeCell ref="HC113:HD113"/>
    <mergeCell ref="HE113:HG113"/>
    <mergeCell ref="HH113:HI113"/>
    <mergeCell ref="HJ113:HL113"/>
    <mergeCell ref="GI113:GJ113"/>
    <mergeCell ref="GK113:GM113"/>
    <mergeCell ref="GN113:GO113"/>
    <mergeCell ref="GP113:GR113"/>
    <mergeCell ref="GS113:GT113"/>
    <mergeCell ref="GU113:GW113"/>
    <mergeCell ref="EW113:EY113"/>
    <mergeCell ref="EZ113:FA113"/>
    <mergeCell ref="FB113:FD113"/>
    <mergeCell ref="IL112:IM112"/>
    <mergeCell ref="IN112:IP112"/>
    <mergeCell ref="DV113:DW113"/>
    <mergeCell ref="DX113:DZ113"/>
    <mergeCell ref="EA113:EB113"/>
    <mergeCell ref="EC113:EE113"/>
    <mergeCell ref="EF113:EG113"/>
    <mergeCell ref="EH113:EJ113"/>
    <mergeCell ref="EK113:EL113"/>
    <mergeCell ref="EM113:EO113"/>
    <mergeCell ref="HW112:HX112"/>
    <mergeCell ref="HY112:IA112"/>
    <mergeCell ref="IB112:IC112"/>
    <mergeCell ref="ID112:IF112"/>
    <mergeCell ref="IG112:IH112"/>
    <mergeCell ref="II112:IK112"/>
    <mergeCell ref="HH112:HI112"/>
    <mergeCell ref="HJ112:HL112"/>
    <mergeCell ref="HM112:HN112"/>
    <mergeCell ref="HO112:HQ112"/>
    <mergeCell ref="HR112:HS112"/>
    <mergeCell ref="HT112:HV112"/>
    <mergeCell ref="GS112:GT112"/>
    <mergeCell ref="GU112:GW112"/>
    <mergeCell ref="GX112:GY112"/>
    <mergeCell ref="GZ112:HB112"/>
    <mergeCell ref="HC112:HD112"/>
    <mergeCell ref="HE112:HG112"/>
    <mergeCell ref="GD112:GE112"/>
    <mergeCell ref="GF112:GH112"/>
    <mergeCell ref="GI112:GJ112"/>
    <mergeCell ref="GK112:GM112"/>
    <mergeCell ref="GN112:GO112"/>
    <mergeCell ref="GP112:GR112"/>
    <mergeCell ref="FO112:FP112"/>
    <mergeCell ref="FQ112:FS112"/>
    <mergeCell ref="FT112:FU112"/>
    <mergeCell ref="FV112:FX112"/>
    <mergeCell ref="FY112:FZ112"/>
    <mergeCell ref="GA112:GC112"/>
    <mergeCell ref="EZ112:FA112"/>
    <mergeCell ref="FB112:FD112"/>
    <mergeCell ref="FE112:FF112"/>
    <mergeCell ref="FG112:FI112"/>
    <mergeCell ref="FJ112:FK112"/>
    <mergeCell ref="FL112:FN112"/>
    <mergeCell ref="EK112:EL112"/>
    <mergeCell ref="EM112:EO112"/>
    <mergeCell ref="EP112:EQ112"/>
    <mergeCell ref="ER112:ET112"/>
    <mergeCell ref="EU112:EV112"/>
    <mergeCell ref="EW112:EY112"/>
    <mergeCell ref="IG111:IH111"/>
    <mergeCell ref="II111:IK111"/>
    <mergeCell ref="IL111:IM111"/>
    <mergeCell ref="IN111:IP111"/>
    <mergeCell ref="DV112:DW112"/>
    <mergeCell ref="DX112:DZ112"/>
    <mergeCell ref="EA112:EB112"/>
    <mergeCell ref="EC112:EE112"/>
    <mergeCell ref="EF112:EG112"/>
    <mergeCell ref="EH112:EJ112"/>
    <mergeCell ref="HR111:HS111"/>
    <mergeCell ref="HT111:HV111"/>
    <mergeCell ref="HW111:HX111"/>
    <mergeCell ref="HY111:IA111"/>
    <mergeCell ref="IB111:IC111"/>
    <mergeCell ref="ID111:IF111"/>
    <mergeCell ref="HC111:HD111"/>
    <mergeCell ref="HE111:HG111"/>
    <mergeCell ref="HH111:HI111"/>
    <mergeCell ref="HJ111:HL111"/>
    <mergeCell ref="HM111:HN111"/>
    <mergeCell ref="HO111:HQ111"/>
    <mergeCell ref="GN111:GO111"/>
    <mergeCell ref="GP111:GR111"/>
    <mergeCell ref="GS111:GT111"/>
    <mergeCell ref="GU111:GW111"/>
    <mergeCell ref="GX111:GY111"/>
    <mergeCell ref="GZ111:HB111"/>
    <mergeCell ref="FY111:FZ111"/>
    <mergeCell ref="GA111:GC111"/>
    <mergeCell ref="GD111:GE111"/>
    <mergeCell ref="GF111:GH111"/>
    <mergeCell ref="GI111:GJ111"/>
    <mergeCell ref="GK111:GM111"/>
    <mergeCell ref="FJ111:FK111"/>
    <mergeCell ref="FL111:FN111"/>
    <mergeCell ref="FO111:FP111"/>
    <mergeCell ref="FQ111:FS111"/>
    <mergeCell ref="FT111:FU111"/>
    <mergeCell ref="FV111:FX111"/>
    <mergeCell ref="EU111:EV111"/>
    <mergeCell ref="EW111:EY111"/>
    <mergeCell ref="EZ111:FA111"/>
    <mergeCell ref="FB111:FD111"/>
    <mergeCell ref="FE111:FF111"/>
    <mergeCell ref="FG111:FI111"/>
    <mergeCell ref="EF111:EG111"/>
    <mergeCell ref="EH111:EJ111"/>
    <mergeCell ref="EK111:EL111"/>
    <mergeCell ref="EM111:EO111"/>
    <mergeCell ref="EP111:EQ111"/>
    <mergeCell ref="ER111:ET111"/>
    <mergeCell ref="IB110:IC110"/>
    <mergeCell ref="ID110:IF110"/>
    <mergeCell ref="IG110:IH110"/>
    <mergeCell ref="II110:IK110"/>
    <mergeCell ref="IL110:IM110"/>
    <mergeCell ref="IN110:IP110"/>
    <mergeCell ref="HM110:HN110"/>
    <mergeCell ref="HO110:HQ110"/>
    <mergeCell ref="HR110:HS110"/>
    <mergeCell ref="HT110:HV110"/>
    <mergeCell ref="HW110:HX110"/>
    <mergeCell ref="HY110:IA110"/>
    <mergeCell ref="GX110:GY110"/>
    <mergeCell ref="GZ110:HB110"/>
    <mergeCell ref="HC110:HD110"/>
    <mergeCell ref="HE110:HG110"/>
    <mergeCell ref="HH110:HI110"/>
    <mergeCell ref="HJ110:HL110"/>
    <mergeCell ref="GI110:GJ110"/>
    <mergeCell ref="GK110:GM110"/>
    <mergeCell ref="GN110:GO110"/>
    <mergeCell ref="GP110:GR110"/>
    <mergeCell ref="GS110:GT110"/>
    <mergeCell ref="GU110:GW110"/>
    <mergeCell ref="FT110:FU110"/>
    <mergeCell ref="FV110:FX110"/>
    <mergeCell ref="GA110:GC110"/>
    <mergeCell ref="GD110:GE110"/>
    <mergeCell ref="GF110:GH110"/>
    <mergeCell ref="FE110:FF110"/>
    <mergeCell ref="FG110:FI110"/>
    <mergeCell ref="FJ110:FK110"/>
    <mergeCell ref="FL110:FN110"/>
    <mergeCell ref="FO110:FP110"/>
    <mergeCell ref="FQ110:FS110"/>
    <mergeCell ref="EP110:EQ110"/>
    <mergeCell ref="ER110:ET110"/>
    <mergeCell ref="EU110:EV110"/>
    <mergeCell ref="EW110:EY110"/>
    <mergeCell ref="EZ110:FA110"/>
    <mergeCell ref="FB110:FD110"/>
    <mergeCell ref="IL109:IN109"/>
    <mergeCell ref="GQ109:GR109"/>
    <mergeCell ref="FO109:FQ109"/>
    <mergeCell ref="FR109:FS109"/>
    <mergeCell ref="FT109:FV109"/>
    <mergeCell ref="FW109:FX109"/>
    <mergeCell ref="FY109:GA109"/>
    <mergeCell ref="GB109:GC109"/>
    <mergeCell ref="EZ109:FB109"/>
    <mergeCell ref="FC109:FD109"/>
    <mergeCell ref="FE109:FG109"/>
    <mergeCell ref="FH109:FI109"/>
    <mergeCell ref="FJ109:FL109"/>
    <mergeCell ref="FM109:FN109"/>
    <mergeCell ref="DV110:DW110"/>
    <mergeCell ref="DX110:DZ110"/>
    <mergeCell ref="EA110:EB110"/>
    <mergeCell ref="EC110:EE110"/>
    <mergeCell ref="EF110:EG110"/>
    <mergeCell ref="EH110:EJ110"/>
    <mergeCell ref="EK110:EL110"/>
    <mergeCell ref="EM110:EO110"/>
    <mergeCell ref="HW109:HY109"/>
    <mergeCell ref="HZ109:IA109"/>
    <mergeCell ref="IB109:ID109"/>
    <mergeCell ref="IE109:IF109"/>
    <mergeCell ref="IG109:II109"/>
    <mergeCell ref="IJ109:IK109"/>
    <mergeCell ref="HH109:HJ109"/>
    <mergeCell ref="HK109:HL109"/>
    <mergeCell ref="HM109:HO109"/>
    <mergeCell ref="HP109:HQ109"/>
    <mergeCell ref="HR109:HT109"/>
    <mergeCell ref="HU109:HV109"/>
    <mergeCell ref="GS109:GU109"/>
    <mergeCell ref="GV109:GW109"/>
    <mergeCell ref="GX109:GZ109"/>
    <mergeCell ref="HA109:HB109"/>
    <mergeCell ref="HC109:HE109"/>
    <mergeCell ref="HF109:HG109"/>
    <mergeCell ref="GD109:GF109"/>
    <mergeCell ref="GG109:GH109"/>
    <mergeCell ref="GI109:GK109"/>
    <mergeCell ref="GL109:GM109"/>
    <mergeCell ref="GN109:GP109"/>
    <mergeCell ref="FY110:FZ110"/>
    <mergeCell ref="EK109:EM109"/>
    <mergeCell ref="EN109:EO109"/>
    <mergeCell ref="EP109:ER109"/>
    <mergeCell ref="ES109:ET109"/>
    <mergeCell ref="EU109:EW109"/>
    <mergeCell ref="EX109:EY109"/>
    <mergeCell ref="HZ108:IA108"/>
    <mergeCell ref="IE108:IF108"/>
    <mergeCell ref="IJ108:IK108"/>
    <mergeCell ref="IO108:IP108"/>
    <mergeCell ref="DV109:DX109"/>
    <mergeCell ref="DY109:DZ109"/>
    <mergeCell ref="EA109:EC109"/>
    <mergeCell ref="ED109:EE109"/>
    <mergeCell ref="EF109:EH109"/>
    <mergeCell ref="EI109:EJ109"/>
    <mergeCell ref="GV108:GW108"/>
    <mergeCell ref="HA108:HB108"/>
    <mergeCell ref="HF108:HG108"/>
    <mergeCell ref="HK108:HL108"/>
    <mergeCell ref="HP108:HQ108"/>
    <mergeCell ref="HU108:HV108"/>
    <mergeCell ref="FR108:FS108"/>
    <mergeCell ref="FW108:FX108"/>
    <mergeCell ref="GB108:GC108"/>
    <mergeCell ref="GG108:GH108"/>
    <mergeCell ref="GL108:GM108"/>
    <mergeCell ref="GQ108:GR108"/>
    <mergeCell ref="IO109:IP109"/>
    <mergeCell ref="DY108:DZ108"/>
    <mergeCell ref="ED108:EE108"/>
    <mergeCell ref="EI108:EJ108"/>
    <mergeCell ref="EN108:EO108"/>
    <mergeCell ref="ES108:ET108"/>
    <mergeCell ref="EX108:EY108"/>
    <mergeCell ref="FC108:FD108"/>
    <mergeCell ref="FH108:FI108"/>
    <mergeCell ref="FM108:FN108"/>
    <mergeCell ref="HK107:HL107"/>
    <mergeCell ref="HP107:HQ107"/>
    <mergeCell ref="HU107:HV107"/>
    <mergeCell ref="HZ107:IA107"/>
    <mergeCell ref="IE107:IF107"/>
    <mergeCell ref="IJ107:IK107"/>
    <mergeCell ref="GG107:GH107"/>
    <mergeCell ref="GL107:GM107"/>
    <mergeCell ref="GQ107:GR107"/>
    <mergeCell ref="GV107:GW107"/>
    <mergeCell ref="HA107:HB107"/>
    <mergeCell ref="HF107:HG107"/>
    <mergeCell ref="FC107:FD107"/>
    <mergeCell ref="FH107:FI107"/>
    <mergeCell ref="FM107:FN107"/>
    <mergeCell ref="FR107:FS107"/>
    <mergeCell ref="FW107:FX107"/>
    <mergeCell ref="GB107:GC107"/>
    <mergeCell ref="GV105:GW105"/>
    <mergeCell ref="HA105:HB105"/>
    <mergeCell ref="HF105:HG105"/>
    <mergeCell ref="FC105:FD105"/>
    <mergeCell ref="FH105:FI105"/>
    <mergeCell ref="FM105:FN105"/>
    <mergeCell ref="FR105:FS105"/>
    <mergeCell ref="FW105:FX105"/>
    <mergeCell ref="GB105:GC105"/>
    <mergeCell ref="HZ106:IA106"/>
    <mergeCell ref="IE106:IF106"/>
    <mergeCell ref="IJ106:IK106"/>
    <mergeCell ref="IO106:IP106"/>
    <mergeCell ref="DY107:DZ107"/>
    <mergeCell ref="ED107:EE107"/>
    <mergeCell ref="EI107:EJ107"/>
    <mergeCell ref="EN107:EO107"/>
    <mergeCell ref="ES107:ET107"/>
    <mergeCell ref="EX107:EY107"/>
    <mergeCell ref="GV106:GW106"/>
    <mergeCell ref="HA106:HB106"/>
    <mergeCell ref="HF106:HG106"/>
    <mergeCell ref="HK106:HL106"/>
    <mergeCell ref="HP106:HQ106"/>
    <mergeCell ref="HU106:HV106"/>
    <mergeCell ref="FR106:FS106"/>
    <mergeCell ref="FW106:FX106"/>
    <mergeCell ref="GB106:GC106"/>
    <mergeCell ref="GG106:GH106"/>
    <mergeCell ref="GL106:GM106"/>
    <mergeCell ref="GQ106:GR106"/>
    <mergeCell ref="IO107:IP107"/>
    <mergeCell ref="EX105:EY105"/>
    <mergeCell ref="GV104:GW104"/>
    <mergeCell ref="HA104:HB104"/>
    <mergeCell ref="HF104:HG104"/>
    <mergeCell ref="HK104:HL104"/>
    <mergeCell ref="HP104:HQ104"/>
    <mergeCell ref="HU104:HV104"/>
    <mergeCell ref="FR104:FS104"/>
    <mergeCell ref="FW104:FX104"/>
    <mergeCell ref="GB104:GC104"/>
    <mergeCell ref="GG104:GH104"/>
    <mergeCell ref="GL104:GM104"/>
    <mergeCell ref="GQ104:GR104"/>
    <mergeCell ref="IO105:IP105"/>
    <mergeCell ref="DY106:DZ106"/>
    <mergeCell ref="ED106:EE106"/>
    <mergeCell ref="EI106:EJ106"/>
    <mergeCell ref="EN106:EO106"/>
    <mergeCell ref="ES106:ET106"/>
    <mergeCell ref="EX106:EY106"/>
    <mergeCell ref="FC106:FD106"/>
    <mergeCell ref="FH106:FI106"/>
    <mergeCell ref="FM106:FN106"/>
    <mergeCell ref="HK105:HL105"/>
    <mergeCell ref="HP105:HQ105"/>
    <mergeCell ref="HU105:HV105"/>
    <mergeCell ref="HZ105:IA105"/>
    <mergeCell ref="IE105:IF105"/>
    <mergeCell ref="IJ105:IK105"/>
    <mergeCell ref="GG105:GH105"/>
    <mergeCell ref="GL105:GM105"/>
    <mergeCell ref="GQ105:GR105"/>
    <mergeCell ref="IO103:IP103"/>
    <mergeCell ref="DY104:DZ104"/>
    <mergeCell ref="ED104:EE104"/>
    <mergeCell ref="EI104:EJ104"/>
    <mergeCell ref="EN104:EO104"/>
    <mergeCell ref="ES104:ET104"/>
    <mergeCell ref="EX104:EY104"/>
    <mergeCell ref="FC104:FD104"/>
    <mergeCell ref="FH104:FI104"/>
    <mergeCell ref="FM104:FN104"/>
    <mergeCell ref="HK103:HL103"/>
    <mergeCell ref="HP103:HQ103"/>
    <mergeCell ref="HU103:HV103"/>
    <mergeCell ref="HZ103:IA103"/>
    <mergeCell ref="IE103:IF103"/>
    <mergeCell ref="IJ103:IK103"/>
    <mergeCell ref="GG103:GH103"/>
    <mergeCell ref="GL103:GM103"/>
    <mergeCell ref="GQ103:GR103"/>
    <mergeCell ref="GV103:GW103"/>
    <mergeCell ref="HA103:HB103"/>
    <mergeCell ref="HF103:HG103"/>
    <mergeCell ref="FC103:FD103"/>
    <mergeCell ref="FH103:FI103"/>
    <mergeCell ref="FM103:FN103"/>
    <mergeCell ref="FR103:FS103"/>
    <mergeCell ref="FW103:FX103"/>
    <mergeCell ref="GB103:GC103"/>
    <mergeCell ref="HZ104:IA104"/>
    <mergeCell ref="IE104:IF104"/>
    <mergeCell ref="IJ104:IK104"/>
    <mergeCell ref="IO104:IP104"/>
    <mergeCell ref="IJ101:IJ102"/>
    <mergeCell ref="IL101:IL102"/>
    <mergeCell ref="IM101:IN102"/>
    <mergeCell ref="IO101:IO102"/>
    <mergeCell ref="DY103:DZ103"/>
    <mergeCell ref="ED103:EE103"/>
    <mergeCell ref="EI103:EJ103"/>
    <mergeCell ref="EN103:EO103"/>
    <mergeCell ref="ES103:ET103"/>
    <mergeCell ref="EX103:EY103"/>
    <mergeCell ref="HZ101:HZ102"/>
    <mergeCell ref="IB101:IB102"/>
    <mergeCell ref="IC101:ID102"/>
    <mergeCell ref="IE101:IE102"/>
    <mergeCell ref="IG101:IG102"/>
    <mergeCell ref="IH101:II102"/>
    <mergeCell ref="HP101:HP102"/>
    <mergeCell ref="HR101:HR102"/>
    <mergeCell ref="HS101:HT102"/>
    <mergeCell ref="HU101:HU102"/>
    <mergeCell ref="HW101:HW102"/>
    <mergeCell ref="HX101:HY102"/>
    <mergeCell ref="HF101:HF102"/>
    <mergeCell ref="HH101:HH102"/>
    <mergeCell ref="HI101:HJ102"/>
    <mergeCell ref="HK101:HK102"/>
    <mergeCell ref="HM101:HM102"/>
    <mergeCell ref="HN101:HO102"/>
    <mergeCell ref="GV101:GV102"/>
    <mergeCell ref="GX101:GX102"/>
    <mergeCell ref="GY101:GZ102"/>
    <mergeCell ref="HA101:HA102"/>
    <mergeCell ref="HC101:HC102"/>
    <mergeCell ref="HD101:HE102"/>
    <mergeCell ref="GL101:GL102"/>
    <mergeCell ref="GN101:GN102"/>
    <mergeCell ref="GO101:GP102"/>
    <mergeCell ref="GQ101:GQ102"/>
    <mergeCell ref="GS101:GS102"/>
    <mergeCell ref="GT101:GU102"/>
    <mergeCell ref="GB101:GB102"/>
    <mergeCell ref="GD101:GD102"/>
    <mergeCell ref="GE101:GF102"/>
    <mergeCell ref="GG101:GG102"/>
    <mergeCell ref="GI101:GI102"/>
    <mergeCell ref="GJ101:GK102"/>
    <mergeCell ref="FR101:FR102"/>
    <mergeCell ref="FT101:FT102"/>
    <mergeCell ref="FU101:FV102"/>
    <mergeCell ref="FW101:FW102"/>
    <mergeCell ref="FY101:FY102"/>
    <mergeCell ref="FZ101:GA102"/>
    <mergeCell ref="DO126:DP126"/>
    <mergeCell ref="DT126:DU126"/>
    <mergeCell ref="CZ125:DA125"/>
    <mergeCell ref="DB125:DD125"/>
    <mergeCell ref="DJ123:DK123"/>
    <mergeCell ref="DO123:DP123"/>
    <mergeCell ref="DT123:DU123"/>
    <mergeCell ref="DN120:DP120"/>
    <mergeCell ref="DQ120:DR120"/>
    <mergeCell ref="FH101:FH102"/>
    <mergeCell ref="FJ101:FJ102"/>
    <mergeCell ref="FK101:FL102"/>
    <mergeCell ref="FM101:FM102"/>
    <mergeCell ref="FO101:FO102"/>
    <mergeCell ref="FP101:FQ102"/>
    <mergeCell ref="EX101:EX102"/>
    <mergeCell ref="EZ101:EZ102"/>
    <mergeCell ref="FA101:FB102"/>
    <mergeCell ref="FC101:FC102"/>
    <mergeCell ref="FE101:FE102"/>
    <mergeCell ref="FF101:FG102"/>
    <mergeCell ref="EN101:EN102"/>
    <mergeCell ref="EP101:EP102"/>
    <mergeCell ref="EQ101:ER102"/>
    <mergeCell ref="ES101:ES102"/>
    <mergeCell ref="EU101:EU102"/>
    <mergeCell ref="EV101:EW102"/>
    <mergeCell ref="DY105:DZ105"/>
    <mergeCell ref="ED105:EE105"/>
    <mergeCell ref="EI105:EJ105"/>
    <mergeCell ref="EN105:EO105"/>
    <mergeCell ref="ES105:ET105"/>
    <mergeCell ref="AO128:AS129"/>
    <mergeCell ref="AT128:AX129"/>
    <mergeCell ref="AY128:BC129"/>
    <mergeCell ref="BD128:BH129"/>
    <mergeCell ref="CW127:DA127"/>
    <mergeCell ref="DB127:DF127"/>
    <mergeCell ref="DG127:DK127"/>
    <mergeCell ref="DL127:DP127"/>
    <mergeCell ref="DQ127:DU127"/>
    <mergeCell ref="ED101:ED102"/>
    <mergeCell ref="EF101:EF102"/>
    <mergeCell ref="EG101:EH102"/>
    <mergeCell ref="EI101:EI102"/>
    <mergeCell ref="EK101:EK102"/>
    <mergeCell ref="EL101:EM102"/>
    <mergeCell ref="DQ128:DU129"/>
    <mergeCell ref="DV101:DV102"/>
    <mergeCell ref="DW101:DX102"/>
    <mergeCell ref="DY101:DY102"/>
    <mergeCell ref="EA101:EA102"/>
    <mergeCell ref="EB101:EC102"/>
    <mergeCell ref="DV111:DW111"/>
    <mergeCell ref="DX111:DZ111"/>
    <mergeCell ref="EA111:EB111"/>
    <mergeCell ref="EC111:EE111"/>
    <mergeCell ref="CM128:CQ129"/>
    <mergeCell ref="CR128:CV129"/>
    <mergeCell ref="CW128:DA129"/>
    <mergeCell ref="DB128:DF129"/>
    <mergeCell ref="DG128:DK129"/>
    <mergeCell ref="DL128:DP129"/>
    <mergeCell ref="DJ126:DK126"/>
    <mergeCell ref="F128:J129"/>
    <mergeCell ref="K128:O129"/>
    <mergeCell ref="P128:T129"/>
    <mergeCell ref="U128:Y129"/>
    <mergeCell ref="Z128:AD129"/>
    <mergeCell ref="BS127:BW127"/>
    <mergeCell ref="BX127:CB127"/>
    <mergeCell ref="CC127:CG127"/>
    <mergeCell ref="CH127:CL127"/>
    <mergeCell ref="CM127:CQ127"/>
    <mergeCell ref="CR127:CV127"/>
    <mergeCell ref="AO127:AS127"/>
    <mergeCell ref="AT127:AX127"/>
    <mergeCell ref="AY127:BC127"/>
    <mergeCell ref="BD127:BH127"/>
    <mergeCell ref="BI127:BM127"/>
    <mergeCell ref="BN127:BR127"/>
    <mergeCell ref="F127:J127"/>
    <mergeCell ref="K127:O127"/>
    <mergeCell ref="P127:T127"/>
    <mergeCell ref="U127:Y127"/>
    <mergeCell ref="Z127:AD127"/>
    <mergeCell ref="AE127:AI127"/>
    <mergeCell ref="AJ127:AN127"/>
    <mergeCell ref="BI128:BM129"/>
    <mergeCell ref="BN128:BR129"/>
    <mergeCell ref="BS128:BW129"/>
    <mergeCell ref="BX128:CB129"/>
    <mergeCell ref="CC128:CG129"/>
    <mergeCell ref="CH128:CL129"/>
    <mergeCell ref="AE128:AI129"/>
    <mergeCell ref="AJ128:AN129"/>
    <mergeCell ref="CF126:CG126"/>
    <mergeCell ref="CK126:CL126"/>
    <mergeCell ref="CP126:CQ126"/>
    <mergeCell ref="CU126:CV126"/>
    <mergeCell ref="CZ126:DA126"/>
    <mergeCell ref="DE126:DF126"/>
    <mergeCell ref="BB126:BC126"/>
    <mergeCell ref="BG126:BH126"/>
    <mergeCell ref="BL126:BM126"/>
    <mergeCell ref="BQ126:BR126"/>
    <mergeCell ref="BV126:BW126"/>
    <mergeCell ref="CA126:CB126"/>
    <mergeCell ref="DT125:DU125"/>
    <mergeCell ref="I126:J126"/>
    <mergeCell ref="N126:O126"/>
    <mergeCell ref="S126:T126"/>
    <mergeCell ref="X126:Y126"/>
    <mergeCell ref="AC126:AD126"/>
    <mergeCell ref="AH126:AI126"/>
    <mergeCell ref="AM126:AN126"/>
    <mergeCell ref="AR126:AS126"/>
    <mergeCell ref="AW126:AX126"/>
    <mergeCell ref="DE125:DF125"/>
    <mergeCell ref="DG125:DI125"/>
    <mergeCell ref="DJ125:DK125"/>
    <mergeCell ref="DL125:DN125"/>
    <mergeCell ref="DO125:DP125"/>
    <mergeCell ref="DQ125:DS125"/>
    <mergeCell ref="CP125:CQ125"/>
    <mergeCell ref="CR125:CT125"/>
    <mergeCell ref="CU125:CV125"/>
    <mergeCell ref="CW125:CY125"/>
    <mergeCell ref="X125:Y125"/>
    <mergeCell ref="Z125:AB125"/>
    <mergeCell ref="AC125:AD125"/>
    <mergeCell ref="AE125:AG125"/>
    <mergeCell ref="CZ124:DA124"/>
    <mergeCell ref="DE124:DF124"/>
    <mergeCell ref="DJ124:DK124"/>
    <mergeCell ref="DO124:DP124"/>
    <mergeCell ref="DT124:DU124"/>
    <mergeCell ref="CA125:CB125"/>
    <mergeCell ref="CC125:CE125"/>
    <mergeCell ref="CF125:CG125"/>
    <mergeCell ref="CH125:CJ125"/>
    <mergeCell ref="CK125:CL125"/>
    <mergeCell ref="CM125:CO125"/>
    <mergeCell ref="BL125:BM125"/>
    <mergeCell ref="BN125:BP125"/>
    <mergeCell ref="BQ125:BR125"/>
    <mergeCell ref="BS125:BU125"/>
    <mergeCell ref="BV125:BW125"/>
    <mergeCell ref="BX125:BZ125"/>
    <mergeCell ref="AW125:AX125"/>
    <mergeCell ref="AY125:BA125"/>
    <mergeCell ref="BB125:BC125"/>
    <mergeCell ref="BD125:BF125"/>
    <mergeCell ref="BG125:BH125"/>
    <mergeCell ref="BI125:BK125"/>
    <mergeCell ref="F125:H125"/>
    <mergeCell ref="I125:J125"/>
    <mergeCell ref="K125:M125"/>
    <mergeCell ref="N125:O125"/>
    <mergeCell ref="P125:R125"/>
    <mergeCell ref="BV124:BW124"/>
    <mergeCell ref="CA124:CB124"/>
    <mergeCell ref="CF124:CG124"/>
    <mergeCell ref="CK124:CL124"/>
    <mergeCell ref="CP124:CQ124"/>
    <mergeCell ref="CU124:CV124"/>
    <mergeCell ref="AR124:AS124"/>
    <mergeCell ref="AW124:AX124"/>
    <mergeCell ref="BB124:BC124"/>
    <mergeCell ref="BG124:BH124"/>
    <mergeCell ref="BL124:BM124"/>
    <mergeCell ref="BQ124:BR124"/>
    <mergeCell ref="I124:J124"/>
    <mergeCell ref="N124:O124"/>
    <mergeCell ref="S124:T124"/>
    <mergeCell ref="X124:Y124"/>
    <mergeCell ref="AC124:AD124"/>
    <mergeCell ref="AH124:AI124"/>
    <mergeCell ref="AM124:AN124"/>
    <mergeCell ref="AH125:AI125"/>
    <mergeCell ref="AJ125:AL125"/>
    <mergeCell ref="AM125:AN125"/>
    <mergeCell ref="AO125:AQ125"/>
    <mergeCell ref="AR125:AS125"/>
    <mergeCell ref="AT125:AV125"/>
    <mergeCell ref="S125:T125"/>
    <mergeCell ref="U125:W125"/>
    <mergeCell ref="CF123:CG123"/>
    <mergeCell ref="CK123:CL123"/>
    <mergeCell ref="CP123:CQ123"/>
    <mergeCell ref="CU123:CV123"/>
    <mergeCell ref="CZ123:DA123"/>
    <mergeCell ref="DE123:DF123"/>
    <mergeCell ref="BB123:BC123"/>
    <mergeCell ref="BG123:BH123"/>
    <mergeCell ref="BL123:BM123"/>
    <mergeCell ref="BQ123:BR123"/>
    <mergeCell ref="BV123:BW123"/>
    <mergeCell ref="CA123:CB123"/>
    <mergeCell ref="DT122:DU122"/>
    <mergeCell ref="I123:J123"/>
    <mergeCell ref="N123:O123"/>
    <mergeCell ref="S123:T123"/>
    <mergeCell ref="X123:Y123"/>
    <mergeCell ref="AC123:AD123"/>
    <mergeCell ref="AH123:AI123"/>
    <mergeCell ref="AM123:AN123"/>
    <mergeCell ref="AR123:AS123"/>
    <mergeCell ref="AW123:AX123"/>
    <mergeCell ref="CP122:CQ122"/>
    <mergeCell ref="CU122:CV122"/>
    <mergeCell ref="CZ122:DA122"/>
    <mergeCell ref="DE122:DF122"/>
    <mergeCell ref="DJ122:DK122"/>
    <mergeCell ref="DO122:DP122"/>
    <mergeCell ref="BL122:BM122"/>
    <mergeCell ref="BQ122:BR122"/>
    <mergeCell ref="BV122:BW122"/>
    <mergeCell ref="CA122:CB122"/>
    <mergeCell ref="CF122:CG122"/>
    <mergeCell ref="CK122:CL122"/>
    <mergeCell ref="AH122:AI122"/>
    <mergeCell ref="AM122:AN122"/>
    <mergeCell ref="AR122:AS122"/>
    <mergeCell ref="AW122:AX122"/>
    <mergeCell ref="BB122:BC122"/>
    <mergeCell ref="BG122:BH122"/>
    <mergeCell ref="CZ121:DA121"/>
    <mergeCell ref="DE121:DF121"/>
    <mergeCell ref="DJ121:DK121"/>
    <mergeCell ref="DO121:DP121"/>
    <mergeCell ref="DT121:DU121"/>
    <mergeCell ref="I122:J122"/>
    <mergeCell ref="N122:O122"/>
    <mergeCell ref="S122:T122"/>
    <mergeCell ref="X122:Y122"/>
    <mergeCell ref="AC122:AD122"/>
    <mergeCell ref="BV121:BW121"/>
    <mergeCell ref="CA121:CB121"/>
    <mergeCell ref="CF121:CG121"/>
    <mergeCell ref="CK121:CL121"/>
    <mergeCell ref="CP121:CQ121"/>
    <mergeCell ref="CU121:CV121"/>
    <mergeCell ref="AR121:AS121"/>
    <mergeCell ref="AW121:AX121"/>
    <mergeCell ref="BB121:BC121"/>
    <mergeCell ref="BG121:BH121"/>
    <mergeCell ref="BL121:BM121"/>
    <mergeCell ref="BQ121:BR121"/>
    <mergeCell ref="I121:J121"/>
    <mergeCell ref="N121:O121"/>
    <mergeCell ref="DS120:DU120"/>
    <mergeCell ref="BK119:BM119"/>
    <mergeCell ref="BN119:BO119"/>
    <mergeCell ref="BP119:BR119"/>
    <mergeCell ref="BS119:BT119"/>
    <mergeCell ref="BU119:BW119"/>
    <mergeCell ref="BX119:BY119"/>
    <mergeCell ref="AV119:AX119"/>
    <mergeCell ref="AY119:AZ119"/>
    <mergeCell ref="S121:T121"/>
    <mergeCell ref="X121:Y121"/>
    <mergeCell ref="AC121:AD121"/>
    <mergeCell ref="AH121:AI121"/>
    <mergeCell ref="AM121:AN121"/>
    <mergeCell ref="CY120:DA120"/>
    <mergeCell ref="DB120:DC120"/>
    <mergeCell ref="DD120:DF120"/>
    <mergeCell ref="DG120:DH120"/>
    <mergeCell ref="DI120:DK120"/>
    <mergeCell ref="DL120:DM120"/>
    <mergeCell ref="CJ120:CL120"/>
    <mergeCell ref="CM120:CN120"/>
    <mergeCell ref="CO120:CQ120"/>
    <mergeCell ref="CR120:CS120"/>
    <mergeCell ref="CT120:CV120"/>
    <mergeCell ref="CW120:CX120"/>
    <mergeCell ref="BU120:BW120"/>
    <mergeCell ref="BX120:BY120"/>
    <mergeCell ref="BZ120:CB120"/>
    <mergeCell ref="CC120:CD120"/>
    <mergeCell ref="CE120:CG120"/>
    <mergeCell ref="CH120:CI120"/>
    <mergeCell ref="F120:G120"/>
    <mergeCell ref="H120:J120"/>
    <mergeCell ref="K120:L120"/>
    <mergeCell ref="M120:O120"/>
    <mergeCell ref="P120:Q120"/>
    <mergeCell ref="R120:T120"/>
    <mergeCell ref="U120:V120"/>
    <mergeCell ref="W120:Y120"/>
    <mergeCell ref="Z120:AA120"/>
    <mergeCell ref="DD119:DF119"/>
    <mergeCell ref="DG119:DH119"/>
    <mergeCell ref="DI119:DK119"/>
    <mergeCell ref="DL119:DM119"/>
    <mergeCell ref="DN119:DP119"/>
    <mergeCell ref="DQ119:DR119"/>
    <mergeCell ref="CO119:CQ119"/>
    <mergeCell ref="CR119:CS119"/>
    <mergeCell ref="CT119:CV119"/>
    <mergeCell ref="CW119:CX119"/>
    <mergeCell ref="BF120:BH120"/>
    <mergeCell ref="BI120:BJ120"/>
    <mergeCell ref="BK120:BM120"/>
    <mergeCell ref="BN120:BO120"/>
    <mergeCell ref="BP120:BR120"/>
    <mergeCell ref="BS120:BT120"/>
    <mergeCell ref="AB120:AD120"/>
    <mergeCell ref="AE120:AF120"/>
    <mergeCell ref="AG120:AI120"/>
    <mergeCell ref="AQ120:AS120"/>
    <mergeCell ref="AT120:AU120"/>
    <mergeCell ref="AV120:AX120"/>
    <mergeCell ref="AY120:AZ120"/>
    <mergeCell ref="U119:V119"/>
    <mergeCell ref="W119:Y119"/>
    <mergeCell ref="Z119:AA119"/>
    <mergeCell ref="AB119:AD119"/>
    <mergeCell ref="AE119:AF119"/>
    <mergeCell ref="AJ120:AK120"/>
    <mergeCell ref="AL120:AN120"/>
    <mergeCell ref="AO120:AP120"/>
    <mergeCell ref="W118:Y118"/>
    <mergeCell ref="Z118:AA118"/>
    <mergeCell ref="AB118:AD118"/>
    <mergeCell ref="AE118:AF118"/>
    <mergeCell ref="AG118:AI118"/>
    <mergeCell ref="AJ118:AK118"/>
    <mergeCell ref="AL118:AN118"/>
    <mergeCell ref="AO118:AP118"/>
    <mergeCell ref="AQ118:AS118"/>
    <mergeCell ref="AG119:AI119"/>
    <mergeCell ref="AJ119:AK119"/>
    <mergeCell ref="CH119:CI119"/>
    <mergeCell ref="CJ119:CL119"/>
    <mergeCell ref="CM119:CN119"/>
    <mergeCell ref="BA119:BC119"/>
    <mergeCell ref="BD119:BE119"/>
    <mergeCell ref="BF119:BH119"/>
    <mergeCell ref="BI119:BJ119"/>
    <mergeCell ref="BA118:BC118"/>
    <mergeCell ref="BD118:BE118"/>
    <mergeCell ref="BF118:BH118"/>
    <mergeCell ref="BI118:BJ118"/>
    <mergeCell ref="BK118:BM118"/>
    <mergeCell ref="BN118:BO118"/>
    <mergeCell ref="BA120:BC120"/>
    <mergeCell ref="BD120:BE120"/>
    <mergeCell ref="AL119:AN119"/>
    <mergeCell ref="AO119:AP119"/>
    <mergeCell ref="AQ119:AS119"/>
    <mergeCell ref="AT119:AU119"/>
    <mergeCell ref="DI118:DK118"/>
    <mergeCell ref="DL118:DM118"/>
    <mergeCell ref="DN118:DP118"/>
    <mergeCell ref="DQ118:DR118"/>
    <mergeCell ref="DS118:DU118"/>
    <mergeCell ref="AT118:AU118"/>
    <mergeCell ref="AV118:AX118"/>
    <mergeCell ref="AY118:AZ118"/>
    <mergeCell ref="DS119:DU119"/>
    <mergeCell ref="CT118:CV118"/>
    <mergeCell ref="CW118:CX118"/>
    <mergeCell ref="CY118:DA118"/>
    <mergeCell ref="DB118:DC118"/>
    <mergeCell ref="DD118:DF118"/>
    <mergeCell ref="DG118:DH118"/>
    <mergeCell ref="CE118:CG118"/>
    <mergeCell ref="CH118:CI118"/>
    <mergeCell ref="CJ118:CL118"/>
    <mergeCell ref="CM118:CN118"/>
    <mergeCell ref="CO118:CQ118"/>
    <mergeCell ref="CR118:CS118"/>
    <mergeCell ref="BP118:BR118"/>
    <mergeCell ref="BS118:BT118"/>
    <mergeCell ref="BU118:BW118"/>
    <mergeCell ref="BX118:BY118"/>
    <mergeCell ref="BZ118:CB118"/>
    <mergeCell ref="CC118:CD118"/>
    <mergeCell ref="CY119:DA119"/>
    <mergeCell ref="DB119:DC119"/>
    <mergeCell ref="BZ119:CB119"/>
    <mergeCell ref="CC119:CD119"/>
    <mergeCell ref="CE119:CG119"/>
    <mergeCell ref="DN117:DP117"/>
    <mergeCell ref="DQ117:DR117"/>
    <mergeCell ref="DS117:DU117"/>
    <mergeCell ref="F118:G118"/>
    <mergeCell ref="H118:J118"/>
    <mergeCell ref="K118:L118"/>
    <mergeCell ref="M118:O118"/>
    <mergeCell ref="P118:Q118"/>
    <mergeCell ref="R118:T118"/>
    <mergeCell ref="U118:V118"/>
    <mergeCell ref="CY117:DA117"/>
    <mergeCell ref="DB117:DC117"/>
    <mergeCell ref="DD117:DF117"/>
    <mergeCell ref="DG117:DH117"/>
    <mergeCell ref="DI117:DK117"/>
    <mergeCell ref="DL117:DM117"/>
    <mergeCell ref="CJ117:CL117"/>
    <mergeCell ref="CM117:CN117"/>
    <mergeCell ref="CO117:CQ117"/>
    <mergeCell ref="CR117:CS117"/>
    <mergeCell ref="CT117:CV117"/>
    <mergeCell ref="CW117:CX117"/>
    <mergeCell ref="BU117:BW117"/>
    <mergeCell ref="BX117:BY117"/>
    <mergeCell ref="BZ117:CB117"/>
    <mergeCell ref="CC117:CD117"/>
    <mergeCell ref="CE117:CG117"/>
    <mergeCell ref="CH117:CI117"/>
    <mergeCell ref="BF117:BH117"/>
    <mergeCell ref="BI117:BJ117"/>
    <mergeCell ref="BK117:BM117"/>
    <mergeCell ref="BN117:BO117"/>
    <mergeCell ref="BP117:BR117"/>
    <mergeCell ref="BS117:BT117"/>
    <mergeCell ref="AQ117:AS117"/>
    <mergeCell ref="AT117:AU117"/>
    <mergeCell ref="AV117:AX117"/>
    <mergeCell ref="AY117:AZ117"/>
    <mergeCell ref="BA117:BC117"/>
    <mergeCell ref="BD117:BE117"/>
    <mergeCell ref="AB117:AD117"/>
    <mergeCell ref="AE117:AF117"/>
    <mergeCell ref="AG117:AI117"/>
    <mergeCell ref="AJ117:AK117"/>
    <mergeCell ref="AL117:AN117"/>
    <mergeCell ref="AO117:AP117"/>
    <mergeCell ref="DS116:DU116"/>
    <mergeCell ref="F117:G117"/>
    <mergeCell ref="H117:J117"/>
    <mergeCell ref="K117:L117"/>
    <mergeCell ref="M117:O117"/>
    <mergeCell ref="P117:Q117"/>
    <mergeCell ref="R117:T117"/>
    <mergeCell ref="U117:V117"/>
    <mergeCell ref="W117:Y117"/>
    <mergeCell ref="Z117:AA117"/>
    <mergeCell ref="DD116:DF116"/>
    <mergeCell ref="DG116:DH116"/>
    <mergeCell ref="DI116:DK116"/>
    <mergeCell ref="DL116:DM116"/>
    <mergeCell ref="DN116:DP116"/>
    <mergeCell ref="DQ116:DR116"/>
    <mergeCell ref="CO116:CQ116"/>
    <mergeCell ref="CR116:CS116"/>
    <mergeCell ref="DO115:DP115"/>
    <mergeCell ref="DQ115:DS115"/>
    <mergeCell ref="DT115:DU115"/>
    <mergeCell ref="AT115:AV115"/>
    <mergeCell ref="AW115:AX115"/>
    <mergeCell ref="AY115:BA115"/>
    <mergeCell ref="X115:Y115"/>
    <mergeCell ref="Z115:AB115"/>
    <mergeCell ref="AC115:AD115"/>
    <mergeCell ref="AE115:AG115"/>
    <mergeCell ref="AH115:AI115"/>
    <mergeCell ref="AJ115:AL115"/>
    <mergeCell ref="CT116:CV116"/>
    <mergeCell ref="CW116:CX116"/>
    <mergeCell ref="CY116:DA116"/>
    <mergeCell ref="DB116:DC116"/>
    <mergeCell ref="BZ116:CB116"/>
    <mergeCell ref="CC116:CD116"/>
    <mergeCell ref="CE116:CG116"/>
    <mergeCell ref="CH116:CI116"/>
    <mergeCell ref="CJ116:CL116"/>
    <mergeCell ref="CM116:CN116"/>
    <mergeCell ref="BK116:BM116"/>
    <mergeCell ref="BN116:BO116"/>
    <mergeCell ref="BP116:BR116"/>
    <mergeCell ref="BS116:BT116"/>
    <mergeCell ref="BU116:BW116"/>
    <mergeCell ref="BX116:BY116"/>
    <mergeCell ref="AV116:AX116"/>
    <mergeCell ref="AY116:AZ116"/>
    <mergeCell ref="AG116:AI116"/>
    <mergeCell ref="AJ116:AK116"/>
    <mergeCell ref="AL116:AN116"/>
    <mergeCell ref="AO116:AP116"/>
    <mergeCell ref="AQ116:AS116"/>
    <mergeCell ref="AT116:AU116"/>
    <mergeCell ref="R116:T116"/>
    <mergeCell ref="U116:V116"/>
    <mergeCell ref="W116:Y116"/>
    <mergeCell ref="Z116:AA116"/>
    <mergeCell ref="AB116:AD116"/>
    <mergeCell ref="AE116:AF116"/>
    <mergeCell ref="BA116:BC116"/>
    <mergeCell ref="BD116:BE116"/>
    <mergeCell ref="BF116:BH116"/>
    <mergeCell ref="BI116:BJ116"/>
    <mergeCell ref="DJ115:DK115"/>
    <mergeCell ref="CK115:CL115"/>
    <mergeCell ref="CM115:CO115"/>
    <mergeCell ref="CP115:CQ115"/>
    <mergeCell ref="CR115:CT115"/>
    <mergeCell ref="BQ115:BR115"/>
    <mergeCell ref="BS115:BU115"/>
    <mergeCell ref="BV115:BW115"/>
    <mergeCell ref="BX115:BZ115"/>
    <mergeCell ref="CA115:CB115"/>
    <mergeCell ref="CC115:CE115"/>
    <mergeCell ref="BB115:BC115"/>
    <mergeCell ref="BD115:BF115"/>
    <mergeCell ref="BG115:BH115"/>
    <mergeCell ref="BI115:BK115"/>
    <mergeCell ref="BL115:BM115"/>
    <mergeCell ref="BN115:BP115"/>
    <mergeCell ref="AO115:AQ115"/>
    <mergeCell ref="AR115:AS115"/>
    <mergeCell ref="S115:T115"/>
    <mergeCell ref="U115:W115"/>
    <mergeCell ref="CY114:DA114"/>
    <mergeCell ref="DB114:DC114"/>
    <mergeCell ref="DD114:DF114"/>
    <mergeCell ref="DG114:DH114"/>
    <mergeCell ref="DI114:DK114"/>
    <mergeCell ref="DL114:DM114"/>
    <mergeCell ref="CJ114:CL114"/>
    <mergeCell ref="CM114:CN114"/>
    <mergeCell ref="CO114:CQ114"/>
    <mergeCell ref="CR114:CS114"/>
    <mergeCell ref="CT114:CV114"/>
    <mergeCell ref="CW114:CX114"/>
    <mergeCell ref="BU114:BW114"/>
    <mergeCell ref="BX114:BY114"/>
    <mergeCell ref="BZ114:CB114"/>
    <mergeCell ref="CC114:CD114"/>
    <mergeCell ref="CE114:CG114"/>
    <mergeCell ref="CH114:CI114"/>
    <mergeCell ref="BF114:BH114"/>
    <mergeCell ref="BI114:BJ114"/>
    <mergeCell ref="BK114:BM114"/>
    <mergeCell ref="BN114:BO114"/>
    <mergeCell ref="CU115:CV115"/>
    <mergeCell ref="CW115:CY115"/>
    <mergeCell ref="CZ115:DA115"/>
    <mergeCell ref="DB115:DD115"/>
    <mergeCell ref="DE115:DF115"/>
    <mergeCell ref="DL115:DN115"/>
    <mergeCell ref="DG115:DI115"/>
    <mergeCell ref="CF115:CG115"/>
    <mergeCell ref="CH115:CJ115"/>
    <mergeCell ref="AT114:AU114"/>
    <mergeCell ref="AV114:AX114"/>
    <mergeCell ref="AY114:AZ114"/>
    <mergeCell ref="BA114:BC114"/>
    <mergeCell ref="BD114:BE114"/>
    <mergeCell ref="AB114:AD114"/>
    <mergeCell ref="AE114:AF114"/>
    <mergeCell ref="AG114:AI114"/>
    <mergeCell ref="AJ114:AK114"/>
    <mergeCell ref="AL114:AN114"/>
    <mergeCell ref="AO114:AP114"/>
    <mergeCell ref="DS113:DU113"/>
    <mergeCell ref="F114:G114"/>
    <mergeCell ref="H114:J114"/>
    <mergeCell ref="K114:L114"/>
    <mergeCell ref="M114:O114"/>
    <mergeCell ref="P114:Q114"/>
    <mergeCell ref="R114:T114"/>
    <mergeCell ref="U114:V114"/>
    <mergeCell ref="W114:Y114"/>
    <mergeCell ref="Z114:AA114"/>
    <mergeCell ref="DD113:DF113"/>
    <mergeCell ref="DG113:DH113"/>
    <mergeCell ref="DI113:DK113"/>
    <mergeCell ref="DL113:DM113"/>
    <mergeCell ref="DN113:DP113"/>
    <mergeCell ref="DQ113:DR113"/>
    <mergeCell ref="CO113:CQ113"/>
    <mergeCell ref="CR113:CS113"/>
    <mergeCell ref="DN114:DP114"/>
    <mergeCell ref="DQ114:DR114"/>
    <mergeCell ref="DS114:DU114"/>
    <mergeCell ref="CC113:CD113"/>
    <mergeCell ref="CE113:CG113"/>
    <mergeCell ref="CH113:CI113"/>
    <mergeCell ref="CJ113:CL113"/>
    <mergeCell ref="CM113:CN113"/>
    <mergeCell ref="BK113:BM113"/>
    <mergeCell ref="BN113:BO113"/>
    <mergeCell ref="BP113:BR113"/>
    <mergeCell ref="BS113:BT113"/>
    <mergeCell ref="BU113:BW113"/>
    <mergeCell ref="BX113:BY113"/>
    <mergeCell ref="AV113:AX113"/>
    <mergeCell ref="AY113:AZ113"/>
    <mergeCell ref="BA113:BC113"/>
    <mergeCell ref="BD113:BE113"/>
    <mergeCell ref="BP114:BR114"/>
    <mergeCell ref="BS114:BT114"/>
    <mergeCell ref="AT113:AU113"/>
    <mergeCell ref="R113:T113"/>
    <mergeCell ref="U113:V113"/>
    <mergeCell ref="W113:Y113"/>
    <mergeCell ref="Z113:AA113"/>
    <mergeCell ref="AB113:AD113"/>
    <mergeCell ref="AE113:AF113"/>
    <mergeCell ref="DI112:DK112"/>
    <mergeCell ref="DL112:DM112"/>
    <mergeCell ref="BF113:BH113"/>
    <mergeCell ref="BI113:BJ113"/>
    <mergeCell ref="CY112:DA112"/>
    <mergeCell ref="DB112:DC112"/>
    <mergeCell ref="DD112:DF112"/>
    <mergeCell ref="DG112:DH112"/>
    <mergeCell ref="CE112:CG112"/>
    <mergeCell ref="CH112:CI112"/>
    <mergeCell ref="CJ112:CL112"/>
    <mergeCell ref="CM112:CN112"/>
    <mergeCell ref="CO112:CQ112"/>
    <mergeCell ref="CR112:CS112"/>
    <mergeCell ref="BP112:BR112"/>
    <mergeCell ref="BS112:BT112"/>
    <mergeCell ref="BU112:BW112"/>
    <mergeCell ref="AT112:AU112"/>
    <mergeCell ref="AV112:AX112"/>
    <mergeCell ref="AY112:AZ112"/>
    <mergeCell ref="CT113:CV113"/>
    <mergeCell ref="CW113:CX113"/>
    <mergeCell ref="CY113:DA113"/>
    <mergeCell ref="DB113:DC113"/>
    <mergeCell ref="BZ113:CB113"/>
    <mergeCell ref="DS111:DU111"/>
    <mergeCell ref="F112:G112"/>
    <mergeCell ref="H112:J112"/>
    <mergeCell ref="K112:L112"/>
    <mergeCell ref="M112:O112"/>
    <mergeCell ref="P112:Q112"/>
    <mergeCell ref="R112:T112"/>
    <mergeCell ref="U112:V112"/>
    <mergeCell ref="CY111:DA111"/>
    <mergeCell ref="DB111:DC111"/>
    <mergeCell ref="DD111:DF111"/>
    <mergeCell ref="DG111:DH111"/>
    <mergeCell ref="DI111:DK111"/>
    <mergeCell ref="DL111:DM111"/>
    <mergeCell ref="CJ111:CL111"/>
    <mergeCell ref="CM111:CN111"/>
    <mergeCell ref="CO111:CQ111"/>
    <mergeCell ref="CR111:CS111"/>
    <mergeCell ref="CT111:CV111"/>
    <mergeCell ref="CW111:CX111"/>
    <mergeCell ref="BU111:BW111"/>
    <mergeCell ref="BX111:BY111"/>
    <mergeCell ref="BZ111:CB111"/>
    <mergeCell ref="AL112:AN112"/>
    <mergeCell ref="AO112:AP112"/>
    <mergeCell ref="AQ112:AS112"/>
    <mergeCell ref="DN112:DP112"/>
    <mergeCell ref="DQ112:DR112"/>
    <mergeCell ref="DS112:DU112"/>
    <mergeCell ref="W112:Y112"/>
    <mergeCell ref="Z112:AA112"/>
    <mergeCell ref="AB112:AD112"/>
    <mergeCell ref="CW112:CX112"/>
    <mergeCell ref="AQ111:AS111"/>
    <mergeCell ref="AT111:AU111"/>
    <mergeCell ref="AV111:AX111"/>
    <mergeCell ref="AY111:AZ111"/>
    <mergeCell ref="BA111:BC111"/>
    <mergeCell ref="BD111:BE111"/>
    <mergeCell ref="AB111:AD111"/>
    <mergeCell ref="AE111:AF111"/>
    <mergeCell ref="AG111:AI111"/>
    <mergeCell ref="AJ111:AK111"/>
    <mergeCell ref="AL111:AN111"/>
    <mergeCell ref="AO111:AP111"/>
    <mergeCell ref="BX112:BY112"/>
    <mergeCell ref="BZ112:CB112"/>
    <mergeCell ref="CC112:CD112"/>
    <mergeCell ref="BA112:BC112"/>
    <mergeCell ref="BD112:BE112"/>
    <mergeCell ref="BF112:BH112"/>
    <mergeCell ref="BI112:BJ112"/>
    <mergeCell ref="BK112:BM112"/>
    <mergeCell ref="BN112:BO112"/>
    <mergeCell ref="AE112:AF112"/>
    <mergeCell ref="AG112:AI112"/>
    <mergeCell ref="AJ112:AK112"/>
    <mergeCell ref="BN110:BO110"/>
    <mergeCell ref="BP110:BR110"/>
    <mergeCell ref="BS110:BT110"/>
    <mergeCell ref="BU110:BW110"/>
    <mergeCell ref="BX110:BY110"/>
    <mergeCell ref="AV110:AX110"/>
    <mergeCell ref="AY110:AZ110"/>
    <mergeCell ref="CC111:CD111"/>
    <mergeCell ref="CE111:CG111"/>
    <mergeCell ref="CH111:CI111"/>
    <mergeCell ref="BF111:BH111"/>
    <mergeCell ref="BI111:BJ111"/>
    <mergeCell ref="BK111:BM111"/>
    <mergeCell ref="BN111:BO111"/>
    <mergeCell ref="BP111:BR111"/>
    <mergeCell ref="BS111:BT111"/>
    <mergeCell ref="CT112:CV112"/>
    <mergeCell ref="AT110:AU110"/>
    <mergeCell ref="R110:T110"/>
    <mergeCell ref="U110:V110"/>
    <mergeCell ref="W110:Y110"/>
    <mergeCell ref="Z110:AA110"/>
    <mergeCell ref="AB110:AD110"/>
    <mergeCell ref="AE110:AF110"/>
    <mergeCell ref="DS110:DU110"/>
    <mergeCell ref="F111:G111"/>
    <mergeCell ref="H111:J111"/>
    <mergeCell ref="K111:L111"/>
    <mergeCell ref="M111:O111"/>
    <mergeCell ref="P111:Q111"/>
    <mergeCell ref="R111:T111"/>
    <mergeCell ref="U111:V111"/>
    <mergeCell ref="W111:Y111"/>
    <mergeCell ref="Z111:AA111"/>
    <mergeCell ref="DD110:DF110"/>
    <mergeCell ref="DG110:DH110"/>
    <mergeCell ref="DI110:DK110"/>
    <mergeCell ref="DL110:DM110"/>
    <mergeCell ref="DN110:DP110"/>
    <mergeCell ref="DQ110:DR110"/>
    <mergeCell ref="CO110:CQ110"/>
    <mergeCell ref="CR110:CS110"/>
    <mergeCell ref="DN111:DP111"/>
    <mergeCell ref="DQ111:DR111"/>
    <mergeCell ref="CE110:CG110"/>
    <mergeCell ref="CH110:CI110"/>
    <mergeCell ref="CJ110:CL110"/>
    <mergeCell ref="CM110:CN110"/>
    <mergeCell ref="BK110:BM110"/>
    <mergeCell ref="AY109:BA109"/>
    <mergeCell ref="X109:Y109"/>
    <mergeCell ref="Z109:AB109"/>
    <mergeCell ref="AC109:AD109"/>
    <mergeCell ref="AE109:AG109"/>
    <mergeCell ref="AH109:AI109"/>
    <mergeCell ref="AJ109:AL109"/>
    <mergeCell ref="CT110:CV110"/>
    <mergeCell ref="CW110:CX110"/>
    <mergeCell ref="CY110:DA110"/>
    <mergeCell ref="DB110:DC110"/>
    <mergeCell ref="BZ110:CB110"/>
    <mergeCell ref="CC110:CD110"/>
    <mergeCell ref="CM109:CO109"/>
    <mergeCell ref="CP109:CQ109"/>
    <mergeCell ref="CR109:CT109"/>
    <mergeCell ref="BQ109:BR109"/>
    <mergeCell ref="BS109:BU109"/>
    <mergeCell ref="BV109:BW109"/>
    <mergeCell ref="BX109:BZ109"/>
    <mergeCell ref="CA109:CB109"/>
    <mergeCell ref="CC109:CE109"/>
    <mergeCell ref="BB109:BC109"/>
    <mergeCell ref="BD109:BF109"/>
    <mergeCell ref="BG109:BH109"/>
    <mergeCell ref="BA110:BC110"/>
    <mergeCell ref="BD110:BE110"/>
    <mergeCell ref="BF110:BH110"/>
    <mergeCell ref="BI110:BJ110"/>
    <mergeCell ref="DB109:DD109"/>
    <mergeCell ref="BI109:BK109"/>
    <mergeCell ref="AG110:AI110"/>
    <mergeCell ref="DJ108:DK108"/>
    <mergeCell ref="DO108:DP108"/>
    <mergeCell ref="DT108:DU108"/>
    <mergeCell ref="F109:H109"/>
    <mergeCell ref="I109:J109"/>
    <mergeCell ref="K109:M109"/>
    <mergeCell ref="N109:O109"/>
    <mergeCell ref="P109:R109"/>
    <mergeCell ref="S109:T109"/>
    <mergeCell ref="U109:W109"/>
    <mergeCell ref="CF108:CG108"/>
    <mergeCell ref="CK108:CL108"/>
    <mergeCell ref="CP108:CQ108"/>
    <mergeCell ref="CU108:CV108"/>
    <mergeCell ref="CZ108:DA108"/>
    <mergeCell ref="DE108:DF108"/>
    <mergeCell ref="BB108:BC108"/>
    <mergeCell ref="BG108:BH108"/>
    <mergeCell ref="BL108:BM108"/>
    <mergeCell ref="BQ108:BR108"/>
    <mergeCell ref="BV108:BW108"/>
    <mergeCell ref="CA108:CB108"/>
    <mergeCell ref="CU109:CV109"/>
    <mergeCell ref="CW109:CY109"/>
    <mergeCell ref="CZ109:DA109"/>
    <mergeCell ref="DJ109:DK109"/>
    <mergeCell ref="DL109:DN109"/>
    <mergeCell ref="DO109:DP109"/>
    <mergeCell ref="DQ109:DS109"/>
    <mergeCell ref="DT109:DU109"/>
    <mergeCell ref="AT109:AV109"/>
    <mergeCell ref="AW109:AX109"/>
    <mergeCell ref="DE109:DF109"/>
    <mergeCell ref="DG109:DI109"/>
    <mergeCell ref="CF109:CG109"/>
    <mergeCell ref="CH109:CJ109"/>
    <mergeCell ref="CK109:CL109"/>
    <mergeCell ref="AW106:AX106"/>
    <mergeCell ref="BB106:BC106"/>
    <mergeCell ref="BG106:BH106"/>
    <mergeCell ref="BL106:BM106"/>
    <mergeCell ref="BQ106:BR106"/>
    <mergeCell ref="DT107:DU107"/>
    <mergeCell ref="I108:J108"/>
    <mergeCell ref="N108:O108"/>
    <mergeCell ref="S108:T108"/>
    <mergeCell ref="X108:Y108"/>
    <mergeCell ref="AC108:AD108"/>
    <mergeCell ref="AH108:AI108"/>
    <mergeCell ref="AM108:AN108"/>
    <mergeCell ref="AR108:AS108"/>
    <mergeCell ref="AW108:AX108"/>
    <mergeCell ref="CP107:CQ107"/>
    <mergeCell ref="CU107:CV107"/>
    <mergeCell ref="CZ107:DA107"/>
    <mergeCell ref="DE107:DF107"/>
    <mergeCell ref="DJ107:DK107"/>
    <mergeCell ref="DO107:DP107"/>
    <mergeCell ref="BL107:BM107"/>
    <mergeCell ref="BQ107:BR107"/>
    <mergeCell ref="BV107:BW107"/>
    <mergeCell ref="CA107:CB107"/>
    <mergeCell ref="CF107:CG107"/>
    <mergeCell ref="CK107:CL107"/>
    <mergeCell ref="AW107:AX107"/>
    <mergeCell ref="BB107:BC107"/>
    <mergeCell ref="DT105:DU105"/>
    <mergeCell ref="I106:J106"/>
    <mergeCell ref="N106:O106"/>
    <mergeCell ref="S106:T106"/>
    <mergeCell ref="X106:Y106"/>
    <mergeCell ref="AC106:AD106"/>
    <mergeCell ref="AH106:AI106"/>
    <mergeCell ref="AM106:AN106"/>
    <mergeCell ref="CF105:CG105"/>
    <mergeCell ref="CK105:CL105"/>
    <mergeCell ref="CP105:CQ105"/>
    <mergeCell ref="CU105:CV105"/>
    <mergeCell ref="CZ105:DA105"/>
    <mergeCell ref="DE105:DF105"/>
    <mergeCell ref="BB105:BC105"/>
    <mergeCell ref="BG105:BH105"/>
    <mergeCell ref="BL105:BM105"/>
    <mergeCell ref="BQ105:BR105"/>
    <mergeCell ref="BV105:BW105"/>
    <mergeCell ref="CA105:CB105"/>
    <mergeCell ref="CZ106:DA106"/>
    <mergeCell ref="DE106:DF106"/>
    <mergeCell ref="DJ106:DK106"/>
    <mergeCell ref="DO106:DP106"/>
    <mergeCell ref="DT106:DU106"/>
    <mergeCell ref="BV106:BW106"/>
    <mergeCell ref="CF106:CG106"/>
    <mergeCell ref="BG107:BH107"/>
    <mergeCell ref="CK106:CL106"/>
    <mergeCell ref="CP106:CQ106"/>
    <mergeCell ref="CU106:CV106"/>
    <mergeCell ref="AR106:AS106"/>
    <mergeCell ref="AW105:AX105"/>
    <mergeCell ref="CP104:CQ104"/>
    <mergeCell ref="CU104:CV104"/>
    <mergeCell ref="CZ104:DA104"/>
    <mergeCell ref="DE104:DF104"/>
    <mergeCell ref="DJ104:DK104"/>
    <mergeCell ref="DO104:DP104"/>
    <mergeCell ref="BL104:BM104"/>
    <mergeCell ref="BQ104:BR104"/>
    <mergeCell ref="BV104:BW104"/>
    <mergeCell ref="CA104:CB104"/>
    <mergeCell ref="CF104:CG104"/>
    <mergeCell ref="CK104:CL104"/>
    <mergeCell ref="DJ105:DK105"/>
    <mergeCell ref="DO105:DP105"/>
    <mergeCell ref="BB104:BC104"/>
    <mergeCell ref="BG104:BH104"/>
    <mergeCell ref="CA106:CB106"/>
    <mergeCell ref="CH101:CH102"/>
    <mergeCell ref="CZ103:DA103"/>
    <mergeCell ref="DE103:DF103"/>
    <mergeCell ref="DJ103:DK103"/>
    <mergeCell ref="DO103:DP103"/>
    <mergeCell ref="DT103:DU103"/>
    <mergeCell ref="I104:J104"/>
    <mergeCell ref="N104:O104"/>
    <mergeCell ref="S104:T104"/>
    <mergeCell ref="X104:Y104"/>
    <mergeCell ref="AC104:AD104"/>
    <mergeCell ref="BV103:BW103"/>
    <mergeCell ref="CA103:CB103"/>
    <mergeCell ref="CF103:CG103"/>
    <mergeCell ref="CK103:CL103"/>
    <mergeCell ref="CP103:CQ103"/>
    <mergeCell ref="CU103:CV103"/>
    <mergeCell ref="AR103:AS103"/>
    <mergeCell ref="AW103:AX103"/>
    <mergeCell ref="BB103:BC103"/>
    <mergeCell ref="BG103:BH103"/>
    <mergeCell ref="BL103:BM103"/>
    <mergeCell ref="BQ103:BR103"/>
    <mergeCell ref="DT104:DU104"/>
    <mergeCell ref="BE101:BF102"/>
    <mergeCell ref="BG101:BG102"/>
    <mergeCell ref="DQ101:DQ102"/>
    <mergeCell ref="DR101:DS102"/>
    <mergeCell ref="DT101:DT102"/>
    <mergeCell ref="I103:J103"/>
    <mergeCell ref="N103:O103"/>
    <mergeCell ref="X103:Y103"/>
    <mergeCell ref="AC103:AD103"/>
    <mergeCell ref="AH103:AI103"/>
    <mergeCell ref="AM103:AN103"/>
    <mergeCell ref="DG101:DG102"/>
    <mergeCell ref="DH101:DI102"/>
    <mergeCell ref="DJ101:DJ102"/>
    <mergeCell ref="DL101:DL102"/>
    <mergeCell ref="DM101:DN102"/>
    <mergeCell ref="DO101:DO102"/>
    <mergeCell ref="CW101:CW102"/>
    <mergeCell ref="CX101:CY102"/>
    <mergeCell ref="CZ101:CZ102"/>
    <mergeCell ref="DB101:DB102"/>
    <mergeCell ref="DC101:DD102"/>
    <mergeCell ref="DE101:DE102"/>
    <mergeCell ref="CM101:CM102"/>
    <mergeCell ref="CN101:CO102"/>
    <mergeCell ref="CP101:CP102"/>
    <mergeCell ref="CR101:CR102"/>
    <mergeCell ref="CS101:CT102"/>
    <mergeCell ref="CU101:CU102"/>
    <mergeCell ref="CC101:CC102"/>
    <mergeCell ref="CI101:CJ102"/>
    <mergeCell ref="CK101:CK102"/>
    <mergeCell ref="BS101:BS102"/>
    <mergeCell ref="BT101:BU102"/>
    <mergeCell ref="BV101:BV102"/>
    <mergeCell ref="BX101:BX102"/>
    <mergeCell ref="BY101:BZ102"/>
    <mergeCell ref="CA101:CA102"/>
    <mergeCell ref="CF101:CF102"/>
    <mergeCell ref="BI101:BI102"/>
    <mergeCell ref="BJ101:BK102"/>
    <mergeCell ref="BL101:BL102"/>
    <mergeCell ref="BN101:BN102"/>
    <mergeCell ref="BO101:BP102"/>
    <mergeCell ref="BQ101:BQ102"/>
    <mergeCell ref="AY101:AY102"/>
    <mergeCell ref="AZ101:BA102"/>
    <mergeCell ref="BB101:BB102"/>
    <mergeCell ref="S107:T107"/>
    <mergeCell ref="X107:Y107"/>
    <mergeCell ref="AC107:AD107"/>
    <mergeCell ref="F110:G110"/>
    <mergeCell ref="CD101:CE102"/>
    <mergeCell ref="AU101:AV102"/>
    <mergeCell ref="AW101:AW102"/>
    <mergeCell ref="AE101:AE102"/>
    <mergeCell ref="AF101:AG102"/>
    <mergeCell ref="AH101:AH102"/>
    <mergeCell ref="AJ101:AJ102"/>
    <mergeCell ref="AK101:AL102"/>
    <mergeCell ref="AM101:AM102"/>
    <mergeCell ref="U101:U102"/>
    <mergeCell ref="V101:W102"/>
    <mergeCell ref="X101:X102"/>
    <mergeCell ref="Z101:Z102"/>
    <mergeCell ref="AA101:AB102"/>
    <mergeCell ref="AC101:AC102"/>
    <mergeCell ref="AH104:AI104"/>
    <mergeCell ref="AM104:AN104"/>
    <mergeCell ref="AR104:AS104"/>
    <mergeCell ref="AW104:AX104"/>
    <mergeCell ref="BL109:BM109"/>
    <mergeCell ref="BN109:BP109"/>
    <mergeCell ref="AM109:AN109"/>
    <mergeCell ref="AO109:AQ109"/>
    <mergeCell ref="AR109:AS109"/>
    <mergeCell ref="S101:S102"/>
    <mergeCell ref="F101:F102"/>
    <mergeCell ref="G101:H102"/>
    <mergeCell ref="I101:I102"/>
    <mergeCell ref="D123:E123"/>
    <mergeCell ref="D124:E124"/>
    <mergeCell ref="BD101:BD102"/>
    <mergeCell ref="D126:E126"/>
    <mergeCell ref="A127:E127"/>
    <mergeCell ref="A128:E129"/>
    <mergeCell ref="C117:E117"/>
    <mergeCell ref="C118:E118"/>
    <mergeCell ref="C119:E119"/>
    <mergeCell ref="C120:E120"/>
    <mergeCell ref="D121:E121"/>
    <mergeCell ref="D122:E122"/>
    <mergeCell ref="A125:C125"/>
    <mergeCell ref="A101:A102"/>
    <mergeCell ref="B101:C102"/>
    <mergeCell ref="D101:D102"/>
    <mergeCell ref="AO101:AO102"/>
    <mergeCell ref="AP101:AQ102"/>
    <mergeCell ref="AR101:AR102"/>
    <mergeCell ref="AT101:AT102"/>
    <mergeCell ref="I105:J105"/>
    <mergeCell ref="N105:O105"/>
    <mergeCell ref="S105:T105"/>
    <mergeCell ref="X105:Y105"/>
    <mergeCell ref="AC105:AD105"/>
    <mergeCell ref="AH105:AI105"/>
    <mergeCell ref="AM105:AN105"/>
    <mergeCell ref="AR105:AS105"/>
    <mergeCell ref="K110:L110"/>
    <mergeCell ref="M110:O110"/>
    <mergeCell ref="P110:Q110"/>
    <mergeCell ref="F113:G113"/>
    <mergeCell ref="H113:J113"/>
    <mergeCell ref="K113:L113"/>
    <mergeCell ref="M113:O113"/>
    <mergeCell ref="P113:Q113"/>
    <mergeCell ref="F116:G116"/>
    <mergeCell ref="H116:J116"/>
    <mergeCell ref="K116:L116"/>
    <mergeCell ref="M116:O116"/>
    <mergeCell ref="P116:Q116"/>
    <mergeCell ref="AH107:AI107"/>
    <mergeCell ref="AM107:AN107"/>
    <mergeCell ref="AR107:AS107"/>
    <mergeCell ref="AJ110:AK110"/>
    <mergeCell ref="AL110:AN110"/>
    <mergeCell ref="AO110:AP110"/>
    <mergeCell ref="AQ110:AS110"/>
    <mergeCell ref="AG113:AI113"/>
    <mergeCell ref="AJ113:AK113"/>
    <mergeCell ref="AL113:AN113"/>
    <mergeCell ref="AO113:AP113"/>
    <mergeCell ref="AQ113:AS113"/>
    <mergeCell ref="AQ114:AS114"/>
    <mergeCell ref="F115:H115"/>
    <mergeCell ref="AM115:AN115"/>
    <mergeCell ref="F119:G119"/>
    <mergeCell ref="H119:J119"/>
    <mergeCell ref="A20:B20"/>
    <mergeCell ref="H110:J110"/>
    <mergeCell ref="C113:E113"/>
    <mergeCell ref="A109:C109"/>
    <mergeCell ref="A110:B110"/>
    <mergeCell ref="D109:E109"/>
    <mergeCell ref="C110:E110"/>
    <mergeCell ref="K101:K102"/>
    <mergeCell ref="L101:M102"/>
    <mergeCell ref="N101:N102"/>
    <mergeCell ref="P101:P102"/>
    <mergeCell ref="Q101:R102"/>
    <mergeCell ref="I107:J107"/>
    <mergeCell ref="N107:O107"/>
    <mergeCell ref="K119:L119"/>
    <mergeCell ref="M119:O119"/>
    <mergeCell ref="P119:Q119"/>
    <mergeCell ref="I115:J115"/>
    <mergeCell ref="K115:M115"/>
    <mergeCell ref="N115:O115"/>
    <mergeCell ref="P115:R115"/>
    <mergeCell ref="R119:T119"/>
    <mergeCell ref="S103:T103"/>
    <mergeCell ref="A15:C15"/>
    <mergeCell ref="A16:B16"/>
    <mergeCell ref="A17:B17"/>
    <mergeCell ref="C14:E14"/>
    <mergeCell ref="D15:E15"/>
    <mergeCell ref="C16:E16"/>
    <mergeCell ref="A11:B11"/>
    <mergeCell ref="A12:B12"/>
    <mergeCell ref="B130:C130"/>
    <mergeCell ref="D103:E103"/>
    <mergeCell ref="D104:E104"/>
    <mergeCell ref="D105:E105"/>
    <mergeCell ref="D106:E106"/>
    <mergeCell ref="D107:E107"/>
    <mergeCell ref="D108:E108"/>
    <mergeCell ref="A118:B118"/>
    <mergeCell ref="A119:B119"/>
    <mergeCell ref="A120:B120"/>
    <mergeCell ref="A114:B114"/>
    <mergeCell ref="A115:C115"/>
    <mergeCell ref="A116:B116"/>
    <mergeCell ref="A117:B117"/>
    <mergeCell ref="C114:E114"/>
    <mergeCell ref="D115:E115"/>
    <mergeCell ref="C116:E116"/>
    <mergeCell ref="A111:B111"/>
    <mergeCell ref="A112:B112"/>
    <mergeCell ref="A113:B113"/>
    <mergeCell ref="C111:E111"/>
    <mergeCell ref="C112:E112"/>
    <mergeCell ref="A13:B13"/>
    <mergeCell ref="D125:E125"/>
    <mergeCell ref="C11:E11"/>
    <mergeCell ref="C12:E12"/>
    <mergeCell ref="C13:E13"/>
    <mergeCell ref="A1:A2"/>
    <mergeCell ref="B1:C2"/>
    <mergeCell ref="D1:D2"/>
    <mergeCell ref="A9:C9"/>
    <mergeCell ref="A10:B10"/>
    <mergeCell ref="C10:E10"/>
    <mergeCell ref="D23:E23"/>
    <mergeCell ref="D24:E24"/>
    <mergeCell ref="D25:E25"/>
    <mergeCell ref="D26:E26"/>
    <mergeCell ref="A27:E27"/>
    <mergeCell ref="A28:E29"/>
    <mergeCell ref="C17:E17"/>
    <mergeCell ref="C18:E18"/>
    <mergeCell ref="C19:E19"/>
    <mergeCell ref="C20:E20"/>
    <mergeCell ref="D21:E21"/>
    <mergeCell ref="D22:E22"/>
    <mergeCell ref="A25:C25"/>
    <mergeCell ref="D3:E3"/>
    <mergeCell ref="D4:E4"/>
    <mergeCell ref="D5:E5"/>
    <mergeCell ref="D6:E6"/>
    <mergeCell ref="D7:E7"/>
    <mergeCell ref="D8:E8"/>
    <mergeCell ref="D9:E9"/>
    <mergeCell ref="A18:B18"/>
    <mergeCell ref="A19:B19"/>
    <mergeCell ref="A14:B14"/>
  </mergeCells>
  <conditionalFormatting sqref="D103 D108 D121:D126 I103 N103 S103 X103 AC103 AH103 AM103 AR103 AW103 BB103 BG103 BL103 BQ103 BV103 CA103 CF103 CK103 CP103 CU103 CZ103 DE103 DJ103 DO103 DT103 I108 N108 S108 X108 AC108 AH108 AM108 AR108 AW108 BB108 BG108 BL108 BQ108 BV108 CA108 CF108 CK108 CP108 CU108 CZ108 DE108 DJ108 DO108 DT108 I121:I126 N121:N126 S121:S126 X121:X126 AC121:AC126 AH121:AH126 AM121:AM126 AR121:AR126 AW121:AW126 BB121:BB126 BG121:BG126 BL121:BL126 BQ121:BQ126 BV121:BV126 CA121:CA126 CF121:CF126 CK121:CK126 CP121:CP126 CU121:CU126 CZ121:CZ126 DE121:DE126 DJ121:DJ126 DO121:DO126 DT121:DT126 DY103 DY108 DY121:DY126 ED103 EI103 EN103 ES103 EX103 FC103 FH103 FM103 FR103 FW103 GB103 GG103 GL103 GQ103 GV103 HA103 HF103 HK103 HP103 HU103 HZ103 IE103 IJ103 IO103 ED108 EI108 EN108 ES108 EX108 FC108 FH108 FM108 FR108 FW108 GB108 GG108 GL108 GQ108 GV108 HA108 HF108 HK108 HP108 HU108 HZ108 IE108 IJ108 IO108 ED121:ED126 EI121:EI126 EN121:EN126 ES121:ES126 EX121:EX126 FC121:FC126 FH121:FH126 FM121:FM126 FR121:FR126 FW121:FW126 GB121:GB126 GG121:GG126 GL121:GL126 GQ121:GQ126 GV121:GV126 HA121:HA126 HF121:HF126 HK121:HK126 HP121:HP126 HU121:HU126 HZ121:HZ126 IE121:IE126 IJ121:IJ126 IO121:IO126">
    <cfRule type="expression" dxfId="8" priority="3">
      <formula>IF(D103="NO",TRUE,IF(D103="no",TRUE,IF(D103="n",TRUE,IF(D103="N",TRUE,FALSE))))</formula>
    </cfRule>
  </conditionalFormatting>
  <conditionalFormatting sqref="D104 I104 N104 S104 X104 AC104 AH104 AM104 AR104 AW104 BB104 BG104 BL104 BQ104 BV104 CA104 CF104 CK104 CP104 CU104 CZ104 DE104 DJ104 DO104 DT104 DY104 ED104 EI104 EN104 ES104 EX104 FC104 FH104 FM104 FR104 FW104 GB104 GG104 GL104 GQ104 GV104 HA104 HF104 HK104 HP104 HU104 HZ104 IE104 IJ104 IO104">
    <cfRule type="expression" dxfId="7" priority="2">
      <formula>IF(D104="NO",TRUE,IF(D104="no",TRUE,IF(D104="n",TRUE,IF(D104="N",TRUE,FALSE))))</formula>
    </cfRule>
  </conditionalFormatting>
  <conditionalFormatting sqref="D103 I103 N103 S103 X103 AC103 AH103 AM103 AR103 AW103 BB103 BG103 BL103 BQ103 BV103 CA103 CF103 CK103 CP103 CU103 CZ103 DE103 DJ103 DO103 DT103 DY103 ED103 EI103 EN103 ES103 EX103 FC103 FH103 FM103 FR103 FW103 GB103 GG103 GL103 GQ103 GV103 HA103 HF103 HK103 HP103 HU103 HZ103 IE103 IJ103 IO103">
    <cfRule type="expression" dxfId="6" priority="1">
      <formula>IF(D103="YES",TRUE,IF(D103="yes",TRUE,IF(D103="y",TRUE,IF(D103="Y",TRUE,FALSE))))</formula>
    </cfRule>
  </conditionalFormatting>
  <pageMargins left="0.7" right="0.7" top="0.75" bottom="0.75" header="0.3" footer="0.3"/>
  <pageSetup orientation="portrait" horizontalDpi="4294967295" verticalDpi="4294967295" r:id="rId1"/>
  <webPublishItems count="2">
    <webPublishItem id="13190" divId="EOD Report_13190" sourceType="range" sourceRef="A1:E29" destinationFile="T:\Mankato_Common\266003 Mankato Plant\OPERATIONS\MDO\dustin\MPDF2\EOD Report.htm"/>
    <webPublishItem id="14949" divId="EOD Report_14949" sourceType="range" sourceRef="A101:FS129" destinationFile="T:\Mankato_Common\266003 Mankato Plant\OPERATIONS\MDO\dustin\MPDF2\EOD ReportHistory.htm"/>
  </webPublishItems>
  <extLst>
    <ext xmlns:x14="http://schemas.microsoft.com/office/spreadsheetml/2009/9/main" uri="{78C0D931-6437-407d-A8EE-F0AAD7539E65}">
      <x14:conditionalFormattings>
        <x14:conditionalFormatting xmlns:xm="http://schemas.microsoft.com/office/excel/2006/main">
          <x14:cfRule type="expression" priority="15" id="{F7AE42FB-89F8-44BF-95B6-F05A1330F05C}">
            <xm:f>IF('Report History'!LL3="NO",TRUE,IF('Report History'!LL3="no",TRUE,IF('Report History'!LL3="n",TRUE,IF('Report History'!LL3="N",TRUE,FALSE))))</xm:f>
            <x14:dxf>
              <font>
                <b/>
                <i val="0"/>
                <color theme="0"/>
              </font>
              <fill>
                <patternFill>
                  <bgColor rgb="FFFF0000"/>
                </patternFill>
              </fill>
            </x14:dxf>
          </x14:cfRule>
          <xm:sqref>D3 D8 D21:D26</xm:sqref>
        </x14:conditionalFormatting>
        <x14:conditionalFormatting xmlns:xm="http://schemas.microsoft.com/office/excel/2006/main">
          <x14:cfRule type="expression" priority="14" id="{4972A1B0-53F0-446E-A3C7-26DF79666E4E}">
            <xm:f>IF('Report History'!LL4="NO",TRUE,IF('Report History'!LL4="no",TRUE,IF('Report History'!LL4="n",TRUE,IF('Report History'!LL4="N",TRUE,FALSE))))</xm:f>
            <x14:dxf>
              <font>
                <b/>
                <i val="0"/>
                <color theme="0"/>
              </font>
              <fill>
                <patternFill>
                  <bgColor rgb="FFFF0000"/>
                </patternFill>
              </fill>
            </x14:dxf>
          </x14:cfRule>
          <xm:sqref>D4</xm:sqref>
        </x14:conditionalFormatting>
        <x14:conditionalFormatting xmlns:xm="http://schemas.microsoft.com/office/excel/2006/main">
          <x14:cfRule type="expression" priority="13" id="{F0431EBA-B03A-4B96-ABDD-D2A0D819EB73}">
            <xm:f>IF('Report History'!LL3="YES",TRUE,IF('Report History'!LL3="yes",TRUE,IF('Report History'!LL3="y",TRUE,IF('Report History'!LL3="Y",TRUE,FALSE))))</xm:f>
            <x14:dxf>
              <font>
                <b/>
                <i val="0"/>
                <color theme="0"/>
              </font>
              <fill>
                <patternFill>
                  <bgColor rgb="FF00B050"/>
                </patternFill>
              </fill>
            </x14:dxf>
          </x14:cfRule>
          <xm:sqref>D3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DATA ENTRY</vt:lpstr>
      <vt:lpstr>Printable Simple Form</vt:lpstr>
      <vt:lpstr>REPORT</vt:lpstr>
      <vt:lpstr>Report History</vt:lpstr>
      <vt:lpstr>Sheet1</vt:lpstr>
      <vt:lpstr>'DATA ENTRY'!Print_Area</vt:lpstr>
      <vt:lpstr>'Printable Simple Form'!Print_Area</vt:lpstr>
    </vt:vector>
  </TitlesOfParts>
  <Company>US Postal 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Devens, Dustin D - Mankato, MN</dc:creator>
  <cp:lastModifiedBy>Authorized User</cp:lastModifiedBy>
  <cp:lastPrinted>2021-04-22T09:47:15Z</cp:lastPrinted>
  <dcterms:created xsi:type="dcterms:W3CDTF">2019-05-13T10:09:58Z</dcterms:created>
  <dcterms:modified xsi:type="dcterms:W3CDTF">2021-04-22T11:00:13Z</dcterms:modified>
</cp:coreProperties>
</file>